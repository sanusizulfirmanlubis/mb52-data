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y Drive\3. TSSP.3\1. Laporan Bulanan\2026\3. Mar\KP\RKA\"/>
    </mc:Choice>
  </mc:AlternateContent>
  <xr:revisionPtr revIDLastSave="0" documentId="13_ncr:1_{F7FE0D82-9F40-43D9-8B26-121C4CF25BB1}" xr6:coauthVersionLast="47" xr6:coauthVersionMax="47" xr10:uidLastSave="{00000000-0000-0000-0000-000000000000}"/>
  <bookViews>
    <workbookView xWindow="-98" yWindow="-98" windowWidth="21795" windowHeight="12975" activeTab="5" xr2:uid="{00000000-000D-0000-FFFF-FFFF00000000}"/>
  </bookViews>
  <sheets>
    <sheet name="Monitoring RKA 2026" sheetId="1" r:id="rId1"/>
    <sheet name="Hitung Per Bulan" sheetId="3" r:id="rId2"/>
    <sheet name="Pivot" sheetId="2" r:id="rId3"/>
    <sheet name="ZFM01" sheetId="4" r:id="rId4"/>
    <sheet name="Pivot_" sheetId="5" r:id="rId5"/>
    <sheet name="Rekap" sheetId="6" r:id="rId6"/>
  </sheets>
  <definedNames>
    <definedName name="_xlnm._FilterDatabase" localSheetId="1" hidden="1">'Hitung Per Bulan'!$A$1:$G$1261</definedName>
    <definedName name="_xlnm._FilterDatabase" localSheetId="0" hidden="1">'Monitoring RKA 2026'!$A$1:$G$1261</definedName>
    <definedName name="_xlnm._FilterDatabase" localSheetId="3" hidden="1">ZFM01!$A$1:$J$543</definedName>
  </definedNames>
  <calcPr calcId="191029"/>
  <pivotCaches>
    <pivotCache cacheId="25" r:id="rId7"/>
    <pivotCache cacheId="74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A91" i="5"/>
  <c r="A101" i="5"/>
  <c r="A102" i="5" s="1"/>
  <c r="A103" i="5" s="1"/>
  <c r="A104" i="5" s="1"/>
  <c r="A105" i="5" s="1"/>
  <c r="A93" i="5"/>
  <c r="A94" i="5" s="1"/>
  <c r="A95" i="5" s="1"/>
  <c r="A96" i="5" s="1"/>
  <c r="A97" i="5" s="1"/>
  <c r="A98" i="5" s="1"/>
  <c r="A85" i="5"/>
  <c r="A86" i="5" s="1"/>
  <c r="A87" i="5" s="1"/>
  <c r="A88" i="5" s="1"/>
  <c r="A89" i="5" s="1"/>
  <c r="A90" i="5" s="1"/>
  <c r="A78" i="5"/>
  <c r="A79" i="5" s="1"/>
  <c r="A80" i="5" s="1"/>
  <c r="A81" i="5" s="1"/>
  <c r="A82" i="5" s="1"/>
  <c r="A83" i="5" s="1"/>
  <c r="A71" i="5"/>
  <c r="A72" i="5" s="1"/>
  <c r="A73" i="5" s="1"/>
  <c r="A74" i="5" s="1"/>
  <c r="A75" i="5" s="1"/>
  <c r="A76" i="5" s="1"/>
  <c r="A64" i="5"/>
  <c r="A65" i="5" s="1"/>
  <c r="A66" i="5" s="1"/>
  <c r="A67" i="5" s="1"/>
  <c r="A68" i="5" s="1"/>
  <c r="A69" i="5" s="1"/>
  <c r="A57" i="5"/>
  <c r="A58" i="5" s="1"/>
  <c r="A59" i="5" s="1"/>
  <c r="A60" i="5" s="1"/>
  <c r="A61" i="5" s="1"/>
  <c r="A62" i="5" s="1"/>
  <c r="A50" i="5"/>
  <c r="A51" i="5" s="1"/>
  <c r="A52" i="5" s="1"/>
  <c r="A53" i="5" s="1"/>
  <c r="A54" i="5" s="1"/>
  <c r="A55" i="5" s="1"/>
  <c r="A43" i="5"/>
  <c r="A44" i="5" s="1"/>
  <c r="A45" i="5" s="1"/>
  <c r="A46" i="5" s="1"/>
  <c r="A47" i="5" s="1"/>
  <c r="A48" i="5" s="1"/>
  <c r="A36" i="5"/>
  <c r="A37" i="5" s="1"/>
  <c r="A38" i="5" s="1"/>
  <c r="A39" i="5" s="1"/>
  <c r="A40" i="5" s="1"/>
  <c r="A41" i="5" s="1"/>
  <c r="A29" i="5"/>
  <c r="A30" i="5" s="1"/>
  <c r="A31" i="5" s="1"/>
  <c r="A32" i="5" s="1"/>
  <c r="A33" i="5" s="1"/>
  <c r="A34" i="5" s="1"/>
  <c r="A23" i="5"/>
  <c r="A24" i="5" s="1"/>
  <c r="A25" i="5" s="1"/>
  <c r="A26" i="5" s="1"/>
  <c r="A27" i="5" s="1"/>
  <c r="A22" i="5"/>
  <c r="A15" i="5"/>
  <c r="A16" i="5" s="1"/>
  <c r="A17" i="5" s="1"/>
  <c r="A18" i="5" s="1"/>
  <c r="A19" i="5" s="1"/>
  <c r="A20" i="5" s="1"/>
  <c r="A9" i="5"/>
  <c r="A5" i="5"/>
  <c r="A6" i="5" s="1"/>
  <c r="A4" i="5"/>
  <c r="A10" i="5" l="1"/>
  <c r="D67" i="1"/>
  <c r="D65" i="1"/>
  <c r="J1261" i="3"/>
  <c r="I1261" i="3"/>
  <c r="J1260" i="3"/>
  <c r="I1260" i="3"/>
  <c r="J1259" i="3"/>
  <c r="I1259" i="3"/>
  <c r="J1258" i="3"/>
  <c r="I1258" i="3"/>
  <c r="J1257" i="3"/>
  <c r="I1257" i="3"/>
  <c r="J1256" i="3"/>
  <c r="I1256" i="3"/>
  <c r="J1255" i="3"/>
  <c r="I1255" i="3"/>
  <c r="J1254" i="3"/>
  <c r="I1254" i="3"/>
  <c r="J1253" i="3"/>
  <c r="I1253" i="3"/>
  <c r="J1251" i="3"/>
  <c r="I1251" i="3"/>
  <c r="J1250" i="3"/>
  <c r="I1250" i="3"/>
  <c r="J1249" i="3"/>
  <c r="I1249" i="3"/>
  <c r="J1248" i="3"/>
  <c r="I1248" i="3"/>
  <c r="J1247" i="3"/>
  <c r="I1247" i="3"/>
  <c r="J1246" i="3"/>
  <c r="I1246" i="3"/>
  <c r="J1245" i="3"/>
  <c r="I1245" i="3"/>
  <c r="J1244" i="3"/>
  <c r="I1244" i="3"/>
  <c r="J1243" i="3"/>
  <c r="I1243" i="3"/>
  <c r="J1242" i="3"/>
  <c r="I1242" i="3"/>
  <c r="J1241" i="3"/>
  <c r="I1241" i="3"/>
  <c r="J1239" i="3"/>
  <c r="I1239" i="3"/>
  <c r="J1238" i="3"/>
  <c r="I1238" i="3"/>
  <c r="J1237" i="3"/>
  <c r="I1237" i="3"/>
  <c r="J1236" i="3"/>
  <c r="I1236" i="3"/>
  <c r="J1235" i="3"/>
  <c r="I1235" i="3"/>
  <c r="J1234" i="3"/>
  <c r="I1234" i="3"/>
  <c r="J1233" i="3"/>
  <c r="I1233" i="3"/>
  <c r="J1232" i="3"/>
  <c r="I1232" i="3"/>
  <c r="J1231" i="3"/>
  <c r="I1231" i="3"/>
  <c r="J1230" i="3"/>
  <c r="I1230" i="3"/>
  <c r="J1229" i="3"/>
  <c r="I1229" i="3"/>
  <c r="J1227" i="3"/>
  <c r="I1227" i="3"/>
  <c r="J1226" i="3"/>
  <c r="I1226" i="3"/>
  <c r="J1225" i="3"/>
  <c r="I1225" i="3"/>
  <c r="J1224" i="3"/>
  <c r="I1224" i="3"/>
  <c r="J1223" i="3"/>
  <c r="I1223" i="3"/>
  <c r="J1222" i="3"/>
  <c r="I1222" i="3"/>
  <c r="J1221" i="3"/>
  <c r="I1221" i="3"/>
  <c r="J1220" i="3"/>
  <c r="I1220" i="3"/>
  <c r="J1219" i="3"/>
  <c r="I1219" i="3"/>
  <c r="J1218" i="3"/>
  <c r="I1218" i="3"/>
  <c r="J1217" i="3"/>
  <c r="I1217" i="3"/>
  <c r="J1215" i="3"/>
  <c r="I1215" i="3"/>
  <c r="J1214" i="3"/>
  <c r="I1214" i="3"/>
  <c r="J1213" i="3"/>
  <c r="I1213" i="3"/>
  <c r="J1212" i="3"/>
  <c r="I1212" i="3"/>
  <c r="J1211" i="3"/>
  <c r="I1211" i="3"/>
  <c r="J1210" i="3"/>
  <c r="I1210" i="3"/>
  <c r="J1209" i="3"/>
  <c r="I1209" i="3"/>
  <c r="J1208" i="3"/>
  <c r="I1208" i="3"/>
  <c r="J1207" i="3"/>
  <c r="I1207" i="3"/>
  <c r="J1206" i="3"/>
  <c r="I1206" i="3"/>
  <c r="J1205" i="3"/>
  <c r="I1205" i="3"/>
  <c r="J1203" i="3"/>
  <c r="I1203" i="3"/>
  <c r="J1202" i="3"/>
  <c r="I1202" i="3"/>
  <c r="J1201" i="3"/>
  <c r="I1201" i="3"/>
  <c r="J1200" i="3"/>
  <c r="I1200" i="3"/>
  <c r="J1199" i="3"/>
  <c r="I1199" i="3"/>
  <c r="J1198" i="3"/>
  <c r="I1198" i="3"/>
  <c r="J1197" i="3"/>
  <c r="I1197" i="3"/>
  <c r="J1196" i="3"/>
  <c r="I1196" i="3"/>
  <c r="J1195" i="3"/>
  <c r="I1195" i="3"/>
  <c r="J1194" i="3"/>
  <c r="I1194" i="3"/>
  <c r="J1193" i="3"/>
  <c r="I1193" i="3"/>
  <c r="J1191" i="3"/>
  <c r="I1191" i="3"/>
  <c r="J1190" i="3"/>
  <c r="I1190" i="3"/>
  <c r="J1189" i="3"/>
  <c r="I1189" i="3"/>
  <c r="J1188" i="3"/>
  <c r="I1188" i="3"/>
  <c r="J1187" i="3"/>
  <c r="I1187" i="3"/>
  <c r="J1186" i="3"/>
  <c r="I1186" i="3"/>
  <c r="J1185" i="3"/>
  <c r="I1185" i="3"/>
  <c r="J1184" i="3"/>
  <c r="I1184" i="3"/>
  <c r="J1183" i="3"/>
  <c r="I1183" i="3"/>
  <c r="J1182" i="3"/>
  <c r="I1182" i="3"/>
  <c r="J1181" i="3"/>
  <c r="I1181" i="3"/>
  <c r="J1179" i="3"/>
  <c r="I1179" i="3"/>
  <c r="J1178" i="3"/>
  <c r="I1178" i="3"/>
  <c r="J1177" i="3"/>
  <c r="I1177" i="3"/>
  <c r="J1176" i="3"/>
  <c r="I1176" i="3"/>
  <c r="J1175" i="3"/>
  <c r="I1175" i="3"/>
  <c r="J1174" i="3"/>
  <c r="I1174" i="3"/>
  <c r="J1173" i="3"/>
  <c r="I1173" i="3"/>
  <c r="J1172" i="3"/>
  <c r="I1172" i="3"/>
  <c r="J1171" i="3"/>
  <c r="I1171" i="3"/>
  <c r="J1170" i="3"/>
  <c r="I1170" i="3"/>
  <c r="J1169" i="3"/>
  <c r="I1169" i="3"/>
  <c r="J1167" i="3"/>
  <c r="I1167" i="3"/>
  <c r="J1166" i="3"/>
  <c r="I1166" i="3"/>
  <c r="J1165" i="3"/>
  <c r="I1165" i="3"/>
  <c r="J1164" i="3"/>
  <c r="I1164" i="3"/>
  <c r="J1163" i="3"/>
  <c r="I1163" i="3"/>
  <c r="J1162" i="3"/>
  <c r="I1162" i="3"/>
  <c r="J1161" i="3"/>
  <c r="I1161" i="3"/>
  <c r="J1160" i="3"/>
  <c r="I1160" i="3"/>
  <c r="J1159" i="3"/>
  <c r="I1159" i="3"/>
  <c r="J1158" i="3"/>
  <c r="I1158" i="3"/>
  <c r="J1157" i="3"/>
  <c r="I1157" i="3"/>
  <c r="J1155" i="3"/>
  <c r="I1155" i="3"/>
  <c r="J1154" i="3"/>
  <c r="I1154" i="3"/>
  <c r="J1153" i="3"/>
  <c r="I1153" i="3"/>
  <c r="J1152" i="3"/>
  <c r="I1152" i="3"/>
  <c r="J1151" i="3"/>
  <c r="I1151" i="3"/>
  <c r="J1150" i="3"/>
  <c r="I1150" i="3"/>
  <c r="J1149" i="3"/>
  <c r="I1149" i="3"/>
  <c r="J1148" i="3"/>
  <c r="I1148" i="3"/>
  <c r="J1147" i="3"/>
  <c r="I1147" i="3"/>
  <c r="J1146" i="3"/>
  <c r="I1146" i="3"/>
  <c r="J1145" i="3"/>
  <c r="I1145" i="3"/>
  <c r="J1143" i="3"/>
  <c r="I1143" i="3"/>
  <c r="J1142" i="3"/>
  <c r="I1142" i="3"/>
  <c r="J1141" i="3"/>
  <c r="I1141" i="3"/>
  <c r="J1140" i="3"/>
  <c r="I1140" i="3"/>
  <c r="J1139" i="3"/>
  <c r="I1139" i="3"/>
  <c r="J1138" i="3"/>
  <c r="I1138" i="3"/>
  <c r="J1137" i="3"/>
  <c r="I1137" i="3"/>
  <c r="J1136" i="3"/>
  <c r="I1136" i="3"/>
  <c r="J1135" i="3"/>
  <c r="I1135" i="3"/>
  <c r="J1134" i="3"/>
  <c r="I1134" i="3"/>
  <c r="J1133" i="3"/>
  <c r="I1133" i="3"/>
  <c r="J1131" i="3"/>
  <c r="I1131" i="3"/>
  <c r="J1130" i="3"/>
  <c r="I1130" i="3"/>
  <c r="J1129" i="3"/>
  <c r="I1129" i="3"/>
  <c r="J1128" i="3"/>
  <c r="I1128" i="3"/>
  <c r="J1127" i="3"/>
  <c r="I1127" i="3"/>
  <c r="J1126" i="3"/>
  <c r="I1126" i="3"/>
  <c r="J1125" i="3"/>
  <c r="I1125" i="3"/>
  <c r="J1124" i="3"/>
  <c r="I1124" i="3"/>
  <c r="J1123" i="3"/>
  <c r="I1123" i="3"/>
  <c r="J1122" i="3"/>
  <c r="I1122" i="3"/>
  <c r="J1121" i="3"/>
  <c r="I1121" i="3"/>
  <c r="J1119" i="3"/>
  <c r="I1119" i="3"/>
  <c r="J1118" i="3"/>
  <c r="I1118" i="3"/>
  <c r="J1117" i="3"/>
  <c r="I1117" i="3"/>
  <c r="J1116" i="3"/>
  <c r="I1116" i="3"/>
  <c r="J1115" i="3"/>
  <c r="I1115" i="3"/>
  <c r="J1114" i="3"/>
  <c r="I1114" i="3"/>
  <c r="J1113" i="3"/>
  <c r="I1113" i="3"/>
  <c r="J1112" i="3"/>
  <c r="I1112" i="3"/>
  <c r="J1111" i="3"/>
  <c r="I1111" i="3"/>
  <c r="J1110" i="3"/>
  <c r="I1110" i="3"/>
  <c r="J1109" i="3"/>
  <c r="I1109" i="3"/>
  <c r="L1107" i="3"/>
  <c r="J1107" i="3"/>
  <c r="L1106" i="3"/>
  <c r="I1106" i="3" s="1"/>
  <c r="J1106" i="3"/>
  <c r="J1105" i="3"/>
  <c r="I1105" i="3"/>
  <c r="J1104" i="3"/>
  <c r="I1104" i="3"/>
  <c r="J1103" i="3"/>
  <c r="I1103" i="3"/>
  <c r="J1102" i="3"/>
  <c r="I1102" i="3"/>
  <c r="J1101" i="3"/>
  <c r="I1101" i="3"/>
  <c r="J1100" i="3"/>
  <c r="I1100" i="3"/>
  <c r="J1099" i="3"/>
  <c r="I1099" i="3"/>
  <c r="J1098" i="3"/>
  <c r="I1098" i="3"/>
  <c r="J1097" i="3"/>
  <c r="I1097" i="3"/>
  <c r="J1095" i="3"/>
  <c r="I1095" i="3"/>
  <c r="J1094" i="3"/>
  <c r="I1094" i="3"/>
  <c r="J1093" i="3"/>
  <c r="I1093" i="3"/>
  <c r="J1092" i="3"/>
  <c r="I1092" i="3"/>
  <c r="J1091" i="3"/>
  <c r="I1091" i="3"/>
  <c r="J1090" i="3"/>
  <c r="I1090" i="3"/>
  <c r="J1089" i="3"/>
  <c r="I1089" i="3"/>
  <c r="J1088" i="3"/>
  <c r="I1088" i="3"/>
  <c r="J1087" i="3"/>
  <c r="I1087" i="3"/>
  <c r="J1086" i="3"/>
  <c r="I1086" i="3"/>
  <c r="J1085" i="3"/>
  <c r="I1085" i="3"/>
  <c r="J1083" i="3"/>
  <c r="I1083" i="3"/>
  <c r="J1082" i="3"/>
  <c r="I1082" i="3"/>
  <c r="J1081" i="3"/>
  <c r="I1081" i="3"/>
  <c r="J1080" i="3"/>
  <c r="I1080" i="3"/>
  <c r="J1079" i="3"/>
  <c r="I1079" i="3"/>
  <c r="J1078" i="3"/>
  <c r="I1078" i="3"/>
  <c r="J1077" i="3"/>
  <c r="I1077" i="3"/>
  <c r="J1076" i="3"/>
  <c r="I1076" i="3"/>
  <c r="J1075" i="3"/>
  <c r="I1075" i="3"/>
  <c r="J1074" i="3"/>
  <c r="I1074" i="3"/>
  <c r="J1073" i="3"/>
  <c r="I1073" i="3"/>
  <c r="J1071" i="3"/>
  <c r="I1071" i="3"/>
  <c r="J1070" i="3"/>
  <c r="I1070" i="3"/>
  <c r="J1069" i="3"/>
  <c r="I1069" i="3"/>
  <c r="J1068" i="3"/>
  <c r="I1068" i="3"/>
  <c r="J1067" i="3"/>
  <c r="I1067" i="3"/>
  <c r="J1066" i="3"/>
  <c r="I1066" i="3"/>
  <c r="J1065" i="3"/>
  <c r="I1065" i="3"/>
  <c r="J1064" i="3"/>
  <c r="I1064" i="3"/>
  <c r="J1063" i="3"/>
  <c r="I1063" i="3"/>
  <c r="J1062" i="3"/>
  <c r="I1062" i="3"/>
  <c r="J1061" i="3"/>
  <c r="I1061" i="3"/>
  <c r="J1059" i="3"/>
  <c r="I1059" i="3"/>
  <c r="J1058" i="3"/>
  <c r="I1058" i="3"/>
  <c r="J1057" i="3"/>
  <c r="I1057" i="3"/>
  <c r="J1056" i="3"/>
  <c r="I1056" i="3"/>
  <c r="J1055" i="3"/>
  <c r="I1055" i="3"/>
  <c r="J1054" i="3"/>
  <c r="I1054" i="3"/>
  <c r="J1053" i="3"/>
  <c r="I1053" i="3"/>
  <c r="J1052" i="3"/>
  <c r="I1052" i="3"/>
  <c r="J1051" i="3"/>
  <c r="I1051" i="3"/>
  <c r="J1050" i="3"/>
  <c r="I1050" i="3"/>
  <c r="J1049" i="3"/>
  <c r="I1049" i="3"/>
  <c r="J1047" i="3"/>
  <c r="I1047" i="3"/>
  <c r="J1046" i="3"/>
  <c r="I1046" i="3"/>
  <c r="J1045" i="3"/>
  <c r="I1045" i="3"/>
  <c r="J1044" i="3"/>
  <c r="I1044" i="3"/>
  <c r="J1043" i="3"/>
  <c r="I1043" i="3"/>
  <c r="J1042" i="3"/>
  <c r="I1042" i="3"/>
  <c r="J1041" i="3"/>
  <c r="I1041" i="3"/>
  <c r="J1040" i="3"/>
  <c r="I1040" i="3"/>
  <c r="J1039" i="3"/>
  <c r="I1039" i="3"/>
  <c r="J1038" i="3"/>
  <c r="I1038" i="3"/>
  <c r="J1037" i="3"/>
  <c r="I1037" i="3"/>
  <c r="J1035" i="3"/>
  <c r="I1035" i="3"/>
  <c r="J1034" i="3"/>
  <c r="I1034" i="3"/>
  <c r="J1033" i="3"/>
  <c r="I1033" i="3"/>
  <c r="J1032" i="3"/>
  <c r="I1032" i="3"/>
  <c r="J1031" i="3"/>
  <c r="I1031" i="3"/>
  <c r="J1030" i="3"/>
  <c r="I1030" i="3"/>
  <c r="J1029" i="3"/>
  <c r="I1029" i="3"/>
  <c r="J1028" i="3"/>
  <c r="I1028" i="3"/>
  <c r="J1027" i="3"/>
  <c r="I1027" i="3"/>
  <c r="J1026" i="3"/>
  <c r="I1026" i="3"/>
  <c r="J1025" i="3"/>
  <c r="I1025" i="3"/>
  <c r="J1023" i="3"/>
  <c r="I1023" i="3"/>
  <c r="J1022" i="3"/>
  <c r="I1022" i="3"/>
  <c r="J1021" i="3"/>
  <c r="I1021" i="3"/>
  <c r="J1020" i="3"/>
  <c r="I1020" i="3"/>
  <c r="J1019" i="3"/>
  <c r="I1019" i="3"/>
  <c r="J1018" i="3"/>
  <c r="I1018" i="3"/>
  <c r="J1017" i="3"/>
  <c r="I1017" i="3"/>
  <c r="J1016" i="3"/>
  <c r="I1016" i="3"/>
  <c r="J1015" i="3"/>
  <c r="I1015" i="3"/>
  <c r="J1014" i="3"/>
  <c r="I1014" i="3"/>
  <c r="J1013" i="3"/>
  <c r="I1013" i="3"/>
  <c r="J1011" i="3"/>
  <c r="I1011" i="3"/>
  <c r="J1010" i="3"/>
  <c r="I1010" i="3"/>
  <c r="J1009" i="3"/>
  <c r="I1009" i="3"/>
  <c r="J1008" i="3"/>
  <c r="I1008" i="3"/>
  <c r="J1007" i="3"/>
  <c r="I1007" i="3"/>
  <c r="J1006" i="3"/>
  <c r="I1006" i="3"/>
  <c r="J1005" i="3"/>
  <c r="I1005" i="3"/>
  <c r="J1004" i="3"/>
  <c r="I1004" i="3"/>
  <c r="J1003" i="3"/>
  <c r="I1003" i="3"/>
  <c r="J1002" i="3"/>
  <c r="I1002" i="3"/>
  <c r="J1001" i="3"/>
  <c r="I1001" i="3"/>
  <c r="J999" i="3"/>
  <c r="I999" i="3"/>
  <c r="J998" i="3"/>
  <c r="I998" i="3"/>
  <c r="J997" i="3"/>
  <c r="I997" i="3"/>
  <c r="J996" i="3"/>
  <c r="I996" i="3"/>
  <c r="J995" i="3"/>
  <c r="I995" i="3"/>
  <c r="J994" i="3"/>
  <c r="I994" i="3"/>
  <c r="J993" i="3"/>
  <c r="I993" i="3"/>
  <c r="J992" i="3"/>
  <c r="I992" i="3"/>
  <c r="J991" i="3"/>
  <c r="I991" i="3"/>
  <c r="J990" i="3"/>
  <c r="I990" i="3"/>
  <c r="J989" i="3"/>
  <c r="I989" i="3"/>
  <c r="J987" i="3"/>
  <c r="I987" i="3"/>
  <c r="J986" i="3"/>
  <c r="I986" i="3"/>
  <c r="J985" i="3"/>
  <c r="I985" i="3"/>
  <c r="J984" i="3"/>
  <c r="I984" i="3"/>
  <c r="J983" i="3"/>
  <c r="I983" i="3"/>
  <c r="J982" i="3"/>
  <c r="I982" i="3"/>
  <c r="J981" i="3"/>
  <c r="I981" i="3"/>
  <c r="J980" i="3"/>
  <c r="I980" i="3"/>
  <c r="J979" i="3"/>
  <c r="I979" i="3"/>
  <c r="J978" i="3"/>
  <c r="I978" i="3"/>
  <c r="J977" i="3"/>
  <c r="I977" i="3"/>
  <c r="J975" i="3"/>
  <c r="I975" i="3"/>
  <c r="J974" i="3"/>
  <c r="I974" i="3"/>
  <c r="J973" i="3"/>
  <c r="I973" i="3"/>
  <c r="J972" i="3"/>
  <c r="I972" i="3"/>
  <c r="J971" i="3"/>
  <c r="I971" i="3"/>
  <c r="J970" i="3"/>
  <c r="I970" i="3"/>
  <c r="J969" i="3"/>
  <c r="I969" i="3"/>
  <c r="J968" i="3"/>
  <c r="I968" i="3"/>
  <c r="J967" i="3"/>
  <c r="I967" i="3"/>
  <c r="J966" i="3"/>
  <c r="I966" i="3"/>
  <c r="J965" i="3"/>
  <c r="I965" i="3"/>
  <c r="J963" i="3"/>
  <c r="I963" i="3"/>
  <c r="J962" i="3"/>
  <c r="I962" i="3"/>
  <c r="J961" i="3"/>
  <c r="I961" i="3"/>
  <c r="J960" i="3"/>
  <c r="I960" i="3"/>
  <c r="J959" i="3"/>
  <c r="I959" i="3"/>
  <c r="J958" i="3"/>
  <c r="I958" i="3"/>
  <c r="J957" i="3"/>
  <c r="I957" i="3"/>
  <c r="J956" i="3"/>
  <c r="I956" i="3"/>
  <c r="J955" i="3"/>
  <c r="I955" i="3"/>
  <c r="J954" i="3"/>
  <c r="I954" i="3"/>
  <c r="J953" i="3"/>
  <c r="I953" i="3"/>
  <c r="J951" i="3"/>
  <c r="I951" i="3"/>
  <c r="J950" i="3"/>
  <c r="I950" i="3"/>
  <c r="J949" i="3"/>
  <c r="I949" i="3"/>
  <c r="J948" i="3"/>
  <c r="I948" i="3"/>
  <c r="J947" i="3"/>
  <c r="I947" i="3"/>
  <c r="J946" i="3"/>
  <c r="I946" i="3"/>
  <c r="J945" i="3"/>
  <c r="I945" i="3"/>
  <c r="J944" i="3"/>
  <c r="I944" i="3"/>
  <c r="J943" i="3"/>
  <c r="I943" i="3"/>
  <c r="J942" i="3"/>
  <c r="I942" i="3"/>
  <c r="J941" i="3"/>
  <c r="I941" i="3"/>
  <c r="J939" i="3"/>
  <c r="I939" i="3"/>
  <c r="J938" i="3"/>
  <c r="I938" i="3"/>
  <c r="J937" i="3"/>
  <c r="I937" i="3"/>
  <c r="J936" i="3"/>
  <c r="I936" i="3"/>
  <c r="J935" i="3"/>
  <c r="I935" i="3"/>
  <c r="J934" i="3"/>
  <c r="I934" i="3"/>
  <c r="J933" i="3"/>
  <c r="I933" i="3"/>
  <c r="J932" i="3"/>
  <c r="I932" i="3"/>
  <c r="J931" i="3"/>
  <c r="I931" i="3"/>
  <c r="J930" i="3"/>
  <c r="I930" i="3"/>
  <c r="J929" i="3"/>
  <c r="I929" i="3"/>
  <c r="J927" i="3"/>
  <c r="I927" i="3"/>
  <c r="J926" i="3"/>
  <c r="I926" i="3"/>
  <c r="J925" i="3"/>
  <c r="I925" i="3"/>
  <c r="J924" i="3"/>
  <c r="I924" i="3"/>
  <c r="J923" i="3"/>
  <c r="I923" i="3"/>
  <c r="J922" i="3"/>
  <c r="I922" i="3"/>
  <c r="J921" i="3"/>
  <c r="I921" i="3"/>
  <c r="J920" i="3"/>
  <c r="I920" i="3"/>
  <c r="J919" i="3"/>
  <c r="I919" i="3"/>
  <c r="J918" i="3"/>
  <c r="I918" i="3"/>
  <c r="J917" i="3"/>
  <c r="I917" i="3"/>
  <c r="J915" i="3"/>
  <c r="I915" i="3"/>
  <c r="J914" i="3"/>
  <c r="I914" i="3"/>
  <c r="J913" i="3"/>
  <c r="I913" i="3"/>
  <c r="J912" i="3"/>
  <c r="I912" i="3"/>
  <c r="J911" i="3"/>
  <c r="I911" i="3"/>
  <c r="J910" i="3"/>
  <c r="I910" i="3"/>
  <c r="J909" i="3"/>
  <c r="I909" i="3"/>
  <c r="J908" i="3"/>
  <c r="I908" i="3"/>
  <c r="J907" i="3"/>
  <c r="I907" i="3"/>
  <c r="J906" i="3"/>
  <c r="I906" i="3"/>
  <c r="J905" i="3"/>
  <c r="I905" i="3"/>
  <c r="J903" i="3"/>
  <c r="I903" i="3"/>
  <c r="J902" i="3"/>
  <c r="I902" i="3"/>
  <c r="J901" i="3"/>
  <c r="I901" i="3"/>
  <c r="J900" i="3"/>
  <c r="I900" i="3"/>
  <c r="J899" i="3"/>
  <c r="I899" i="3"/>
  <c r="J898" i="3"/>
  <c r="I898" i="3"/>
  <c r="J897" i="3"/>
  <c r="I897" i="3"/>
  <c r="J896" i="3"/>
  <c r="I896" i="3"/>
  <c r="J895" i="3"/>
  <c r="I895" i="3"/>
  <c r="J894" i="3"/>
  <c r="I894" i="3"/>
  <c r="J893" i="3"/>
  <c r="I893" i="3"/>
  <c r="J891" i="3"/>
  <c r="I891" i="3"/>
  <c r="J890" i="3"/>
  <c r="I890" i="3"/>
  <c r="J889" i="3"/>
  <c r="I889" i="3"/>
  <c r="J888" i="3"/>
  <c r="I888" i="3"/>
  <c r="J887" i="3"/>
  <c r="I887" i="3"/>
  <c r="J886" i="3"/>
  <c r="I886" i="3"/>
  <c r="J885" i="3"/>
  <c r="I885" i="3"/>
  <c r="J884" i="3"/>
  <c r="I884" i="3"/>
  <c r="J883" i="3"/>
  <c r="I883" i="3"/>
  <c r="J882" i="3"/>
  <c r="I882" i="3"/>
  <c r="J881" i="3"/>
  <c r="I881" i="3"/>
  <c r="J879" i="3"/>
  <c r="I879" i="3"/>
  <c r="J878" i="3"/>
  <c r="I878" i="3"/>
  <c r="J877" i="3"/>
  <c r="I877" i="3"/>
  <c r="J876" i="3"/>
  <c r="I876" i="3"/>
  <c r="J875" i="3"/>
  <c r="I875" i="3"/>
  <c r="J874" i="3"/>
  <c r="I874" i="3"/>
  <c r="J873" i="3"/>
  <c r="I873" i="3"/>
  <c r="J872" i="3"/>
  <c r="I872" i="3"/>
  <c r="J871" i="3"/>
  <c r="I871" i="3"/>
  <c r="J870" i="3"/>
  <c r="I870" i="3"/>
  <c r="J869" i="3"/>
  <c r="I869" i="3"/>
  <c r="J867" i="3"/>
  <c r="I867" i="3"/>
  <c r="J866" i="3"/>
  <c r="I866" i="3"/>
  <c r="J865" i="3"/>
  <c r="I865" i="3"/>
  <c r="J864" i="3"/>
  <c r="I864" i="3"/>
  <c r="J863" i="3"/>
  <c r="I863" i="3"/>
  <c r="J862" i="3"/>
  <c r="I862" i="3"/>
  <c r="J861" i="3"/>
  <c r="I861" i="3"/>
  <c r="J860" i="3"/>
  <c r="I860" i="3"/>
  <c r="J859" i="3"/>
  <c r="I859" i="3"/>
  <c r="J858" i="3"/>
  <c r="I858" i="3"/>
  <c r="J857" i="3"/>
  <c r="I857" i="3"/>
  <c r="J855" i="3"/>
  <c r="I855" i="3"/>
  <c r="J854" i="3"/>
  <c r="I854" i="3"/>
  <c r="J853" i="3"/>
  <c r="I853" i="3"/>
  <c r="J852" i="3"/>
  <c r="I852" i="3"/>
  <c r="J851" i="3"/>
  <c r="I851" i="3"/>
  <c r="J850" i="3"/>
  <c r="I850" i="3"/>
  <c r="J849" i="3"/>
  <c r="I849" i="3"/>
  <c r="J848" i="3"/>
  <c r="I848" i="3"/>
  <c r="J847" i="3"/>
  <c r="I847" i="3"/>
  <c r="J846" i="3"/>
  <c r="I846" i="3"/>
  <c r="J845" i="3"/>
  <c r="I845" i="3"/>
  <c r="J843" i="3"/>
  <c r="I843" i="3"/>
  <c r="J842" i="3"/>
  <c r="I842" i="3"/>
  <c r="J841" i="3"/>
  <c r="I841" i="3"/>
  <c r="J840" i="3"/>
  <c r="I840" i="3"/>
  <c r="J839" i="3"/>
  <c r="I839" i="3"/>
  <c r="J838" i="3"/>
  <c r="I838" i="3"/>
  <c r="J837" i="3"/>
  <c r="I837" i="3"/>
  <c r="J836" i="3"/>
  <c r="I836" i="3"/>
  <c r="J835" i="3"/>
  <c r="I835" i="3"/>
  <c r="J834" i="3"/>
  <c r="I834" i="3"/>
  <c r="J833" i="3"/>
  <c r="I833" i="3"/>
  <c r="J831" i="3"/>
  <c r="I831" i="3"/>
  <c r="J830" i="3"/>
  <c r="I830" i="3"/>
  <c r="J829" i="3"/>
  <c r="I829" i="3"/>
  <c r="J828" i="3"/>
  <c r="I828" i="3"/>
  <c r="J827" i="3"/>
  <c r="I827" i="3"/>
  <c r="J826" i="3"/>
  <c r="I826" i="3"/>
  <c r="J825" i="3"/>
  <c r="I825" i="3"/>
  <c r="J824" i="3"/>
  <c r="I824" i="3"/>
  <c r="J823" i="3"/>
  <c r="I823" i="3"/>
  <c r="J822" i="3"/>
  <c r="I822" i="3"/>
  <c r="J821" i="3"/>
  <c r="I821" i="3"/>
  <c r="J819" i="3"/>
  <c r="I819" i="3"/>
  <c r="J818" i="3"/>
  <c r="I818" i="3"/>
  <c r="J817" i="3"/>
  <c r="I817" i="3"/>
  <c r="J816" i="3"/>
  <c r="I816" i="3"/>
  <c r="J815" i="3"/>
  <c r="I815" i="3"/>
  <c r="J814" i="3"/>
  <c r="I814" i="3"/>
  <c r="J813" i="3"/>
  <c r="I813" i="3"/>
  <c r="J812" i="3"/>
  <c r="I812" i="3"/>
  <c r="J811" i="3"/>
  <c r="I811" i="3"/>
  <c r="J810" i="3"/>
  <c r="I810" i="3"/>
  <c r="J809" i="3"/>
  <c r="I809" i="3"/>
  <c r="J807" i="3"/>
  <c r="I807" i="3"/>
  <c r="J806" i="3"/>
  <c r="I806" i="3"/>
  <c r="J805" i="3"/>
  <c r="I805" i="3"/>
  <c r="J804" i="3"/>
  <c r="I804" i="3"/>
  <c r="J803" i="3"/>
  <c r="I803" i="3"/>
  <c r="J802" i="3"/>
  <c r="I802" i="3"/>
  <c r="J801" i="3"/>
  <c r="I801" i="3"/>
  <c r="J800" i="3"/>
  <c r="I800" i="3"/>
  <c r="J799" i="3"/>
  <c r="I799" i="3"/>
  <c r="J798" i="3"/>
  <c r="I798" i="3"/>
  <c r="J797" i="3"/>
  <c r="I797" i="3"/>
  <c r="J795" i="3"/>
  <c r="I795" i="3"/>
  <c r="J794" i="3"/>
  <c r="I794" i="3"/>
  <c r="J793" i="3"/>
  <c r="I793" i="3"/>
  <c r="J792" i="3"/>
  <c r="I792" i="3"/>
  <c r="J791" i="3"/>
  <c r="I791" i="3"/>
  <c r="J790" i="3"/>
  <c r="I790" i="3"/>
  <c r="J789" i="3"/>
  <c r="I789" i="3"/>
  <c r="J788" i="3"/>
  <c r="I788" i="3"/>
  <c r="J787" i="3"/>
  <c r="I787" i="3"/>
  <c r="J786" i="3"/>
  <c r="I786" i="3"/>
  <c r="J785" i="3"/>
  <c r="I785" i="3"/>
  <c r="J783" i="3"/>
  <c r="I783" i="3"/>
  <c r="J782" i="3"/>
  <c r="I782" i="3"/>
  <c r="J781" i="3"/>
  <c r="I781" i="3"/>
  <c r="J780" i="3"/>
  <c r="I780" i="3"/>
  <c r="J779" i="3"/>
  <c r="I779" i="3"/>
  <c r="J778" i="3"/>
  <c r="I778" i="3"/>
  <c r="J777" i="3"/>
  <c r="I777" i="3"/>
  <c r="J776" i="3"/>
  <c r="I776" i="3"/>
  <c r="J775" i="3"/>
  <c r="I775" i="3"/>
  <c r="J774" i="3"/>
  <c r="I774" i="3"/>
  <c r="J773" i="3"/>
  <c r="I773" i="3"/>
  <c r="J771" i="3"/>
  <c r="I771" i="3"/>
  <c r="J770" i="3"/>
  <c r="I770" i="3"/>
  <c r="J769" i="3"/>
  <c r="I769" i="3"/>
  <c r="J768" i="3"/>
  <c r="I768" i="3"/>
  <c r="J767" i="3"/>
  <c r="I767" i="3"/>
  <c r="J766" i="3"/>
  <c r="I766" i="3"/>
  <c r="J765" i="3"/>
  <c r="I765" i="3"/>
  <c r="J764" i="3"/>
  <c r="I764" i="3"/>
  <c r="J763" i="3"/>
  <c r="I763" i="3"/>
  <c r="J762" i="3"/>
  <c r="I762" i="3"/>
  <c r="J761" i="3"/>
  <c r="I761" i="3"/>
  <c r="J759" i="3"/>
  <c r="I759" i="3"/>
  <c r="J758" i="3"/>
  <c r="I758" i="3"/>
  <c r="J757" i="3"/>
  <c r="I757" i="3"/>
  <c r="J756" i="3"/>
  <c r="I756" i="3"/>
  <c r="J755" i="3"/>
  <c r="I755" i="3"/>
  <c r="J754" i="3"/>
  <c r="I754" i="3"/>
  <c r="J753" i="3"/>
  <c r="I753" i="3"/>
  <c r="J752" i="3"/>
  <c r="I752" i="3"/>
  <c r="J751" i="3"/>
  <c r="I751" i="3"/>
  <c r="J750" i="3"/>
  <c r="I750" i="3"/>
  <c r="J749" i="3"/>
  <c r="I749" i="3"/>
  <c r="J747" i="3"/>
  <c r="I747" i="3"/>
  <c r="J746" i="3"/>
  <c r="I746" i="3"/>
  <c r="J745" i="3"/>
  <c r="I745" i="3"/>
  <c r="J744" i="3"/>
  <c r="I744" i="3"/>
  <c r="J743" i="3"/>
  <c r="I743" i="3"/>
  <c r="J742" i="3"/>
  <c r="I742" i="3"/>
  <c r="J741" i="3"/>
  <c r="I741" i="3"/>
  <c r="J740" i="3"/>
  <c r="I740" i="3"/>
  <c r="J739" i="3"/>
  <c r="I739" i="3"/>
  <c r="J738" i="3"/>
  <c r="I738" i="3"/>
  <c r="J737" i="3"/>
  <c r="I737" i="3"/>
  <c r="J735" i="3"/>
  <c r="I735" i="3"/>
  <c r="J734" i="3"/>
  <c r="I734" i="3"/>
  <c r="J733" i="3"/>
  <c r="I733" i="3"/>
  <c r="J732" i="3"/>
  <c r="I732" i="3"/>
  <c r="J731" i="3"/>
  <c r="I731" i="3"/>
  <c r="J730" i="3"/>
  <c r="I730" i="3"/>
  <c r="J729" i="3"/>
  <c r="I729" i="3"/>
  <c r="J728" i="3"/>
  <c r="I728" i="3"/>
  <c r="J727" i="3"/>
  <c r="I727" i="3"/>
  <c r="J726" i="3"/>
  <c r="I726" i="3"/>
  <c r="J725" i="3"/>
  <c r="I725" i="3"/>
  <c r="J723" i="3"/>
  <c r="I723" i="3"/>
  <c r="J722" i="3"/>
  <c r="I722" i="3"/>
  <c r="J721" i="3"/>
  <c r="I721" i="3"/>
  <c r="J720" i="3"/>
  <c r="I720" i="3"/>
  <c r="J719" i="3"/>
  <c r="I719" i="3"/>
  <c r="J718" i="3"/>
  <c r="I718" i="3"/>
  <c r="J717" i="3"/>
  <c r="I717" i="3"/>
  <c r="J716" i="3"/>
  <c r="I716" i="3"/>
  <c r="J715" i="3"/>
  <c r="I715" i="3"/>
  <c r="J714" i="3"/>
  <c r="I714" i="3"/>
  <c r="J713" i="3"/>
  <c r="I713" i="3"/>
  <c r="J711" i="3"/>
  <c r="I711" i="3"/>
  <c r="J710" i="3"/>
  <c r="I710" i="3"/>
  <c r="J709" i="3"/>
  <c r="I709" i="3"/>
  <c r="J708" i="3"/>
  <c r="I708" i="3"/>
  <c r="J707" i="3"/>
  <c r="I707" i="3"/>
  <c r="J706" i="3"/>
  <c r="I706" i="3"/>
  <c r="J705" i="3"/>
  <c r="I705" i="3"/>
  <c r="J704" i="3"/>
  <c r="I704" i="3"/>
  <c r="J703" i="3"/>
  <c r="I703" i="3"/>
  <c r="J702" i="3"/>
  <c r="I702" i="3"/>
  <c r="J701" i="3"/>
  <c r="I701" i="3"/>
  <c r="J699" i="3"/>
  <c r="I699" i="3"/>
  <c r="J698" i="3"/>
  <c r="I698" i="3"/>
  <c r="J697" i="3"/>
  <c r="I697" i="3"/>
  <c r="J696" i="3"/>
  <c r="I696" i="3"/>
  <c r="J695" i="3"/>
  <c r="I695" i="3"/>
  <c r="J694" i="3"/>
  <c r="I694" i="3"/>
  <c r="J693" i="3"/>
  <c r="I693" i="3"/>
  <c r="J692" i="3"/>
  <c r="I692" i="3"/>
  <c r="J691" i="3"/>
  <c r="I691" i="3"/>
  <c r="J690" i="3"/>
  <c r="I690" i="3"/>
  <c r="J689" i="3"/>
  <c r="I689" i="3"/>
  <c r="J687" i="3"/>
  <c r="I687" i="3"/>
  <c r="J686" i="3"/>
  <c r="I686" i="3"/>
  <c r="J685" i="3"/>
  <c r="I685" i="3"/>
  <c r="J684" i="3"/>
  <c r="I684" i="3"/>
  <c r="J683" i="3"/>
  <c r="I683" i="3"/>
  <c r="J682" i="3"/>
  <c r="I682" i="3"/>
  <c r="J681" i="3"/>
  <c r="I681" i="3"/>
  <c r="J680" i="3"/>
  <c r="I680" i="3"/>
  <c r="J679" i="3"/>
  <c r="I679" i="3"/>
  <c r="J678" i="3"/>
  <c r="I678" i="3"/>
  <c r="J677" i="3"/>
  <c r="I677" i="3"/>
  <c r="J675" i="3"/>
  <c r="I675" i="3"/>
  <c r="J674" i="3"/>
  <c r="I674" i="3"/>
  <c r="J673" i="3"/>
  <c r="I673" i="3"/>
  <c r="J672" i="3"/>
  <c r="I672" i="3"/>
  <c r="J671" i="3"/>
  <c r="I671" i="3"/>
  <c r="J670" i="3"/>
  <c r="I670" i="3"/>
  <c r="J669" i="3"/>
  <c r="I669" i="3"/>
  <c r="J668" i="3"/>
  <c r="I668" i="3"/>
  <c r="J667" i="3"/>
  <c r="I667" i="3"/>
  <c r="J666" i="3"/>
  <c r="I666" i="3"/>
  <c r="J665" i="3"/>
  <c r="I665" i="3"/>
  <c r="J663" i="3"/>
  <c r="I663" i="3"/>
  <c r="J662" i="3"/>
  <c r="I662" i="3"/>
  <c r="J661" i="3"/>
  <c r="I661" i="3"/>
  <c r="J660" i="3"/>
  <c r="I660" i="3"/>
  <c r="J659" i="3"/>
  <c r="I659" i="3"/>
  <c r="J658" i="3"/>
  <c r="I658" i="3"/>
  <c r="J657" i="3"/>
  <c r="I657" i="3"/>
  <c r="J656" i="3"/>
  <c r="I656" i="3"/>
  <c r="J655" i="3"/>
  <c r="I655" i="3"/>
  <c r="J654" i="3"/>
  <c r="I654" i="3"/>
  <c r="J653" i="3"/>
  <c r="I653" i="3"/>
  <c r="J651" i="3"/>
  <c r="I651" i="3"/>
  <c r="J650" i="3"/>
  <c r="I650" i="3"/>
  <c r="J649" i="3"/>
  <c r="I649" i="3"/>
  <c r="J648" i="3"/>
  <c r="I648" i="3"/>
  <c r="J647" i="3"/>
  <c r="I647" i="3"/>
  <c r="J646" i="3"/>
  <c r="I646" i="3"/>
  <c r="J645" i="3"/>
  <c r="I645" i="3"/>
  <c r="J644" i="3"/>
  <c r="I644" i="3"/>
  <c r="J643" i="3"/>
  <c r="I643" i="3"/>
  <c r="J642" i="3"/>
  <c r="I642" i="3"/>
  <c r="J641" i="3"/>
  <c r="I641" i="3"/>
  <c r="J639" i="3"/>
  <c r="I639" i="3"/>
  <c r="J638" i="3"/>
  <c r="I638" i="3"/>
  <c r="J637" i="3"/>
  <c r="I637" i="3"/>
  <c r="J636" i="3"/>
  <c r="I636" i="3"/>
  <c r="J635" i="3"/>
  <c r="I635" i="3"/>
  <c r="J634" i="3"/>
  <c r="I634" i="3"/>
  <c r="J633" i="3"/>
  <c r="I633" i="3"/>
  <c r="J632" i="3"/>
  <c r="I632" i="3"/>
  <c r="J631" i="3"/>
  <c r="I631" i="3"/>
  <c r="J630" i="3"/>
  <c r="I630" i="3"/>
  <c r="J629" i="3"/>
  <c r="I629" i="3"/>
  <c r="J627" i="3"/>
  <c r="I627" i="3"/>
  <c r="J626" i="3"/>
  <c r="I626" i="3"/>
  <c r="J625" i="3"/>
  <c r="I625" i="3"/>
  <c r="J624" i="3"/>
  <c r="I624" i="3"/>
  <c r="J623" i="3"/>
  <c r="I623" i="3"/>
  <c r="J622" i="3"/>
  <c r="I622" i="3"/>
  <c r="J621" i="3"/>
  <c r="I621" i="3"/>
  <c r="J620" i="3"/>
  <c r="I620" i="3"/>
  <c r="J619" i="3"/>
  <c r="I619" i="3"/>
  <c r="J618" i="3"/>
  <c r="I618" i="3"/>
  <c r="J617" i="3"/>
  <c r="I617" i="3"/>
  <c r="J615" i="3"/>
  <c r="I615" i="3"/>
  <c r="J614" i="3"/>
  <c r="I614" i="3"/>
  <c r="J613" i="3"/>
  <c r="I613" i="3"/>
  <c r="J612" i="3"/>
  <c r="I612" i="3"/>
  <c r="J611" i="3"/>
  <c r="I611" i="3"/>
  <c r="J610" i="3"/>
  <c r="I610" i="3"/>
  <c r="J609" i="3"/>
  <c r="I609" i="3"/>
  <c r="J608" i="3"/>
  <c r="I608" i="3"/>
  <c r="J607" i="3"/>
  <c r="I607" i="3"/>
  <c r="J606" i="3"/>
  <c r="I606" i="3"/>
  <c r="J605" i="3"/>
  <c r="I605" i="3"/>
  <c r="J603" i="3"/>
  <c r="I603" i="3"/>
  <c r="J602" i="3"/>
  <c r="I602" i="3"/>
  <c r="J601" i="3"/>
  <c r="I601" i="3"/>
  <c r="J600" i="3"/>
  <c r="I600" i="3"/>
  <c r="J599" i="3"/>
  <c r="I599" i="3"/>
  <c r="J598" i="3"/>
  <c r="I598" i="3"/>
  <c r="J597" i="3"/>
  <c r="I597" i="3"/>
  <c r="J596" i="3"/>
  <c r="I596" i="3"/>
  <c r="J595" i="3"/>
  <c r="I595" i="3"/>
  <c r="J594" i="3"/>
  <c r="I594" i="3"/>
  <c r="J593" i="3"/>
  <c r="I593" i="3"/>
  <c r="J591" i="3"/>
  <c r="I591" i="3"/>
  <c r="J590" i="3"/>
  <c r="I590" i="3"/>
  <c r="J589" i="3"/>
  <c r="I589" i="3"/>
  <c r="J588" i="3"/>
  <c r="I588" i="3"/>
  <c r="J587" i="3"/>
  <c r="I587" i="3"/>
  <c r="J586" i="3"/>
  <c r="I586" i="3"/>
  <c r="J585" i="3"/>
  <c r="I585" i="3"/>
  <c r="J584" i="3"/>
  <c r="I584" i="3"/>
  <c r="J583" i="3"/>
  <c r="I583" i="3"/>
  <c r="J582" i="3"/>
  <c r="I582" i="3"/>
  <c r="J581" i="3"/>
  <c r="I581" i="3"/>
  <c r="J579" i="3"/>
  <c r="I579" i="3"/>
  <c r="J578" i="3"/>
  <c r="I578" i="3"/>
  <c r="J577" i="3"/>
  <c r="I577" i="3"/>
  <c r="J576" i="3"/>
  <c r="I576" i="3"/>
  <c r="J575" i="3"/>
  <c r="I575" i="3"/>
  <c r="J574" i="3"/>
  <c r="I574" i="3"/>
  <c r="J573" i="3"/>
  <c r="I573" i="3"/>
  <c r="J572" i="3"/>
  <c r="I572" i="3"/>
  <c r="J571" i="3"/>
  <c r="I571" i="3"/>
  <c r="J570" i="3"/>
  <c r="I570" i="3"/>
  <c r="J569" i="3"/>
  <c r="I569" i="3"/>
  <c r="J567" i="3"/>
  <c r="I567" i="3"/>
  <c r="J566" i="3"/>
  <c r="I566" i="3"/>
  <c r="J565" i="3"/>
  <c r="I565" i="3"/>
  <c r="J564" i="3"/>
  <c r="I564" i="3"/>
  <c r="J563" i="3"/>
  <c r="I563" i="3"/>
  <c r="J562" i="3"/>
  <c r="I562" i="3"/>
  <c r="J561" i="3"/>
  <c r="I561" i="3"/>
  <c r="J560" i="3"/>
  <c r="I560" i="3"/>
  <c r="J559" i="3"/>
  <c r="I559" i="3"/>
  <c r="J558" i="3"/>
  <c r="I558" i="3"/>
  <c r="J557" i="3"/>
  <c r="I557" i="3"/>
  <c r="J555" i="3"/>
  <c r="I555" i="3"/>
  <c r="J554" i="3"/>
  <c r="I554" i="3"/>
  <c r="J553" i="3"/>
  <c r="I553" i="3"/>
  <c r="J552" i="3"/>
  <c r="I552" i="3"/>
  <c r="J551" i="3"/>
  <c r="I551" i="3"/>
  <c r="J550" i="3"/>
  <c r="I550" i="3"/>
  <c r="J549" i="3"/>
  <c r="I549" i="3"/>
  <c r="J548" i="3"/>
  <c r="I548" i="3"/>
  <c r="J547" i="3"/>
  <c r="I547" i="3"/>
  <c r="J546" i="3"/>
  <c r="I546" i="3"/>
  <c r="J545" i="3"/>
  <c r="I545" i="3"/>
  <c r="J543" i="3"/>
  <c r="I543" i="3"/>
  <c r="J542" i="3"/>
  <c r="I542" i="3"/>
  <c r="J541" i="3"/>
  <c r="I541" i="3"/>
  <c r="J540" i="3"/>
  <c r="I540" i="3"/>
  <c r="J539" i="3"/>
  <c r="I539" i="3"/>
  <c r="J538" i="3"/>
  <c r="I538" i="3"/>
  <c r="J537" i="3"/>
  <c r="I537" i="3"/>
  <c r="J536" i="3"/>
  <c r="I536" i="3"/>
  <c r="J535" i="3"/>
  <c r="I535" i="3"/>
  <c r="J534" i="3"/>
  <c r="I534" i="3"/>
  <c r="J533" i="3"/>
  <c r="I533" i="3"/>
  <c r="J531" i="3"/>
  <c r="I531" i="3"/>
  <c r="J530" i="3"/>
  <c r="I530" i="3"/>
  <c r="J529" i="3"/>
  <c r="I529" i="3"/>
  <c r="J528" i="3"/>
  <c r="I528" i="3"/>
  <c r="J527" i="3"/>
  <c r="I527" i="3"/>
  <c r="J526" i="3"/>
  <c r="I526" i="3"/>
  <c r="J525" i="3"/>
  <c r="I525" i="3"/>
  <c r="J524" i="3"/>
  <c r="I524" i="3"/>
  <c r="J523" i="3"/>
  <c r="I523" i="3"/>
  <c r="J522" i="3"/>
  <c r="I522" i="3"/>
  <c r="J521" i="3"/>
  <c r="I521" i="3"/>
  <c r="J519" i="3"/>
  <c r="I519" i="3"/>
  <c r="J518" i="3"/>
  <c r="I518" i="3"/>
  <c r="J517" i="3"/>
  <c r="I517" i="3"/>
  <c r="J516" i="3"/>
  <c r="I516" i="3"/>
  <c r="J515" i="3"/>
  <c r="I515" i="3"/>
  <c r="J514" i="3"/>
  <c r="I514" i="3"/>
  <c r="J513" i="3"/>
  <c r="I513" i="3"/>
  <c r="J512" i="3"/>
  <c r="I512" i="3"/>
  <c r="J511" i="3"/>
  <c r="I511" i="3"/>
  <c r="J510" i="3"/>
  <c r="I510" i="3"/>
  <c r="J509" i="3"/>
  <c r="I509" i="3"/>
  <c r="J507" i="3"/>
  <c r="I507" i="3"/>
  <c r="J506" i="3"/>
  <c r="I506" i="3"/>
  <c r="J505" i="3"/>
  <c r="I505" i="3"/>
  <c r="J504" i="3"/>
  <c r="I504" i="3"/>
  <c r="J503" i="3"/>
  <c r="I503" i="3"/>
  <c r="J502" i="3"/>
  <c r="I502" i="3"/>
  <c r="J501" i="3"/>
  <c r="I501" i="3"/>
  <c r="J500" i="3"/>
  <c r="I500" i="3"/>
  <c r="J499" i="3"/>
  <c r="I499" i="3"/>
  <c r="J498" i="3"/>
  <c r="I498" i="3"/>
  <c r="J497" i="3"/>
  <c r="I497" i="3"/>
  <c r="J495" i="3"/>
  <c r="I495" i="3"/>
  <c r="J494" i="3"/>
  <c r="I494" i="3"/>
  <c r="J493" i="3"/>
  <c r="I493" i="3"/>
  <c r="J492" i="3"/>
  <c r="I492" i="3"/>
  <c r="J491" i="3"/>
  <c r="I491" i="3"/>
  <c r="J490" i="3"/>
  <c r="I490" i="3"/>
  <c r="J489" i="3"/>
  <c r="I489" i="3"/>
  <c r="J488" i="3"/>
  <c r="I488" i="3"/>
  <c r="J487" i="3"/>
  <c r="I487" i="3"/>
  <c r="J486" i="3"/>
  <c r="I486" i="3"/>
  <c r="J485" i="3"/>
  <c r="I485" i="3"/>
  <c r="J483" i="3"/>
  <c r="I483" i="3"/>
  <c r="J482" i="3"/>
  <c r="I482" i="3"/>
  <c r="J481" i="3"/>
  <c r="I481" i="3"/>
  <c r="J480" i="3"/>
  <c r="I480" i="3"/>
  <c r="J479" i="3"/>
  <c r="I479" i="3"/>
  <c r="J478" i="3"/>
  <c r="I478" i="3"/>
  <c r="J477" i="3"/>
  <c r="I477" i="3"/>
  <c r="J476" i="3"/>
  <c r="I476" i="3"/>
  <c r="J475" i="3"/>
  <c r="I475" i="3"/>
  <c r="J474" i="3"/>
  <c r="I474" i="3"/>
  <c r="J473" i="3"/>
  <c r="I473" i="3"/>
  <c r="J471" i="3"/>
  <c r="I471" i="3"/>
  <c r="J470" i="3"/>
  <c r="I470" i="3"/>
  <c r="J469" i="3"/>
  <c r="I469" i="3"/>
  <c r="J468" i="3"/>
  <c r="I468" i="3"/>
  <c r="J467" i="3"/>
  <c r="I467" i="3"/>
  <c r="J466" i="3"/>
  <c r="I466" i="3"/>
  <c r="J465" i="3"/>
  <c r="I465" i="3"/>
  <c r="J464" i="3"/>
  <c r="I464" i="3"/>
  <c r="J463" i="3"/>
  <c r="I463" i="3"/>
  <c r="J462" i="3"/>
  <c r="I462" i="3"/>
  <c r="J461" i="3"/>
  <c r="I461" i="3"/>
  <c r="J459" i="3"/>
  <c r="I459" i="3"/>
  <c r="J458" i="3"/>
  <c r="I458" i="3"/>
  <c r="J457" i="3"/>
  <c r="I457" i="3"/>
  <c r="J456" i="3"/>
  <c r="I456" i="3"/>
  <c r="J455" i="3"/>
  <c r="I455" i="3"/>
  <c r="J454" i="3"/>
  <c r="I454" i="3"/>
  <c r="J453" i="3"/>
  <c r="I453" i="3"/>
  <c r="J452" i="3"/>
  <c r="I452" i="3"/>
  <c r="J451" i="3"/>
  <c r="I451" i="3"/>
  <c r="J450" i="3"/>
  <c r="I450" i="3"/>
  <c r="J449" i="3"/>
  <c r="I449" i="3"/>
  <c r="J447" i="3"/>
  <c r="I447" i="3"/>
  <c r="J446" i="3"/>
  <c r="I446" i="3"/>
  <c r="J445" i="3"/>
  <c r="I445" i="3"/>
  <c r="J444" i="3"/>
  <c r="I444" i="3"/>
  <c r="J443" i="3"/>
  <c r="I443" i="3"/>
  <c r="J442" i="3"/>
  <c r="I442" i="3"/>
  <c r="J441" i="3"/>
  <c r="I441" i="3"/>
  <c r="J440" i="3"/>
  <c r="I440" i="3"/>
  <c r="J439" i="3"/>
  <c r="I439" i="3"/>
  <c r="J438" i="3"/>
  <c r="I438" i="3"/>
  <c r="J437" i="3"/>
  <c r="I437" i="3"/>
  <c r="J435" i="3"/>
  <c r="I435" i="3"/>
  <c r="J434" i="3"/>
  <c r="I434" i="3"/>
  <c r="J433" i="3"/>
  <c r="I433" i="3"/>
  <c r="J432" i="3"/>
  <c r="I432" i="3"/>
  <c r="J431" i="3"/>
  <c r="I431" i="3"/>
  <c r="J430" i="3"/>
  <c r="I430" i="3"/>
  <c r="J429" i="3"/>
  <c r="I429" i="3"/>
  <c r="J428" i="3"/>
  <c r="I428" i="3"/>
  <c r="J427" i="3"/>
  <c r="I427" i="3"/>
  <c r="J426" i="3"/>
  <c r="I426" i="3"/>
  <c r="J425" i="3"/>
  <c r="I425" i="3"/>
  <c r="J423" i="3"/>
  <c r="I423" i="3"/>
  <c r="J422" i="3"/>
  <c r="I422" i="3"/>
  <c r="J421" i="3"/>
  <c r="I421" i="3"/>
  <c r="J420" i="3"/>
  <c r="I420" i="3"/>
  <c r="J419" i="3"/>
  <c r="I419" i="3"/>
  <c r="J418" i="3"/>
  <c r="I418" i="3"/>
  <c r="J417" i="3"/>
  <c r="I417" i="3"/>
  <c r="J416" i="3"/>
  <c r="I416" i="3"/>
  <c r="J415" i="3"/>
  <c r="I415" i="3"/>
  <c r="J414" i="3"/>
  <c r="I414" i="3"/>
  <c r="J413" i="3"/>
  <c r="I413" i="3"/>
  <c r="J411" i="3"/>
  <c r="I411" i="3"/>
  <c r="J410" i="3"/>
  <c r="I410" i="3"/>
  <c r="J409" i="3"/>
  <c r="I409" i="3"/>
  <c r="J408" i="3"/>
  <c r="I408" i="3"/>
  <c r="J407" i="3"/>
  <c r="I407" i="3"/>
  <c r="J406" i="3"/>
  <c r="I406" i="3"/>
  <c r="J405" i="3"/>
  <c r="I405" i="3"/>
  <c r="J404" i="3"/>
  <c r="I404" i="3"/>
  <c r="J403" i="3"/>
  <c r="I403" i="3"/>
  <c r="J402" i="3"/>
  <c r="I402" i="3"/>
  <c r="J401" i="3"/>
  <c r="I401" i="3"/>
  <c r="J399" i="3"/>
  <c r="I399" i="3"/>
  <c r="J398" i="3"/>
  <c r="I398" i="3"/>
  <c r="J397" i="3"/>
  <c r="I397" i="3"/>
  <c r="J396" i="3"/>
  <c r="I396" i="3"/>
  <c r="J395" i="3"/>
  <c r="I395" i="3"/>
  <c r="J394" i="3"/>
  <c r="I394" i="3"/>
  <c r="J393" i="3"/>
  <c r="I393" i="3"/>
  <c r="J392" i="3"/>
  <c r="I392" i="3"/>
  <c r="J391" i="3"/>
  <c r="I391" i="3"/>
  <c r="J390" i="3"/>
  <c r="I390" i="3"/>
  <c r="J389" i="3"/>
  <c r="I389" i="3"/>
  <c r="J387" i="3"/>
  <c r="I387" i="3"/>
  <c r="J386" i="3"/>
  <c r="I386" i="3"/>
  <c r="J385" i="3"/>
  <c r="I385" i="3"/>
  <c r="J384" i="3"/>
  <c r="I384" i="3"/>
  <c r="J383" i="3"/>
  <c r="I383" i="3"/>
  <c r="J382" i="3"/>
  <c r="I382" i="3"/>
  <c r="J381" i="3"/>
  <c r="I381" i="3"/>
  <c r="J380" i="3"/>
  <c r="I380" i="3"/>
  <c r="J379" i="3"/>
  <c r="I379" i="3"/>
  <c r="J378" i="3"/>
  <c r="I378" i="3"/>
  <c r="J377" i="3"/>
  <c r="I377" i="3"/>
  <c r="J375" i="3"/>
  <c r="I375" i="3"/>
  <c r="J374" i="3"/>
  <c r="I374" i="3"/>
  <c r="J373" i="3"/>
  <c r="I373" i="3"/>
  <c r="J372" i="3"/>
  <c r="I372" i="3"/>
  <c r="J371" i="3"/>
  <c r="I371" i="3"/>
  <c r="J370" i="3"/>
  <c r="I370" i="3"/>
  <c r="J369" i="3"/>
  <c r="I369" i="3"/>
  <c r="J368" i="3"/>
  <c r="I368" i="3"/>
  <c r="J367" i="3"/>
  <c r="I367" i="3"/>
  <c r="J366" i="3"/>
  <c r="I366" i="3"/>
  <c r="J365" i="3"/>
  <c r="I365" i="3"/>
  <c r="J363" i="3"/>
  <c r="I363" i="3"/>
  <c r="J362" i="3"/>
  <c r="I362" i="3"/>
  <c r="J361" i="3"/>
  <c r="I361" i="3"/>
  <c r="J360" i="3"/>
  <c r="I360" i="3"/>
  <c r="J359" i="3"/>
  <c r="I359" i="3"/>
  <c r="J358" i="3"/>
  <c r="I358" i="3"/>
  <c r="J357" i="3"/>
  <c r="I357" i="3"/>
  <c r="J356" i="3"/>
  <c r="I356" i="3"/>
  <c r="J355" i="3"/>
  <c r="I355" i="3"/>
  <c r="J354" i="3"/>
  <c r="I354" i="3"/>
  <c r="J353" i="3"/>
  <c r="I353" i="3"/>
  <c r="J351" i="3"/>
  <c r="I351" i="3"/>
  <c r="J350" i="3"/>
  <c r="I350" i="3"/>
  <c r="J349" i="3"/>
  <c r="I349" i="3"/>
  <c r="J348" i="3"/>
  <c r="I348" i="3"/>
  <c r="J347" i="3"/>
  <c r="I347" i="3"/>
  <c r="J346" i="3"/>
  <c r="I346" i="3"/>
  <c r="J345" i="3"/>
  <c r="I345" i="3"/>
  <c r="J344" i="3"/>
  <c r="I344" i="3"/>
  <c r="J343" i="3"/>
  <c r="I343" i="3"/>
  <c r="J342" i="3"/>
  <c r="I342" i="3"/>
  <c r="J341" i="3"/>
  <c r="I341" i="3"/>
  <c r="J339" i="3"/>
  <c r="I339" i="3"/>
  <c r="J338" i="3"/>
  <c r="I338" i="3"/>
  <c r="J337" i="3"/>
  <c r="I337" i="3"/>
  <c r="J336" i="3"/>
  <c r="I336" i="3"/>
  <c r="J335" i="3"/>
  <c r="I335" i="3"/>
  <c r="J334" i="3"/>
  <c r="I334" i="3"/>
  <c r="J333" i="3"/>
  <c r="I333" i="3"/>
  <c r="J332" i="3"/>
  <c r="I332" i="3"/>
  <c r="J331" i="3"/>
  <c r="I331" i="3"/>
  <c r="J330" i="3"/>
  <c r="I330" i="3"/>
  <c r="J329" i="3"/>
  <c r="I329" i="3"/>
  <c r="J327" i="3"/>
  <c r="I327" i="3"/>
  <c r="J326" i="3"/>
  <c r="I326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5" i="3"/>
  <c r="I315" i="3"/>
  <c r="J314" i="3"/>
  <c r="I314" i="3"/>
  <c r="J313" i="3"/>
  <c r="I313" i="3"/>
  <c r="J312" i="3"/>
  <c r="I312" i="3"/>
  <c r="J311" i="3"/>
  <c r="I311" i="3"/>
  <c r="J310" i="3"/>
  <c r="I310" i="3"/>
  <c r="J309" i="3"/>
  <c r="I309" i="3"/>
  <c r="J308" i="3"/>
  <c r="I308" i="3"/>
  <c r="J307" i="3"/>
  <c r="I307" i="3"/>
  <c r="J306" i="3"/>
  <c r="I306" i="3"/>
  <c r="J305" i="3"/>
  <c r="I305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1" i="3"/>
  <c r="I291" i="3"/>
  <c r="J290" i="3"/>
  <c r="I290" i="3"/>
  <c r="J289" i="3"/>
  <c r="I289" i="3"/>
  <c r="J288" i="3"/>
  <c r="I288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I281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71" i="3"/>
  <c r="I271" i="3"/>
  <c r="J270" i="3"/>
  <c r="I270" i="3"/>
  <c r="J269" i="3"/>
  <c r="I269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I257" i="3"/>
  <c r="J255" i="3"/>
  <c r="I255" i="3"/>
  <c r="J254" i="3"/>
  <c r="I254" i="3"/>
  <c r="J253" i="3"/>
  <c r="I253" i="3"/>
  <c r="J252" i="3"/>
  <c r="I252" i="3"/>
  <c r="J251" i="3"/>
  <c r="I251" i="3"/>
  <c r="J250" i="3"/>
  <c r="I250" i="3"/>
  <c r="J249" i="3"/>
  <c r="I249" i="3"/>
  <c r="J248" i="3"/>
  <c r="I248" i="3"/>
  <c r="J247" i="3"/>
  <c r="I247" i="3"/>
  <c r="J246" i="3"/>
  <c r="I246" i="3"/>
  <c r="J245" i="3"/>
  <c r="I245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4" i="3"/>
  <c r="I234" i="3"/>
  <c r="J233" i="3"/>
  <c r="I233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J221" i="3"/>
  <c r="I221" i="3"/>
  <c r="J219" i="3"/>
  <c r="I219" i="3"/>
  <c r="J218" i="3"/>
  <c r="I218" i="3"/>
  <c r="J217" i="3"/>
  <c r="I217" i="3"/>
  <c r="J216" i="3"/>
  <c r="I216" i="3"/>
  <c r="J215" i="3"/>
  <c r="I215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8" i="3"/>
  <c r="I198" i="3"/>
  <c r="J197" i="3"/>
  <c r="I197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I185" i="3"/>
  <c r="J183" i="3"/>
  <c r="I183" i="3"/>
  <c r="J182" i="3"/>
  <c r="I182" i="3"/>
  <c r="J181" i="3"/>
  <c r="I181" i="3"/>
  <c r="J180" i="3"/>
  <c r="I180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5" i="3"/>
  <c r="I165" i="3"/>
  <c r="J164" i="3"/>
  <c r="I164" i="3"/>
  <c r="J163" i="3"/>
  <c r="I163" i="3"/>
  <c r="J162" i="3"/>
  <c r="I162" i="3"/>
  <c r="J161" i="3"/>
  <c r="I161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7" i="3"/>
  <c r="I147" i="3"/>
  <c r="J146" i="3"/>
  <c r="I146" i="3"/>
  <c r="J145" i="3"/>
  <c r="I145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5" i="3"/>
  <c r="I135" i="3"/>
  <c r="J134" i="3"/>
  <c r="I134" i="3"/>
  <c r="J133" i="3"/>
  <c r="I133" i="3"/>
  <c r="J132" i="3"/>
  <c r="I132" i="3"/>
  <c r="J131" i="3"/>
  <c r="I131" i="3"/>
  <c r="J130" i="3"/>
  <c r="I130" i="3"/>
  <c r="J129" i="3"/>
  <c r="I129" i="3"/>
  <c r="J128" i="3"/>
  <c r="I128" i="3"/>
  <c r="J127" i="3"/>
  <c r="I127" i="3"/>
  <c r="J126" i="3"/>
  <c r="I126" i="3"/>
  <c r="J125" i="3"/>
  <c r="I125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J113" i="3"/>
  <c r="I113" i="3"/>
  <c r="J111" i="3"/>
  <c r="I111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99" i="3"/>
  <c r="I99" i="3"/>
  <c r="J98" i="3"/>
  <c r="I98" i="3"/>
  <c r="J97" i="3"/>
  <c r="I97" i="3"/>
  <c r="J96" i="3"/>
  <c r="I96" i="3"/>
  <c r="J95" i="3"/>
  <c r="I95" i="3"/>
  <c r="J94" i="3"/>
  <c r="I94" i="3"/>
  <c r="J93" i="3"/>
  <c r="I93" i="3"/>
  <c r="J92" i="3"/>
  <c r="I92" i="3"/>
  <c r="J91" i="3"/>
  <c r="I91" i="3"/>
  <c r="J90" i="3"/>
  <c r="I90" i="3"/>
  <c r="J89" i="3"/>
  <c r="I89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8" i="3"/>
  <c r="I78" i="3"/>
  <c r="J77" i="3"/>
  <c r="I77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6" i="3"/>
  <c r="I56" i="3"/>
  <c r="J55" i="3"/>
  <c r="I55" i="3"/>
  <c r="J54" i="3"/>
  <c r="I54" i="3"/>
  <c r="J53" i="3"/>
  <c r="I53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39" i="3"/>
  <c r="I39" i="3"/>
  <c r="J38" i="3"/>
  <c r="I38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3" i="3"/>
  <c r="I3" i="3"/>
  <c r="J2" i="3"/>
  <c r="I2" i="3"/>
  <c r="F66" i="1"/>
  <c r="A11" i="5" l="1"/>
  <c r="I1107" i="3"/>
  <c r="I122" i="2"/>
  <c r="I121" i="2"/>
  <c r="I120" i="2"/>
  <c r="I119" i="2"/>
  <c r="I118" i="2"/>
  <c r="I117" i="2"/>
  <c r="I116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6" i="2"/>
  <c r="I65" i="2"/>
  <c r="I64" i="2"/>
  <c r="I63" i="2"/>
  <c r="I62" i="2"/>
  <c r="I61" i="2"/>
  <c r="I60" i="2"/>
  <c r="I58" i="2"/>
  <c r="I57" i="2"/>
  <c r="I56" i="2"/>
  <c r="I55" i="2"/>
  <c r="I54" i="2"/>
  <c r="I53" i="2"/>
  <c r="I52" i="2"/>
  <c r="I50" i="2"/>
  <c r="I49" i="2"/>
  <c r="I48" i="2"/>
  <c r="I47" i="2"/>
  <c r="I46" i="2"/>
  <c r="I45" i="2"/>
  <c r="I44" i="2"/>
  <c r="I42" i="2"/>
  <c r="I41" i="2"/>
  <c r="I40" i="2"/>
  <c r="I39" i="2"/>
  <c r="I38" i="2"/>
  <c r="I37" i="2"/>
  <c r="I36" i="2"/>
  <c r="I34" i="2"/>
  <c r="I33" i="2"/>
  <c r="I32" i="2"/>
  <c r="I31" i="2"/>
  <c r="I30" i="2"/>
  <c r="I29" i="2"/>
  <c r="I28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G115" i="2"/>
  <c r="I115" i="2" s="1"/>
  <c r="G107" i="2"/>
  <c r="G99" i="2"/>
  <c r="I99" i="2" s="1"/>
  <c r="G91" i="2"/>
  <c r="G83" i="2"/>
  <c r="I83" i="2" s="1"/>
  <c r="G75" i="2"/>
  <c r="G67" i="2"/>
  <c r="I67" i="2" s="1"/>
  <c r="G59" i="2"/>
  <c r="I59" i="2" s="1"/>
  <c r="G51" i="2"/>
  <c r="I51" i="2" s="1"/>
  <c r="G43" i="2"/>
  <c r="I43" i="2" s="1"/>
  <c r="G35" i="2"/>
  <c r="I35" i="2" s="1"/>
  <c r="G27" i="2"/>
  <c r="I27" i="2" s="1"/>
  <c r="G19" i="2"/>
  <c r="G11" i="2"/>
  <c r="G3" i="2"/>
  <c r="A12" i="5" l="1"/>
  <c r="I123" i="2"/>
  <c r="G123" i="2"/>
  <c r="F505" i="1"/>
  <c r="F504" i="1"/>
  <c r="F503" i="1"/>
  <c r="F502" i="1"/>
  <c r="F501" i="1"/>
  <c r="F500" i="1"/>
  <c r="F499" i="1"/>
  <c r="F498" i="1"/>
  <c r="F497" i="1"/>
  <c r="F496" i="1"/>
  <c r="F495" i="1"/>
  <c r="F494" i="1"/>
  <c r="M40" i="3" l="1"/>
  <c r="J40" i="3" s="1"/>
  <c r="A13" i="5"/>
  <c r="L400" i="3" s="1"/>
  <c r="I400" i="3" s="1"/>
  <c r="M628" i="3"/>
  <c r="J628" i="3" s="1"/>
  <c r="M712" i="3"/>
  <c r="J712" i="3" s="1"/>
  <c r="L52" i="3"/>
  <c r="I52" i="3" s="1"/>
  <c r="L940" i="3"/>
  <c r="I940" i="3" s="1"/>
  <c r="L244" i="3"/>
  <c r="I244" i="3" s="1"/>
  <c r="L1192" i="3"/>
  <c r="I1192" i="3" s="1"/>
  <c r="L796" i="3"/>
  <c r="I796" i="3" s="1"/>
  <c r="M1072" i="3"/>
  <c r="J1072" i="3" s="1"/>
  <c r="L772" i="3"/>
  <c r="I772" i="3" s="1"/>
  <c r="M496" i="3"/>
  <c r="J496" i="3" s="1"/>
  <c r="L172" i="3"/>
  <c r="I172" i="3" s="1"/>
  <c r="M1120" i="3"/>
  <c r="J1120" i="3" s="1"/>
  <c r="L340" i="3"/>
  <c r="I340" i="3" s="1"/>
  <c r="L520" i="3"/>
  <c r="I520" i="3" s="1"/>
  <c r="L1096" i="3"/>
  <c r="I1096" i="3" s="1"/>
  <c r="M484" i="3"/>
  <c r="J484" i="3" s="1"/>
  <c r="L1024" i="3"/>
  <c r="I1024" i="3" s="1"/>
  <c r="L1084" i="3"/>
  <c r="I1084" i="3" s="1"/>
  <c r="M868" i="3"/>
  <c r="J868" i="3" s="1"/>
  <c r="M112" i="3"/>
  <c r="J112" i="3" s="1"/>
  <c r="M520" i="3"/>
  <c r="J520" i="3" s="1"/>
  <c r="M976" i="3"/>
  <c r="J976" i="3" s="1"/>
  <c r="L1168" i="3"/>
  <c r="I1168" i="3" s="1"/>
  <c r="L1252" i="3"/>
  <c r="I1252" i="3" s="1"/>
  <c r="L988" i="3"/>
  <c r="I988" i="3" s="1"/>
  <c r="L472" i="3"/>
  <c r="I472" i="3" s="1"/>
  <c r="L184" i="3"/>
  <c r="I184" i="3" s="1"/>
  <c r="L724" i="3"/>
  <c r="I724" i="3" s="1"/>
  <c r="M952" i="3"/>
  <c r="J952" i="3" s="1"/>
  <c r="D505" i="1"/>
  <c r="D504" i="1"/>
  <c r="D503" i="1"/>
  <c r="D502" i="1"/>
  <c r="D501" i="1"/>
  <c r="D500" i="1"/>
  <c r="D499" i="1"/>
  <c r="D498" i="1"/>
  <c r="D497" i="1"/>
  <c r="D496" i="1"/>
  <c r="D495" i="1"/>
  <c r="D494" i="1"/>
  <c r="L76" i="3" l="1"/>
  <c r="I76" i="3" s="1"/>
  <c r="L640" i="3"/>
  <c r="I640" i="3" s="1"/>
  <c r="M688" i="3"/>
  <c r="J688" i="3" s="1"/>
  <c r="L16" i="3"/>
  <c r="I16" i="3" s="1"/>
  <c r="M1216" i="3"/>
  <c r="J1216" i="3" s="1"/>
  <c r="L328" i="3"/>
  <c r="I328" i="3" s="1"/>
  <c r="M808" i="3"/>
  <c r="J808" i="3" s="1"/>
  <c r="M964" i="3"/>
  <c r="J964" i="3" s="1"/>
  <c r="M400" i="3"/>
  <c r="J400" i="3" s="1"/>
  <c r="L580" i="3"/>
  <c r="I580" i="3" s="1"/>
  <c r="L1216" i="3"/>
  <c r="I1216" i="3" s="1"/>
  <c r="M16" i="3"/>
  <c r="J16" i="3" s="1"/>
  <c r="M280" i="3"/>
  <c r="J280" i="3" s="1"/>
  <c r="L28" i="3"/>
  <c r="I28" i="3" s="1"/>
  <c r="M52" i="3"/>
  <c r="J52" i="3" s="1"/>
  <c r="M760" i="3"/>
  <c r="J760" i="3" s="1"/>
  <c r="L1228" i="3"/>
  <c r="I1228" i="3" s="1"/>
  <c r="M1228" i="3"/>
  <c r="J1228" i="3" s="1"/>
  <c r="L484" i="3"/>
  <c r="I484" i="3" s="1"/>
  <c r="M892" i="3"/>
  <c r="J892" i="3" s="1"/>
  <c r="M1204" i="3"/>
  <c r="J1204" i="3" s="1"/>
  <c r="L604" i="3"/>
  <c r="I604" i="3" s="1"/>
  <c r="L616" i="3"/>
  <c r="I616" i="3" s="1"/>
  <c r="M232" i="3"/>
  <c r="J232" i="3" s="1"/>
  <c r="L592" i="3"/>
  <c r="I592" i="3" s="1"/>
  <c r="M820" i="3"/>
  <c r="J820" i="3" s="1"/>
  <c r="L952" i="3"/>
  <c r="I952" i="3" s="1"/>
  <c r="L700" i="3"/>
  <c r="I700" i="3" s="1"/>
  <c r="M352" i="3"/>
  <c r="J352" i="3" s="1"/>
  <c r="L148" i="3"/>
  <c r="I148" i="3" s="1"/>
  <c r="M1096" i="3"/>
  <c r="J1096" i="3" s="1"/>
  <c r="M472" i="3"/>
  <c r="J472" i="3" s="1"/>
  <c r="L892" i="3"/>
  <c r="I892" i="3" s="1"/>
  <c r="M604" i="3"/>
  <c r="J604" i="3" s="1"/>
  <c r="M64" i="3"/>
  <c r="J64" i="3" s="1"/>
  <c r="M1048" i="3"/>
  <c r="J1048" i="3" s="1"/>
  <c r="M1132" i="3"/>
  <c r="J1132" i="3" s="1"/>
  <c r="M328" i="3"/>
  <c r="J328" i="3" s="1"/>
  <c r="L556" i="3"/>
  <c r="I556" i="3" s="1"/>
  <c r="M940" i="3"/>
  <c r="J940" i="3" s="1"/>
  <c r="M784" i="3"/>
  <c r="J784" i="3" s="1"/>
  <c r="M4" i="3"/>
  <c r="J4" i="3" s="1"/>
  <c r="L280" i="3"/>
  <c r="I280" i="3" s="1"/>
  <c r="M1180" i="3"/>
  <c r="J1180" i="3" s="1"/>
  <c r="M616" i="3"/>
  <c r="J616" i="3" s="1"/>
  <c r="L1012" i="3"/>
  <c r="I1012" i="3" s="1"/>
  <c r="L304" i="3"/>
  <c r="I304" i="3" s="1"/>
  <c r="L1060" i="3"/>
  <c r="I1060" i="3" s="1"/>
  <c r="M532" i="3"/>
  <c r="J532" i="3" s="1"/>
  <c r="L832" i="3"/>
  <c r="I832" i="3" s="1"/>
  <c r="L352" i="3"/>
  <c r="I352" i="3" s="1"/>
  <c r="L1144" i="3"/>
  <c r="I1144" i="3" s="1"/>
  <c r="L928" i="3"/>
  <c r="I928" i="3" s="1"/>
  <c r="M652" i="3"/>
  <c r="J652" i="3" s="1"/>
  <c r="M1060" i="3"/>
  <c r="J1060" i="3" s="1"/>
  <c r="L292" i="3"/>
  <c r="I292" i="3" s="1"/>
  <c r="M700" i="3"/>
  <c r="J700" i="3" s="1"/>
  <c r="M448" i="3"/>
  <c r="J448" i="3" s="1"/>
  <c r="L1036" i="3"/>
  <c r="I1036" i="3" s="1"/>
  <c r="L388" i="3"/>
  <c r="I388" i="3" s="1"/>
  <c r="M292" i="3"/>
  <c r="J292" i="3" s="1"/>
  <c r="M832" i="3"/>
  <c r="J832" i="3" s="1"/>
  <c r="L712" i="3"/>
  <c r="I712" i="3" s="1"/>
  <c r="L844" i="3"/>
  <c r="I844" i="3" s="1"/>
  <c r="L1048" i="3"/>
  <c r="I1048" i="3" s="1"/>
  <c r="L40" i="3"/>
  <c r="I40" i="3" s="1"/>
  <c r="L904" i="3"/>
  <c r="I904" i="3" s="1"/>
  <c r="M1168" i="3"/>
  <c r="J1168" i="3" s="1"/>
  <c r="L820" i="3"/>
  <c r="I820" i="3" s="1"/>
  <c r="L868" i="3"/>
  <c r="I868" i="3" s="1"/>
  <c r="M304" i="3"/>
  <c r="J304" i="3" s="1"/>
  <c r="M1192" i="3"/>
  <c r="J1192" i="3" s="1"/>
  <c r="L112" i="3"/>
  <c r="I112" i="3" s="1"/>
  <c r="M1156" i="3"/>
  <c r="J1156" i="3" s="1"/>
  <c r="L1204" i="3"/>
  <c r="I1204" i="3" s="1"/>
  <c r="M544" i="3"/>
  <c r="J544" i="3" s="1"/>
  <c r="L664" i="3"/>
  <c r="I664" i="3" s="1"/>
  <c r="L124" i="3"/>
  <c r="I124" i="3" s="1"/>
  <c r="M640" i="3"/>
  <c r="J640" i="3" s="1"/>
  <c r="L136" i="3"/>
  <c r="I136" i="3" s="1"/>
  <c r="M388" i="3"/>
  <c r="J388" i="3" s="1"/>
  <c r="M904" i="3"/>
  <c r="J904" i="3" s="1"/>
  <c r="L976" i="3"/>
  <c r="I976" i="3" s="1"/>
  <c r="M1252" i="3"/>
  <c r="J1252" i="3" s="1"/>
  <c r="L1132" i="3"/>
  <c r="I1132" i="3" s="1"/>
  <c r="M916" i="3"/>
  <c r="J916" i="3" s="1"/>
  <c r="M268" i="3"/>
  <c r="J268" i="3" s="1"/>
  <c r="L688" i="3"/>
  <c r="I688" i="3" s="1"/>
  <c r="L856" i="3"/>
  <c r="I856" i="3" s="1"/>
  <c r="L508" i="3"/>
  <c r="I508" i="3" s="1"/>
  <c r="M880" i="3"/>
  <c r="J880" i="3" s="1"/>
  <c r="M28" i="3"/>
  <c r="J28" i="3" s="1"/>
  <c r="L1000" i="3"/>
  <c r="I1000" i="3" s="1"/>
  <c r="L748" i="3"/>
  <c r="I748" i="3" s="1"/>
  <c r="L652" i="3"/>
  <c r="I652" i="3" s="1"/>
  <c r="M568" i="3"/>
  <c r="J568" i="3" s="1"/>
  <c r="M592" i="3"/>
  <c r="J592" i="3" s="1"/>
  <c r="L364" i="3"/>
  <c r="I364" i="3" s="1"/>
  <c r="M1036" i="3"/>
  <c r="J1036" i="3" s="1"/>
  <c r="L100" i="3"/>
  <c r="I100" i="3" s="1"/>
  <c r="M256" i="3"/>
  <c r="J256" i="3" s="1"/>
  <c r="L496" i="3"/>
  <c r="I496" i="3" s="1"/>
  <c r="M316" i="3"/>
  <c r="J316" i="3" s="1"/>
  <c r="L736" i="3"/>
  <c r="I736" i="3" s="1"/>
  <c r="M556" i="3"/>
  <c r="J556" i="3" s="1"/>
  <c r="L880" i="3"/>
  <c r="I880" i="3" s="1"/>
  <c r="L232" i="3"/>
  <c r="I232" i="3" s="1"/>
  <c r="M1024" i="3"/>
  <c r="J1024" i="3" s="1"/>
  <c r="L316" i="3"/>
  <c r="I316" i="3" s="1"/>
  <c r="M340" i="3"/>
  <c r="J340" i="3" s="1"/>
  <c r="L760" i="3"/>
  <c r="I760" i="3" s="1"/>
  <c r="M196" i="3"/>
  <c r="J196" i="3" s="1"/>
  <c r="M436" i="3"/>
  <c r="J436" i="3" s="1"/>
  <c r="L916" i="3"/>
  <c r="I916" i="3" s="1"/>
  <c r="M1108" i="3"/>
  <c r="J1108" i="3" s="1"/>
  <c r="M124" i="3"/>
  <c r="J124" i="3" s="1"/>
  <c r="M748" i="3"/>
  <c r="J748" i="3" s="1"/>
  <c r="M412" i="3"/>
  <c r="J412" i="3" s="1"/>
  <c r="M664" i="3"/>
  <c r="J664" i="3" s="1"/>
  <c r="L424" i="3"/>
  <c r="I424" i="3" s="1"/>
  <c r="M160" i="3"/>
  <c r="J160" i="3" s="1"/>
  <c r="M364" i="3"/>
  <c r="J364" i="3" s="1"/>
  <c r="M844" i="3"/>
  <c r="J844" i="3" s="1"/>
  <c r="M1240" i="3"/>
  <c r="J1240" i="3" s="1"/>
  <c r="L568" i="3"/>
  <c r="I568" i="3" s="1"/>
  <c r="M772" i="3"/>
  <c r="J772" i="3" s="1"/>
  <c r="L268" i="3"/>
  <c r="I268" i="3" s="1"/>
  <c r="L1180" i="3"/>
  <c r="I1180" i="3" s="1"/>
  <c r="M736" i="3"/>
  <c r="J736" i="3" s="1"/>
  <c r="M100" i="3"/>
  <c r="J100" i="3" s="1"/>
  <c r="L196" i="3"/>
  <c r="I196" i="3" s="1"/>
  <c r="M1084" i="3"/>
  <c r="J1084" i="3" s="1"/>
  <c r="L784" i="3"/>
  <c r="I784" i="3" s="1"/>
  <c r="M1012" i="3"/>
  <c r="J1012" i="3" s="1"/>
  <c r="M508" i="3"/>
  <c r="J508" i="3" s="1"/>
  <c r="M88" i="3"/>
  <c r="J88" i="3" s="1"/>
  <c r="M580" i="3"/>
  <c r="J580" i="3" s="1"/>
  <c r="M928" i="3"/>
  <c r="J928" i="3" s="1"/>
  <c r="L460" i="3"/>
  <c r="I460" i="3" s="1"/>
  <c r="M208" i="3"/>
  <c r="J208" i="3" s="1"/>
  <c r="L448" i="3"/>
  <c r="I448" i="3" s="1"/>
  <c r="M376" i="3"/>
  <c r="J376" i="3" s="1"/>
  <c r="M424" i="3"/>
  <c r="J424" i="3" s="1"/>
  <c r="M76" i="3"/>
  <c r="J76" i="3" s="1"/>
  <c r="L256" i="3"/>
  <c r="I256" i="3" s="1"/>
  <c r="L1156" i="3"/>
  <c r="I1156" i="3" s="1"/>
  <c r="L1240" i="3"/>
  <c r="I1240" i="3" s="1"/>
  <c r="M856" i="3"/>
  <c r="J856" i="3" s="1"/>
  <c r="L4" i="3"/>
  <c r="I4" i="3" s="1"/>
  <c r="L1072" i="3"/>
  <c r="I1072" i="3" s="1"/>
  <c r="L1108" i="3"/>
  <c r="I1108" i="3" s="1"/>
  <c r="M460" i="3"/>
  <c r="J460" i="3" s="1"/>
  <c r="M988" i="3"/>
  <c r="J988" i="3" s="1"/>
  <c r="L1120" i="3"/>
  <c r="I1120" i="3" s="1"/>
  <c r="L64" i="3"/>
  <c r="I64" i="3" s="1"/>
  <c r="L88" i="3"/>
  <c r="I88" i="3" s="1"/>
  <c r="M148" i="3"/>
  <c r="J148" i="3" s="1"/>
  <c r="M184" i="3"/>
  <c r="J184" i="3" s="1"/>
  <c r="L544" i="3"/>
  <c r="I544" i="3" s="1"/>
  <c r="M172" i="3"/>
  <c r="J172" i="3" s="1"/>
  <c r="L532" i="3"/>
  <c r="I532" i="3" s="1"/>
  <c r="M724" i="3"/>
  <c r="J724" i="3" s="1"/>
  <c r="M796" i="3"/>
  <c r="J796" i="3" s="1"/>
  <c r="L676" i="3"/>
  <c r="I676" i="3" s="1"/>
  <c r="L436" i="3"/>
  <c r="I436" i="3" s="1"/>
  <c r="M244" i="3"/>
  <c r="J244" i="3" s="1"/>
  <c r="M1144" i="3"/>
  <c r="J1144" i="3" s="1"/>
  <c r="L964" i="3"/>
  <c r="I964" i="3" s="1"/>
  <c r="L160" i="3"/>
  <c r="I160" i="3" s="1"/>
  <c r="L808" i="3"/>
  <c r="I808" i="3" s="1"/>
  <c r="M676" i="3"/>
  <c r="J676" i="3" s="1"/>
  <c r="M1000" i="3"/>
  <c r="J1000" i="3" s="1"/>
  <c r="L208" i="3"/>
  <c r="I208" i="3" s="1"/>
  <c r="L628" i="3"/>
  <c r="I628" i="3" s="1"/>
  <c r="L412" i="3"/>
  <c r="I412" i="3" s="1"/>
  <c r="L220" i="3"/>
  <c r="I220" i="3" s="1"/>
  <c r="M220" i="3"/>
  <c r="J220" i="3" s="1"/>
  <c r="M136" i="3"/>
  <c r="J136" i="3" s="1"/>
  <c r="L376" i="3"/>
  <c r="I376" i="3" s="1"/>
</calcChain>
</file>

<file path=xl/sharedStrings.xml><?xml version="1.0" encoding="utf-8"?>
<sst xmlns="http://schemas.openxmlformats.org/spreadsheetml/2006/main" count="11581" uniqueCount="206">
  <si>
    <t>Bulan</t>
  </si>
  <si>
    <t>Wilayah</t>
  </si>
  <si>
    <t>PosAnggaran</t>
  </si>
  <si>
    <t>ProgramConsumed</t>
  </si>
  <si>
    <t>RealisasiConsumed</t>
  </si>
  <si>
    <t>ProgramActual</t>
  </si>
  <si>
    <t>RealisasiActual</t>
  </si>
  <si>
    <t>Jan</t>
  </si>
  <si>
    <t>Kantor Pusat</t>
  </si>
  <si>
    <t>Perawatan BMN</t>
  </si>
  <si>
    <t>Feb</t>
  </si>
  <si>
    <t>Mar</t>
  </si>
  <si>
    <t>Apr</t>
  </si>
  <si>
    <t>Mei</t>
  </si>
  <si>
    <t>Jun</t>
  </si>
  <si>
    <t>Jul</t>
  </si>
  <si>
    <t>Agt</t>
  </si>
  <si>
    <t>Sep</t>
  </si>
  <si>
    <t>Okt</t>
  </si>
  <si>
    <t>Nov</t>
  </si>
  <si>
    <t>Des</t>
  </si>
  <si>
    <t>Perawatan KAI</t>
  </si>
  <si>
    <t>BBM Mekanik</t>
  </si>
  <si>
    <t>Peralatan Khusus KAI</t>
  </si>
  <si>
    <t>BUTAP BMN</t>
  </si>
  <si>
    <t>BUTAP KAI</t>
  </si>
  <si>
    <t>LAT IO</t>
  </si>
  <si>
    <t>1 JAK</t>
  </si>
  <si>
    <t>1 JAK (LAA)</t>
  </si>
  <si>
    <t>2 BD</t>
  </si>
  <si>
    <t>3 CN</t>
  </si>
  <si>
    <t>4 SM</t>
  </si>
  <si>
    <t>5 PWT</t>
  </si>
  <si>
    <t>6 YK</t>
  </si>
  <si>
    <t>7 MN</t>
  </si>
  <si>
    <t>8 SB</t>
  </si>
  <si>
    <t>9 JR</t>
  </si>
  <si>
    <t>I SU</t>
  </si>
  <si>
    <t>II PD</t>
  </si>
  <si>
    <t>III PG</t>
  </si>
  <si>
    <t>IV TNK</t>
  </si>
  <si>
    <t/>
  </si>
  <si>
    <t>Row Labels</t>
  </si>
  <si>
    <t>Grand Total</t>
  </si>
  <si>
    <t>Consumed</t>
  </si>
  <si>
    <t>Actual</t>
  </si>
  <si>
    <t>Sum of Selisih</t>
  </si>
  <si>
    <t>RKAO Disetujui</t>
  </si>
  <si>
    <t>Selisih (RKAO - Actual)</t>
  </si>
  <si>
    <t>Kum Consumed</t>
  </si>
  <si>
    <t>Kum Actual</t>
  </si>
  <si>
    <t>Funds Center/Commitment Item</t>
  </si>
  <si>
    <t>RKAP</t>
  </si>
  <si>
    <t>Release</t>
  </si>
  <si>
    <t>Comitment</t>
  </si>
  <si>
    <t>Available</t>
  </si>
  <si>
    <t>NotRelease</t>
  </si>
  <si>
    <t>Daerah</t>
  </si>
  <si>
    <t>Jenis</t>
  </si>
  <si>
    <t>1182000000 Persediaan Prasarana Perkeretaapian dan Umum</t>
  </si>
  <si>
    <t>KP</t>
  </si>
  <si>
    <t>4211000000 Perawatan Bangunan Lainnya KAI</t>
  </si>
  <si>
    <t>4221421010 Peralatan Dalam Sinyal Elektrik BMN</t>
  </si>
  <si>
    <t>4221422010 Peralatan Luar Sinyal Elektrik BMN</t>
  </si>
  <si>
    <t>4221425010 Pengamanan Perlintasan Sebidang BMN</t>
  </si>
  <si>
    <t>4221426010 Pesawat Telepon BMN</t>
  </si>
  <si>
    <t>4221427010 Transmisi Komunikasi BMN</t>
  </si>
  <si>
    <t>4221428010 Peralatan Pendukung Sintel BMN</t>
  </si>
  <si>
    <t>4221429011 Beban Pemakaian Alat Kerja pendukung perawatan BMN</t>
  </si>
  <si>
    <t>4221521010 Catu Daya LAA BMN</t>
  </si>
  <si>
    <t>4221522010 Tranmisi Tenaga LAA BMN</t>
  </si>
  <si>
    <t>4221570010 Alat Kerja LAA BMN</t>
  </si>
  <si>
    <t>4222521010 Catu Daya LAA KAI</t>
  </si>
  <si>
    <t>4222600000 Peralatan Khusus Prasarana KAI</t>
  </si>
  <si>
    <t>4231110000 Rapat&amp;Akomodasi BbnUmum Prwtn Prasarana Pemerintah</t>
  </si>
  <si>
    <t>4231140000 Komunikasi Radio &amp; Telekomunikasi</t>
  </si>
  <si>
    <t>4233100000 Rapat&amp;Akomodasi Beban Umum Perawatan Prasarana KAI</t>
  </si>
  <si>
    <t>4233150010 Kerumahtanggaan Beban Umum Perawatan Prasarana KAI</t>
  </si>
  <si>
    <t>4233151710 Kerumahtanggaan UMDT Beban Umum Perawatan Pras KAI</t>
  </si>
  <si>
    <t>4233160010 Inventaris Beban Umum Perawatan Prasarana KAI</t>
  </si>
  <si>
    <t>4233180010 Beban Umum Pengiriman Prasarana KAI</t>
  </si>
  <si>
    <t>4233200000 Perjalanan Dinas BebanUmum Perawatan Prasarana KAI</t>
  </si>
  <si>
    <t>4233400000 ATK Beban Umum Perawatan Prasarana KAI</t>
  </si>
  <si>
    <t>4272100010 Gaji &amp;Tunjangan PegawaiPerawatan Prasarana Unit JJ</t>
  </si>
  <si>
    <t>-</t>
  </si>
  <si>
    <t>4272200010 Iuran Pensiun Pegawai Perawatan Prasarana Unit JJ/</t>
  </si>
  <si>
    <t>4272400000 Lembur dan Perangsang Peg PrwtnPrsrna unit JJ/Sntl</t>
  </si>
  <si>
    <t>4272500000 PakaianDinas PegPrwtn PrasaranaUnit JJ/sntl/BY Pra</t>
  </si>
  <si>
    <t>4273100010 Gaji &amp;Tunjangan Pegawai Renwas JJ/Sintel LAA</t>
  </si>
  <si>
    <t>4273200010 Iuran Pensiun Pegawai Renwas JJ/Sintel LAA</t>
  </si>
  <si>
    <t>4273400000 Lembur dan Perangsang Pegawai Renwas JJ/Sintel LAA</t>
  </si>
  <si>
    <t>4273500000 Pakaian Dinas Pegawai Renwas JJ/Sintel LAA</t>
  </si>
  <si>
    <t>5110000010 Gaji &amp;Tunjangan Pegawai Umum &amp; Administrasi</t>
  </si>
  <si>
    <t>5319000000 Pendidikan</t>
  </si>
  <si>
    <t>5325480000 Teknologi Informasi</t>
  </si>
  <si>
    <t>5400000000 Penyusutan AT Lainnya (Fasilitas Umum)</t>
  </si>
  <si>
    <t>10025000 Signalling, Telecomm &amp; Electricity</t>
  </si>
  <si>
    <t>1 Jak STL</t>
  </si>
  <si>
    <t>4123210010 Gaji &amp;Tunjangan Pegawai Perawatan Sarana</t>
  </si>
  <si>
    <t>4123240000 Lembur dan Perangsang Pegawai Perawatan Sarana</t>
  </si>
  <si>
    <t>4123250000 Pakaian Dinas Pegawai Perawatan Sarana</t>
  </si>
  <si>
    <t>4221423010 Peralatan Dalam Sinyal Mekanik BMN</t>
  </si>
  <si>
    <t>4221424010 Peralatan Luar Sinyal Mekanik BMN</t>
  </si>
  <si>
    <t>4221428011 Bangunan Sintel BMN</t>
  </si>
  <si>
    <t>4221428012 Sistem Proteksi Sintel BMN</t>
  </si>
  <si>
    <t>4221428013 Tanda Semboyan Marka Sintel BMN</t>
  </si>
  <si>
    <t>4221428014 Catu Daya Sintel BMN</t>
  </si>
  <si>
    <t>4222422110 Peralatan Pendukung Sintel KAI</t>
  </si>
  <si>
    <t>4222423110 Bangunan Sintel KAI</t>
  </si>
  <si>
    <t>4222428010 Pesawat Telepon KAI</t>
  </si>
  <si>
    <t>4222470010 Alat Kerja Sintel KAI</t>
  </si>
  <si>
    <t>4222800000 Beban BBM Mekanik Prasarana</t>
  </si>
  <si>
    <t>4232130000 LAT Beban Umum Pengoperasian Prasarana (IO)</t>
  </si>
  <si>
    <t>4242000000 Beban Penyusutan AT Bangunan Kantor</t>
  </si>
  <si>
    <t>5140000000 Lembur dan Perangsang Pegawai Umum &amp; Administrasi</t>
  </si>
  <si>
    <t>21022000 Sintelis</t>
  </si>
  <si>
    <t>1 Jak LAA</t>
  </si>
  <si>
    <t>4123110010 Gaji &amp;Tunjangan Pegawai Operasi Sarana</t>
  </si>
  <si>
    <t>4221523010 Pengendalian Catu Daya LAA BMN</t>
  </si>
  <si>
    <t>4221524010 Tanda Semboyan LAA BMN</t>
  </si>
  <si>
    <t>4221525010 Bangunan LAA BMN</t>
  </si>
  <si>
    <t>4221526010 Sistim Proteksi LAA BMN</t>
  </si>
  <si>
    <t>4221527010 Pendukung LAA BMN</t>
  </si>
  <si>
    <t>4222522010 Tranmisi Tenaga LAA KAI</t>
  </si>
  <si>
    <t>4222525010 Bangunan LAA KAI</t>
  </si>
  <si>
    <t>4222526010 Sistim Proteksi LAA KAI</t>
  </si>
  <si>
    <t>4222527010 Pendukung LAA KAI</t>
  </si>
  <si>
    <t>4222528010 Alat Kerja pendukung perawatan KAI</t>
  </si>
  <si>
    <t>4241000000 Beban Penyusutan AT Prasarana Perkeretaapian</t>
  </si>
  <si>
    <t>4271400000 Lembur dan Perangsang Pegawai Operasi Prasarana</t>
  </si>
  <si>
    <t>21023000 Listrik Aliran Atas</t>
  </si>
  <si>
    <t>2 Bd</t>
  </si>
  <si>
    <t>22022000 Sintelis</t>
  </si>
  <si>
    <t>3 Cn</t>
  </si>
  <si>
    <t>4222424010 Peralatan Luar Sinyal Elektrik KAI</t>
  </si>
  <si>
    <t>23022000 Sintelis</t>
  </si>
  <si>
    <t>4 Sm</t>
  </si>
  <si>
    <t>4233300000 LAT Beban Umum Perawatan Prasarana KAI</t>
  </si>
  <si>
    <t>24022000 Sintelis</t>
  </si>
  <si>
    <t>5 Pwt</t>
  </si>
  <si>
    <t>25022000 Sintelis</t>
  </si>
  <si>
    <t>6 Yk</t>
  </si>
  <si>
    <t>26022000 Sintelis</t>
  </si>
  <si>
    <t>7 Mn</t>
  </si>
  <si>
    <t>27022000 Sintelis</t>
  </si>
  <si>
    <t>8 Sb</t>
  </si>
  <si>
    <t>28022000 Sintelis</t>
  </si>
  <si>
    <t>9 Jr</t>
  </si>
  <si>
    <t>29022000 Sintelis</t>
  </si>
  <si>
    <t>I Su</t>
  </si>
  <si>
    <t>31022000 Sintelis</t>
  </si>
  <si>
    <t>II Pd</t>
  </si>
  <si>
    <t>4112222200 Bbn Penystn Srana Perkeretaapian Fasilitas Dipo-By</t>
  </si>
  <si>
    <t>4221221100 Perawatan Rel BMN</t>
  </si>
  <si>
    <t>4221222200 Perawatan Wesel BMN</t>
  </si>
  <si>
    <t>4221223300 Bbn Jasa Penambahan Balas BMN</t>
  </si>
  <si>
    <t>4221224400 Pemasangan Bantalan BMN</t>
  </si>
  <si>
    <t>4221225500 Perawatan Balas BMN</t>
  </si>
  <si>
    <t>4221226000 Pemecokan BMN</t>
  </si>
  <si>
    <t>4221226006 Perlintasan BMN</t>
  </si>
  <si>
    <t>4221226008 Geometri BMN</t>
  </si>
  <si>
    <t>4221226010 Perbaikan Periodik BMN</t>
  </si>
  <si>
    <t>4221321010 Perawatan Baja Jembatan Kelas 1 BMN</t>
  </si>
  <si>
    <t>4221322010 Perawatan Cat Jembatan Kelas 1 BMN</t>
  </si>
  <si>
    <t>4221323010 Perawatan Batu Jembatan Kelas 1 BMN</t>
  </si>
  <si>
    <t>4221325010 Perawatan Cat Jembatan Kelas 2 BMN</t>
  </si>
  <si>
    <t>4221325013 Perawatan Batu Jembatan Kelas 3 BMN</t>
  </si>
  <si>
    <t>4221325014 Perawatan Beton Jembatan Kelas 3 BMN</t>
  </si>
  <si>
    <t>4221600000 Peralatan Khusus Prasarana Pemerintah</t>
  </si>
  <si>
    <t>Peralatan Khusus BMN</t>
  </si>
  <si>
    <t>4222222200 Perawatan Wesel KAI</t>
  </si>
  <si>
    <t>4231120000 PerjlDinas BebanUmum PerawatanPrasarana Pemerintah</t>
  </si>
  <si>
    <t>4231130000 LAT Beban Umum Perawatan Prasarana Pemerintah</t>
  </si>
  <si>
    <t>4231150010 Krt Beban Umum Perawatan Prasarana Pemerintah</t>
  </si>
  <si>
    <t>4231151710 Kerumahtanggaan UMDT Beban Umum Perawatan Pras BMN</t>
  </si>
  <si>
    <t>4232152310 Tenaga PJL Alih Daya</t>
  </si>
  <si>
    <t>4271100010 Gaji &amp;Tunjangan Pegawai Operasi Prasarana</t>
  </si>
  <si>
    <t>4271500000 Pakaian Dinas Pegawai Operasi Prasarana</t>
  </si>
  <si>
    <t>32020100 Prasarana</t>
  </si>
  <si>
    <t>III Pg</t>
  </si>
  <si>
    <t>4222421110 Transmisi Komunikasi KAI</t>
  </si>
  <si>
    <t>4222423010 Peralatan Dalam Sinyal Elektrik KAI</t>
  </si>
  <si>
    <t>4222424110 Sistem Proteksi Sintel KAI</t>
  </si>
  <si>
    <t>4222425010 Peralatan Dalam Sinyal Mekanik KAI</t>
  </si>
  <si>
    <t>4222425110 Tanda Semboyan Marka Sintel KAI</t>
  </si>
  <si>
    <t>4222426010 Peralatan Luar Sinyal Mekanik KAI</t>
  </si>
  <si>
    <t>4222426110 Catu Daya Sintel KAI</t>
  </si>
  <si>
    <t>4222427010 Pengamanan Perlintasan Sebidang KAI</t>
  </si>
  <si>
    <t>34022000 Sintelis Divre III Palembang</t>
  </si>
  <si>
    <t>IV Tnk</t>
  </si>
  <si>
    <t>35022000 Sintelis Divre IV Tanjungkarang</t>
  </si>
  <si>
    <t>Sum of Consumed</t>
  </si>
  <si>
    <t>Sum of Actual</t>
  </si>
  <si>
    <t>TOTAL STE</t>
  </si>
  <si>
    <t>RKAP SAP</t>
  </si>
  <si>
    <t>Release SAP</t>
  </si>
  <si>
    <t>% Release</t>
  </si>
  <si>
    <t>Consume SAP</t>
  </si>
  <si>
    <t>% Consume</t>
  </si>
  <si>
    <t>Actual SAP</t>
  </si>
  <si>
    <t>% Actual</t>
  </si>
  <si>
    <t>Available SAP</t>
  </si>
  <si>
    <t>TOTAL</t>
  </si>
  <si>
    <t>Consume</t>
  </si>
  <si>
    <t>1 Jak (LAA)</t>
  </si>
  <si>
    <t>1 Jak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</si>
</sst>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Calibri"/>
      <scheme val="minor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9"/>
      <color theme="1"/>
      <name val="Calibri"/>
    </font>
    <font>
      <b/>
      <sz val="9"/>
      <color theme="1"/>
      <name val="Calibri"/>
    </font>
    <font>
      <sz val="10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</font>
    <font>
      <sz val="9"/>
      <color rgb="FFFFFFFF"/>
      <name val="Calibri"/>
      <family val="2"/>
    </font>
    <font>
      <b/>
      <sz val="9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B7E1CD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1" fontId="1" fillId="2" borderId="0" xfId="1" applyNumberFormat="1" applyFont="1" applyFill="1"/>
    <xf numFmtId="0" fontId="0" fillId="2" borderId="0" xfId="0" applyFill="1"/>
    <xf numFmtId="1" fontId="0" fillId="2" borderId="0" xfId="1" applyNumberFormat="1" applyFont="1" applyFill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1" applyNumberFormat="1" applyFont="1"/>
    <xf numFmtId="164" fontId="0" fillId="0" borderId="0" xfId="0" applyNumberFormat="1"/>
    <xf numFmtId="164" fontId="3" fillId="0" borderId="1" xfId="0" applyNumberFormat="1" applyFont="1" applyBorder="1"/>
    <xf numFmtId="164" fontId="3" fillId="0" borderId="2" xfId="0" applyNumberFormat="1" applyFont="1" applyBorder="1"/>
    <xf numFmtId="164" fontId="0" fillId="0" borderId="0" xfId="0" applyNumberFormat="1" applyBorder="1"/>
    <xf numFmtId="164" fontId="3" fillId="4" borderId="2" xfId="0" applyNumberFormat="1" applyFont="1" applyFill="1" applyBorder="1"/>
    <xf numFmtId="0" fontId="0" fillId="0" borderId="0" xfId="0" pivotButton="1" applyAlignment="1">
      <alignment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3" fillId="4" borderId="0" xfId="0" applyFont="1" applyFill="1" applyAlignment="1">
      <alignment horizontal="right" vertical="center" wrapText="1"/>
    </xf>
    <xf numFmtId="164" fontId="0" fillId="0" borderId="0" xfId="1" applyNumberFormat="1" applyFont="1" applyFill="1"/>
    <xf numFmtId="164" fontId="0" fillId="0" borderId="0" xfId="0" applyNumberFormat="1" applyFill="1" applyAlignment="1">
      <alignment horizontal="right" vertical="center" wrapText="1"/>
    </xf>
    <xf numFmtId="164" fontId="0" fillId="0" borderId="0" xfId="0" applyNumberFormat="1" applyFill="1"/>
    <xf numFmtId="0" fontId="0" fillId="0" borderId="0" xfId="0" applyFill="1"/>
    <xf numFmtId="1" fontId="1" fillId="3" borderId="0" xfId="1" applyNumberFormat="1" applyFont="1" applyFill="1"/>
    <xf numFmtId="0" fontId="0" fillId="0" borderId="0" xfId="0" applyAlignment="1">
      <alignment horizontal="right"/>
    </xf>
    <xf numFmtId="0" fontId="0" fillId="3" borderId="0" xfId="0" applyFill="1"/>
    <xf numFmtId="1" fontId="0" fillId="3" borderId="0" xfId="1" applyNumberFormat="1" applyFont="1" applyFill="1"/>
    <xf numFmtId="1" fontId="0" fillId="0" borderId="0" xfId="0" applyNumberFormat="1" applyAlignment="1">
      <alignment horizontal="right"/>
    </xf>
    <xf numFmtId="0" fontId="0" fillId="0" borderId="0" xfId="0" applyFill="1" applyAlignment="1">
      <alignment horizontal="left" indent="1"/>
    </xf>
    <xf numFmtId="0" fontId="4" fillId="3" borderId="0" xfId="0" applyFont="1" applyFill="1"/>
    <xf numFmtId="1" fontId="4" fillId="3" borderId="0" xfId="1" applyNumberFormat="1" applyFont="1" applyFill="1"/>
    <xf numFmtId="1" fontId="0" fillId="2" borderId="0" xfId="0" applyNumberFormat="1" applyFill="1"/>
    <xf numFmtId="0" fontId="5" fillId="0" borderId="0" xfId="2"/>
    <xf numFmtId="0" fontId="6" fillId="0" borderId="0" xfId="2" applyFont="1" applyAlignment="1">
      <alignment horizontal="center" vertical="center" wrapText="1"/>
    </xf>
    <xf numFmtId="0" fontId="6" fillId="5" borderId="0" xfId="2" applyFont="1" applyFill="1" applyAlignment="1">
      <alignment horizontal="center" vertical="center" wrapText="1"/>
    </xf>
    <xf numFmtId="0" fontId="7" fillId="0" borderId="0" xfId="2" applyFont="1"/>
    <xf numFmtId="0" fontId="7" fillId="0" borderId="0" xfId="2" applyFont="1" applyAlignment="1">
      <alignment horizontal="right"/>
    </xf>
    <xf numFmtId="164" fontId="7" fillId="0" borderId="0" xfId="3" applyNumberFormat="1" applyFont="1" applyAlignment="1">
      <alignment horizontal="right"/>
    </xf>
    <xf numFmtId="0" fontId="8" fillId="0" borderId="0" xfId="2" applyFont="1" applyAlignment="1">
      <alignment vertical="center"/>
    </xf>
    <xf numFmtId="3" fontId="8" fillId="0" borderId="0" xfId="2" applyNumberFormat="1" applyFont="1" applyAlignment="1">
      <alignment vertical="center"/>
    </xf>
    <xf numFmtId="10" fontId="8" fillId="0" borderId="0" xfId="2" applyNumberFormat="1" applyFont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9" fillId="0" borderId="0" xfId="2" applyFont="1" applyAlignment="1">
      <alignment vertical="center"/>
    </xf>
    <xf numFmtId="0" fontId="10" fillId="0" borderId="0" xfId="0" pivotButton="1" applyFont="1"/>
    <xf numFmtId="164" fontId="10" fillId="0" borderId="0" xfId="0" applyNumberFormat="1" applyFont="1" applyAlignment="1">
      <alignment horizontal="right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left" indent="1"/>
    </xf>
    <xf numFmtId="0" fontId="11" fillId="0" borderId="0" xfId="0" applyFont="1" applyAlignment="1">
      <alignment vertical="center" wrapText="1"/>
    </xf>
    <xf numFmtId="3" fontId="11" fillId="0" borderId="0" xfId="0" applyNumberFormat="1" applyFont="1" applyAlignment="1">
      <alignment horizontal="right" vertical="center" wrapText="1"/>
    </xf>
    <xf numFmtId="0" fontId="11" fillId="0" borderId="0" xfId="0" applyFont="1" applyAlignment="1">
      <alignment horizontal="right" vertical="center" wrapText="1"/>
    </xf>
    <xf numFmtId="0" fontId="11" fillId="5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vertical="center" wrapText="1"/>
    </xf>
    <xf numFmtId="3" fontId="11" fillId="6" borderId="0" xfId="0" applyNumberFormat="1" applyFont="1" applyFill="1" applyAlignment="1">
      <alignment horizontal="right" vertical="center" wrapText="1"/>
    </xf>
    <xf numFmtId="0" fontId="11" fillId="6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right" vertical="center" wrapText="1"/>
    </xf>
    <xf numFmtId="0" fontId="12" fillId="0" borderId="0" xfId="0" applyFont="1" applyAlignment="1">
      <alignment vertical="center" wrapText="1"/>
    </xf>
    <xf numFmtId="0" fontId="13" fillId="7" borderId="0" xfId="0" applyFont="1" applyFill="1" applyAlignment="1">
      <alignment vertical="center" wrapText="1"/>
    </xf>
    <xf numFmtId="0" fontId="12" fillId="7" borderId="0" xfId="0" applyFont="1" applyFill="1" applyAlignment="1">
      <alignment vertical="center" wrapText="1"/>
    </xf>
    <xf numFmtId="0" fontId="14" fillId="8" borderId="0" xfId="0" applyFont="1" applyFill="1" applyAlignment="1">
      <alignment horizontal="center" vertical="center" wrapText="1"/>
    </xf>
    <xf numFmtId="0" fontId="11" fillId="9" borderId="0" xfId="0" applyFont="1" applyFill="1" applyAlignment="1">
      <alignment vertical="center" wrapText="1"/>
    </xf>
    <xf numFmtId="10" fontId="11" fillId="0" borderId="0" xfId="0" applyNumberFormat="1" applyFont="1" applyAlignment="1">
      <alignment horizontal="center" vertical="center" wrapText="1"/>
    </xf>
    <xf numFmtId="0" fontId="14" fillId="8" borderId="0" xfId="0" applyFont="1" applyFill="1" applyAlignment="1">
      <alignment vertical="center" wrapText="1"/>
    </xf>
    <xf numFmtId="3" fontId="14" fillId="8" borderId="0" xfId="0" applyNumberFormat="1" applyFont="1" applyFill="1" applyAlignment="1">
      <alignment horizontal="right" vertical="center" wrapText="1"/>
    </xf>
    <xf numFmtId="10" fontId="14" fillId="8" borderId="0" xfId="0" applyNumberFormat="1" applyFont="1" applyFill="1" applyAlignment="1">
      <alignment horizontal="center" vertical="center" wrapText="1"/>
    </xf>
    <xf numFmtId="0" fontId="13" fillId="10" borderId="0" xfId="0" applyFont="1" applyFill="1" applyAlignment="1">
      <alignment vertical="center"/>
    </xf>
    <xf numFmtId="0" fontId="12" fillId="10" borderId="0" xfId="0" applyFont="1" applyFill="1" applyAlignment="1">
      <alignment vertical="center" wrapText="1"/>
    </xf>
    <xf numFmtId="0" fontId="14" fillId="11" borderId="0" xfId="0" applyFont="1" applyFill="1" applyAlignment="1">
      <alignment horizontal="center" vertical="center" wrapText="1"/>
    </xf>
    <xf numFmtId="0" fontId="14" fillId="11" borderId="0" xfId="0" applyFont="1" applyFill="1" applyAlignment="1">
      <alignment vertical="center" wrapText="1"/>
    </xf>
    <xf numFmtId="3" fontId="14" fillId="11" borderId="0" xfId="0" applyNumberFormat="1" applyFont="1" applyFill="1" applyAlignment="1">
      <alignment horizontal="right" vertical="center" wrapText="1"/>
    </xf>
    <xf numFmtId="10" fontId="14" fillId="11" borderId="0" xfId="0" applyNumberFormat="1" applyFont="1" applyFill="1" applyAlignment="1">
      <alignment horizontal="center" vertical="center" wrapText="1"/>
    </xf>
    <xf numFmtId="0" fontId="13" fillId="10" borderId="0" xfId="0" applyFont="1" applyFill="1" applyAlignment="1">
      <alignment vertical="center" wrapText="1"/>
    </xf>
    <xf numFmtId="0" fontId="14" fillId="11" borderId="0" xfId="0" applyFont="1" applyFill="1" applyAlignment="1">
      <alignment horizontal="right" vertical="center" wrapText="1"/>
    </xf>
    <xf numFmtId="0" fontId="12" fillId="11" borderId="0" xfId="0" applyFont="1" applyFill="1" applyAlignment="1">
      <alignment vertical="center" wrapText="1"/>
    </xf>
    <xf numFmtId="0" fontId="7" fillId="0" borderId="0" xfId="2" applyFont="1" applyAlignment="1">
      <alignment horizontal="center"/>
    </xf>
    <xf numFmtId="1" fontId="1" fillId="2" borderId="0" xfId="1" applyNumberFormat="1" applyFont="1" applyFill="1" applyAlignment="1">
      <alignment horizontal="right"/>
    </xf>
  </cellXfs>
  <cellStyles count="4">
    <cellStyle name="Comma" xfId="1" builtinId="3"/>
    <cellStyle name="Comma 2" xfId="3" xr:uid="{7F1CFFA7-593C-467A-B0AC-ECE3FED82773}"/>
    <cellStyle name="Normal" xfId="0" builtinId="0"/>
    <cellStyle name="Normal 2" xfId="2" xr:uid="{FDDDF9A2-C1ED-46D0-8F8D-E5F02167E370}"/>
  </cellStyles>
  <dxfs count="3359"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* #,##0_-;\-* #,##0_-;_-* &quot;-&quot;??_-;_-@_-"/>
      <alignment horizontal="right" vertical="center" wrapText="1"/>
    </dxf>
    <dxf>
      <numFmt numFmtId="164" formatCode="_-* #,##0_-;\-* #,##0_-;_-* &quot;-&quot;??_-;_-@_-"/>
      <alignment horizontal="right" vertical="center" wrapText="1"/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/>
    </dxf>
    <dxf>
      <alignment horizontal="right"/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/>
    </dxf>
    <dxf>
      <alignment horizontal="right"/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/>
    </dxf>
    <dxf>
      <alignment horizontal="right"/>
    </dxf>
    <dxf>
      <alignment horizontal="center"/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97.372748842594" createdVersion="7" refreshedVersion="7" minRefreshableVersion="3" recordCount="547" xr:uid="{06C424F9-67B7-4C4A-BCB0-C072DE5D604B}">
  <cacheSource type="worksheet">
    <worksheetSource ref="A1:J1048576" sheet="ZFM01"/>
  </cacheSource>
  <cacheFields count="10">
    <cacheField name="Funds Center/Commitment Item" numFmtId="0">
      <sharedItems containsBlank="1"/>
    </cacheField>
    <cacheField name="RKAP" numFmtId="0">
      <sharedItems containsString="0" containsBlank="1" containsNumber="1" containsInteger="1" minValue="0" maxValue="361729344454"/>
    </cacheField>
    <cacheField name="Release" numFmtId="0">
      <sharedItems containsString="0" containsBlank="1" containsNumber="1" containsInteger="1" minValue="0" maxValue="359311844454"/>
    </cacheField>
    <cacheField name="Comitment" numFmtId="0">
      <sharedItems containsString="0" containsBlank="1" containsNumber="1" containsInteger="1" minValue="0" maxValue="175461180890"/>
    </cacheField>
    <cacheField name="Actual" numFmtId="0">
      <sharedItems containsString="0" containsBlank="1" containsNumber="1" containsInteger="1" minValue="-10748637" maxValue="48780324773"/>
    </cacheField>
    <cacheField name="Consumed" numFmtId="0">
      <sharedItems containsString="0" containsBlank="1" containsNumber="1" containsInteger="1" minValue="-10748637" maxValue="224241505663"/>
    </cacheField>
    <cacheField name="Available" numFmtId="0">
      <sharedItems containsString="0" containsBlank="1" containsNumber="1" containsInteger="1" minValue="-410815330" maxValue="135070338791"/>
    </cacheField>
    <cacheField name="NotRelease" numFmtId="0">
      <sharedItems containsString="0" containsBlank="1" containsNumber="1" containsInteger="1" minValue="0" maxValue="2417500000"/>
    </cacheField>
    <cacheField name="Daerah" numFmtId="0">
      <sharedItems containsBlank="1" count="16">
        <s v="KP"/>
        <s v="1 Jak STL"/>
        <s v="1 Jak LAA"/>
        <s v="2 Bd"/>
        <s v="3 Cn"/>
        <s v="4 Sm"/>
        <s v="5 Pwt"/>
        <s v="6 Yk"/>
        <s v="7 Mn"/>
        <s v="8 Sb"/>
        <s v="9 Jr"/>
        <s v="I Su"/>
        <s v="II Pd"/>
        <s v="III Pg"/>
        <s v="IV Tnk"/>
        <m/>
      </sharedItems>
    </cacheField>
    <cacheField name="Jenis" numFmtId="0">
      <sharedItems containsBlank="1" count="11">
        <s v="Perawatan BMN"/>
        <s v="BUTAP KAI"/>
        <s v="Perawatan KAI"/>
        <s v="Peralatan Khusus KAI"/>
        <s v="BUTAP BMN"/>
        <s v="LAT IO"/>
        <s v="-"/>
        <e v="#N/A"/>
        <s v="BBM Mekanik"/>
        <s v="Peralatan Khusus BMN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97.378375578701" createdVersion="7" refreshedVersion="7" minRefreshableVersion="3" recordCount="1261" xr:uid="{02376FC1-714A-43A0-9456-433A0D0D95F3}">
  <cacheSource type="worksheet">
    <worksheetSource ref="A1:G1048576" sheet="Monitoring RKA 2026"/>
  </cacheSource>
  <cacheFields count="8">
    <cacheField name="Bulan" numFmtId="0">
      <sharedItems containsBlank="1"/>
    </cacheField>
    <cacheField name="Wilayah" numFmtId="0">
      <sharedItems containsBlank="1" count="16">
        <s v="Kantor Pusat"/>
        <s v="1 JAK"/>
        <s v="1 JAK (LAA)"/>
        <s v="2 BD"/>
        <s v="3 CN"/>
        <s v="4 SM"/>
        <s v="5 PWT"/>
        <s v="6 YK"/>
        <s v="7 MN"/>
        <s v="8 SB"/>
        <s v="9 JR"/>
        <s v="I SU"/>
        <s v="II PD"/>
        <s v="III PG"/>
        <s v="IV TNK"/>
        <m/>
      </sharedItems>
    </cacheField>
    <cacheField name="PosAnggaran" numFmtId="0">
      <sharedItems containsBlank="1" count="8">
        <s v="Perawatan BMN"/>
        <s v="Perawatan KAI"/>
        <s v="BBM Mekanik"/>
        <s v="Peralatan Khusus KAI"/>
        <s v="BUTAP BMN"/>
        <s v="BUTAP KAI"/>
        <s v="LAT IO"/>
        <m/>
      </sharedItems>
    </cacheField>
    <cacheField name="ProgramConsumed" numFmtId="1">
      <sharedItems containsString="0" containsBlank="1" containsNumber="1" minValue="0" maxValue="227166881580"/>
    </cacheField>
    <cacheField name="RealisasiConsumed" numFmtId="1">
      <sharedItems containsBlank="1" containsMixedTypes="1" containsNumber="1" containsInteger="1" minValue="-14599000" maxValue="84845467162"/>
    </cacheField>
    <cacheField name="ProgramActual" numFmtId="1">
      <sharedItems containsString="0" containsBlank="1" containsNumber="1" minValue="0" maxValue="108871425778"/>
    </cacheField>
    <cacheField name="RealisasiActual" numFmtId="1">
      <sharedItems containsBlank="1" containsMixedTypes="1" containsNumber="1" containsInteger="1" minValue="0" maxValue="34085923118"/>
    </cacheField>
    <cacheField name="Selisih" numFmtId="0" formula="ProgramActual-ProgramConsumed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7">
  <r>
    <s v="1182000000 Persediaan Prasarana Perkeretaapian dan Umum"/>
    <n v="92766189536"/>
    <n v="92766189536"/>
    <n v="32888582556"/>
    <n v="46437298"/>
    <n v="32935019854"/>
    <n v="59831169682"/>
    <n v="0"/>
    <x v="0"/>
    <x v="0"/>
  </r>
  <r>
    <s v="4211000000 Perawatan Bangunan Lainnya KAI"/>
    <n v="0"/>
    <n v="0"/>
    <n v="0"/>
    <n v="0"/>
    <n v="0"/>
    <n v="0"/>
    <n v="0"/>
    <x v="0"/>
    <x v="1"/>
  </r>
  <r>
    <s v="4221421010 Peralatan Dalam Sinyal Elektrik BMN"/>
    <n v="57855713800"/>
    <n v="57855713800"/>
    <n v="57455713800"/>
    <n v="0"/>
    <n v="57455713800"/>
    <n v="400000000"/>
    <n v="0"/>
    <x v="0"/>
    <x v="0"/>
  </r>
  <r>
    <s v="4221422010 Peralatan Luar Sinyal Elektrik BMN"/>
    <n v="35064866298"/>
    <n v="35064866298"/>
    <n v="2662482200"/>
    <n v="28199383820"/>
    <n v="30861866020"/>
    <n v="4203000278"/>
    <n v="0"/>
    <x v="0"/>
    <x v="0"/>
  </r>
  <r>
    <s v="4221423010 Peralatan Dalam Sinyal Mekanik BMN"/>
    <n v="2001312000"/>
    <n v="2001312000"/>
    <n v="2001312000"/>
    <n v="0"/>
    <n v="2001312000"/>
    <n v="0"/>
    <n v="0"/>
    <x v="0"/>
    <x v="0"/>
  </r>
  <r>
    <s v="4221425010 Pengamanan Perlintasan Sebidang BMN"/>
    <n v="17448622000"/>
    <n v="17448622000"/>
    <n v="17448621050"/>
    <n v="0"/>
    <n v="17448621050"/>
    <n v="950"/>
    <n v="0"/>
    <x v="0"/>
    <x v="0"/>
  </r>
  <r>
    <s v="4221426010 Pesawat Telepon BMN"/>
    <n v="3947046000"/>
    <n v="3947046000"/>
    <n v="0"/>
    <n v="0"/>
    <n v="0"/>
    <n v="3947046000"/>
    <n v="0"/>
    <x v="0"/>
    <x v="0"/>
  </r>
  <r>
    <s v="4221427010 Transmisi Komunikasi BMN"/>
    <n v="63547356665"/>
    <n v="63547356665"/>
    <n v="53093285303"/>
    <n v="8154071362"/>
    <n v="61247356665"/>
    <n v="2300000000"/>
    <n v="0"/>
    <x v="0"/>
    <x v="0"/>
  </r>
  <r>
    <s v="4221428010 Peralatan Pendukung Sintel BMN"/>
    <n v="1577077000"/>
    <n v="1577077000"/>
    <n v="67563765"/>
    <n v="0"/>
    <n v="67563765"/>
    <n v="1509513235"/>
    <n v="0"/>
    <x v="0"/>
    <x v="0"/>
  </r>
  <r>
    <s v="4221429011 Beban Pemakaian Alat Kerja pendukung perawatan BMN"/>
    <n v="1010789797"/>
    <n v="1010789797"/>
    <n v="0"/>
    <n v="0"/>
    <n v="0"/>
    <n v="1010789797"/>
    <n v="0"/>
    <x v="0"/>
    <x v="0"/>
  </r>
  <r>
    <s v="4221521010 Catu Daya LAA BMN"/>
    <n v="26083685696"/>
    <n v="26083685696"/>
    <n v="0"/>
    <n v="6309951800"/>
    <n v="6309951800"/>
    <n v="19773733896"/>
    <n v="0"/>
    <x v="0"/>
    <x v="0"/>
  </r>
  <r>
    <s v="4221522010 Tranmisi Tenaga LAA BMN"/>
    <n v="11951319669"/>
    <n v="11951319669"/>
    <n v="9730852838"/>
    <n v="0"/>
    <n v="9730852838"/>
    <n v="2220466831"/>
    <n v="0"/>
    <x v="0"/>
    <x v="0"/>
  </r>
  <r>
    <s v="4221570010 Alat Kerja LAA BMN"/>
    <n v="1175883000"/>
    <n v="1175883000"/>
    <n v="0"/>
    <n v="0"/>
    <n v="0"/>
    <n v="1175883000"/>
    <n v="0"/>
    <x v="0"/>
    <x v="0"/>
  </r>
  <r>
    <s v="4222521010 Catu Daya LAA KAI"/>
    <n v="0"/>
    <n v="0"/>
    <n v="0"/>
    <n v="0"/>
    <n v="0"/>
    <n v="0"/>
    <n v="0"/>
    <x v="0"/>
    <x v="2"/>
  </r>
  <r>
    <s v="4222600000 Peralatan Khusus Prasarana KAI"/>
    <n v="1600000000"/>
    <n v="1200000000"/>
    <n v="0"/>
    <n v="0"/>
    <n v="0"/>
    <n v="1200000000"/>
    <n v="400000000"/>
    <x v="0"/>
    <x v="3"/>
  </r>
  <r>
    <s v="4231110000 Rapat&amp;Akomodasi BbnUmum Prwtn Prasarana Pemerintah"/>
    <n v="500000000"/>
    <n v="375000000"/>
    <n v="20986164"/>
    <n v="0"/>
    <n v="20986164"/>
    <n v="354013836"/>
    <n v="125000000"/>
    <x v="0"/>
    <x v="4"/>
  </r>
  <r>
    <s v="4231140000 Komunikasi Radio &amp; Telekomunikasi"/>
    <n v="4500000000"/>
    <n v="4500000000"/>
    <n v="0"/>
    <n v="967917605"/>
    <n v="967917605"/>
    <n v="3532082395"/>
    <n v="0"/>
    <x v="0"/>
    <x v="5"/>
  </r>
  <r>
    <s v="4233100000 Rapat&amp;Akomodasi Beban Umum Perawatan Prasarana KAI"/>
    <n v="1493730000"/>
    <n v="1118730000"/>
    <n v="1948000"/>
    <n v="0"/>
    <n v="1948000"/>
    <n v="1116782000"/>
    <n v="375000000"/>
    <x v="0"/>
    <x v="1"/>
  </r>
  <r>
    <s v="4233150010 Kerumahtanggaan Beban Umum Perawatan Prasarana KAI"/>
    <n v="744010000"/>
    <n v="551510000"/>
    <n v="24326714"/>
    <n v="28810450"/>
    <n v="53137164"/>
    <n v="498372836"/>
    <n v="192500000"/>
    <x v="0"/>
    <x v="1"/>
  </r>
  <r>
    <s v="4233151710 Kerumahtanggaan UMDT Beban Umum Perawatan Pras KAI"/>
    <n v="156000000"/>
    <n v="156000000"/>
    <n v="0"/>
    <n v="26000000"/>
    <n v="26000000"/>
    <n v="130000000"/>
    <n v="0"/>
    <x v="0"/>
    <x v="1"/>
  </r>
  <r>
    <s v="4233160010 Inventaris Beban Umum Perawatan Prasarana KAI"/>
    <n v="500000000"/>
    <n v="375000000"/>
    <n v="0"/>
    <n v="0"/>
    <n v="0"/>
    <n v="375000000"/>
    <n v="125000000"/>
    <x v="0"/>
    <x v="1"/>
  </r>
  <r>
    <s v="4233180010 Beban Umum Pengiriman Prasarana KAI"/>
    <n v="800000000"/>
    <n v="600000000"/>
    <n v="56042500"/>
    <n v="49833500"/>
    <n v="105876000"/>
    <n v="494124000"/>
    <n v="200000000"/>
    <x v="0"/>
    <x v="1"/>
  </r>
  <r>
    <s v="4233200000 Perjalanan Dinas BebanUmum Perawatan Prasarana KAI"/>
    <n v="2491692611"/>
    <n v="1866692611"/>
    <n v="0"/>
    <n v="193087500"/>
    <n v="193087500"/>
    <n v="1673605111"/>
    <n v="625000000"/>
    <x v="0"/>
    <x v="1"/>
  </r>
  <r>
    <s v="4233400000 ATK Beban Umum Perawatan Prasarana KAI"/>
    <n v="220000000"/>
    <n v="220000000"/>
    <n v="0"/>
    <n v="0"/>
    <n v="0"/>
    <n v="220000000"/>
    <n v="0"/>
    <x v="0"/>
    <x v="1"/>
  </r>
  <r>
    <s v="4272100010 Gaji &amp;Tunjangan PegawaiPerawatan Prasarana Unit JJ"/>
    <n v="3456614204"/>
    <n v="3456614204"/>
    <n v="0"/>
    <n v="413857628"/>
    <n v="413857628"/>
    <n v="3042756576"/>
    <n v="0"/>
    <x v="0"/>
    <x v="6"/>
  </r>
  <r>
    <s v="4272200010 Iuran Pensiun Pegawai Perawatan Prasarana Unit JJ/"/>
    <n v="52828623"/>
    <n v="52828623"/>
    <n v="0"/>
    <n v="6538778"/>
    <n v="6538778"/>
    <n v="46289845"/>
    <n v="0"/>
    <x v="0"/>
    <x v="6"/>
  </r>
  <r>
    <s v="4272400000 Lembur dan Perangsang Peg PrwtnPrsrna unit JJ/Sntl"/>
    <n v="4078270035"/>
    <n v="4078270035"/>
    <n v="0"/>
    <n v="633673990"/>
    <n v="633673990"/>
    <n v="3444596045"/>
    <n v="0"/>
    <x v="0"/>
    <x v="6"/>
  </r>
  <r>
    <s v="4272500000 PakaianDinas PegPrwtn PrasaranaUnit JJ/sntl/BY Pra"/>
    <n v="16502520"/>
    <n v="16502520"/>
    <n v="0"/>
    <n v="0"/>
    <n v="0"/>
    <n v="16502520"/>
    <n v="0"/>
    <x v="0"/>
    <x v="6"/>
  </r>
  <r>
    <s v="4273100010 Gaji &amp;Tunjangan Pegawai Renwas JJ/Sintel LAA"/>
    <n v="10947475255"/>
    <n v="10947475255"/>
    <n v="0"/>
    <n v="1120324189"/>
    <n v="1120324189"/>
    <n v="9827151066"/>
    <n v="0"/>
    <x v="0"/>
    <x v="6"/>
  </r>
  <r>
    <s v="4273200010 Iuran Pensiun Pegawai Renwas JJ/Sintel LAA"/>
    <n v="248090002"/>
    <n v="248090002"/>
    <n v="0"/>
    <n v="44762586"/>
    <n v="44762586"/>
    <n v="203327416"/>
    <n v="0"/>
    <x v="0"/>
    <x v="6"/>
  </r>
  <r>
    <s v="4273400000 Lembur dan Perangsang Pegawai Renwas JJ/Sintel LAA"/>
    <n v="13970066046"/>
    <n v="13970066046"/>
    <n v="0"/>
    <n v="2185607574"/>
    <n v="2185607574"/>
    <n v="11784458472"/>
    <n v="0"/>
    <x v="0"/>
    <x v="6"/>
  </r>
  <r>
    <s v="4273500000 Pakaian Dinas Pegawai Renwas JJ/Sintel LAA"/>
    <n v="24203697"/>
    <n v="24203697"/>
    <n v="0"/>
    <n v="0"/>
    <n v="0"/>
    <n v="24203697"/>
    <n v="0"/>
    <x v="0"/>
    <x v="6"/>
  </r>
  <r>
    <s v="5110000010 Gaji &amp;Tunjangan Pegawai Umum &amp; Administrasi"/>
    <n v="0"/>
    <n v="0"/>
    <n v="0"/>
    <n v="-10748637"/>
    <n v="-10748637"/>
    <n v="10748637"/>
    <n v="0"/>
    <x v="0"/>
    <x v="6"/>
  </r>
  <r>
    <s v="5319000000 Pendidikan"/>
    <n v="1000000000"/>
    <n v="750000000"/>
    <n v="9464000"/>
    <n v="0"/>
    <n v="9464000"/>
    <n v="740536000"/>
    <n v="250000000"/>
    <x v="0"/>
    <x v="1"/>
  </r>
  <r>
    <s v="5325480000 Teknologi Informasi"/>
    <n v="500000000"/>
    <n v="375000000"/>
    <n v="0"/>
    <n v="0"/>
    <n v="0"/>
    <n v="375000000"/>
    <n v="125000000"/>
    <x v="0"/>
    <x v="1"/>
  </r>
  <r>
    <s v="5400000000 Penyusutan AT Lainnya (Fasilitas Umum)"/>
    <n v="0"/>
    <n v="0"/>
    <n v="0"/>
    <n v="410815330"/>
    <n v="410815330"/>
    <n v="-410815330"/>
    <n v="0"/>
    <x v="0"/>
    <x v="6"/>
  </r>
  <r>
    <s v="10025000 Signalling, Telecomm &amp; Electricity"/>
    <n v="361729344454"/>
    <n v="359311844454"/>
    <n v="175461180890"/>
    <n v="48780324773"/>
    <n v="224241505663"/>
    <n v="135070338791"/>
    <n v="2417500000"/>
    <x v="0"/>
    <x v="7"/>
  </r>
  <r>
    <s v="1182000000 Persediaan Prasarana Perkeretaapian dan Umum"/>
    <n v="25194775704"/>
    <n v="25194775704"/>
    <n v="15690909964"/>
    <n v="0"/>
    <n v="15690909964"/>
    <n v="9503865740"/>
    <n v="0"/>
    <x v="1"/>
    <x v="0"/>
  </r>
  <r>
    <s v="4123210010 Gaji &amp;Tunjangan Pegawai Perawatan Sarana"/>
    <n v="17002987"/>
    <n v="17002987"/>
    <n v="0"/>
    <n v="0"/>
    <n v="0"/>
    <n v="17002987"/>
    <n v="0"/>
    <x v="1"/>
    <x v="6"/>
  </r>
  <r>
    <s v="4123240000 Lembur dan Perangsang Pegawai Perawatan Sarana"/>
    <n v="32320895"/>
    <n v="32320895"/>
    <n v="0"/>
    <n v="0"/>
    <n v="0"/>
    <n v="32320895"/>
    <n v="0"/>
    <x v="1"/>
    <x v="6"/>
  </r>
  <r>
    <s v="4123250000 Pakaian Dinas Pegawai Perawatan Sarana"/>
    <n v="550084"/>
    <n v="550084"/>
    <n v="0"/>
    <n v="0"/>
    <n v="0"/>
    <n v="550084"/>
    <n v="0"/>
    <x v="1"/>
    <x v="6"/>
  </r>
  <r>
    <s v="4221421010 Peralatan Dalam Sinyal Elektrik BMN"/>
    <n v="400000000"/>
    <n v="400000000"/>
    <n v="0"/>
    <n v="0"/>
    <n v="0"/>
    <n v="400000000"/>
    <n v="0"/>
    <x v="1"/>
    <x v="0"/>
  </r>
  <r>
    <s v="4221422010 Peralatan Luar Sinyal Elektrik BMN"/>
    <n v="2000000000"/>
    <n v="2000000000"/>
    <n v="0"/>
    <n v="0"/>
    <n v="0"/>
    <n v="2000000000"/>
    <n v="0"/>
    <x v="1"/>
    <x v="0"/>
  </r>
  <r>
    <s v="4221423010 Peralatan Dalam Sinyal Mekanik BMN"/>
    <n v="100000000"/>
    <n v="100000000"/>
    <n v="0"/>
    <n v="0"/>
    <n v="0"/>
    <n v="100000000"/>
    <n v="0"/>
    <x v="1"/>
    <x v="0"/>
  </r>
  <r>
    <s v="4221424010 Peralatan Luar Sinyal Mekanik BMN"/>
    <n v="400000000"/>
    <n v="400000000"/>
    <n v="0"/>
    <n v="0"/>
    <n v="0"/>
    <n v="400000000"/>
    <n v="0"/>
    <x v="1"/>
    <x v="0"/>
  </r>
  <r>
    <s v="4221425010 Pengamanan Perlintasan Sebidang BMN"/>
    <n v="1300000000"/>
    <n v="1300000000"/>
    <n v="463560600"/>
    <n v="0"/>
    <n v="463560600"/>
    <n v="836439400"/>
    <n v="0"/>
    <x v="1"/>
    <x v="0"/>
  </r>
  <r>
    <s v="4221427010 Transmisi Komunikasi BMN"/>
    <n v="6000000000"/>
    <n v="6000000000"/>
    <n v="2487092234"/>
    <n v="0"/>
    <n v="2487092234"/>
    <n v="3512907766"/>
    <n v="0"/>
    <x v="1"/>
    <x v="0"/>
  </r>
  <r>
    <s v="4221428010 Peralatan Pendukung Sintel BMN"/>
    <n v="4260000000"/>
    <n v="4260000000"/>
    <n v="587152114"/>
    <n v="389904675"/>
    <n v="977056789"/>
    <n v="3282943211"/>
    <n v="0"/>
    <x v="1"/>
    <x v="0"/>
  </r>
  <r>
    <s v="4221428011 Bangunan Sintel BMN"/>
    <n v="1000000000"/>
    <n v="1000000000"/>
    <n v="0"/>
    <n v="0"/>
    <n v="0"/>
    <n v="1000000000"/>
    <n v="0"/>
    <x v="1"/>
    <x v="0"/>
  </r>
  <r>
    <s v="4221428012 Sistem Proteksi Sintel BMN"/>
    <n v="2500000000"/>
    <n v="2500000000"/>
    <n v="0"/>
    <n v="0"/>
    <n v="0"/>
    <n v="2500000000"/>
    <n v="0"/>
    <x v="1"/>
    <x v="0"/>
  </r>
  <r>
    <s v="4221428013 Tanda Semboyan Marka Sintel BMN"/>
    <n v="250000000"/>
    <n v="250000000"/>
    <n v="0"/>
    <n v="0"/>
    <n v="0"/>
    <n v="250000000"/>
    <n v="0"/>
    <x v="1"/>
    <x v="0"/>
  </r>
  <r>
    <s v="4221428014 Catu Daya Sintel BMN"/>
    <n v="6850000000"/>
    <n v="6850000000"/>
    <n v="0"/>
    <n v="207269960"/>
    <n v="207269960"/>
    <n v="6642730040"/>
    <n v="0"/>
    <x v="1"/>
    <x v="0"/>
  </r>
  <r>
    <s v="4222422110 Peralatan Pendukung Sintel KAI"/>
    <n v="2620000000"/>
    <n v="2620000000"/>
    <n v="113020000"/>
    <n v="69000000"/>
    <n v="182020000"/>
    <n v="2437980000"/>
    <n v="0"/>
    <x v="1"/>
    <x v="2"/>
  </r>
  <r>
    <s v="4222423110 Bangunan Sintel KAI"/>
    <n v="750000000"/>
    <n v="750000000"/>
    <n v="0"/>
    <n v="0"/>
    <n v="0"/>
    <n v="750000000"/>
    <n v="0"/>
    <x v="1"/>
    <x v="2"/>
  </r>
  <r>
    <s v="4222428010 Pesawat Telepon KAI"/>
    <n v="500000000"/>
    <n v="500000000"/>
    <n v="0"/>
    <n v="0"/>
    <n v="0"/>
    <n v="500000000"/>
    <n v="0"/>
    <x v="1"/>
    <x v="2"/>
  </r>
  <r>
    <s v="4222470010 Alat Kerja Sintel KAI"/>
    <n v="2500000000"/>
    <n v="2500000000"/>
    <n v="0"/>
    <n v="0"/>
    <n v="0"/>
    <n v="2500000000"/>
    <n v="0"/>
    <x v="1"/>
    <x v="2"/>
  </r>
  <r>
    <s v="4222600000 Peralatan Khusus Prasarana KAI"/>
    <n v="400000000"/>
    <n v="300000000"/>
    <n v="0"/>
    <n v="0"/>
    <n v="0"/>
    <n v="300000000"/>
    <n v="100000000"/>
    <x v="1"/>
    <x v="3"/>
  </r>
  <r>
    <s v="4222800000 Beban BBM Mekanik Prasarana"/>
    <n v="180000150"/>
    <n v="180000150"/>
    <n v="28710000"/>
    <n v="0"/>
    <n v="28710000"/>
    <n v="151290150"/>
    <n v="0"/>
    <x v="1"/>
    <x v="8"/>
  </r>
  <r>
    <s v="4232130000 LAT Beban Umum Pengoperasian Prasarana (IO)"/>
    <n v="3500000000"/>
    <n v="3500000000"/>
    <n v="0"/>
    <n v="466659980"/>
    <n v="466659980"/>
    <n v="3033340020"/>
    <n v="0"/>
    <x v="1"/>
    <x v="5"/>
  </r>
  <r>
    <s v="4233100000 Rapat&amp;Akomodasi Beban Umum Perawatan Prasarana KAI"/>
    <n v="556000000"/>
    <n v="417000000"/>
    <n v="30265575"/>
    <n v="27969350"/>
    <n v="58234925"/>
    <n v="358765075"/>
    <n v="139000000"/>
    <x v="1"/>
    <x v="1"/>
  </r>
  <r>
    <s v="4233150010 Kerumahtanggaan Beban Umum Perawatan Prasarana KAI"/>
    <n v="446900000"/>
    <n v="335175000"/>
    <n v="49943816"/>
    <n v="29488600"/>
    <n v="79432416"/>
    <n v="255742584"/>
    <n v="111725000"/>
    <x v="1"/>
    <x v="1"/>
  </r>
  <r>
    <s v="4233151710 Kerumahtanggaan UMDT Beban Umum Perawatan Pras KAI"/>
    <n v="195000000"/>
    <n v="195000000"/>
    <n v="0"/>
    <n v="31957500"/>
    <n v="31957500"/>
    <n v="163042500"/>
    <n v="0"/>
    <x v="1"/>
    <x v="1"/>
  </r>
  <r>
    <s v="4233160010 Inventaris Beban Umum Perawatan Prasarana KAI"/>
    <n v="810806000"/>
    <n v="608104500"/>
    <n v="0"/>
    <n v="0"/>
    <n v="0"/>
    <n v="608104500"/>
    <n v="202701500"/>
    <x v="1"/>
    <x v="1"/>
  </r>
  <r>
    <s v="4233180010 Beban Umum Pengiriman Prasarana KAI"/>
    <n v="0"/>
    <n v="0"/>
    <n v="0"/>
    <n v="0"/>
    <n v="0"/>
    <n v="0"/>
    <n v="0"/>
    <x v="1"/>
    <x v="1"/>
  </r>
  <r>
    <s v="4233200000 Perjalanan Dinas BebanUmum Perawatan Prasarana KAI"/>
    <n v="472300000"/>
    <n v="354225000"/>
    <n v="0"/>
    <n v="80369250"/>
    <n v="80369250"/>
    <n v="273855750"/>
    <n v="118075000"/>
    <x v="1"/>
    <x v="1"/>
  </r>
  <r>
    <s v="4233400000 ATK Beban Umum Perawatan Prasarana KAI"/>
    <n v="80000000"/>
    <n v="80000000"/>
    <n v="35332700"/>
    <n v="0"/>
    <n v="35332700"/>
    <n v="44667300"/>
    <n v="0"/>
    <x v="1"/>
    <x v="1"/>
  </r>
  <r>
    <s v="4242000000 Beban Penyusutan AT Bangunan Kantor"/>
    <n v="0"/>
    <n v="0"/>
    <n v="0"/>
    <n v="12636872"/>
    <n v="12636872"/>
    <n v="-12636872"/>
    <n v="0"/>
    <x v="1"/>
    <x v="6"/>
  </r>
  <r>
    <s v="4272100010 Gaji &amp;Tunjangan PegawaiPerawatan Prasarana Unit JJ"/>
    <n v="22931607229"/>
    <n v="22931607229"/>
    <n v="0"/>
    <n v="3274220056"/>
    <n v="3274220056"/>
    <n v="19657387173"/>
    <n v="0"/>
    <x v="1"/>
    <x v="6"/>
  </r>
  <r>
    <s v="4272200010 Iuran Pensiun Pegawai Perawatan Prasarana Unit JJ/"/>
    <n v="604955157"/>
    <n v="604955157"/>
    <n v="0"/>
    <n v="87915397"/>
    <n v="87915397"/>
    <n v="517039760"/>
    <n v="0"/>
    <x v="1"/>
    <x v="6"/>
  </r>
  <r>
    <s v="4272400000 Lembur dan Perangsang Peg PrwtnPrsrna unit JJ/Sntl"/>
    <n v="20967421530"/>
    <n v="20967421530"/>
    <n v="0"/>
    <n v="3699485886"/>
    <n v="3699485886"/>
    <n v="17267935644"/>
    <n v="0"/>
    <x v="1"/>
    <x v="6"/>
  </r>
  <r>
    <s v="4272500000 PakaianDinas PegPrwtn PrasaranaUnit JJ/sntl/BY Pra"/>
    <n v="105616131"/>
    <n v="105616131"/>
    <n v="0"/>
    <n v="0"/>
    <n v="0"/>
    <n v="105616131"/>
    <n v="0"/>
    <x v="1"/>
    <x v="6"/>
  </r>
  <r>
    <s v="4273100010 Gaji &amp;Tunjangan Pegawai Renwas JJ/Sintel LAA"/>
    <n v="1649426585"/>
    <n v="1649426585"/>
    <n v="0"/>
    <n v="258896079"/>
    <n v="258896079"/>
    <n v="1390530506"/>
    <n v="0"/>
    <x v="1"/>
    <x v="6"/>
  </r>
  <r>
    <s v="4273200010 Iuran Pensiun Pegawai Renwas JJ/Sintel LAA"/>
    <n v="53660123"/>
    <n v="53660123"/>
    <n v="0"/>
    <n v="10936488"/>
    <n v="10936488"/>
    <n v="42723635"/>
    <n v="0"/>
    <x v="1"/>
    <x v="6"/>
  </r>
  <r>
    <s v="4273400000 Lembur dan Perangsang Pegawai Renwas JJ/Sintel LAA"/>
    <n v="1937118528"/>
    <n v="1937118528"/>
    <n v="0"/>
    <n v="388851818"/>
    <n v="388851818"/>
    <n v="1548266710"/>
    <n v="0"/>
    <x v="1"/>
    <x v="6"/>
  </r>
  <r>
    <s v="4273500000 Pakaian Dinas Pegawai Renwas JJ/Sintel LAA"/>
    <n v="3850588"/>
    <n v="3850588"/>
    <n v="0"/>
    <n v="0"/>
    <n v="0"/>
    <n v="3850588"/>
    <n v="0"/>
    <x v="1"/>
    <x v="6"/>
  </r>
  <r>
    <s v="5140000000 Lembur dan Perangsang Pegawai Umum &amp; Administrasi"/>
    <n v="0"/>
    <n v="0"/>
    <n v="0"/>
    <n v="416016"/>
    <n v="416016"/>
    <n v="-416016"/>
    <n v="0"/>
    <x v="1"/>
    <x v="6"/>
  </r>
  <r>
    <s v="21022000 Sintelis"/>
    <n v="111569311691"/>
    <n v="110897810191"/>
    <n v="19485987003"/>
    <n v="9035977927"/>
    <n v="28521964930"/>
    <n v="82375845261"/>
    <n v="671501500"/>
    <x v="1"/>
    <x v="7"/>
  </r>
  <r>
    <s v="1182000000 Persediaan Prasarana Perkeretaapian dan Umum"/>
    <n v="4044107500"/>
    <n v="4044107500"/>
    <n v="644350000"/>
    <n v="585361000"/>
    <n v="1229711000"/>
    <n v="2814396500"/>
    <n v="0"/>
    <x v="2"/>
    <x v="0"/>
  </r>
  <r>
    <s v="4123110010 Gaji &amp;Tunjangan Pegawai Operasi Sarana"/>
    <n v="0"/>
    <n v="0"/>
    <n v="0"/>
    <n v="-2900000"/>
    <n v="-2900000"/>
    <n v="2900000"/>
    <n v="0"/>
    <x v="2"/>
    <x v="6"/>
  </r>
  <r>
    <s v="4221521010 Catu Daya LAA BMN"/>
    <n v="1657269514"/>
    <n v="1657269514"/>
    <n v="40500000"/>
    <n v="84698600"/>
    <n v="125198600"/>
    <n v="1532070914"/>
    <n v="0"/>
    <x v="2"/>
    <x v="0"/>
  </r>
  <r>
    <s v="4221522010 Tranmisi Tenaga LAA BMN"/>
    <n v="30639775739"/>
    <n v="30639775739"/>
    <n v="16506987418"/>
    <n v="7766359971"/>
    <n v="24273347389"/>
    <n v="6366428350"/>
    <n v="0"/>
    <x v="2"/>
    <x v="0"/>
  </r>
  <r>
    <s v="4221523010 Pengendalian Catu Daya LAA BMN"/>
    <n v="288221000"/>
    <n v="288221000"/>
    <n v="0"/>
    <n v="0"/>
    <n v="0"/>
    <n v="288221000"/>
    <n v="0"/>
    <x v="2"/>
    <x v="0"/>
  </r>
  <r>
    <s v="4221524010 Tanda Semboyan LAA BMN"/>
    <n v="593000000"/>
    <n v="593000000"/>
    <n v="0"/>
    <n v="0"/>
    <n v="0"/>
    <n v="593000000"/>
    <n v="0"/>
    <x v="2"/>
    <x v="0"/>
  </r>
  <r>
    <s v="4221525010 Bangunan LAA BMN"/>
    <n v="1210765056"/>
    <n v="1210765056"/>
    <n v="0"/>
    <n v="101534440"/>
    <n v="101534440"/>
    <n v="1109230616"/>
    <n v="0"/>
    <x v="2"/>
    <x v="0"/>
  </r>
  <r>
    <s v="4221526010 Sistim Proteksi LAA BMN"/>
    <n v="720219728"/>
    <n v="720219728"/>
    <n v="0"/>
    <n v="396500562"/>
    <n v="396500562"/>
    <n v="323719166"/>
    <n v="0"/>
    <x v="2"/>
    <x v="0"/>
  </r>
  <r>
    <s v="4221527010 Pendukung LAA BMN"/>
    <n v="2796520000"/>
    <n v="2796520000"/>
    <n v="437704607"/>
    <n v="541996241"/>
    <n v="979700848"/>
    <n v="1816819152"/>
    <n v="0"/>
    <x v="2"/>
    <x v="0"/>
  </r>
  <r>
    <s v="4222521010 Catu Daya LAA KAI"/>
    <n v="231587382"/>
    <n v="231587382"/>
    <n v="0"/>
    <n v="0"/>
    <n v="0"/>
    <n v="231587382"/>
    <n v="0"/>
    <x v="2"/>
    <x v="2"/>
  </r>
  <r>
    <s v="4222522010 Tranmisi Tenaga LAA KAI"/>
    <n v="180831882"/>
    <n v="180831882"/>
    <n v="0"/>
    <n v="0"/>
    <n v="0"/>
    <n v="180831882"/>
    <n v="0"/>
    <x v="2"/>
    <x v="2"/>
  </r>
  <r>
    <s v="4222525010 Bangunan LAA KAI"/>
    <n v="400000000"/>
    <n v="400000000"/>
    <n v="0"/>
    <n v="52516373"/>
    <n v="52516373"/>
    <n v="347483627"/>
    <n v="0"/>
    <x v="2"/>
    <x v="2"/>
  </r>
  <r>
    <s v="4222526010 Sistim Proteksi LAA KAI"/>
    <n v="289155000"/>
    <n v="289155000"/>
    <n v="0"/>
    <n v="0"/>
    <n v="0"/>
    <n v="289155000"/>
    <n v="0"/>
    <x v="2"/>
    <x v="2"/>
  </r>
  <r>
    <s v="4222527010 Pendukung LAA KAI"/>
    <n v="360000000"/>
    <n v="360000000"/>
    <n v="35470000"/>
    <n v="0"/>
    <n v="35470000"/>
    <n v="324530000"/>
    <n v="0"/>
    <x v="2"/>
    <x v="2"/>
  </r>
  <r>
    <s v="4222528010 Alat Kerja pendukung perawatan KAI"/>
    <n v="1710494400"/>
    <n v="1710494400"/>
    <n v="377862600"/>
    <n v="38993000"/>
    <n v="416855600"/>
    <n v="1293638800"/>
    <n v="0"/>
    <x v="2"/>
    <x v="2"/>
  </r>
  <r>
    <s v="4222600000 Peralatan Khusus Prasarana KAI"/>
    <n v="200000000"/>
    <n v="150000000"/>
    <n v="0"/>
    <n v="24488000"/>
    <n v="24488000"/>
    <n v="125512000"/>
    <n v="50000000"/>
    <x v="2"/>
    <x v="3"/>
  </r>
  <r>
    <s v="4233100000 Rapat&amp;Akomodasi Beban Umum Perawatan Prasarana KAI"/>
    <n v="559300000"/>
    <n v="419475000"/>
    <n v="30610000"/>
    <n v="2008000"/>
    <n v="32618000"/>
    <n v="386857000"/>
    <n v="139825000"/>
    <x v="2"/>
    <x v="1"/>
  </r>
  <r>
    <s v="4233150010 Kerumahtanggaan Beban Umum Perawatan Prasarana KAI"/>
    <n v="341280000"/>
    <n v="255960000"/>
    <n v="19700000"/>
    <n v="27200000"/>
    <n v="46900000"/>
    <n v="209060000"/>
    <n v="85320000"/>
    <x v="2"/>
    <x v="1"/>
  </r>
  <r>
    <s v="4233151710 Kerumahtanggaan UMDT Beban Umum Perawatan Pras KAI"/>
    <n v="138000000"/>
    <n v="138000000"/>
    <n v="0"/>
    <n v="23000000"/>
    <n v="23000000"/>
    <n v="115000000"/>
    <n v="0"/>
    <x v="2"/>
    <x v="1"/>
  </r>
  <r>
    <s v="4233160010 Inventaris Beban Umum Perawatan Prasarana KAI"/>
    <n v="388800000"/>
    <n v="291600000"/>
    <n v="0"/>
    <n v="0"/>
    <n v="0"/>
    <n v="291600000"/>
    <n v="97200000"/>
    <x v="2"/>
    <x v="1"/>
  </r>
  <r>
    <s v="4233180010 Beban Umum Pengiriman Prasarana KAI"/>
    <n v="20000000"/>
    <n v="15000000"/>
    <n v="0"/>
    <n v="0"/>
    <n v="0"/>
    <n v="15000000"/>
    <n v="5000000"/>
    <x v="2"/>
    <x v="1"/>
  </r>
  <r>
    <s v="4233200000 Perjalanan Dinas BebanUmum Perawatan Prasarana KAI"/>
    <n v="393410000"/>
    <n v="295057500"/>
    <n v="0"/>
    <n v="79589000"/>
    <n v="79589000"/>
    <n v="215468500"/>
    <n v="98352500"/>
    <x v="2"/>
    <x v="1"/>
  </r>
  <r>
    <s v="4233400000 ATK Beban Umum Perawatan Prasarana KAI"/>
    <n v="91080000"/>
    <n v="91080000"/>
    <n v="0"/>
    <n v="0"/>
    <n v="0"/>
    <n v="91080000"/>
    <n v="0"/>
    <x v="2"/>
    <x v="1"/>
  </r>
  <r>
    <s v="4241000000 Beban Penyusutan AT Prasarana Perkeretaapian"/>
    <n v="0"/>
    <n v="0"/>
    <n v="0"/>
    <n v="120464821"/>
    <n v="120464821"/>
    <n v="-120464821"/>
    <n v="0"/>
    <x v="2"/>
    <x v="6"/>
  </r>
  <r>
    <s v="4242000000 Beban Penyusutan AT Bangunan Kantor"/>
    <n v="0"/>
    <n v="0"/>
    <n v="0"/>
    <n v="8227433"/>
    <n v="8227433"/>
    <n v="-8227433"/>
    <n v="0"/>
    <x v="2"/>
    <x v="6"/>
  </r>
  <r>
    <s v="4271400000 Lembur dan Perangsang Pegawai Operasi Prasarana"/>
    <n v="0"/>
    <n v="0"/>
    <n v="0"/>
    <n v="491371"/>
    <n v="491371"/>
    <n v="-491371"/>
    <n v="0"/>
    <x v="2"/>
    <x v="6"/>
  </r>
  <r>
    <s v="4272100010 Gaji &amp;Tunjangan PegawaiPerawatan Prasarana Unit JJ"/>
    <n v="16223644853"/>
    <n v="16223644853"/>
    <n v="0"/>
    <n v="2331815673"/>
    <n v="2331815673"/>
    <n v="13891829180"/>
    <n v="0"/>
    <x v="2"/>
    <x v="6"/>
  </r>
  <r>
    <s v="4272200010 Iuran Pensiun Pegawai Perawatan Prasarana Unit JJ/"/>
    <n v="201591062"/>
    <n v="201591062"/>
    <n v="0"/>
    <n v="32984926"/>
    <n v="32984926"/>
    <n v="168606136"/>
    <n v="0"/>
    <x v="2"/>
    <x v="6"/>
  </r>
  <r>
    <s v="4272400000 Lembur dan Perangsang Peg PrwtnPrsrna unit JJ/Sntl"/>
    <n v="14498179948"/>
    <n v="14498179948"/>
    <n v="0"/>
    <n v="2681491751"/>
    <n v="2681491751"/>
    <n v="11816688197"/>
    <n v="0"/>
    <x v="2"/>
    <x v="6"/>
  </r>
  <r>
    <s v="4272500000 PakaianDinas PegPrwtn PrasaranaUnit JJ/sntl/BY Pra"/>
    <n v="79212098"/>
    <n v="79212098"/>
    <n v="0"/>
    <n v="0"/>
    <n v="0"/>
    <n v="79212098"/>
    <n v="0"/>
    <x v="2"/>
    <x v="6"/>
  </r>
  <r>
    <s v="4273100010 Gaji &amp;Tunjangan Pegawai Renwas JJ/Sintel LAA"/>
    <n v="1964472996"/>
    <n v="1964472996"/>
    <n v="0"/>
    <n v="195522638"/>
    <n v="195522638"/>
    <n v="1768950358"/>
    <n v="0"/>
    <x v="2"/>
    <x v="6"/>
  </r>
  <r>
    <s v="4273200010 Iuran Pensiun Pegawai Renwas JJ/Sintel LAA"/>
    <n v="40912616"/>
    <n v="40912616"/>
    <n v="0"/>
    <n v="6685068"/>
    <n v="6685068"/>
    <n v="34227548"/>
    <n v="0"/>
    <x v="2"/>
    <x v="6"/>
  </r>
  <r>
    <s v="4273400000 Lembur dan Perangsang Pegawai Renwas JJ/Sintel LAA"/>
    <n v="1928660874"/>
    <n v="1928660874"/>
    <n v="0"/>
    <n v="314922189"/>
    <n v="314922189"/>
    <n v="1613738685"/>
    <n v="0"/>
    <x v="2"/>
    <x v="6"/>
  </r>
  <r>
    <s v="4273500000 Pakaian Dinas Pegawai Renwas JJ/Sintel LAA"/>
    <n v="3850588"/>
    <n v="3850588"/>
    <n v="0"/>
    <n v="0"/>
    <n v="0"/>
    <n v="3850588"/>
    <n v="0"/>
    <x v="2"/>
    <x v="6"/>
  </r>
  <r>
    <s v="21023000 Listrik Aliran Atas"/>
    <n v="82194342236"/>
    <n v="81718644736"/>
    <n v="18093184625"/>
    <n v="15413951057"/>
    <n v="33507135682"/>
    <n v="48211509054"/>
    <n v="475697500"/>
    <x v="2"/>
    <x v="7"/>
  </r>
  <r>
    <s v="1182000000 Persediaan Prasarana Perkeretaapian dan Umum"/>
    <n v="8995670000"/>
    <n v="8995670000"/>
    <n v="7795034312"/>
    <n v="0"/>
    <n v="7795034312"/>
    <n v="1200635688"/>
    <n v="0"/>
    <x v="3"/>
    <x v="0"/>
  </r>
  <r>
    <s v="4221422010 Peralatan Luar Sinyal Elektrik BMN"/>
    <n v="435680000"/>
    <n v="435680000"/>
    <n v="8607111"/>
    <n v="0"/>
    <n v="8607111"/>
    <n v="427072889"/>
    <n v="0"/>
    <x v="3"/>
    <x v="0"/>
  </r>
  <r>
    <s v="4221423010 Peralatan Dalam Sinyal Mekanik BMN"/>
    <n v="229890000"/>
    <n v="229890000"/>
    <n v="0"/>
    <n v="0"/>
    <n v="0"/>
    <n v="229890000"/>
    <n v="0"/>
    <x v="3"/>
    <x v="0"/>
  </r>
  <r>
    <s v="4221424010 Peralatan Luar Sinyal Mekanik BMN"/>
    <n v="929147000"/>
    <n v="929147000"/>
    <n v="499421772"/>
    <n v="6937290"/>
    <n v="506359062"/>
    <n v="422787938"/>
    <n v="0"/>
    <x v="3"/>
    <x v="0"/>
  </r>
  <r>
    <s v="4221425010 Pengamanan Perlintasan Sebidang BMN"/>
    <n v="1200699000"/>
    <n v="1200699000"/>
    <n v="0"/>
    <n v="0"/>
    <n v="0"/>
    <n v="1200699000"/>
    <n v="0"/>
    <x v="3"/>
    <x v="0"/>
  </r>
  <r>
    <s v="4221426010 Pesawat Telepon BMN"/>
    <n v="818532000"/>
    <n v="818532000"/>
    <n v="283749760"/>
    <n v="0"/>
    <n v="283749760"/>
    <n v="534782240"/>
    <n v="0"/>
    <x v="3"/>
    <x v="0"/>
  </r>
  <r>
    <s v="4221427010 Transmisi Komunikasi BMN"/>
    <n v="4824864000"/>
    <n v="4824864000"/>
    <n v="4422334413"/>
    <n v="0"/>
    <n v="4422334413"/>
    <n v="402529587"/>
    <n v="0"/>
    <x v="3"/>
    <x v="0"/>
  </r>
  <r>
    <s v="4221428010 Peralatan Pendukung Sintel BMN"/>
    <n v="1665000000"/>
    <n v="1665000000"/>
    <n v="261038644"/>
    <n v="142557241"/>
    <n v="403595885"/>
    <n v="1261404115"/>
    <n v="0"/>
    <x v="3"/>
    <x v="0"/>
  </r>
  <r>
    <s v="4221428011 Bangunan Sintel BMN"/>
    <n v="530067000"/>
    <n v="530067000"/>
    <n v="0"/>
    <n v="0"/>
    <n v="0"/>
    <n v="530067000"/>
    <n v="0"/>
    <x v="3"/>
    <x v="0"/>
  </r>
  <r>
    <s v="4221428012 Sistem Proteksi Sintel BMN"/>
    <n v="680000000"/>
    <n v="680000000"/>
    <n v="465720901"/>
    <n v="49555233"/>
    <n v="515276134"/>
    <n v="164723866"/>
    <n v="0"/>
    <x v="3"/>
    <x v="0"/>
  </r>
  <r>
    <s v="4221428014 Catu Daya Sintel BMN"/>
    <n v="2233168000"/>
    <n v="2233168000"/>
    <n v="1906218580"/>
    <n v="0"/>
    <n v="1906218580"/>
    <n v="326949420"/>
    <n v="0"/>
    <x v="3"/>
    <x v="0"/>
  </r>
  <r>
    <s v="4222422110 Peralatan Pendukung Sintel KAI"/>
    <n v="354000000"/>
    <n v="354000000"/>
    <n v="0"/>
    <n v="0"/>
    <n v="0"/>
    <n v="354000000"/>
    <n v="0"/>
    <x v="3"/>
    <x v="2"/>
  </r>
  <r>
    <s v="4222423110 Bangunan Sintel KAI"/>
    <n v="450000000"/>
    <n v="450000000"/>
    <n v="0"/>
    <n v="0"/>
    <n v="0"/>
    <n v="450000000"/>
    <n v="0"/>
    <x v="3"/>
    <x v="2"/>
  </r>
  <r>
    <s v="4222470010 Alat Kerja Sintel KAI"/>
    <n v="700000000"/>
    <n v="700000000"/>
    <n v="394079880"/>
    <n v="0"/>
    <n v="394079880"/>
    <n v="305920120"/>
    <n v="0"/>
    <x v="3"/>
    <x v="2"/>
  </r>
  <r>
    <s v="4222600000 Peralatan Khusus Prasarana KAI"/>
    <n v="705000000"/>
    <n v="528750000"/>
    <n v="0"/>
    <n v="0"/>
    <n v="0"/>
    <n v="528750000"/>
    <n v="176250000"/>
    <x v="3"/>
    <x v="3"/>
  </r>
  <r>
    <s v="4222800000 Beban BBM Mekanik Prasarana"/>
    <n v="118875000"/>
    <n v="118875000"/>
    <n v="11725000"/>
    <n v="4050000"/>
    <n v="15775000"/>
    <n v="103100000"/>
    <n v="0"/>
    <x v="3"/>
    <x v="8"/>
  </r>
  <r>
    <s v="4232130000 LAT Beban Umum Pengoperasian Prasarana (IO)"/>
    <n v="2260000000"/>
    <n v="2260000000"/>
    <n v="0"/>
    <n v="325092882"/>
    <n v="325092882"/>
    <n v="1934907118"/>
    <n v="0"/>
    <x v="3"/>
    <x v="5"/>
  </r>
  <r>
    <s v="4233100000 Rapat&amp;Akomodasi Beban Umum Perawatan Prasarana KAI"/>
    <n v="100000000"/>
    <n v="75000000"/>
    <n v="9515280"/>
    <n v="18812609"/>
    <n v="28327889"/>
    <n v="46672111"/>
    <n v="25000000"/>
    <x v="3"/>
    <x v="1"/>
  </r>
  <r>
    <s v="4233150010 Kerumahtanggaan Beban Umum Perawatan Prasarana KAI"/>
    <n v="354600000"/>
    <n v="265950000"/>
    <n v="44932500"/>
    <n v="34913500"/>
    <n v="79846000"/>
    <n v="186104000"/>
    <n v="88650000"/>
    <x v="3"/>
    <x v="1"/>
  </r>
  <r>
    <s v="4233151710 Kerumahtanggaan UMDT Beban Umum Perawatan Pras KAI"/>
    <n v="99000000"/>
    <n v="99000000"/>
    <n v="0"/>
    <n v="16266000"/>
    <n v="16266000"/>
    <n v="82734000"/>
    <n v="0"/>
    <x v="3"/>
    <x v="1"/>
  </r>
  <r>
    <s v="4233160010 Inventaris Beban Umum Perawatan Prasarana KAI"/>
    <n v="271400000"/>
    <n v="203550000"/>
    <n v="2958000"/>
    <n v="44456500"/>
    <n v="47414500"/>
    <n v="156135500"/>
    <n v="67850000"/>
    <x v="3"/>
    <x v="1"/>
  </r>
  <r>
    <s v="4233200000 Perjalanan Dinas BebanUmum Perawatan Prasarana KAI"/>
    <n v="213320000"/>
    <n v="159990000"/>
    <n v="0"/>
    <n v="46805500"/>
    <n v="46805500"/>
    <n v="113184500"/>
    <n v="53330000"/>
    <x v="3"/>
    <x v="1"/>
  </r>
  <r>
    <s v="4233400000 ATK Beban Umum Perawatan Prasarana KAI"/>
    <n v="24000000"/>
    <n v="24000000"/>
    <n v="0"/>
    <n v="7199500"/>
    <n v="7199500"/>
    <n v="16800500"/>
    <n v="0"/>
    <x v="3"/>
    <x v="1"/>
  </r>
  <r>
    <s v="4242000000 Beban Penyusutan AT Bangunan Kantor"/>
    <n v="0"/>
    <n v="0"/>
    <n v="0"/>
    <n v="77266957"/>
    <n v="77266957"/>
    <n v="-77266957"/>
    <n v="0"/>
    <x v="3"/>
    <x v="6"/>
  </r>
  <r>
    <s v="4272100010 Gaji &amp;Tunjangan PegawaiPerawatan Prasarana Unit JJ"/>
    <n v="9949094083"/>
    <n v="9949094083"/>
    <n v="0"/>
    <n v="1450303742"/>
    <n v="1450303742"/>
    <n v="8498790341"/>
    <n v="0"/>
    <x v="3"/>
    <x v="6"/>
  </r>
  <r>
    <s v="4272200010 Iuran Pensiun Pegawai Perawatan Prasarana Unit JJ/"/>
    <n v="386565402"/>
    <n v="386565402"/>
    <n v="0"/>
    <n v="64014112"/>
    <n v="64014112"/>
    <n v="322551290"/>
    <n v="0"/>
    <x v="3"/>
    <x v="6"/>
  </r>
  <r>
    <s v="4272400000 Lembur dan Perangsang Peg PrwtnPrsrna unit JJ/Sntl"/>
    <n v="9769849891"/>
    <n v="9769849891"/>
    <n v="0"/>
    <n v="1666876904"/>
    <n v="1666876904"/>
    <n v="8102972987"/>
    <n v="0"/>
    <x v="3"/>
    <x v="6"/>
  </r>
  <r>
    <s v="4272500000 PakaianDinas PegPrwtn PrasaranaUnit JJ/sntl/BY Pra"/>
    <n v="57758822"/>
    <n v="57758822"/>
    <n v="0"/>
    <n v="0"/>
    <n v="0"/>
    <n v="57758822"/>
    <n v="0"/>
    <x v="3"/>
    <x v="6"/>
  </r>
  <r>
    <s v="4273100010 Gaji &amp;Tunjangan Pegawai Renwas JJ/Sintel LAA"/>
    <n v="1408512003"/>
    <n v="1408512003"/>
    <n v="0"/>
    <n v="129978953"/>
    <n v="129978953"/>
    <n v="1278533050"/>
    <n v="0"/>
    <x v="3"/>
    <x v="6"/>
  </r>
  <r>
    <s v="4273200010 Iuran Pensiun Pegawai Renwas JJ/Sintel LAA"/>
    <n v="38319389"/>
    <n v="38319389"/>
    <n v="0"/>
    <n v="4312708"/>
    <n v="4312708"/>
    <n v="34006681"/>
    <n v="0"/>
    <x v="3"/>
    <x v="6"/>
  </r>
  <r>
    <s v="4273400000 Lembur dan Perangsang Pegawai Renwas JJ/Sintel LAA"/>
    <n v="1330317539"/>
    <n v="1330317539"/>
    <n v="0"/>
    <n v="222468989"/>
    <n v="222468989"/>
    <n v="1107848550"/>
    <n v="0"/>
    <x v="3"/>
    <x v="6"/>
  </r>
  <r>
    <s v="4273500000 Pakaian Dinas Pegawai Renwas JJ/Sintel LAA"/>
    <n v="3850588"/>
    <n v="3850588"/>
    <n v="0"/>
    <n v="0"/>
    <n v="0"/>
    <n v="3850588"/>
    <n v="0"/>
    <x v="3"/>
    <x v="6"/>
  </r>
  <r>
    <s v="5400000000 Penyusutan AT Lainnya (Fasilitas Umum)"/>
    <n v="0"/>
    <n v="0"/>
    <n v="0"/>
    <n v="36550000"/>
    <n v="36550000"/>
    <n v="-36550000"/>
    <n v="0"/>
    <x v="3"/>
    <x v="6"/>
  </r>
  <r>
    <s v="22022000 Sintelis"/>
    <n v="51137179717"/>
    <n v="50726099717"/>
    <n v="16105336153"/>
    <n v="4348418620"/>
    <n v="20453754773"/>
    <n v="30272344944"/>
    <n v="411080000"/>
    <x v="3"/>
    <x v="7"/>
  </r>
  <r>
    <s v="1182000000 Persediaan Prasarana Perkeretaapian dan Umum"/>
    <n v="5691755500"/>
    <n v="5691755500"/>
    <n v="5533217000"/>
    <n v="0"/>
    <n v="5533217000"/>
    <n v="158538500"/>
    <n v="0"/>
    <x v="4"/>
    <x v="0"/>
  </r>
  <r>
    <s v="4221422010 Peralatan Luar Sinyal Elektrik BMN"/>
    <n v="874758000"/>
    <n v="874758000"/>
    <n v="872621317"/>
    <n v="0"/>
    <n v="872621317"/>
    <n v="2136683"/>
    <n v="0"/>
    <x v="4"/>
    <x v="0"/>
  </r>
  <r>
    <s v="4221424010 Peralatan Luar Sinyal Mekanik BMN"/>
    <n v="0"/>
    <n v="0"/>
    <n v="0"/>
    <n v="0"/>
    <n v="0"/>
    <n v="0"/>
    <n v="0"/>
    <x v="4"/>
    <x v="0"/>
  </r>
  <r>
    <s v="4221425010 Pengamanan Perlintasan Sebidang BMN"/>
    <n v="249837500"/>
    <n v="249837500"/>
    <n v="106240051"/>
    <n v="0"/>
    <n v="106240051"/>
    <n v="143597449"/>
    <n v="0"/>
    <x v="4"/>
    <x v="0"/>
  </r>
  <r>
    <s v="4221426010 Pesawat Telepon BMN"/>
    <n v="435218500"/>
    <n v="435218500"/>
    <n v="72346470"/>
    <n v="8315000"/>
    <n v="80661470"/>
    <n v="354557030"/>
    <n v="0"/>
    <x v="4"/>
    <x v="0"/>
  </r>
  <r>
    <s v="4221427010 Transmisi Komunikasi BMN"/>
    <n v="196881500"/>
    <n v="196881500"/>
    <n v="0"/>
    <n v="10224916"/>
    <n v="10224916"/>
    <n v="186656584"/>
    <n v="0"/>
    <x v="4"/>
    <x v="0"/>
  </r>
  <r>
    <s v="4221428010 Peralatan Pendukung Sintel BMN"/>
    <n v="1155703000"/>
    <n v="1155703000"/>
    <n v="297962777"/>
    <n v="96677559"/>
    <n v="394640336"/>
    <n v="761062664"/>
    <n v="0"/>
    <x v="4"/>
    <x v="0"/>
  </r>
  <r>
    <s v="4221428011 Bangunan Sintel BMN"/>
    <n v="231680000"/>
    <n v="231680000"/>
    <n v="22153380"/>
    <n v="0"/>
    <n v="22153380"/>
    <n v="209526620"/>
    <n v="0"/>
    <x v="4"/>
    <x v="0"/>
  </r>
  <r>
    <s v="4221428012 Sistem Proteksi Sintel BMN"/>
    <n v="498478000"/>
    <n v="498478000"/>
    <n v="0"/>
    <n v="0"/>
    <n v="0"/>
    <n v="498478000"/>
    <n v="0"/>
    <x v="4"/>
    <x v="0"/>
  </r>
  <r>
    <s v="4221428013 Tanda Semboyan Marka Sintel BMN"/>
    <n v="158995000"/>
    <n v="158995000"/>
    <n v="3857000"/>
    <n v="0"/>
    <n v="3857000"/>
    <n v="155138000"/>
    <n v="0"/>
    <x v="4"/>
    <x v="0"/>
  </r>
  <r>
    <s v="4221428014 Catu Daya Sintel BMN"/>
    <n v="1213930000"/>
    <n v="1213930000"/>
    <n v="48285000"/>
    <n v="0"/>
    <n v="48285000"/>
    <n v="1165645000"/>
    <n v="0"/>
    <x v="4"/>
    <x v="0"/>
  </r>
  <r>
    <s v="4222423110 Bangunan Sintel KAI"/>
    <n v="250000000"/>
    <n v="250000000"/>
    <n v="38082500"/>
    <n v="8775138"/>
    <n v="46857638"/>
    <n v="203142362"/>
    <n v="0"/>
    <x v="4"/>
    <x v="2"/>
  </r>
  <r>
    <s v="4222424010 Peralatan Luar Sinyal Elektrik KAI"/>
    <n v="39449000"/>
    <n v="39449000"/>
    <n v="0"/>
    <n v="0"/>
    <n v="0"/>
    <n v="39449000"/>
    <n v="0"/>
    <x v="4"/>
    <x v="2"/>
  </r>
  <r>
    <s v="4222470010 Alat Kerja Sintel KAI"/>
    <n v="433971000"/>
    <n v="433971000"/>
    <n v="0"/>
    <n v="0"/>
    <n v="0"/>
    <n v="433971000"/>
    <n v="0"/>
    <x v="4"/>
    <x v="2"/>
  </r>
  <r>
    <s v="4222600000 Peralatan Khusus Prasarana KAI"/>
    <n v="125000000"/>
    <n v="125000000"/>
    <n v="0"/>
    <n v="0"/>
    <n v="0"/>
    <n v="125000000"/>
    <n v="0"/>
    <x v="4"/>
    <x v="3"/>
  </r>
  <r>
    <s v="4222800000 Beban BBM Mekanik Prasarana"/>
    <n v="45045000"/>
    <n v="45045000"/>
    <n v="11205000"/>
    <n v="0"/>
    <n v="11205000"/>
    <n v="33840000"/>
    <n v="0"/>
    <x v="4"/>
    <x v="8"/>
  </r>
  <r>
    <s v="4231140000 Komunikasi Radio &amp; Telekomunikasi"/>
    <n v="33075000"/>
    <n v="33075000"/>
    <n v="0"/>
    <n v="0"/>
    <n v="0"/>
    <n v="33075000"/>
    <n v="0"/>
    <x v="4"/>
    <x v="5"/>
  </r>
  <r>
    <s v="4232130000 LAT Beban Umum Pengoperasian Prasarana (IO)"/>
    <n v="592250000"/>
    <n v="592250000"/>
    <n v="269200"/>
    <n v="346245306"/>
    <n v="346514506"/>
    <n v="245735494"/>
    <n v="0"/>
    <x v="4"/>
    <x v="5"/>
  </r>
  <r>
    <s v="4233100000 Rapat&amp;Akomodasi Beban Umum Perawatan Prasarana KAI"/>
    <n v="45000000"/>
    <n v="45000000"/>
    <n v="28592500"/>
    <n v="10000000"/>
    <n v="38592500"/>
    <n v="6407500"/>
    <n v="0"/>
    <x v="4"/>
    <x v="1"/>
  </r>
  <r>
    <s v="4233150010 Kerumahtanggaan Beban Umum Perawatan Prasarana KAI"/>
    <n v="136250000"/>
    <n v="136250000"/>
    <n v="55881809"/>
    <n v="78562135"/>
    <n v="134443944"/>
    <n v="1806056"/>
    <n v="0"/>
    <x v="4"/>
    <x v="1"/>
  </r>
  <r>
    <s v="4233151710 Kerumahtanggaan UMDT Beban Umum Perawatan Pras KAI"/>
    <n v="21750000"/>
    <n v="21750000"/>
    <n v="0"/>
    <n v="14461500"/>
    <n v="14461500"/>
    <n v="7288500"/>
    <n v="0"/>
    <x v="4"/>
    <x v="1"/>
  </r>
  <r>
    <s v="4233160010 Inventaris Beban Umum Perawatan Prasarana KAI"/>
    <n v="146550000"/>
    <n v="146550000"/>
    <n v="114790302"/>
    <n v="0"/>
    <n v="114790302"/>
    <n v="31759698"/>
    <n v="0"/>
    <x v="4"/>
    <x v="1"/>
  </r>
  <r>
    <s v="4233180010 Beban Umum Pengiriman Prasarana KAI"/>
    <n v="5000000"/>
    <n v="5000000"/>
    <n v="0"/>
    <n v="3000000"/>
    <n v="3000000"/>
    <n v="2000000"/>
    <n v="0"/>
    <x v="4"/>
    <x v="1"/>
  </r>
  <r>
    <s v="4233200000 Perjalanan Dinas BebanUmum Perawatan Prasarana KAI"/>
    <n v="54100500"/>
    <n v="54100500"/>
    <n v="0"/>
    <n v="37528000"/>
    <n v="37528000"/>
    <n v="16572500"/>
    <n v="0"/>
    <x v="4"/>
    <x v="1"/>
  </r>
  <r>
    <s v="4233400000 ATK Beban Umum Perawatan Prasarana KAI"/>
    <n v="12000000"/>
    <n v="12000000"/>
    <n v="6889220"/>
    <n v="0"/>
    <n v="6889220"/>
    <n v="5110780"/>
    <n v="0"/>
    <x v="4"/>
    <x v="1"/>
  </r>
  <r>
    <s v="4272100010 Gaji &amp;Tunjangan PegawaiPerawatan Prasarana Unit JJ"/>
    <n v="7504723378"/>
    <n v="7504723378"/>
    <n v="0"/>
    <n v="1069019840"/>
    <n v="1069019840"/>
    <n v="6435703538"/>
    <n v="0"/>
    <x v="4"/>
    <x v="6"/>
  </r>
  <r>
    <s v="4272200010 Iuran Pensiun Pegawai Perawatan Prasarana Unit JJ/"/>
    <n v="226336070"/>
    <n v="226336070"/>
    <n v="0"/>
    <n v="37653988"/>
    <n v="37653988"/>
    <n v="188682082"/>
    <n v="0"/>
    <x v="4"/>
    <x v="6"/>
  </r>
  <r>
    <s v="4272400000 Lembur dan Perangsang Peg PrwtnPrsrna unit JJ/Sntl"/>
    <n v="7328638500"/>
    <n v="7328638500"/>
    <n v="0"/>
    <n v="1175901258"/>
    <n v="1175901258"/>
    <n v="6152737242"/>
    <n v="0"/>
    <x v="4"/>
    <x v="6"/>
  </r>
  <r>
    <s v="4272500000 PakaianDinas PegPrwtn PrasaranaUnit JJ/sntl/BY Pra"/>
    <n v="42356469"/>
    <n v="42356469"/>
    <n v="0"/>
    <n v="0"/>
    <n v="0"/>
    <n v="42356469"/>
    <n v="0"/>
    <x v="4"/>
    <x v="6"/>
  </r>
  <r>
    <s v="4273100010 Gaji &amp;Tunjangan Pegawai Renwas JJ/Sintel LAA"/>
    <n v="1286019333"/>
    <n v="1286019333"/>
    <n v="0"/>
    <n v="133425611"/>
    <n v="133425611"/>
    <n v="1152593722"/>
    <n v="0"/>
    <x v="4"/>
    <x v="6"/>
  </r>
  <r>
    <s v="4273200010 Iuran Pensiun Pegawai Renwas JJ/Sintel LAA"/>
    <n v="36818740"/>
    <n v="36818740"/>
    <n v="0"/>
    <n v="6120465"/>
    <n v="6120465"/>
    <n v="30698275"/>
    <n v="0"/>
    <x v="4"/>
    <x v="6"/>
  </r>
  <r>
    <s v="4273400000 Lembur dan Perangsang Pegawai Renwas JJ/Sintel LAA"/>
    <n v="1371419909"/>
    <n v="1371419909"/>
    <n v="0"/>
    <n v="232301192"/>
    <n v="232301192"/>
    <n v="1139118717"/>
    <n v="0"/>
    <x v="4"/>
    <x v="6"/>
  </r>
  <r>
    <s v="4273500000 Pakaian Dinas Pegawai Renwas JJ/Sintel LAA"/>
    <n v="3850588"/>
    <n v="3850588"/>
    <n v="0"/>
    <n v="0"/>
    <n v="0"/>
    <n v="3850588"/>
    <n v="0"/>
    <x v="4"/>
    <x v="6"/>
  </r>
  <r>
    <s v="23022000 Sintelis"/>
    <n v="30446840487"/>
    <n v="30446840487"/>
    <n v="7212393526"/>
    <n v="3268211908"/>
    <n v="10480605434"/>
    <n v="19966235053"/>
    <n v="0"/>
    <x v="4"/>
    <x v="7"/>
  </r>
  <r>
    <s v="1182000000 Persediaan Prasarana Perkeretaapian dan Umum"/>
    <n v="3658728280"/>
    <n v="3658728280"/>
    <n v="2851419420"/>
    <n v="0"/>
    <n v="2851419420"/>
    <n v="807308860"/>
    <n v="0"/>
    <x v="5"/>
    <x v="0"/>
  </r>
  <r>
    <s v="4123210010 Gaji &amp;Tunjangan Pegawai Perawatan Sarana"/>
    <n v="65407631"/>
    <n v="65407631"/>
    <n v="0"/>
    <n v="0"/>
    <n v="0"/>
    <n v="65407631"/>
    <n v="0"/>
    <x v="5"/>
    <x v="6"/>
  </r>
  <r>
    <s v="4123240000 Lembur dan Perangsang Pegawai Perawatan Sarana"/>
    <n v="125267590"/>
    <n v="125267590"/>
    <n v="0"/>
    <n v="0"/>
    <n v="0"/>
    <n v="125267590"/>
    <n v="0"/>
    <x v="5"/>
    <x v="6"/>
  </r>
  <r>
    <s v="4123250000 Pakaian Dinas Pegawai Perawatan Sarana"/>
    <n v="550084"/>
    <n v="550084"/>
    <n v="0"/>
    <n v="0"/>
    <n v="0"/>
    <n v="550084"/>
    <n v="0"/>
    <x v="5"/>
    <x v="6"/>
  </r>
  <r>
    <s v="4221422010 Peralatan Luar Sinyal Elektrik BMN"/>
    <n v="1515061000"/>
    <n v="1515061000"/>
    <n v="461381691"/>
    <n v="0"/>
    <n v="461381691"/>
    <n v="1053679309"/>
    <n v="0"/>
    <x v="5"/>
    <x v="0"/>
  </r>
  <r>
    <s v="4221423010 Peralatan Dalam Sinyal Mekanik BMN"/>
    <n v="225000000"/>
    <n v="225000000"/>
    <n v="0"/>
    <n v="0"/>
    <n v="0"/>
    <n v="225000000"/>
    <n v="0"/>
    <x v="5"/>
    <x v="0"/>
  </r>
  <r>
    <s v="4221424010 Peralatan Luar Sinyal Mekanik BMN"/>
    <n v="227500000"/>
    <n v="227500000"/>
    <n v="5081445"/>
    <n v="0"/>
    <n v="5081445"/>
    <n v="222418555"/>
    <n v="0"/>
    <x v="5"/>
    <x v="0"/>
  </r>
  <r>
    <s v="4221425010 Pengamanan Perlintasan Sebidang BMN"/>
    <n v="234500000"/>
    <n v="234500000"/>
    <n v="49635000"/>
    <n v="0"/>
    <n v="49635000"/>
    <n v="184865000"/>
    <n v="0"/>
    <x v="5"/>
    <x v="0"/>
  </r>
  <r>
    <s v="4221426010 Pesawat Telepon BMN"/>
    <n v="200000000"/>
    <n v="200000000"/>
    <n v="51500000"/>
    <n v="0"/>
    <n v="51500000"/>
    <n v="148500000"/>
    <n v="0"/>
    <x v="5"/>
    <x v="0"/>
  </r>
  <r>
    <s v="4221427010 Transmisi Komunikasi BMN"/>
    <n v="304500000"/>
    <n v="304500000"/>
    <n v="88477869"/>
    <n v="46885000"/>
    <n v="135362869"/>
    <n v="169137131"/>
    <n v="0"/>
    <x v="5"/>
    <x v="0"/>
  </r>
  <r>
    <s v="4221428010 Peralatan Pendukung Sintel BMN"/>
    <n v="931325000"/>
    <n v="931325000"/>
    <n v="281432200"/>
    <n v="59887346"/>
    <n v="341319546"/>
    <n v="590005454"/>
    <n v="0"/>
    <x v="5"/>
    <x v="0"/>
  </r>
  <r>
    <s v="4221428011 Bangunan Sintel BMN"/>
    <n v="140500000"/>
    <n v="140500000"/>
    <n v="30944688"/>
    <n v="0"/>
    <n v="30944688"/>
    <n v="109555312"/>
    <n v="0"/>
    <x v="5"/>
    <x v="0"/>
  </r>
  <r>
    <s v="4221428012 Sistem Proteksi Sintel BMN"/>
    <n v="475000000"/>
    <n v="475000000"/>
    <n v="0"/>
    <n v="0"/>
    <n v="0"/>
    <n v="475000000"/>
    <n v="0"/>
    <x v="5"/>
    <x v="0"/>
  </r>
  <r>
    <s v="4221428013 Tanda Semboyan Marka Sintel BMN"/>
    <n v="25000000"/>
    <n v="25000000"/>
    <n v="4883000"/>
    <n v="0"/>
    <n v="4883000"/>
    <n v="20117000"/>
    <n v="0"/>
    <x v="5"/>
    <x v="0"/>
  </r>
  <r>
    <s v="4221428014 Catu Daya Sintel BMN"/>
    <n v="745637500"/>
    <n v="745637500"/>
    <n v="599680000"/>
    <n v="66765000"/>
    <n v="666445000"/>
    <n v="79192500"/>
    <n v="0"/>
    <x v="5"/>
    <x v="0"/>
  </r>
  <r>
    <s v="4222422110 Peralatan Pendukung Sintel KAI"/>
    <n v="20000000"/>
    <n v="20000000"/>
    <n v="6475000"/>
    <n v="0"/>
    <n v="6475000"/>
    <n v="13525000"/>
    <n v="0"/>
    <x v="5"/>
    <x v="2"/>
  </r>
  <r>
    <s v="4222424010 Peralatan Luar Sinyal Elektrik KAI"/>
    <n v="50000000"/>
    <n v="50000000"/>
    <n v="0"/>
    <n v="0"/>
    <n v="0"/>
    <n v="50000000"/>
    <n v="0"/>
    <x v="5"/>
    <x v="2"/>
  </r>
  <r>
    <s v="4222470010 Alat Kerja Sintel KAI"/>
    <n v="254500000"/>
    <n v="254500000"/>
    <n v="18232600"/>
    <n v="0"/>
    <n v="18232600"/>
    <n v="236267400"/>
    <n v="0"/>
    <x v="5"/>
    <x v="2"/>
  </r>
  <r>
    <s v="4222600000 Peralatan Khusus Prasarana KAI"/>
    <n v="75000000"/>
    <n v="75000000"/>
    <n v="0"/>
    <n v="41856000"/>
    <n v="41856000"/>
    <n v="33144000"/>
    <n v="0"/>
    <x v="5"/>
    <x v="3"/>
  </r>
  <r>
    <s v="4222800000 Beban BBM Mekanik Prasarana"/>
    <n v="160050000"/>
    <n v="160050000"/>
    <n v="44525000"/>
    <n v="27250000"/>
    <n v="71775000"/>
    <n v="88275000"/>
    <n v="0"/>
    <x v="5"/>
    <x v="8"/>
  </r>
  <r>
    <s v="4232130000 LAT Beban Umum Pengoperasian Prasarana (IO)"/>
    <n v="642500000"/>
    <n v="642500000"/>
    <n v="0"/>
    <n v="394857596"/>
    <n v="394857596"/>
    <n v="247642404"/>
    <n v="0"/>
    <x v="5"/>
    <x v="5"/>
  </r>
  <r>
    <s v="4233100000 Rapat&amp;Akomodasi Beban Umum Perawatan Prasarana KAI"/>
    <n v="69718811"/>
    <n v="69718811"/>
    <n v="3400000"/>
    <n v="32418811"/>
    <n v="35818811"/>
    <n v="33900000"/>
    <n v="0"/>
    <x v="5"/>
    <x v="1"/>
  </r>
  <r>
    <s v="4233150010 Kerumahtanggaan Beban Umum Perawatan Prasarana KAI"/>
    <n v="128511500"/>
    <n v="128511500"/>
    <n v="23159000"/>
    <n v="51029500"/>
    <n v="74188500"/>
    <n v="54323000"/>
    <n v="0"/>
    <x v="5"/>
    <x v="1"/>
  </r>
  <r>
    <s v="4233151710 Kerumahtanggaan UMDT Beban Umum Perawatan Pras KAI"/>
    <n v="17500000"/>
    <n v="17500000"/>
    <n v="0"/>
    <n v="17500000"/>
    <n v="17500000"/>
    <n v="0"/>
    <n v="0"/>
    <x v="5"/>
    <x v="1"/>
  </r>
  <r>
    <s v="4233160010 Inventaris Beban Umum Perawatan Prasarana KAI"/>
    <n v="112500000"/>
    <n v="112500000"/>
    <n v="31837000"/>
    <n v="5730000"/>
    <n v="37567000"/>
    <n v="74933000"/>
    <n v="0"/>
    <x v="5"/>
    <x v="1"/>
  </r>
  <r>
    <s v="4233180010 Beban Umum Pengiriman Prasarana KAI"/>
    <n v="41250000"/>
    <n v="41250000"/>
    <n v="0"/>
    <n v="0"/>
    <n v="0"/>
    <n v="41250000"/>
    <n v="0"/>
    <x v="5"/>
    <x v="1"/>
  </r>
  <r>
    <s v="4233200000 Perjalanan Dinas BebanUmum Perawatan Prasarana KAI"/>
    <n v="63000000"/>
    <n v="63000000"/>
    <n v="0"/>
    <n v="52728250"/>
    <n v="52728250"/>
    <n v="10271750"/>
    <n v="0"/>
    <x v="5"/>
    <x v="1"/>
  </r>
  <r>
    <s v="4233300000 LAT Beban Umum Perawatan Prasarana KAI"/>
    <n v="4500000"/>
    <n v="4500000"/>
    <n v="1245000"/>
    <n v="2012160"/>
    <n v="3257160"/>
    <n v="1242840"/>
    <n v="0"/>
    <x v="5"/>
    <x v="1"/>
  </r>
  <r>
    <s v="4233400000 ATK Beban Umum Perawatan Prasarana KAI"/>
    <n v="12500000"/>
    <n v="12500000"/>
    <n v="0"/>
    <n v="12431950"/>
    <n v="12431950"/>
    <n v="68050"/>
    <n v="0"/>
    <x v="5"/>
    <x v="1"/>
  </r>
  <r>
    <s v="4272100010 Gaji &amp;Tunjangan PegawaiPerawatan Prasarana Unit JJ"/>
    <n v="9823162126"/>
    <n v="9823162126"/>
    <n v="0"/>
    <n v="1413095540"/>
    <n v="1413095540"/>
    <n v="8410066586"/>
    <n v="0"/>
    <x v="5"/>
    <x v="6"/>
  </r>
  <r>
    <s v="4272200010 Iuran Pensiun Pegawai Perawatan Prasarana Unit JJ/"/>
    <n v="253256971"/>
    <n v="253256971"/>
    <n v="0"/>
    <n v="40195286"/>
    <n v="40195286"/>
    <n v="213061685"/>
    <n v="0"/>
    <x v="5"/>
    <x v="6"/>
  </r>
  <r>
    <s v="4272400000 Lembur dan Perangsang Peg PrwtnPrsrna unit JJ/Sntl"/>
    <n v="9245675372"/>
    <n v="9245675372"/>
    <n v="0"/>
    <n v="1642954271"/>
    <n v="1642954271"/>
    <n v="7602721101"/>
    <n v="0"/>
    <x v="5"/>
    <x v="6"/>
  </r>
  <r>
    <s v="4272500000 PakaianDinas PegPrwtn PrasaranaUnit JJ/sntl/BY Pra"/>
    <n v="53358150"/>
    <n v="53358150"/>
    <n v="0"/>
    <n v="0"/>
    <n v="0"/>
    <n v="53358150"/>
    <n v="0"/>
    <x v="5"/>
    <x v="6"/>
  </r>
  <r>
    <s v="4273100010 Gaji &amp;Tunjangan Pegawai Renwas JJ/Sintel LAA"/>
    <n v="711662069"/>
    <n v="711662069"/>
    <n v="0"/>
    <n v="148855099"/>
    <n v="148855099"/>
    <n v="562806970"/>
    <n v="0"/>
    <x v="5"/>
    <x v="6"/>
  </r>
  <r>
    <s v="4273200010 Iuran Pensiun Pegawai Renwas JJ/Sintel LAA"/>
    <n v="24702462"/>
    <n v="24702462"/>
    <n v="0"/>
    <n v="6364926"/>
    <n v="6364926"/>
    <n v="18337536"/>
    <n v="0"/>
    <x v="5"/>
    <x v="6"/>
  </r>
  <r>
    <s v="4273400000 Lembur dan Perangsang Pegawai Renwas JJ/Sintel LAA"/>
    <n v="825165933"/>
    <n v="825165933"/>
    <n v="0"/>
    <n v="214605455"/>
    <n v="214605455"/>
    <n v="610560478"/>
    <n v="0"/>
    <x v="5"/>
    <x v="6"/>
  </r>
  <r>
    <s v="4273500000 Pakaian Dinas Pegawai Renwas JJ/Sintel LAA"/>
    <n v="2750420"/>
    <n v="2750420"/>
    <n v="0"/>
    <n v="0"/>
    <n v="0"/>
    <n v="2750420"/>
    <n v="0"/>
    <x v="5"/>
    <x v="6"/>
  </r>
  <r>
    <s v="24022000 Sintelis"/>
    <n v="31465240899"/>
    <n v="31465240899"/>
    <n v="4553308913"/>
    <n v="4277422190"/>
    <n v="8830731103"/>
    <n v="22634509796"/>
    <n v="0"/>
    <x v="5"/>
    <x v="7"/>
  </r>
  <r>
    <s v="1182000000 Persediaan Prasarana Perkeretaapian dan Umum"/>
    <n v="11504360000"/>
    <n v="11504360000"/>
    <n v="8529167730"/>
    <n v="36030000"/>
    <n v="8565197730"/>
    <n v="2939162270"/>
    <n v="0"/>
    <x v="6"/>
    <x v="0"/>
  </r>
  <r>
    <s v="4221422010 Peralatan Luar Sinyal Elektrik BMN"/>
    <n v="1171703000"/>
    <n v="1171703000"/>
    <n v="617301007"/>
    <n v="0"/>
    <n v="617301007"/>
    <n v="554401993"/>
    <n v="0"/>
    <x v="6"/>
    <x v="0"/>
  </r>
  <r>
    <s v="4221423010 Peralatan Dalam Sinyal Mekanik BMN"/>
    <n v="50000000"/>
    <n v="50000000"/>
    <n v="0"/>
    <n v="0"/>
    <n v="0"/>
    <n v="50000000"/>
    <n v="0"/>
    <x v="6"/>
    <x v="0"/>
  </r>
  <r>
    <s v="4221424010 Peralatan Luar Sinyal Mekanik BMN"/>
    <n v="247500000"/>
    <n v="247500000"/>
    <n v="29117120"/>
    <n v="0"/>
    <n v="29117120"/>
    <n v="218382880"/>
    <n v="0"/>
    <x v="6"/>
    <x v="0"/>
  </r>
  <r>
    <s v="4221425010 Pengamanan Perlintasan Sebidang BMN"/>
    <n v="100000000"/>
    <n v="100000000"/>
    <n v="0"/>
    <n v="0"/>
    <n v="0"/>
    <n v="100000000"/>
    <n v="0"/>
    <x v="6"/>
    <x v="0"/>
  </r>
  <r>
    <s v="4221427010 Transmisi Komunikasi BMN"/>
    <n v="655195500"/>
    <n v="655195500"/>
    <n v="62324038"/>
    <n v="100383550"/>
    <n v="162707588"/>
    <n v="492487912"/>
    <n v="0"/>
    <x v="6"/>
    <x v="0"/>
  </r>
  <r>
    <s v="4221428010 Peralatan Pendukung Sintel BMN"/>
    <n v="690000000"/>
    <n v="690000000"/>
    <n v="321145216"/>
    <n v="201042000"/>
    <n v="522187216"/>
    <n v="167812784"/>
    <n v="0"/>
    <x v="6"/>
    <x v="0"/>
  </r>
  <r>
    <s v="4221428011 Bangunan Sintel BMN"/>
    <n v="175000000"/>
    <n v="175000000"/>
    <n v="0"/>
    <n v="0"/>
    <n v="0"/>
    <n v="175000000"/>
    <n v="0"/>
    <x v="6"/>
    <x v="0"/>
  </r>
  <r>
    <s v="4221428012 Sistem Proteksi Sintel BMN"/>
    <n v="496659494"/>
    <n v="496659494"/>
    <n v="0"/>
    <n v="0"/>
    <n v="0"/>
    <n v="496659494"/>
    <n v="0"/>
    <x v="6"/>
    <x v="0"/>
  </r>
  <r>
    <s v="4221428013 Tanda Semboyan Marka Sintel BMN"/>
    <n v="50000000"/>
    <n v="50000000"/>
    <n v="6718000"/>
    <n v="0"/>
    <n v="6718000"/>
    <n v="43282000"/>
    <n v="0"/>
    <x v="6"/>
    <x v="0"/>
  </r>
  <r>
    <s v="4221428014 Catu Daya Sintel BMN"/>
    <n v="2471712500"/>
    <n v="2471712500"/>
    <n v="1339680000"/>
    <n v="0"/>
    <n v="1339680000"/>
    <n v="1132032500"/>
    <n v="0"/>
    <x v="6"/>
    <x v="0"/>
  </r>
  <r>
    <s v="4222424010 Peralatan Luar Sinyal Elektrik KAI"/>
    <n v="15000000"/>
    <n v="15000000"/>
    <n v="0"/>
    <n v="0"/>
    <n v="0"/>
    <n v="15000000"/>
    <n v="0"/>
    <x v="6"/>
    <x v="2"/>
  </r>
  <r>
    <s v="4222470010 Alat Kerja Sintel KAI"/>
    <n v="577500000"/>
    <n v="577500000"/>
    <n v="495830000"/>
    <n v="0"/>
    <n v="495830000"/>
    <n v="81670000"/>
    <n v="0"/>
    <x v="6"/>
    <x v="2"/>
  </r>
  <r>
    <s v="4222600000 Peralatan Khusus Prasarana KAI"/>
    <n v="520000000"/>
    <n v="520000000"/>
    <n v="0"/>
    <n v="0"/>
    <n v="0"/>
    <n v="520000000"/>
    <n v="0"/>
    <x v="6"/>
    <x v="3"/>
  </r>
  <r>
    <s v="4222800000 Beban BBM Mekanik Prasarana"/>
    <n v="125000000"/>
    <n v="125000000"/>
    <n v="32848750"/>
    <n v="0"/>
    <n v="32848750"/>
    <n v="92151250"/>
    <n v="0"/>
    <x v="6"/>
    <x v="8"/>
  </r>
  <r>
    <s v="4232130000 LAT Beban Umum Pengoperasian Prasarana (IO)"/>
    <n v="765894000"/>
    <n v="765894000"/>
    <n v="0"/>
    <n v="396859899"/>
    <n v="396859899"/>
    <n v="369034101"/>
    <n v="0"/>
    <x v="6"/>
    <x v="5"/>
  </r>
  <r>
    <s v="4233100000 Rapat&amp;Akomodasi Beban Umum Perawatan Prasarana KAI"/>
    <n v="36720850"/>
    <n v="36720850"/>
    <n v="10311000"/>
    <n v="9960000"/>
    <n v="20271000"/>
    <n v="16449850"/>
    <n v="0"/>
    <x v="6"/>
    <x v="1"/>
  </r>
  <r>
    <s v="4233150010 Kerumahtanggaan Beban Umum Perawatan Prasarana KAI"/>
    <n v="118079500"/>
    <n v="118079500"/>
    <n v="29494000"/>
    <n v="52117900"/>
    <n v="81611900"/>
    <n v="36467600"/>
    <n v="0"/>
    <x v="6"/>
    <x v="1"/>
  </r>
  <r>
    <s v="4233151710 Kerumahtanggaan UMDT Beban Umum Perawatan Pras KAI"/>
    <n v="24750000"/>
    <n v="24750000"/>
    <n v="0"/>
    <n v="16500000"/>
    <n v="16500000"/>
    <n v="8250000"/>
    <n v="0"/>
    <x v="6"/>
    <x v="1"/>
  </r>
  <r>
    <s v="4233160010 Inventaris Beban Umum Perawatan Prasarana KAI"/>
    <n v="732016185"/>
    <n v="732016185"/>
    <n v="705859685"/>
    <n v="26156500"/>
    <n v="732016185"/>
    <n v="0"/>
    <n v="0"/>
    <x v="6"/>
    <x v="1"/>
  </r>
  <r>
    <s v="4233200000 Perjalanan Dinas BebanUmum Perawatan Prasarana KAI"/>
    <n v="67428000"/>
    <n v="67428000"/>
    <n v="0"/>
    <n v="50796750"/>
    <n v="50796750"/>
    <n v="16631250"/>
    <n v="0"/>
    <x v="6"/>
    <x v="1"/>
  </r>
  <r>
    <s v="4233400000 ATK Beban Umum Perawatan Prasarana KAI"/>
    <n v="15000000"/>
    <n v="15000000"/>
    <n v="14997987"/>
    <n v="0"/>
    <n v="14997987"/>
    <n v="2013"/>
    <n v="0"/>
    <x v="6"/>
    <x v="1"/>
  </r>
  <r>
    <s v="4272100010 Gaji &amp;Tunjangan PegawaiPerawatan Prasarana Unit JJ"/>
    <n v="9825956170"/>
    <n v="9825956170"/>
    <n v="0"/>
    <n v="1414752651"/>
    <n v="1414752651"/>
    <n v="8411203519"/>
    <n v="0"/>
    <x v="6"/>
    <x v="6"/>
  </r>
  <r>
    <s v="4272200010 Iuran Pensiun Pegawai Perawatan Prasarana Unit JJ/"/>
    <n v="469848578"/>
    <n v="469848578"/>
    <n v="0"/>
    <n v="81372528"/>
    <n v="81372528"/>
    <n v="388476050"/>
    <n v="0"/>
    <x v="6"/>
    <x v="6"/>
  </r>
  <r>
    <s v="4272400000 Lembur dan Perangsang Peg PrwtnPrsrna unit JJ/Sntl"/>
    <n v="9512105917"/>
    <n v="9512105917"/>
    <n v="0"/>
    <n v="1634854848"/>
    <n v="1634854848"/>
    <n v="7877251069"/>
    <n v="0"/>
    <x v="6"/>
    <x v="6"/>
  </r>
  <r>
    <s v="4272500000 PakaianDinas PegPrwtn PrasaranaUnit JJ/sntl/BY Pra"/>
    <n v="52257981"/>
    <n v="52257981"/>
    <n v="0"/>
    <n v="0"/>
    <n v="0"/>
    <n v="52257981"/>
    <n v="0"/>
    <x v="6"/>
    <x v="6"/>
  </r>
  <r>
    <s v="4273100010 Gaji &amp;Tunjangan Pegawai Renwas JJ/Sintel LAA"/>
    <n v="994942561"/>
    <n v="994942561"/>
    <n v="0"/>
    <n v="142576822"/>
    <n v="142576822"/>
    <n v="852365739"/>
    <n v="0"/>
    <x v="6"/>
    <x v="6"/>
  </r>
  <r>
    <s v="4273200010 Iuran Pensiun Pegawai Renwas JJ/Sintel LAA"/>
    <n v="33538359"/>
    <n v="33538359"/>
    <n v="0"/>
    <n v="6842991"/>
    <n v="6842991"/>
    <n v="26695368"/>
    <n v="0"/>
    <x v="6"/>
    <x v="6"/>
  </r>
  <r>
    <s v="4273400000 Lembur dan Perangsang Pegawai Renwas JJ/Sintel LAA"/>
    <n v="1099727334"/>
    <n v="1099727334"/>
    <n v="0"/>
    <n v="221405523"/>
    <n v="221405523"/>
    <n v="878321811"/>
    <n v="0"/>
    <x v="6"/>
    <x v="6"/>
  </r>
  <r>
    <s v="4273500000 Pakaian Dinas Pegawai Renwas JJ/Sintel LAA"/>
    <n v="2750420"/>
    <n v="2750420"/>
    <n v="0"/>
    <n v="0"/>
    <n v="0"/>
    <n v="2750420"/>
    <n v="0"/>
    <x v="6"/>
    <x v="6"/>
  </r>
  <r>
    <s v="25022000 Sintelis"/>
    <n v="42600646349"/>
    <n v="42600646349"/>
    <n v="12194794533"/>
    <n v="4391651962"/>
    <n v="16586446495"/>
    <n v="26014199854"/>
    <n v="0"/>
    <x v="6"/>
    <x v="7"/>
  </r>
  <r>
    <s v="1182000000 Persediaan Prasarana Perkeretaapian dan Umum"/>
    <n v="2847534500"/>
    <n v="2847534500"/>
    <n v="718522000"/>
    <n v="0"/>
    <n v="718522000"/>
    <n v="2129012500"/>
    <n v="0"/>
    <x v="7"/>
    <x v="0"/>
  </r>
  <r>
    <s v="4221422010 Peralatan Luar Sinyal Elektrik BMN"/>
    <n v="770000000"/>
    <n v="770000000"/>
    <n v="731199517"/>
    <n v="0"/>
    <n v="731199517"/>
    <n v="38800483"/>
    <n v="0"/>
    <x v="7"/>
    <x v="0"/>
  </r>
  <r>
    <s v="4221423010 Peralatan Dalam Sinyal Mekanik BMN"/>
    <n v="179171000"/>
    <n v="179171000"/>
    <n v="0"/>
    <n v="0"/>
    <n v="0"/>
    <n v="179171000"/>
    <n v="0"/>
    <x v="7"/>
    <x v="0"/>
  </r>
  <r>
    <s v="4221424010 Peralatan Luar Sinyal Mekanik BMN"/>
    <n v="75000000"/>
    <n v="75000000"/>
    <n v="0"/>
    <n v="0"/>
    <n v="0"/>
    <n v="75000000"/>
    <n v="0"/>
    <x v="7"/>
    <x v="0"/>
  </r>
  <r>
    <s v="4221425010 Pengamanan Perlintasan Sebidang BMN"/>
    <n v="437500000"/>
    <n v="437500000"/>
    <n v="0"/>
    <n v="6817000"/>
    <n v="6817000"/>
    <n v="430683000"/>
    <n v="0"/>
    <x v="7"/>
    <x v="0"/>
  </r>
  <r>
    <s v="4221426010 Pesawat Telepon BMN"/>
    <n v="1634991000"/>
    <n v="1634991000"/>
    <n v="197080000"/>
    <n v="99830000"/>
    <n v="296910000"/>
    <n v="1338081000"/>
    <n v="0"/>
    <x v="7"/>
    <x v="0"/>
  </r>
  <r>
    <s v="4221427010 Transmisi Komunikasi BMN"/>
    <n v="245566500"/>
    <n v="245566500"/>
    <n v="0"/>
    <n v="98325000"/>
    <n v="98325000"/>
    <n v="147241500"/>
    <n v="0"/>
    <x v="7"/>
    <x v="0"/>
  </r>
  <r>
    <s v="4221428010 Peralatan Pendukung Sintel BMN"/>
    <n v="850000000"/>
    <n v="850000000"/>
    <n v="259809160"/>
    <n v="74800000"/>
    <n v="334609160"/>
    <n v="515390840"/>
    <n v="0"/>
    <x v="7"/>
    <x v="0"/>
  </r>
  <r>
    <s v="4221428011 Bangunan Sintel BMN"/>
    <n v="200000000"/>
    <n v="200000000"/>
    <n v="0"/>
    <n v="0"/>
    <n v="0"/>
    <n v="200000000"/>
    <n v="0"/>
    <x v="7"/>
    <x v="0"/>
  </r>
  <r>
    <s v="4221428012 Sistem Proteksi Sintel BMN"/>
    <n v="620000000"/>
    <n v="620000000"/>
    <n v="49633664"/>
    <n v="0"/>
    <n v="49633664"/>
    <n v="570366336"/>
    <n v="0"/>
    <x v="7"/>
    <x v="0"/>
  </r>
  <r>
    <s v="4221428013 Tanda Semboyan Marka Sintel BMN"/>
    <n v="75000000"/>
    <n v="75000000"/>
    <n v="0"/>
    <n v="0"/>
    <n v="0"/>
    <n v="75000000"/>
    <n v="0"/>
    <x v="7"/>
    <x v="0"/>
  </r>
  <r>
    <s v="4221428014 Catu Daya Sintel BMN"/>
    <n v="1334151500"/>
    <n v="1334151500"/>
    <n v="1190000000"/>
    <n v="0"/>
    <n v="1190000000"/>
    <n v="144151500"/>
    <n v="0"/>
    <x v="7"/>
    <x v="0"/>
  </r>
  <r>
    <s v="4221521010 Catu Daya LAA BMN"/>
    <n v="273768000"/>
    <n v="273768000"/>
    <n v="0"/>
    <n v="0"/>
    <n v="0"/>
    <n v="273768000"/>
    <n v="0"/>
    <x v="7"/>
    <x v="0"/>
  </r>
  <r>
    <s v="4221522010 Tranmisi Tenaga LAA BMN"/>
    <n v="2633662000"/>
    <n v="2633662000"/>
    <n v="2627635958"/>
    <n v="0"/>
    <n v="2627635958"/>
    <n v="6026042"/>
    <n v="0"/>
    <x v="7"/>
    <x v="0"/>
  </r>
  <r>
    <s v="4221524010 Tanda Semboyan LAA BMN"/>
    <n v="575500000"/>
    <n v="575500000"/>
    <n v="316539281"/>
    <n v="0"/>
    <n v="316539281"/>
    <n v="258960719"/>
    <n v="0"/>
    <x v="7"/>
    <x v="0"/>
  </r>
  <r>
    <s v="4221526010 Sistim Proteksi LAA BMN"/>
    <n v="387500000"/>
    <n v="387500000"/>
    <n v="49450000"/>
    <n v="0"/>
    <n v="49450000"/>
    <n v="338050000"/>
    <n v="0"/>
    <x v="7"/>
    <x v="0"/>
  </r>
  <r>
    <s v="4221527010 Pendukung LAA BMN"/>
    <n v="1130000000"/>
    <n v="1130000000"/>
    <n v="447600900"/>
    <n v="0"/>
    <n v="447600900"/>
    <n v="682399100"/>
    <n v="0"/>
    <x v="7"/>
    <x v="0"/>
  </r>
  <r>
    <s v="4222424010 Peralatan Luar Sinyal Elektrik KAI"/>
    <n v="125000000"/>
    <n v="125000000"/>
    <n v="0"/>
    <n v="0"/>
    <n v="0"/>
    <n v="125000000"/>
    <n v="0"/>
    <x v="7"/>
    <x v="2"/>
  </r>
  <r>
    <s v="4222470010 Alat Kerja Sintel KAI"/>
    <n v="375000000"/>
    <n v="375000000"/>
    <n v="8959000"/>
    <n v="36500000"/>
    <n v="45459000"/>
    <n v="329541000"/>
    <n v="0"/>
    <x v="7"/>
    <x v="2"/>
  </r>
  <r>
    <s v="4222528010 Alat Kerja pendukung perawatan KAI"/>
    <n v="621000000"/>
    <n v="621000000"/>
    <n v="0"/>
    <n v="0"/>
    <n v="0"/>
    <n v="621000000"/>
    <n v="0"/>
    <x v="7"/>
    <x v="2"/>
  </r>
  <r>
    <s v="4222600000 Peralatan Khusus Prasarana KAI"/>
    <n v="100000000"/>
    <n v="100000000"/>
    <n v="0"/>
    <n v="0"/>
    <n v="0"/>
    <n v="100000000"/>
    <n v="0"/>
    <x v="7"/>
    <x v="3"/>
  </r>
  <r>
    <s v="4222800000 Beban BBM Mekanik Prasarana"/>
    <n v="173189000"/>
    <n v="173189000"/>
    <n v="1160000"/>
    <n v="62100000"/>
    <n v="63260000"/>
    <n v="109929000"/>
    <n v="0"/>
    <x v="7"/>
    <x v="8"/>
  </r>
  <r>
    <s v="4232130000 LAT Beban Umum Pengoperasian Prasarana (IO)"/>
    <n v="546340018"/>
    <n v="546340018"/>
    <n v="0"/>
    <n v="320371955"/>
    <n v="320371955"/>
    <n v="225968063"/>
    <n v="0"/>
    <x v="7"/>
    <x v="5"/>
  </r>
  <r>
    <s v="4233100000 Rapat&amp;Akomodasi Beban Umum Perawatan Prasarana KAI"/>
    <n v="24334750"/>
    <n v="24334750"/>
    <n v="6000000"/>
    <n v="9188377"/>
    <n v="15188377"/>
    <n v="9146373"/>
    <n v="0"/>
    <x v="7"/>
    <x v="1"/>
  </r>
  <r>
    <s v="4233150010 Kerumahtanggaan Beban Umum Perawatan Prasarana KAI"/>
    <n v="97531500"/>
    <n v="97531500"/>
    <n v="12164000"/>
    <n v="78837733"/>
    <n v="91001733"/>
    <n v="6529767"/>
    <n v="0"/>
    <x v="7"/>
    <x v="1"/>
  </r>
  <r>
    <s v="4233151710 Kerumahtanggaan UMDT Beban Umum Perawatan Pras KAI"/>
    <n v="37950000"/>
    <n v="37950000"/>
    <n v="0"/>
    <n v="20461500"/>
    <n v="20461500"/>
    <n v="17488500"/>
    <n v="0"/>
    <x v="7"/>
    <x v="1"/>
  </r>
  <r>
    <s v="4233160010 Inventaris Beban Umum Perawatan Prasarana KAI"/>
    <n v="302334250"/>
    <n v="302334250"/>
    <n v="59146500"/>
    <n v="0"/>
    <n v="59146500"/>
    <n v="243187750"/>
    <n v="0"/>
    <x v="7"/>
    <x v="1"/>
  </r>
  <r>
    <s v="4233200000 Perjalanan Dinas BebanUmum Perawatan Prasarana KAI"/>
    <n v="79793750"/>
    <n v="79793750"/>
    <n v="0"/>
    <n v="57649750"/>
    <n v="57649750"/>
    <n v="22144000"/>
    <n v="0"/>
    <x v="7"/>
    <x v="1"/>
  </r>
  <r>
    <s v="4233300000 LAT Beban Umum Perawatan Prasarana KAI"/>
    <n v="13812750"/>
    <n v="13812750"/>
    <n v="0"/>
    <n v="13464055"/>
    <n v="13464055"/>
    <n v="348695"/>
    <n v="0"/>
    <x v="7"/>
    <x v="1"/>
  </r>
  <r>
    <s v="4233400000 ATK Beban Umum Perawatan Prasarana KAI"/>
    <n v="13675500"/>
    <n v="13675500"/>
    <n v="13582000"/>
    <n v="0"/>
    <n v="13582000"/>
    <n v="93500"/>
    <n v="0"/>
    <x v="7"/>
    <x v="1"/>
  </r>
  <r>
    <s v="4242000000 Beban Penyusutan AT Bangunan Kantor"/>
    <n v="0"/>
    <n v="0"/>
    <n v="0"/>
    <n v="18235895"/>
    <n v="18235895"/>
    <n v="-18235895"/>
    <n v="0"/>
    <x v="7"/>
    <x v="6"/>
  </r>
  <r>
    <s v="4272100010 Gaji &amp;Tunjangan PegawaiPerawatan Prasarana Unit JJ"/>
    <n v="12622618927"/>
    <n v="12622618927"/>
    <n v="0"/>
    <n v="1810519600"/>
    <n v="1810519600"/>
    <n v="10812099327"/>
    <n v="0"/>
    <x v="7"/>
    <x v="6"/>
  </r>
  <r>
    <s v="4272200010 Iuran Pensiun Pegawai Perawatan Prasarana Unit JJ/"/>
    <n v="195048292"/>
    <n v="195048292"/>
    <n v="0"/>
    <n v="30192218"/>
    <n v="30192218"/>
    <n v="164856074"/>
    <n v="0"/>
    <x v="7"/>
    <x v="6"/>
  </r>
  <r>
    <s v="4272400000 Lembur dan Perangsang Peg PrwtnPrsrna unit JJ/Sntl"/>
    <n v="12911717415"/>
    <n v="12911717415"/>
    <n v="0"/>
    <n v="2169241697"/>
    <n v="2169241697"/>
    <n v="10742475718"/>
    <n v="0"/>
    <x v="7"/>
    <x v="6"/>
  </r>
  <r>
    <s v="4272500000 PakaianDinas PegPrwtn PrasaranaUnit JJ/sntl/BY Pra"/>
    <n v="74261342"/>
    <n v="74261342"/>
    <n v="0"/>
    <n v="0"/>
    <n v="0"/>
    <n v="74261342"/>
    <n v="0"/>
    <x v="7"/>
    <x v="6"/>
  </r>
  <r>
    <s v="4273100010 Gaji &amp;Tunjangan Pegawai Renwas JJ/Sintel LAA"/>
    <n v="1260610655"/>
    <n v="1260610655"/>
    <n v="0"/>
    <n v="159842823"/>
    <n v="159842823"/>
    <n v="1100767832"/>
    <n v="0"/>
    <x v="7"/>
    <x v="6"/>
  </r>
  <r>
    <s v="4273200010 Iuran Pensiun Pegawai Renwas JJ/Sintel LAA"/>
    <n v="27455801"/>
    <n v="27455801"/>
    <n v="0"/>
    <n v="4454672"/>
    <n v="4454672"/>
    <n v="23001129"/>
    <n v="0"/>
    <x v="7"/>
    <x v="6"/>
  </r>
  <r>
    <s v="4273400000 Lembur dan Perangsang Pegawai Renwas JJ/Sintel LAA"/>
    <n v="1560328837"/>
    <n v="1560328837"/>
    <n v="0"/>
    <n v="263232171"/>
    <n v="263232171"/>
    <n v="1297096666"/>
    <n v="0"/>
    <x v="7"/>
    <x v="6"/>
  </r>
  <r>
    <s v="4273500000 Pakaian Dinas Pegawai Renwas JJ/Sintel LAA"/>
    <n v="2750420"/>
    <n v="2750420"/>
    <n v="0"/>
    <n v="0"/>
    <n v="0"/>
    <n v="2750420"/>
    <n v="0"/>
    <x v="7"/>
    <x v="6"/>
  </r>
  <r>
    <s v="26022000 Sintelis"/>
    <n v="45434097707"/>
    <n v="45434097707"/>
    <n v="6688481980"/>
    <n v="5334064446"/>
    <n v="12022546426"/>
    <n v="33411551281"/>
    <n v="0"/>
    <x v="7"/>
    <x v="7"/>
  </r>
  <r>
    <s v="1182000000 Persediaan Prasarana Perkeretaapian dan Umum"/>
    <n v="3628073000"/>
    <n v="3628073000"/>
    <n v="1708500760"/>
    <n v="0"/>
    <n v="1708500760"/>
    <n v="1919572240"/>
    <n v="0"/>
    <x v="8"/>
    <x v="0"/>
  </r>
  <r>
    <s v="4221422010 Peralatan Luar Sinyal Elektrik BMN"/>
    <n v="128850000"/>
    <n v="128850000"/>
    <n v="0"/>
    <n v="16650000"/>
    <n v="16650000"/>
    <n v="112200000"/>
    <n v="0"/>
    <x v="8"/>
    <x v="0"/>
  </r>
  <r>
    <s v="4221423010 Peralatan Dalam Sinyal Mekanik BMN"/>
    <n v="488774000"/>
    <n v="488774000"/>
    <n v="0"/>
    <n v="0"/>
    <n v="0"/>
    <n v="488774000"/>
    <n v="0"/>
    <x v="8"/>
    <x v="0"/>
  </r>
  <r>
    <s v="4221424010 Peralatan Luar Sinyal Mekanik BMN"/>
    <n v="498000000"/>
    <n v="498000000"/>
    <n v="0"/>
    <n v="0"/>
    <n v="0"/>
    <n v="498000000"/>
    <n v="0"/>
    <x v="8"/>
    <x v="0"/>
  </r>
  <r>
    <s v="4221425010 Pengamanan Perlintasan Sebidang BMN"/>
    <n v="298750000"/>
    <n v="298750000"/>
    <n v="35247626"/>
    <n v="0"/>
    <n v="35247626"/>
    <n v="263502374"/>
    <n v="0"/>
    <x v="8"/>
    <x v="0"/>
  </r>
  <r>
    <s v="4221426010 Pesawat Telepon BMN"/>
    <n v="193000000"/>
    <n v="193000000"/>
    <n v="0"/>
    <n v="0"/>
    <n v="0"/>
    <n v="193000000"/>
    <n v="0"/>
    <x v="8"/>
    <x v="0"/>
  </r>
  <r>
    <s v="4221427010 Transmisi Komunikasi BMN"/>
    <n v="1222108000"/>
    <n v="1222108000"/>
    <n v="107724690"/>
    <n v="0"/>
    <n v="107724690"/>
    <n v="1114383310"/>
    <n v="0"/>
    <x v="8"/>
    <x v="0"/>
  </r>
  <r>
    <s v="4221428010 Peralatan Pendukung Sintel BMN"/>
    <n v="534300000"/>
    <n v="534300000"/>
    <n v="77914500"/>
    <n v="96550828"/>
    <n v="174465328"/>
    <n v="359834672"/>
    <n v="0"/>
    <x v="8"/>
    <x v="0"/>
  </r>
  <r>
    <s v="4221428011 Bangunan Sintel BMN"/>
    <n v="145000000"/>
    <n v="145000000"/>
    <n v="30259835"/>
    <n v="0"/>
    <n v="30259835"/>
    <n v="114740165"/>
    <n v="0"/>
    <x v="8"/>
    <x v="0"/>
  </r>
  <r>
    <s v="4221428012 Sistem Proteksi Sintel BMN"/>
    <n v="174000000"/>
    <n v="174000000"/>
    <n v="0"/>
    <n v="0"/>
    <n v="0"/>
    <n v="174000000"/>
    <n v="0"/>
    <x v="8"/>
    <x v="0"/>
  </r>
  <r>
    <s v="4221428013 Tanda Semboyan Marka Sintel BMN"/>
    <n v="49800000"/>
    <n v="49800000"/>
    <n v="0"/>
    <n v="0"/>
    <n v="0"/>
    <n v="49800000"/>
    <n v="0"/>
    <x v="8"/>
    <x v="0"/>
  </r>
  <r>
    <s v="4221428014 Catu Daya Sintel BMN"/>
    <n v="1882400000"/>
    <n v="1882400000"/>
    <n v="210764000"/>
    <n v="0"/>
    <n v="210764000"/>
    <n v="1671636000"/>
    <n v="0"/>
    <x v="8"/>
    <x v="0"/>
  </r>
  <r>
    <s v="4222423110 Bangunan Sintel KAI"/>
    <n v="300000000"/>
    <n v="300000000"/>
    <n v="0"/>
    <n v="1944000"/>
    <n v="1944000"/>
    <n v="298056000"/>
    <n v="0"/>
    <x v="8"/>
    <x v="2"/>
  </r>
  <r>
    <s v="4222424010 Peralatan Luar Sinyal Elektrik KAI"/>
    <n v="15000000"/>
    <n v="15000000"/>
    <n v="0"/>
    <n v="0"/>
    <n v="0"/>
    <n v="15000000"/>
    <n v="0"/>
    <x v="8"/>
    <x v="2"/>
  </r>
  <r>
    <s v="4222470010 Alat Kerja Sintel KAI"/>
    <n v="463000000"/>
    <n v="463000000"/>
    <n v="0"/>
    <n v="0"/>
    <n v="0"/>
    <n v="463000000"/>
    <n v="0"/>
    <x v="8"/>
    <x v="2"/>
  </r>
  <r>
    <s v="4222600000 Peralatan Khusus Prasarana KAI"/>
    <n v="100000000"/>
    <n v="75000000"/>
    <n v="0"/>
    <n v="2159300"/>
    <n v="2159300"/>
    <n v="72840700"/>
    <n v="25000000"/>
    <x v="8"/>
    <x v="3"/>
  </r>
  <r>
    <s v="4222800000 Beban BBM Mekanik Prasarana"/>
    <n v="111310000"/>
    <n v="111310000"/>
    <n v="0"/>
    <n v="21262500"/>
    <n v="21262500"/>
    <n v="90047500"/>
    <n v="0"/>
    <x v="8"/>
    <x v="8"/>
  </r>
  <r>
    <s v="4232130000 LAT Beban Umum Pengoperasian Prasarana (IO)"/>
    <n v="2310000000"/>
    <n v="2310000000"/>
    <n v="0"/>
    <n v="284145595"/>
    <n v="284145595"/>
    <n v="2025854405"/>
    <n v="0"/>
    <x v="8"/>
    <x v="5"/>
  </r>
  <r>
    <s v="4233100000 Rapat&amp;Akomodasi Beban Umum Perawatan Prasarana KAI"/>
    <n v="86152000"/>
    <n v="64614000"/>
    <n v="5000000"/>
    <n v="8264001"/>
    <n v="13264001"/>
    <n v="51349999"/>
    <n v="21538000"/>
    <x v="8"/>
    <x v="1"/>
  </r>
  <r>
    <s v="4233150010 Kerumahtanggaan Beban Umum Perawatan Prasarana KAI"/>
    <n v="110006000"/>
    <n v="82504500"/>
    <n v="6850000"/>
    <n v="13891000"/>
    <n v="20741000"/>
    <n v="61763500"/>
    <n v="27501500"/>
    <x v="8"/>
    <x v="1"/>
  </r>
  <r>
    <s v="4233151710 Kerumahtanggaan UMDT Beban Umum Perawatan Pras KAI"/>
    <n v="96000000"/>
    <n v="96000000"/>
    <n v="0"/>
    <n v="13500000"/>
    <n v="13500000"/>
    <n v="82500000"/>
    <n v="0"/>
    <x v="8"/>
    <x v="1"/>
  </r>
  <r>
    <s v="4233160010 Inventaris Beban Umum Perawatan Prasarana KAI"/>
    <n v="514400000"/>
    <n v="385800000"/>
    <n v="37890000"/>
    <n v="3485000"/>
    <n v="41375000"/>
    <n v="344425000"/>
    <n v="128600000"/>
    <x v="8"/>
    <x v="1"/>
  </r>
  <r>
    <s v="4233200000 Perjalanan Dinas BebanUmum Perawatan Prasarana KAI"/>
    <n v="230000000"/>
    <n v="172500000"/>
    <n v="0"/>
    <n v="38303000"/>
    <n v="38303000"/>
    <n v="134197000"/>
    <n v="57500000"/>
    <x v="8"/>
    <x v="1"/>
  </r>
  <r>
    <s v="4233400000 ATK Beban Umum Perawatan Prasarana KAI"/>
    <n v="40300000"/>
    <n v="40300000"/>
    <n v="9982500"/>
    <n v="0"/>
    <n v="9982500"/>
    <n v="30317500"/>
    <n v="0"/>
    <x v="8"/>
    <x v="1"/>
  </r>
  <r>
    <s v="4272100010 Gaji &amp;Tunjangan PegawaiPerawatan Prasarana Unit JJ"/>
    <n v="7053792265"/>
    <n v="7053792265"/>
    <n v="0"/>
    <n v="970906178"/>
    <n v="970906178"/>
    <n v="6082886087"/>
    <n v="0"/>
    <x v="8"/>
    <x v="6"/>
  </r>
  <r>
    <s v="4272200010 Iuran Pensiun Pegawai Perawatan Prasarana Unit JJ/"/>
    <n v="250901909"/>
    <n v="250901909"/>
    <n v="0"/>
    <n v="41453410"/>
    <n v="41453410"/>
    <n v="209448499"/>
    <n v="0"/>
    <x v="8"/>
    <x v="6"/>
  </r>
  <r>
    <s v="4272400000 Lembur dan Perangsang Peg PrwtnPrsrna unit JJ/Sntl"/>
    <n v="7015042421"/>
    <n v="7015042421"/>
    <n v="0"/>
    <n v="1204952297"/>
    <n v="1204952297"/>
    <n v="5810090124"/>
    <n v="0"/>
    <x v="8"/>
    <x v="6"/>
  </r>
  <r>
    <s v="4272500000 PakaianDinas PegPrwtn PrasaranaUnit JJ/sntl/BY Pra"/>
    <n v="36855629"/>
    <n v="36855629"/>
    <n v="0"/>
    <n v="0"/>
    <n v="0"/>
    <n v="36855629"/>
    <n v="0"/>
    <x v="8"/>
    <x v="6"/>
  </r>
  <r>
    <s v="4273100010 Gaji &amp;Tunjangan Pegawai Renwas JJ/Sintel LAA"/>
    <n v="1231212066"/>
    <n v="1231212066"/>
    <n v="0"/>
    <n v="158536272"/>
    <n v="158536272"/>
    <n v="1072675794"/>
    <n v="0"/>
    <x v="8"/>
    <x v="6"/>
  </r>
  <r>
    <s v="4273200010 Iuran Pensiun Pegawai Renwas JJ/Sintel LAA"/>
    <n v="53436119"/>
    <n v="53436119"/>
    <n v="0"/>
    <n v="10655056"/>
    <n v="10655056"/>
    <n v="42781063"/>
    <n v="0"/>
    <x v="8"/>
    <x v="6"/>
  </r>
  <r>
    <s v="4273400000 Lembur dan Perangsang Pegawai Renwas JJ/Sintel LAA"/>
    <n v="1449712379"/>
    <n v="1449712379"/>
    <n v="0"/>
    <n v="236841973"/>
    <n v="236841973"/>
    <n v="1212870406"/>
    <n v="0"/>
    <x v="8"/>
    <x v="6"/>
  </r>
  <r>
    <s v="4273500000 Pakaian Dinas Pegawai Renwas JJ/Sintel LAA"/>
    <n v="4400672"/>
    <n v="4400672"/>
    <n v="0"/>
    <n v="0"/>
    <n v="0"/>
    <n v="4400672"/>
    <n v="0"/>
    <x v="8"/>
    <x v="6"/>
  </r>
  <r>
    <s v="27022000 Sintelis"/>
    <n v="30714576460"/>
    <n v="30454436960"/>
    <n v="2230133911"/>
    <n v="3123500410"/>
    <n v="5353634321"/>
    <n v="25100802639"/>
    <n v="260139500"/>
    <x v="8"/>
    <x v="7"/>
  </r>
  <r>
    <s v="1182000000 Persediaan Prasarana Perkeretaapian dan Umum"/>
    <n v="13755471000"/>
    <n v="13755471000"/>
    <n v="13000512555"/>
    <n v="704812500"/>
    <n v="13705325055"/>
    <n v="50145945"/>
    <n v="0"/>
    <x v="9"/>
    <x v="0"/>
  </r>
  <r>
    <s v="4221422010 Peralatan Luar Sinyal Elektrik BMN"/>
    <n v="2948978000"/>
    <n v="2948978000"/>
    <n v="2788546174"/>
    <n v="48872950"/>
    <n v="2837419124"/>
    <n v="111558876"/>
    <n v="0"/>
    <x v="9"/>
    <x v="0"/>
  </r>
  <r>
    <s v="4221423010 Peralatan Dalam Sinyal Mekanik BMN"/>
    <n v="223903500"/>
    <n v="223903500"/>
    <n v="0"/>
    <n v="0"/>
    <n v="0"/>
    <n v="223903500"/>
    <n v="0"/>
    <x v="9"/>
    <x v="0"/>
  </r>
  <r>
    <s v="4221424010 Peralatan Luar Sinyal Mekanik BMN"/>
    <n v="1880742000"/>
    <n v="1880742000"/>
    <n v="1395485871"/>
    <n v="0"/>
    <n v="1395485871"/>
    <n v="485256129"/>
    <n v="0"/>
    <x v="9"/>
    <x v="0"/>
  </r>
  <r>
    <s v="4221425010 Pengamanan Perlintasan Sebidang BMN"/>
    <n v="106528224"/>
    <n v="106528224"/>
    <n v="33060600"/>
    <n v="0"/>
    <n v="33060600"/>
    <n v="73467624"/>
    <n v="0"/>
    <x v="9"/>
    <x v="0"/>
  </r>
  <r>
    <s v="4221426010 Pesawat Telepon BMN"/>
    <n v="428000000"/>
    <n v="428000000"/>
    <n v="0"/>
    <n v="141841100"/>
    <n v="141841100"/>
    <n v="286158900"/>
    <n v="0"/>
    <x v="9"/>
    <x v="0"/>
  </r>
  <r>
    <s v="4221427010 Transmisi Komunikasi BMN"/>
    <n v="1395999500"/>
    <n v="1395999500"/>
    <n v="562101045"/>
    <n v="136757380"/>
    <n v="698858425"/>
    <n v="697141075"/>
    <n v="0"/>
    <x v="9"/>
    <x v="0"/>
  </r>
  <r>
    <s v="4221428010 Peralatan Pendukung Sintel BMN"/>
    <n v="830172000"/>
    <n v="830172000"/>
    <n v="377887300"/>
    <n v="284002988"/>
    <n v="661890288"/>
    <n v="168281712"/>
    <n v="0"/>
    <x v="9"/>
    <x v="0"/>
  </r>
  <r>
    <s v="4221428011 Bangunan Sintel BMN"/>
    <n v="163577500"/>
    <n v="163577500"/>
    <n v="67275600"/>
    <n v="0"/>
    <n v="67275600"/>
    <n v="96301900"/>
    <n v="0"/>
    <x v="9"/>
    <x v="0"/>
  </r>
  <r>
    <s v="4221428012 Sistem Proteksi Sintel BMN"/>
    <n v="415688000"/>
    <n v="415688000"/>
    <n v="345662595"/>
    <n v="0"/>
    <n v="345662595"/>
    <n v="70025405"/>
    <n v="0"/>
    <x v="9"/>
    <x v="0"/>
  </r>
  <r>
    <s v="4221428014 Catu Daya Sintel BMN"/>
    <n v="1039505000"/>
    <n v="1039505000"/>
    <n v="648860000"/>
    <n v="370560000"/>
    <n v="1019420000"/>
    <n v="20085000"/>
    <n v="0"/>
    <x v="9"/>
    <x v="0"/>
  </r>
  <r>
    <s v="4222424010 Peralatan Luar Sinyal Elektrik KAI"/>
    <n v="300000000"/>
    <n v="300000000"/>
    <n v="0"/>
    <n v="0"/>
    <n v="0"/>
    <n v="300000000"/>
    <n v="0"/>
    <x v="9"/>
    <x v="2"/>
  </r>
  <r>
    <s v="4222470010 Alat Kerja Sintel KAI"/>
    <n v="500000000"/>
    <n v="500000000"/>
    <n v="0"/>
    <n v="0"/>
    <n v="0"/>
    <n v="500000000"/>
    <n v="0"/>
    <x v="9"/>
    <x v="2"/>
  </r>
  <r>
    <s v="4222600000 Peralatan Khusus Prasarana KAI"/>
    <n v="100000000"/>
    <n v="100000000"/>
    <n v="0"/>
    <n v="0"/>
    <n v="0"/>
    <n v="100000000"/>
    <n v="0"/>
    <x v="9"/>
    <x v="3"/>
  </r>
  <r>
    <s v="4222800000 Beban BBM Mekanik Prasarana"/>
    <n v="70775000"/>
    <n v="70775000"/>
    <n v="24082000"/>
    <n v="3970000"/>
    <n v="28052000"/>
    <n v="42723000"/>
    <n v="0"/>
    <x v="9"/>
    <x v="8"/>
  </r>
  <r>
    <s v="4232130000 LAT Beban Umum Pengoperasian Prasarana (IO)"/>
    <n v="880440000"/>
    <n v="880440000"/>
    <n v="581770"/>
    <n v="411555340"/>
    <n v="412137110"/>
    <n v="468302890"/>
    <n v="0"/>
    <x v="9"/>
    <x v="5"/>
  </r>
  <r>
    <s v="4233100000 Rapat&amp;Akomodasi Beban Umum Perawatan Prasarana KAI"/>
    <n v="77500000"/>
    <n v="77500000"/>
    <n v="23940000"/>
    <n v="13464500"/>
    <n v="37404500"/>
    <n v="40095500"/>
    <n v="0"/>
    <x v="9"/>
    <x v="1"/>
  </r>
  <r>
    <s v="4233150010 Kerumahtanggaan Beban Umum Perawatan Prasarana KAI"/>
    <n v="154250000"/>
    <n v="154250000"/>
    <n v="21601800"/>
    <n v="60021850"/>
    <n v="81623650"/>
    <n v="72626350"/>
    <n v="0"/>
    <x v="9"/>
    <x v="1"/>
  </r>
  <r>
    <s v="4233151710 Kerumahtanggaan UMDT Beban Umum Perawatan Pras KAI"/>
    <n v="27750000"/>
    <n v="27750000"/>
    <n v="0"/>
    <n v="18500000"/>
    <n v="18500000"/>
    <n v="9250000"/>
    <n v="0"/>
    <x v="9"/>
    <x v="1"/>
  </r>
  <r>
    <s v="4233160010 Inventaris Beban Umum Perawatan Prasarana KAI"/>
    <n v="286250000"/>
    <n v="286250000"/>
    <n v="16504900"/>
    <n v="3022770"/>
    <n v="19527670"/>
    <n v="266722330"/>
    <n v="0"/>
    <x v="9"/>
    <x v="1"/>
  </r>
  <r>
    <s v="4233200000 Perjalanan Dinas BebanUmum Perawatan Prasarana KAI"/>
    <n v="108000000"/>
    <n v="108000000"/>
    <n v="0"/>
    <n v="52841500"/>
    <n v="52841500"/>
    <n v="55158500"/>
    <n v="0"/>
    <x v="9"/>
    <x v="1"/>
  </r>
  <r>
    <s v="4233300000 LAT Beban Umum Perawatan Prasarana KAI"/>
    <n v="1500000"/>
    <n v="1500000"/>
    <n v="384315"/>
    <n v="0"/>
    <n v="384315"/>
    <n v="1115685"/>
    <n v="0"/>
    <x v="9"/>
    <x v="1"/>
  </r>
  <r>
    <s v="4233400000 ATK Beban Umum Perawatan Prasarana KAI"/>
    <n v="16379250"/>
    <n v="16379250"/>
    <n v="0"/>
    <n v="15178108"/>
    <n v="15178108"/>
    <n v="1201142"/>
    <n v="0"/>
    <x v="9"/>
    <x v="1"/>
  </r>
  <r>
    <s v="4272100010 Gaji &amp;Tunjangan PegawaiPerawatan Prasarana Unit JJ"/>
    <n v="10714916013"/>
    <n v="10714916013"/>
    <n v="0"/>
    <n v="1496192839"/>
    <n v="1496192839"/>
    <n v="9218723174"/>
    <n v="0"/>
    <x v="9"/>
    <x v="6"/>
  </r>
  <r>
    <s v="4272200010 Iuran Pensiun Pegawai Perawatan Prasarana Unit JJ/"/>
    <n v="275820432"/>
    <n v="275820432"/>
    <n v="0"/>
    <n v="45781098"/>
    <n v="45781098"/>
    <n v="230039334"/>
    <n v="0"/>
    <x v="9"/>
    <x v="6"/>
  </r>
  <r>
    <s v="4272400000 Lembur dan Perangsang Peg PrwtnPrsrna unit JJ/Sntl"/>
    <n v="10532164202"/>
    <n v="10532164202"/>
    <n v="0"/>
    <n v="1796783852"/>
    <n v="1796783852"/>
    <n v="8735380350"/>
    <n v="0"/>
    <x v="9"/>
    <x v="6"/>
  </r>
  <r>
    <s v="4272500000 PakaianDinas PegPrwtn PrasaranaUnit JJ/sntl/BY Pra"/>
    <n v="59959158"/>
    <n v="59959158"/>
    <n v="0"/>
    <n v="0"/>
    <n v="0"/>
    <n v="59959158"/>
    <n v="0"/>
    <x v="9"/>
    <x v="6"/>
  </r>
  <r>
    <s v="4273100010 Gaji &amp;Tunjangan Pegawai Renwas JJ/Sintel LAA"/>
    <n v="1291594645"/>
    <n v="1291594645"/>
    <n v="0"/>
    <n v="152705067"/>
    <n v="152705067"/>
    <n v="1138889578"/>
    <n v="0"/>
    <x v="9"/>
    <x v="6"/>
  </r>
  <r>
    <s v="4273200010 Iuran Pensiun Pegawai Renwas JJ/Sintel LAA"/>
    <n v="47410746"/>
    <n v="47410746"/>
    <n v="0"/>
    <n v="7793604"/>
    <n v="7793604"/>
    <n v="39617142"/>
    <n v="0"/>
    <x v="9"/>
    <x v="6"/>
  </r>
  <r>
    <s v="4273400000 Lembur dan Perangsang Pegawai Renwas JJ/Sintel LAA"/>
    <n v="1523018104"/>
    <n v="1523018104"/>
    <n v="0"/>
    <n v="251941545"/>
    <n v="251941545"/>
    <n v="1271076559"/>
    <n v="0"/>
    <x v="9"/>
    <x v="6"/>
  </r>
  <r>
    <s v="4273500000 Pakaian Dinas Pegawai Renwas JJ/Sintel LAA"/>
    <n v="4400672"/>
    <n v="4400672"/>
    <n v="0"/>
    <n v="0"/>
    <n v="0"/>
    <n v="4400672"/>
    <n v="0"/>
    <x v="9"/>
    <x v="6"/>
  </r>
  <r>
    <s v="28022000 Sintelis"/>
    <n v="50160692946"/>
    <n v="50160692946"/>
    <n v="19306486525"/>
    <n v="6016598991"/>
    <n v="25323085516"/>
    <n v="24837607430"/>
    <n v="0"/>
    <x v="9"/>
    <x v="7"/>
  </r>
  <r>
    <s v="1182000000 Persediaan Prasarana Perkeretaapian dan Umum"/>
    <n v="1645662000"/>
    <n v="1645662000"/>
    <n v="0"/>
    <n v="0"/>
    <n v="0"/>
    <n v="1645662000"/>
    <n v="0"/>
    <x v="10"/>
    <x v="0"/>
  </r>
  <r>
    <s v="4221423010 Peralatan Dalam Sinyal Mekanik BMN"/>
    <n v="945931000"/>
    <n v="945931000"/>
    <n v="0"/>
    <n v="0"/>
    <n v="0"/>
    <n v="945931000"/>
    <n v="0"/>
    <x v="10"/>
    <x v="0"/>
  </r>
  <r>
    <s v="4221424010 Peralatan Luar Sinyal Mekanik BMN"/>
    <n v="1122403500"/>
    <n v="1122403500"/>
    <n v="134933637"/>
    <n v="137784161"/>
    <n v="272717798"/>
    <n v="849685702"/>
    <n v="0"/>
    <x v="10"/>
    <x v="0"/>
  </r>
  <r>
    <s v="4221425010 Pengamanan Perlintasan Sebidang BMN"/>
    <n v="74888500"/>
    <n v="74888500"/>
    <n v="3421001"/>
    <n v="0"/>
    <n v="3421001"/>
    <n v="71467499"/>
    <n v="0"/>
    <x v="10"/>
    <x v="0"/>
  </r>
  <r>
    <s v="4221426010 Pesawat Telepon BMN"/>
    <n v="16624000"/>
    <n v="16624000"/>
    <n v="0"/>
    <n v="16623760"/>
    <n v="16623760"/>
    <n v="240"/>
    <n v="0"/>
    <x v="10"/>
    <x v="0"/>
  </r>
  <r>
    <s v="4221427010 Transmisi Komunikasi BMN"/>
    <n v="522368500"/>
    <n v="522368500"/>
    <n v="81692227"/>
    <n v="111815443"/>
    <n v="193507670"/>
    <n v="328860830"/>
    <n v="0"/>
    <x v="10"/>
    <x v="0"/>
  </r>
  <r>
    <s v="4221428010 Peralatan Pendukung Sintel BMN"/>
    <n v="700000000"/>
    <n v="700000000"/>
    <n v="20715500"/>
    <n v="152012550"/>
    <n v="172728050"/>
    <n v="527271950"/>
    <n v="0"/>
    <x v="10"/>
    <x v="0"/>
  </r>
  <r>
    <s v="4221428011 Bangunan Sintel BMN"/>
    <n v="145275000"/>
    <n v="145275000"/>
    <n v="0"/>
    <n v="0"/>
    <n v="0"/>
    <n v="145275000"/>
    <n v="0"/>
    <x v="10"/>
    <x v="0"/>
  </r>
  <r>
    <s v="4221428012 Sistem Proteksi Sintel BMN"/>
    <n v="153214500"/>
    <n v="153214500"/>
    <n v="0"/>
    <n v="0"/>
    <n v="0"/>
    <n v="153214500"/>
    <n v="0"/>
    <x v="10"/>
    <x v="0"/>
  </r>
  <r>
    <s v="4221428014 Catu Daya Sintel BMN"/>
    <n v="235100000"/>
    <n v="235100000"/>
    <n v="0"/>
    <n v="3229600"/>
    <n v="3229600"/>
    <n v="231870400"/>
    <n v="0"/>
    <x v="10"/>
    <x v="0"/>
  </r>
  <r>
    <s v="4222470010 Alat Kerja Sintel KAI"/>
    <n v="100000000"/>
    <n v="100000000"/>
    <n v="0"/>
    <n v="0"/>
    <n v="0"/>
    <n v="100000000"/>
    <n v="0"/>
    <x v="10"/>
    <x v="2"/>
  </r>
  <r>
    <s v="4222600000 Peralatan Khusus Prasarana KAI"/>
    <n v="100000000"/>
    <n v="100000000"/>
    <n v="0"/>
    <n v="0"/>
    <n v="0"/>
    <n v="100000000"/>
    <n v="0"/>
    <x v="10"/>
    <x v="3"/>
  </r>
  <r>
    <s v="4222800000 Beban BBM Mekanik Prasarana"/>
    <n v="63030000"/>
    <n v="63030000"/>
    <n v="19823200"/>
    <n v="0"/>
    <n v="19823200"/>
    <n v="43206800"/>
    <n v="0"/>
    <x v="10"/>
    <x v="8"/>
  </r>
  <r>
    <s v="4232130000 LAT Beban Umum Pengoperasian Prasarana (IO)"/>
    <n v="90000000"/>
    <n v="90000000"/>
    <n v="1639740"/>
    <n v="70896704"/>
    <n v="72536444"/>
    <n v="17463556"/>
    <n v="0"/>
    <x v="10"/>
    <x v="5"/>
  </r>
  <r>
    <s v="4233100000 Rapat&amp;Akomodasi Beban Umum Perawatan Prasarana KAI"/>
    <n v="64000000"/>
    <n v="64000000"/>
    <n v="6960000"/>
    <n v="13487000"/>
    <n v="20447000"/>
    <n v="43553000"/>
    <n v="0"/>
    <x v="10"/>
    <x v="1"/>
  </r>
  <r>
    <s v="4233150010 Kerumahtanggaan Beban Umum Perawatan Prasarana KAI"/>
    <n v="300400000"/>
    <n v="300400000"/>
    <n v="27274000"/>
    <n v="78208462"/>
    <n v="105482462"/>
    <n v="194917538"/>
    <n v="0"/>
    <x v="10"/>
    <x v="1"/>
  </r>
  <r>
    <s v="4233151710 Kerumahtanggaan UMDT Beban Umum Perawatan Pras KAI"/>
    <n v="16500000"/>
    <n v="16500000"/>
    <n v="0"/>
    <n v="11000000"/>
    <n v="11000000"/>
    <n v="5500000"/>
    <n v="0"/>
    <x v="10"/>
    <x v="1"/>
  </r>
  <r>
    <s v="4233160010 Inventaris Beban Umum Perawatan Prasarana KAI"/>
    <n v="35000000"/>
    <n v="35000000"/>
    <n v="0"/>
    <n v="4415000"/>
    <n v="4415000"/>
    <n v="30585000"/>
    <n v="0"/>
    <x v="10"/>
    <x v="1"/>
  </r>
  <r>
    <s v="4233200000 Perjalanan Dinas BebanUmum Perawatan Prasarana KAI"/>
    <n v="42675000"/>
    <n v="42675000"/>
    <n v="0"/>
    <n v="39560000"/>
    <n v="39560000"/>
    <n v="3115000"/>
    <n v="0"/>
    <x v="10"/>
    <x v="1"/>
  </r>
  <r>
    <s v="4233400000 ATK Beban Umum Perawatan Prasarana KAI"/>
    <n v="9000000"/>
    <n v="9000000"/>
    <n v="0"/>
    <n v="6736950"/>
    <n v="6736950"/>
    <n v="2263050"/>
    <n v="0"/>
    <x v="10"/>
    <x v="1"/>
  </r>
  <r>
    <s v="4242000000 Beban Penyusutan AT Bangunan Kantor"/>
    <n v="0"/>
    <n v="0"/>
    <n v="0"/>
    <n v="23414336"/>
    <n v="23414336"/>
    <n v="-23414336"/>
    <n v="0"/>
    <x v="10"/>
    <x v="6"/>
  </r>
  <r>
    <s v="4272100010 Gaji &amp;Tunjangan PegawaiPerawatan Prasarana Unit JJ"/>
    <n v="4539806918"/>
    <n v="4539806918"/>
    <n v="0"/>
    <n v="663188048"/>
    <n v="663188048"/>
    <n v="3876618870"/>
    <n v="0"/>
    <x v="10"/>
    <x v="6"/>
  </r>
  <r>
    <s v="4272200010 Iuran Pensiun Pegawai Perawatan Prasarana Unit JJ/"/>
    <n v="83054569"/>
    <n v="83054569"/>
    <n v="0"/>
    <n v="13674416"/>
    <n v="13674416"/>
    <n v="69380153"/>
    <n v="0"/>
    <x v="10"/>
    <x v="6"/>
  </r>
  <r>
    <s v="4272400000 Lembur dan Perangsang Peg PrwtnPrsrna unit JJ/Sntl"/>
    <n v="4669639602"/>
    <n v="4669639602"/>
    <n v="0"/>
    <n v="771723853"/>
    <n v="771723853"/>
    <n v="3897915749"/>
    <n v="0"/>
    <x v="10"/>
    <x v="6"/>
  </r>
  <r>
    <s v="4272500000 PakaianDinas PegPrwtn PrasaranaUnit JJ/sntl/BY Pra"/>
    <n v="25853949"/>
    <n v="25853949"/>
    <n v="0"/>
    <n v="0"/>
    <n v="0"/>
    <n v="25853949"/>
    <n v="0"/>
    <x v="10"/>
    <x v="6"/>
  </r>
  <r>
    <s v="4273100010 Gaji &amp;Tunjangan Pegawai Renwas JJ/Sintel LAA"/>
    <n v="795113433"/>
    <n v="795113433"/>
    <n v="0"/>
    <n v="93615240"/>
    <n v="93615240"/>
    <n v="701498193"/>
    <n v="0"/>
    <x v="10"/>
    <x v="6"/>
  </r>
  <r>
    <s v="4273200010 Iuran Pensiun Pegawai Renwas JJ/Sintel LAA"/>
    <n v="37493935"/>
    <n v="37493935"/>
    <n v="0"/>
    <n v="3939794"/>
    <n v="3939794"/>
    <n v="33554141"/>
    <n v="0"/>
    <x v="10"/>
    <x v="6"/>
  </r>
  <r>
    <s v="4273400000 Lembur dan Perangsang Pegawai Renwas JJ/Sintel LAA"/>
    <n v="960233849"/>
    <n v="960233849"/>
    <n v="0"/>
    <n v="165910019"/>
    <n v="165910019"/>
    <n v="794323830"/>
    <n v="0"/>
    <x v="10"/>
    <x v="6"/>
  </r>
  <r>
    <s v="4273500000 Pakaian Dinas Pegawai Renwas JJ/Sintel LAA"/>
    <n v="2200336"/>
    <n v="2200336"/>
    <n v="0"/>
    <n v="0"/>
    <n v="0"/>
    <n v="2200336"/>
    <n v="0"/>
    <x v="10"/>
    <x v="6"/>
  </r>
  <r>
    <s v="29022000 Sintelis"/>
    <n v="17495468591"/>
    <n v="17495468591"/>
    <n v="296459305"/>
    <n v="2381235336"/>
    <n v="2677694641"/>
    <n v="14817773950"/>
    <n v="0"/>
    <x v="10"/>
    <x v="7"/>
  </r>
  <r>
    <s v="1182000000 Persediaan Prasarana Perkeretaapian dan Umum"/>
    <n v="1717513500"/>
    <n v="1717513500"/>
    <n v="0"/>
    <n v="0"/>
    <n v="0"/>
    <n v="1717513500"/>
    <n v="0"/>
    <x v="11"/>
    <x v="0"/>
  </r>
  <r>
    <s v="4221422010 Peralatan Luar Sinyal Elektrik BMN"/>
    <n v="0"/>
    <n v="0"/>
    <n v="0"/>
    <n v="0"/>
    <n v="0"/>
    <n v="0"/>
    <n v="0"/>
    <x v="11"/>
    <x v="0"/>
  </r>
  <r>
    <s v="4221423010 Peralatan Dalam Sinyal Mekanik BMN"/>
    <n v="233686000"/>
    <n v="233686000"/>
    <n v="0"/>
    <n v="0"/>
    <n v="0"/>
    <n v="233686000"/>
    <n v="0"/>
    <x v="11"/>
    <x v="0"/>
  </r>
  <r>
    <s v="4221424010 Peralatan Luar Sinyal Mekanik BMN"/>
    <n v="445284000"/>
    <n v="445284000"/>
    <n v="398086520"/>
    <n v="0"/>
    <n v="398086520"/>
    <n v="47197480"/>
    <n v="0"/>
    <x v="11"/>
    <x v="0"/>
  </r>
  <r>
    <s v="4221425010 Pengamanan Perlintasan Sebidang BMN"/>
    <n v="78606000"/>
    <n v="78606000"/>
    <n v="49855940"/>
    <n v="0"/>
    <n v="49855940"/>
    <n v="28750060"/>
    <n v="0"/>
    <x v="11"/>
    <x v="0"/>
  </r>
  <r>
    <s v="4221426010 Pesawat Telepon BMN"/>
    <n v="225000000"/>
    <n v="225000000"/>
    <n v="0"/>
    <n v="0"/>
    <n v="0"/>
    <n v="225000000"/>
    <n v="0"/>
    <x v="11"/>
    <x v="0"/>
  </r>
  <r>
    <s v="4221427010 Transmisi Komunikasi BMN"/>
    <n v="250000000"/>
    <n v="250000000"/>
    <n v="0"/>
    <n v="0"/>
    <n v="0"/>
    <n v="250000000"/>
    <n v="0"/>
    <x v="11"/>
    <x v="0"/>
  </r>
  <r>
    <s v="4221428010 Peralatan Pendukung Sintel BMN"/>
    <n v="345000000"/>
    <n v="345000000"/>
    <n v="202834780"/>
    <n v="0"/>
    <n v="202834780"/>
    <n v="142165220"/>
    <n v="0"/>
    <x v="11"/>
    <x v="0"/>
  </r>
  <r>
    <s v="4221428011 Bangunan Sintel BMN"/>
    <n v="99350000"/>
    <n v="99350000"/>
    <n v="91627175"/>
    <n v="0"/>
    <n v="91627175"/>
    <n v="7722825"/>
    <n v="0"/>
    <x v="11"/>
    <x v="0"/>
  </r>
  <r>
    <s v="4221428012 Sistem Proteksi Sintel BMN"/>
    <n v="227565500"/>
    <n v="227565500"/>
    <n v="0"/>
    <n v="0"/>
    <n v="0"/>
    <n v="227565500"/>
    <n v="0"/>
    <x v="11"/>
    <x v="0"/>
  </r>
  <r>
    <s v="4221428013 Tanda Semboyan Marka Sintel BMN"/>
    <n v="25000000"/>
    <n v="25000000"/>
    <n v="0"/>
    <n v="0"/>
    <n v="0"/>
    <n v="25000000"/>
    <n v="0"/>
    <x v="11"/>
    <x v="0"/>
  </r>
  <r>
    <s v="4221428014 Catu Daya Sintel BMN"/>
    <n v="721780000"/>
    <n v="721780000"/>
    <n v="0"/>
    <n v="0"/>
    <n v="0"/>
    <n v="721780000"/>
    <n v="0"/>
    <x v="11"/>
    <x v="0"/>
  </r>
  <r>
    <s v="4222422110 Peralatan Pendukung Sintel KAI"/>
    <n v="250000000"/>
    <n v="250000000"/>
    <n v="0"/>
    <n v="0"/>
    <n v="0"/>
    <n v="250000000"/>
    <n v="0"/>
    <x v="11"/>
    <x v="2"/>
  </r>
  <r>
    <s v="4222470010 Alat Kerja Sintel KAI"/>
    <n v="125000000"/>
    <n v="125000000"/>
    <n v="0"/>
    <n v="0"/>
    <n v="0"/>
    <n v="125000000"/>
    <n v="0"/>
    <x v="11"/>
    <x v="2"/>
  </r>
  <r>
    <s v="4222600000 Peralatan Khusus Prasarana KAI"/>
    <n v="125000000"/>
    <n v="125000000"/>
    <n v="0"/>
    <n v="0"/>
    <n v="0"/>
    <n v="125000000"/>
    <n v="0"/>
    <x v="11"/>
    <x v="3"/>
  </r>
  <r>
    <s v="4222800000 Beban BBM Mekanik Prasarana"/>
    <n v="158400000"/>
    <n v="158400000"/>
    <n v="52208150"/>
    <n v="0"/>
    <n v="52208150"/>
    <n v="106191850"/>
    <n v="0"/>
    <x v="11"/>
    <x v="8"/>
  </r>
  <r>
    <s v="4232130000 LAT Beban Umum Pengoperasian Prasarana (IO)"/>
    <n v="637500000"/>
    <n v="637500000"/>
    <n v="9815000"/>
    <n v="218151545"/>
    <n v="227966545"/>
    <n v="409533455"/>
    <n v="0"/>
    <x v="11"/>
    <x v="5"/>
  </r>
  <r>
    <s v="4233100000 Rapat&amp;Akomodasi Beban Umum Perawatan Prasarana KAI"/>
    <n v="48400000"/>
    <n v="48400000"/>
    <n v="21900000"/>
    <n v="0"/>
    <n v="21900000"/>
    <n v="26500000"/>
    <n v="0"/>
    <x v="11"/>
    <x v="1"/>
  </r>
  <r>
    <s v="4233150010 Kerumahtanggaan Beban Umum Perawatan Prasarana KAI"/>
    <n v="170907750"/>
    <n v="170907750"/>
    <n v="98217450"/>
    <n v="67914000"/>
    <n v="166131450"/>
    <n v="4776300"/>
    <n v="0"/>
    <x v="11"/>
    <x v="1"/>
  </r>
  <r>
    <s v="4233151710 Kerumahtanggaan UMDT Beban Umum Perawatan Pras KAI"/>
    <n v="26250000"/>
    <n v="26250000"/>
    <n v="0"/>
    <n v="16500000"/>
    <n v="16500000"/>
    <n v="9750000"/>
    <n v="0"/>
    <x v="11"/>
    <x v="1"/>
  </r>
  <r>
    <s v="4233160010 Inventaris Beban Umum Perawatan Prasarana KAI"/>
    <n v="96500000"/>
    <n v="96500000"/>
    <n v="2609000"/>
    <n v="0"/>
    <n v="2609000"/>
    <n v="93891000"/>
    <n v="0"/>
    <x v="11"/>
    <x v="1"/>
  </r>
  <r>
    <s v="4233200000 Perjalanan Dinas BebanUmum Perawatan Prasarana KAI"/>
    <n v="117000000"/>
    <n v="117000000"/>
    <n v="0"/>
    <n v="65686596"/>
    <n v="65686596"/>
    <n v="51313404"/>
    <n v="0"/>
    <x v="11"/>
    <x v="1"/>
  </r>
  <r>
    <s v="4233300000 LAT Beban Umum Perawatan Prasarana KAI"/>
    <n v="1500000"/>
    <n v="1500000"/>
    <n v="0"/>
    <n v="315000"/>
    <n v="315000"/>
    <n v="1185000"/>
    <n v="0"/>
    <x v="11"/>
    <x v="1"/>
  </r>
  <r>
    <s v="4233400000 ATK Beban Umum Perawatan Prasarana KAI"/>
    <n v="10000000"/>
    <n v="10000000"/>
    <n v="0"/>
    <n v="0"/>
    <n v="0"/>
    <n v="10000000"/>
    <n v="0"/>
    <x v="11"/>
    <x v="1"/>
  </r>
  <r>
    <s v="4241000000 Beban Penyusutan AT Prasarana Perkeretaapian"/>
    <n v="0"/>
    <n v="0"/>
    <n v="0"/>
    <n v="100141179"/>
    <n v="100141179"/>
    <n v="-100141179"/>
    <n v="0"/>
    <x v="11"/>
    <x v="6"/>
  </r>
  <r>
    <s v="4272100010 Gaji &amp;Tunjangan PegawaiPerawatan Prasarana Unit JJ"/>
    <n v="8641345711"/>
    <n v="8641345711"/>
    <n v="0"/>
    <n v="1211192748"/>
    <n v="1211192748"/>
    <n v="7430152963"/>
    <n v="0"/>
    <x v="11"/>
    <x v="6"/>
  </r>
  <r>
    <s v="4272200010 Iuran Pensiun Pegawai Perawatan Prasarana Unit JJ/"/>
    <n v="50824079"/>
    <n v="50824079"/>
    <n v="0"/>
    <n v="8519344"/>
    <n v="8519344"/>
    <n v="42304735"/>
    <n v="0"/>
    <x v="11"/>
    <x v="6"/>
  </r>
  <r>
    <s v="4272400000 Lembur dan Perangsang Peg PrwtnPrsrna unit JJ/Sntl"/>
    <n v="9379568492"/>
    <n v="9379568492"/>
    <n v="0"/>
    <n v="1480260267"/>
    <n v="1480260267"/>
    <n v="7899308225"/>
    <n v="0"/>
    <x v="11"/>
    <x v="6"/>
  </r>
  <r>
    <s v="4272500000 PakaianDinas PegPrwtn PrasaranaUnit JJ/sntl/BY Pra"/>
    <n v="51157813"/>
    <n v="51157813"/>
    <n v="0"/>
    <n v="0"/>
    <n v="0"/>
    <n v="51157813"/>
    <n v="0"/>
    <x v="11"/>
    <x v="6"/>
  </r>
  <r>
    <s v="4273100010 Gaji &amp;Tunjangan Pegawai Renwas JJ/Sintel LAA"/>
    <n v="904489646"/>
    <n v="904489646"/>
    <n v="0"/>
    <n v="107759966"/>
    <n v="107759966"/>
    <n v="796729680"/>
    <n v="0"/>
    <x v="11"/>
    <x v="6"/>
  </r>
  <r>
    <s v="4273200010 Iuran Pensiun Pegawai Renwas JJ/Sintel LAA"/>
    <n v="22796596"/>
    <n v="22796596"/>
    <n v="0"/>
    <n v="3779387"/>
    <n v="3779387"/>
    <n v="19017209"/>
    <n v="0"/>
    <x v="11"/>
    <x v="6"/>
  </r>
  <r>
    <s v="4273400000 Lembur dan Perangsang Pegawai Renwas JJ/Sintel LAA"/>
    <n v="1105883447"/>
    <n v="1105883447"/>
    <n v="0"/>
    <n v="185310735"/>
    <n v="185310735"/>
    <n v="920572712"/>
    <n v="0"/>
    <x v="11"/>
    <x v="6"/>
  </r>
  <r>
    <s v="4273500000 Pakaian Dinas Pegawai Renwas JJ/Sintel LAA"/>
    <n v="2200336"/>
    <n v="2200336"/>
    <n v="0"/>
    <n v="0"/>
    <n v="0"/>
    <n v="2200336"/>
    <n v="0"/>
    <x v="11"/>
    <x v="6"/>
  </r>
  <r>
    <s v="31022000 Sintelis"/>
    <n v="26293508870"/>
    <n v="26293508870"/>
    <n v="927154015"/>
    <n v="3465530767"/>
    <n v="4392684782"/>
    <n v="21900824088"/>
    <n v="0"/>
    <x v="11"/>
    <x v="7"/>
  </r>
  <r>
    <s v="1182000000 Persediaan Prasarana Perkeretaapian dan Umum"/>
    <n v="1871950730"/>
    <n v="1871950730"/>
    <n v="404935052"/>
    <n v="78896778"/>
    <n v="483831830"/>
    <n v="1388118900"/>
    <n v="0"/>
    <x v="12"/>
    <x v="0"/>
  </r>
  <r>
    <s v="4112222200 Bbn Penystn Srana Perkeretaapian Fasilitas Dipo-By"/>
    <m/>
    <m/>
    <m/>
    <m/>
    <m/>
    <m/>
    <m/>
    <x v="12"/>
    <x v="6"/>
  </r>
  <r>
    <s v="4221221100 Perawatan Rel BMN"/>
    <m/>
    <m/>
    <m/>
    <m/>
    <m/>
    <m/>
    <m/>
    <x v="12"/>
    <x v="6"/>
  </r>
  <r>
    <s v="4221222200 Perawatan Wesel BMN"/>
    <m/>
    <m/>
    <m/>
    <m/>
    <m/>
    <m/>
    <m/>
    <x v="12"/>
    <x v="6"/>
  </r>
  <r>
    <s v="4221223300 Bbn Jasa Penambahan Balas BMN"/>
    <m/>
    <m/>
    <m/>
    <m/>
    <m/>
    <m/>
    <m/>
    <x v="12"/>
    <x v="6"/>
  </r>
  <r>
    <s v="4221224400 Pemasangan Bantalan BMN"/>
    <m/>
    <m/>
    <m/>
    <m/>
    <m/>
    <m/>
    <m/>
    <x v="12"/>
    <x v="6"/>
  </r>
  <r>
    <s v="4221225500 Perawatan Balas BMN"/>
    <m/>
    <m/>
    <m/>
    <m/>
    <m/>
    <m/>
    <m/>
    <x v="12"/>
    <x v="6"/>
  </r>
  <r>
    <s v="4221226000 Pemecokan BMN"/>
    <m/>
    <m/>
    <m/>
    <m/>
    <m/>
    <m/>
    <m/>
    <x v="12"/>
    <x v="6"/>
  </r>
  <r>
    <s v="4221226006 Perlintasan BMN"/>
    <m/>
    <m/>
    <m/>
    <m/>
    <m/>
    <m/>
    <m/>
    <x v="12"/>
    <x v="6"/>
  </r>
  <r>
    <s v="4221226008 Geometri BMN"/>
    <m/>
    <m/>
    <m/>
    <m/>
    <m/>
    <m/>
    <m/>
    <x v="12"/>
    <x v="6"/>
  </r>
  <r>
    <s v="4221226010 Perbaikan Periodik BMN"/>
    <m/>
    <m/>
    <m/>
    <m/>
    <m/>
    <m/>
    <m/>
    <x v="12"/>
    <x v="6"/>
  </r>
  <r>
    <s v="4221321010 Perawatan Baja Jembatan Kelas 1 BMN"/>
    <m/>
    <m/>
    <m/>
    <m/>
    <m/>
    <m/>
    <m/>
    <x v="12"/>
    <x v="6"/>
  </r>
  <r>
    <s v="4221322010 Perawatan Cat Jembatan Kelas 1 BMN"/>
    <m/>
    <m/>
    <m/>
    <m/>
    <m/>
    <m/>
    <m/>
    <x v="12"/>
    <x v="6"/>
  </r>
  <r>
    <s v="4221323010 Perawatan Batu Jembatan Kelas 1 BMN"/>
    <m/>
    <m/>
    <m/>
    <m/>
    <m/>
    <m/>
    <m/>
    <x v="12"/>
    <x v="6"/>
  </r>
  <r>
    <s v="4221325010 Perawatan Cat Jembatan Kelas 2 BMN"/>
    <m/>
    <m/>
    <m/>
    <m/>
    <m/>
    <m/>
    <m/>
    <x v="12"/>
    <x v="6"/>
  </r>
  <r>
    <s v="4221325013 Perawatan Batu Jembatan Kelas 3 BMN"/>
    <m/>
    <m/>
    <m/>
    <m/>
    <m/>
    <m/>
    <m/>
    <x v="12"/>
    <x v="6"/>
  </r>
  <r>
    <s v="4221325014 Perawatan Beton Jembatan Kelas 3 BMN"/>
    <m/>
    <m/>
    <m/>
    <m/>
    <m/>
    <m/>
    <m/>
    <x v="12"/>
    <x v="6"/>
  </r>
  <r>
    <s v="4221424010 Peralatan Luar Sinyal Mekanik BMN"/>
    <m/>
    <m/>
    <m/>
    <m/>
    <m/>
    <m/>
    <m/>
    <x v="12"/>
    <x v="0"/>
  </r>
  <r>
    <s v="4221425010 Pengamanan Perlintasan Sebidang BMN"/>
    <m/>
    <m/>
    <m/>
    <m/>
    <m/>
    <m/>
    <m/>
    <x v="12"/>
    <x v="0"/>
  </r>
  <r>
    <s v="4221427010 Transmisi Komunikasi BMN"/>
    <m/>
    <m/>
    <m/>
    <m/>
    <m/>
    <m/>
    <m/>
    <x v="12"/>
    <x v="0"/>
  </r>
  <r>
    <s v="4221428010 Peralatan Pendukung Sintel BMN"/>
    <m/>
    <m/>
    <m/>
    <m/>
    <m/>
    <m/>
    <m/>
    <x v="12"/>
    <x v="0"/>
  </r>
  <r>
    <s v="4221428014 Catu Daya Sintel BMN"/>
    <m/>
    <m/>
    <m/>
    <m/>
    <m/>
    <m/>
    <m/>
    <x v="12"/>
    <x v="0"/>
  </r>
  <r>
    <s v="4221600000 Peralatan Khusus Prasarana Pemerintah"/>
    <m/>
    <m/>
    <m/>
    <m/>
    <m/>
    <m/>
    <m/>
    <x v="12"/>
    <x v="9"/>
  </r>
  <r>
    <s v="4222222200 Perawatan Wesel KAI"/>
    <m/>
    <m/>
    <m/>
    <m/>
    <m/>
    <m/>
    <m/>
    <x v="12"/>
    <x v="6"/>
  </r>
  <r>
    <s v="4222600000 Peralatan Khusus Prasarana KAI"/>
    <n v="60000000"/>
    <n v="60000000"/>
    <n v="9000000"/>
    <n v="0"/>
    <n v="9000000"/>
    <n v="51000000"/>
    <n v="0"/>
    <x v="12"/>
    <x v="3"/>
  </r>
  <r>
    <s v="4222800000 Beban BBM Mekanik Prasarana"/>
    <n v="45150000"/>
    <n v="45150000"/>
    <n v="6423200"/>
    <n v="6119400"/>
    <n v="12542600"/>
    <n v="32607400"/>
    <n v="0"/>
    <x v="12"/>
    <x v="8"/>
  </r>
  <r>
    <s v="4231110000 Rapat&amp;Akomodasi BbnUmum Prwtn Prasarana Pemerintah"/>
    <m/>
    <m/>
    <m/>
    <m/>
    <m/>
    <m/>
    <m/>
    <x v="12"/>
    <x v="4"/>
  </r>
  <r>
    <s v="4231120000 PerjlDinas BebanUmum PerawatanPrasarana Pemerintah"/>
    <m/>
    <m/>
    <m/>
    <m/>
    <m/>
    <m/>
    <m/>
    <x v="12"/>
    <x v="4"/>
  </r>
  <r>
    <s v="4231130000 LAT Beban Umum Perawatan Prasarana Pemerintah"/>
    <m/>
    <m/>
    <m/>
    <m/>
    <m/>
    <m/>
    <m/>
    <x v="12"/>
    <x v="4"/>
  </r>
  <r>
    <s v="4231150010 Krt Beban Umum Perawatan Prasarana Pemerintah"/>
    <m/>
    <m/>
    <m/>
    <m/>
    <m/>
    <m/>
    <m/>
    <x v="12"/>
    <x v="4"/>
  </r>
  <r>
    <s v="4231151710 Kerumahtanggaan UMDT Beban Umum Perawatan Pras BMN"/>
    <m/>
    <m/>
    <m/>
    <m/>
    <m/>
    <m/>
    <m/>
    <x v="12"/>
    <x v="4"/>
  </r>
  <r>
    <s v="4232152310 Tenaga PJL Alih Daya"/>
    <m/>
    <m/>
    <m/>
    <m/>
    <m/>
    <m/>
    <m/>
    <x v="12"/>
    <x v="6"/>
  </r>
  <r>
    <s v="4233100000 Rapat&amp;Akomodasi Beban Umum Perawatan Prasarana KAI"/>
    <n v="372660000"/>
    <n v="372660000"/>
    <n v="8912700"/>
    <n v="5604650"/>
    <n v="14517350"/>
    <n v="358142650"/>
    <n v="0"/>
    <x v="12"/>
    <x v="1"/>
  </r>
  <r>
    <s v="4233150010 Kerumahtanggaan Beban Umum Perawatan Prasarana KAI"/>
    <m/>
    <m/>
    <m/>
    <m/>
    <m/>
    <m/>
    <m/>
    <x v="12"/>
    <x v="1"/>
  </r>
  <r>
    <s v="4233151710 Kerumahtanggaan UMDT Beban Umum Perawatan Pras KAI"/>
    <m/>
    <m/>
    <m/>
    <m/>
    <m/>
    <m/>
    <m/>
    <x v="12"/>
    <x v="1"/>
  </r>
  <r>
    <s v="4233160010 Inventaris Beban Umum Perawatan Prasarana KAI"/>
    <m/>
    <m/>
    <m/>
    <m/>
    <m/>
    <m/>
    <m/>
    <x v="12"/>
    <x v="1"/>
  </r>
  <r>
    <s v="4233200000 Perjalanan Dinas BebanUmum Perawatan Prasarana KAI"/>
    <m/>
    <m/>
    <m/>
    <m/>
    <m/>
    <m/>
    <m/>
    <x v="12"/>
    <x v="1"/>
  </r>
  <r>
    <s v="4233300000 LAT Beban Umum Perawatan Prasarana KAI"/>
    <m/>
    <m/>
    <m/>
    <m/>
    <m/>
    <m/>
    <m/>
    <x v="12"/>
    <x v="1"/>
  </r>
  <r>
    <s v="4233400000 ATK Beban Umum Perawatan Prasarana KAI"/>
    <m/>
    <m/>
    <m/>
    <m/>
    <m/>
    <m/>
    <m/>
    <x v="12"/>
    <x v="1"/>
  </r>
  <r>
    <s v="4241000000 Beban Penyusutan AT Prasarana Perkeretaapian"/>
    <m/>
    <m/>
    <m/>
    <m/>
    <m/>
    <m/>
    <m/>
    <x v="12"/>
    <x v="6"/>
  </r>
  <r>
    <s v="4242000000 Beban Penyusutan AT Bangunan Kantor"/>
    <m/>
    <m/>
    <m/>
    <m/>
    <m/>
    <m/>
    <m/>
    <x v="12"/>
    <x v="6"/>
  </r>
  <r>
    <s v="4271100010 Gaji &amp;Tunjangan Pegawai Operasi Prasarana"/>
    <m/>
    <m/>
    <m/>
    <m/>
    <m/>
    <m/>
    <m/>
    <x v="12"/>
    <x v="6"/>
  </r>
  <r>
    <s v="4271400000 Lembur dan Perangsang Pegawai Operasi Prasarana"/>
    <m/>
    <m/>
    <m/>
    <m/>
    <m/>
    <m/>
    <m/>
    <x v="12"/>
    <x v="6"/>
  </r>
  <r>
    <s v="4271500000 Pakaian Dinas Pegawai Operasi Prasarana"/>
    <m/>
    <m/>
    <m/>
    <m/>
    <m/>
    <m/>
    <m/>
    <x v="12"/>
    <x v="6"/>
  </r>
  <r>
    <s v="4272100010 Gaji &amp;Tunjangan PegawaiPerawatan Prasarana Unit JJ"/>
    <m/>
    <m/>
    <m/>
    <m/>
    <m/>
    <m/>
    <m/>
    <x v="12"/>
    <x v="6"/>
  </r>
  <r>
    <s v="4272200010 Iuran Pensiun Pegawai Perawatan Prasarana Unit JJ/"/>
    <m/>
    <m/>
    <m/>
    <m/>
    <m/>
    <m/>
    <m/>
    <x v="12"/>
    <x v="6"/>
  </r>
  <r>
    <s v="4272400000 Lembur dan Perangsang Peg PrwtnPrsrna unit JJ/Sntl"/>
    <m/>
    <m/>
    <m/>
    <m/>
    <m/>
    <m/>
    <m/>
    <x v="12"/>
    <x v="6"/>
  </r>
  <r>
    <s v="4272500000 PakaianDinas PegPrwtn PrasaranaUnit JJ/sntl/BY Pra"/>
    <m/>
    <m/>
    <m/>
    <m/>
    <m/>
    <m/>
    <m/>
    <x v="12"/>
    <x v="6"/>
  </r>
  <r>
    <s v="4273100010 Gaji &amp;Tunjangan Pegawai Renwas JJ/Sintel LAA"/>
    <m/>
    <m/>
    <m/>
    <m/>
    <m/>
    <m/>
    <m/>
    <x v="12"/>
    <x v="6"/>
  </r>
  <r>
    <s v="4273400000 Lembur dan Perangsang Pegawai Renwas JJ/Sintel LAA"/>
    <m/>
    <m/>
    <m/>
    <m/>
    <m/>
    <m/>
    <m/>
    <x v="12"/>
    <x v="6"/>
  </r>
  <r>
    <s v="4273500000 Pakaian Dinas Pegawai Renwas JJ/Sintel LAA"/>
    <m/>
    <m/>
    <m/>
    <m/>
    <m/>
    <m/>
    <m/>
    <x v="12"/>
    <x v="6"/>
  </r>
  <r>
    <s v="5400000000 Penyusutan AT Lainnya (Fasilitas Umum)"/>
    <m/>
    <m/>
    <m/>
    <m/>
    <m/>
    <m/>
    <m/>
    <x v="12"/>
    <x v="6"/>
  </r>
  <r>
    <s v="32020100 Prasarana"/>
    <n v="2349760730"/>
    <n v="2349760730"/>
    <n v="429270952"/>
    <n v="90620828"/>
    <n v="519891780"/>
    <n v="1829868950"/>
    <n v="0"/>
    <x v="12"/>
    <x v="7"/>
  </r>
  <r>
    <s v="1182000000 Persediaan Prasarana Perkeretaapian dan Umum"/>
    <n v="6121242000"/>
    <n v="6121242000"/>
    <n v="5458456599"/>
    <n v="0"/>
    <n v="5458456599"/>
    <n v="662785401"/>
    <n v="0"/>
    <x v="13"/>
    <x v="0"/>
  </r>
  <r>
    <s v="4221421010 Peralatan Dalam Sinyal Elektrik BMN"/>
    <n v="0"/>
    <n v="0"/>
    <n v="0"/>
    <n v="0"/>
    <n v="0"/>
    <n v="0"/>
    <n v="0"/>
    <x v="13"/>
    <x v="0"/>
  </r>
  <r>
    <s v="4221422010 Peralatan Luar Sinyal Elektrik BMN"/>
    <n v="0"/>
    <n v="0"/>
    <n v="0"/>
    <n v="0"/>
    <n v="0"/>
    <n v="0"/>
    <n v="0"/>
    <x v="13"/>
    <x v="0"/>
  </r>
  <r>
    <s v="4221426010 Pesawat Telepon BMN"/>
    <n v="0"/>
    <n v="0"/>
    <n v="0"/>
    <n v="0"/>
    <n v="0"/>
    <n v="0"/>
    <n v="0"/>
    <x v="13"/>
    <x v="0"/>
  </r>
  <r>
    <s v="4221427010 Transmisi Komunikasi BMN"/>
    <n v="0"/>
    <n v="0"/>
    <n v="0"/>
    <n v="0"/>
    <n v="0"/>
    <n v="0"/>
    <n v="0"/>
    <x v="13"/>
    <x v="0"/>
  </r>
  <r>
    <s v="4221428010 Peralatan Pendukung Sintel BMN"/>
    <n v="0"/>
    <n v="0"/>
    <n v="0"/>
    <n v="0"/>
    <n v="0"/>
    <n v="0"/>
    <n v="0"/>
    <x v="13"/>
    <x v="0"/>
  </r>
  <r>
    <s v="4221600000 Peralatan Khusus Prasarana Pemerintah"/>
    <n v="0"/>
    <n v="0"/>
    <n v="0"/>
    <n v="0"/>
    <n v="0"/>
    <n v="0"/>
    <n v="0"/>
    <x v="13"/>
    <x v="9"/>
  </r>
  <r>
    <s v="4222421110 Transmisi Komunikasi KAI"/>
    <n v="1778331214"/>
    <n v="1778331214"/>
    <n v="1778331214"/>
    <n v="0"/>
    <n v="1778331214"/>
    <n v="0"/>
    <n v="0"/>
    <x v="13"/>
    <x v="2"/>
  </r>
  <r>
    <s v="4222422110 Peralatan Pendukung Sintel KAI"/>
    <n v="2094950000"/>
    <n v="2094950000"/>
    <n v="897050889"/>
    <n v="235941248"/>
    <n v="1132992137"/>
    <n v="961957863"/>
    <n v="0"/>
    <x v="13"/>
    <x v="2"/>
  </r>
  <r>
    <s v="4222423010 Peralatan Dalam Sinyal Elektrik KAI"/>
    <n v="0"/>
    <n v="0"/>
    <n v="0"/>
    <n v="0"/>
    <n v="0"/>
    <n v="0"/>
    <n v="0"/>
    <x v="13"/>
    <x v="2"/>
  </r>
  <r>
    <s v="4222423110 Bangunan Sintel KAI"/>
    <n v="840000000"/>
    <n v="840000000"/>
    <n v="353557050"/>
    <n v="0"/>
    <n v="353557050"/>
    <n v="486442950"/>
    <n v="0"/>
    <x v="13"/>
    <x v="2"/>
  </r>
  <r>
    <s v="4222424010 Peralatan Luar Sinyal Elektrik KAI"/>
    <n v="246033000"/>
    <n v="246033000"/>
    <n v="4400000"/>
    <n v="7785500"/>
    <n v="12185500"/>
    <n v="233847500"/>
    <n v="0"/>
    <x v="13"/>
    <x v="2"/>
  </r>
  <r>
    <s v="4222424110 Sistem Proteksi Sintel KAI"/>
    <n v="312250000"/>
    <n v="312250000"/>
    <n v="0"/>
    <n v="0"/>
    <n v="0"/>
    <n v="312250000"/>
    <n v="0"/>
    <x v="13"/>
    <x v="2"/>
  </r>
  <r>
    <s v="4222425010 Peralatan Dalam Sinyal Mekanik KAI"/>
    <n v="350000000"/>
    <n v="350000000"/>
    <n v="0"/>
    <n v="0"/>
    <n v="0"/>
    <n v="350000000"/>
    <n v="0"/>
    <x v="13"/>
    <x v="2"/>
  </r>
  <r>
    <s v="4222425110 Tanda Semboyan Marka Sintel KAI"/>
    <n v="0"/>
    <n v="0"/>
    <n v="0"/>
    <n v="0"/>
    <n v="0"/>
    <n v="0"/>
    <n v="0"/>
    <x v="13"/>
    <x v="2"/>
  </r>
  <r>
    <s v="4222426010 Peralatan Luar Sinyal Mekanik KAI"/>
    <n v="372500000"/>
    <n v="372500000"/>
    <n v="19421480"/>
    <n v="32460000"/>
    <n v="51881480"/>
    <n v="320618520"/>
    <n v="0"/>
    <x v="13"/>
    <x v="2"/>
  </r>
  <r>
    <s v="4222426110 Catu Daya Sintel KAI"/>
    <n v="2397799000"/>
    <n v="2397799000"/>
    <n v="459375000"/>
    <n v="29795000"/>
    <n v="489170000"/>
    <n v="1908629000"/>
    <n v="0"/>
    <x v="13"/>
    <x v="2"/>
  </r>
  <r>
    <s v="4222427010 Pengamanan Perlintasan Sebidang KAI"/>
    <n v="1098750000"/>
    <n v="1098750000"/>
    <n v="0"/>
    <n v="0"/>
    <n v="0"/>
    <n v="1098750000"/>
    <n v="0"/>
    <x v="13"/>
    <x v="2"/>
  </r>
  <r>
    <s v="4222428010 Pesawat Telepon KAI"/>
    <n v="133125000"/>
    <n v="133125000"/>
    <n v="0"/>
    <n v="40800000"/>
    <n v="40800000"/>
    <n v="92325000"/>
    <n v="0"/>
    <x v="13"/>
    <x v="2"/>
  </r>
  <r>
    <s v="4222470010 Alat Kerja Sintel KAI"/>
    <n v="375000000"/>
    <n v="375000000"/>
    <n v="0"/>
    <n v="0"/>
    <n v="0"/>
    <n v="375000000"/>
    <n v="0"/>
    <x v="13"/>
    <x v="2"/>
  </r>
  <r>
    <s v="4222600000 Peralatan Khusus Prasarana KAI"/>
    <n v="50000000"/>
    <n v="50000000"/>
    <n v="0"/>
    <n v="12720000"/>
    <n v="12720000"/>
    <n v="37280000"/>
    <n v="0"/>
    <x v="13"/>
    <x v="3"/>
  </r>
  <r>
    <s v="4222800000 Beban BBM Mekanik Prasarana"/>
    <n v="508075000"/>
    <n v="508075000"/>
    <n v="34825000"/>
    <n v="128340000"/>
    <n v="163165000"/>
    <n v="344910000"/>
    <n v="0"/>
    <x v="13"/>
    <x v="8"/>
  </r>
  <r>
    <s v="4232130000 LAT Beban Umum Pengoperasian Prasarana (IO)"/>
    <n v="640000000"/>
    <n v="640000000"/>
    <n v="8404406"/>
    <n v="446630703"/>
    <n v="455035109"/>
    <n v="184964891"/>
    <n v="0"/>
    <x v="13"/>
    <x v="5"/>
  </r>
  <r>
    <s v="4233100000 Rapat&amp;Akomodasi Beban Umum Perawatan Prasarana KAI"/>
    <n v="222793250"/>
    <n v="222793250"/>
    <n v="29693828"/>
    <n v="22370000"/>
    <n v="52063828"/>
    <n v="170729422"/>
    <n v="0"/>
    <x v="13"/>
    <x v="1"/>
  </r>
  <r>
    <s v="4233150010 Kerumahtanggaan Beban Umum Perawatan Prasarana KAI"/>
    <n v="278081750"/>
    <n v="278081750"/>
    <n v="95838170"/>
    <n v="176941260"/>
    <n v="272779430"/>
    <n v="5302320"/>
    <n v="0"/>
    <x v="13"/>
    <x v="1"/>
  </r>
  <r>
    <s v="4233151710 Kerumahtanggaan UMDT Beban Umum Perawatan Pras KAI"/>
    <n v="23250000"/>
    <n v="23250000"/>
    <n v="0"/>
    <n v="14500000"/>
    <n v="14500000"/>
    <n v="8750000"/>
    <n v="0"/>
    <x v="13"/>
    <x v="1"/>
  </r>
  <r>
    <s v="4233160010 Inventaris Beban Umum Perawatan Prasarana KAI"/>
    <n v="163230750"/>
    <n v="163230750"/>
    <n v="19366000"/>
    <n v="12640000"/>
    <n v="32006000"/>
    <n v="131224750"/>
    <n v="0"/>
    <x v="13"/>
    <x v="1"/>
  </r>
  <r>
    <s v="4233200000 Perjalanan Dinas BebanUmum Perawatan Prasarana KAI"/>
    <n v="172144500"/>
    <n v="172144500"/>
    <n v="35082547"/>
    <n v="77886880"/>
    <n v="112969427"/>
    <n v="59175073"/>
    <n v="0"/>
    <x v="13"/>
    <x v="1"/>
  </r>
  <r>
    <s v="4233300000 LAT Beban Umum Perawatan Prasarana KAI"/>
    <n v="9045000"/>
    <n v="9045000"/>
    <n v="1720000"/>
    <n v="5342537"/>
    <n v="7062537"/>
    <n v="1982463"/>
    <n v="0"/>
    <x v="13"/>
    <x v="1"/>
  </r>
  <r>
    <s v="4233400000 ATK Beban Umum Perawatan Prasarana KAI"/>
    <n v="40435250"/>
    <n v="40435250"/>
    <n v="38255444"/>
    <n v="0"/>
    <n v="38255444"/>
    <n v="2179806"/>
    <n v="0"/>
    <x v="13"/>
    <x v="1"/>
  </r>
  <r>
    <s v="4241000000 Beban Penyusutan AT Prasarana Perkeretaapian"/>
    <n v="0"/>
    <n v="0"/>
    <n v="0"/>
    <n v="84819308"/>
    <n v="84819308"/>
    <n v="-84819308"/>
    <n v="0"/>
    <x v="13"/>
    <x v="6"/>
  </r>
  <r>
    <s v="4242000000 Beban Penyusutan AT Bangunan Kantor"/>
    <n v="0"/>
    <n v="0"/>
    <n v="0"/>
    <n v="60889862"/>
    <n v="60889862"/>
    <n v="-60889862"/>
    <n v="0"/>
    <x v="13"/>
    <x v="6"/>
  </r>
  <r>
    <s v="4271400000 Lembur dan Perangsang Pegawai Operasi Prasarana"/>
    <n v="0"/>
    <n v="0"/>
    <n v="0"/>
    <n v="51753310"/>
    <n v="51753310"/>
    <n v="-51753310"/>
    <n v="0"/>
    <x v="13"/>
    <x v="6"/>
  </r>
  <r>
    <s v="4272100010 Gaji &amp;Tunjangan PegawaiPerawatan Prasarana Unit JJ"/>
    <n v="12164281897"/>
    <n v="12164281897"/>
    <n v="0"/>
    <n v="1814032650"/>
    <n v="1814032650"/>
    <n v="10350249247"/>
    <n v="0"/>
    <x v="13"/>
    <x v="6"/>
  </r>
  <r>
    <s v="4272200010 Iuran Pensiun Pegawai Perawatan Prasarana Unit JJ/"/>
    <n v="111508199"/>
    <n v="111508199"/>
    <n v="0"/>
    <n v="18414338"/>
    <n v="18414338"/>
    <n v="93093861"/>
    <n v="0"/>
    <x v="13"/>
    <x v="6"/>
  </r>
  <r>
    <s v="4272400000 Lembur dan Perangsang Peg PrwtnPrsrna unit JJ/Sntl"/>
    <n v="10801404197"/>
    <n v="10801404197"/>
    <n v="0"/>
    <n v="1944632685"/>
    <n v="1944632685"/>
    <n v="8856771512"/>
    <n v="0"/>
    <x v="13"/>
    <x v="6"/>
  </r>
  <r>
    <s v="4272500000 PakaianDinas PegPrwtn PrasaranaUnit JJ/sntl/BY Pra"/>
    <n v="68210418"/>
    <n v="68210418"/>
    <n v="0"/>
    <n v="0"/>
    <n v="0"/>
    <n v="68210418"/>
    <n v="0"/>
    <x v="13"/>
    <x v="6"/>
  </r>
  <r>
    <s v="4273100010 Gaji &amp;Tunjangan Pegawai Renwas JJ/Sintel LAA"/>
    <n v="1452685239"/>
    <n v="1452685239"/>
    <n v="0"/>
    <n v="135898412"/>
    <n v="135898412"/>
    <n v="1316786827"/>
    <n v="0"/>
    <x v="13"/>
    <x v="6"/>
  </r>
  <r>
    <s v="4273200010 Iuran Pensiun Pegawai Renwas JJ/Sintel LAA"/>
    <n v="35165398"/>
    <n v="35165398"/>
    <n v="0"/>
    <n v="3651448"/>
    <n v="3651448"/>
    <n v="31513950"/>
    <n v="0"/>
    <x v="13"/>
    <x v="6"/>
  </r>
  <r>
    <s v="4273400000 Lembur dan Perangsang Pegawai Renwas JJ/Sintel LAA"/>
    <n v="1698748501"/>
    <n v="1698748501"/>
    <n v="0"/>
    <n v="259412564"/>
    <n v="259412564"/>
    <n v="1439335937"/>
    <n v="0"/>
    <x v="13"/>
    <x v="6"/>
  </r>
  <r>
    <s v="4273500000 Pakaian Dinas Pegawai Renwas JJ/Sintel LAA"/>
    <n v="3850588"/>
    <n v="3850588"/>
    <n v="0"/>
    <n v="0"/>
    <n v="0"/>
    <n v="3850588"/>
    <n v="0"/>
    <x v="13"/>
    <x v="6"/>
  </r>
  <r>
    <s v="5400000000 Penyusutan AT Lainnya (Fasilitas Umum)"/>
    <n v="0"/>
    <n v="0"/>
    <n v="0"/>
    <n v="137977076"/>
    <n v="137977076"/>
    <n v="-137977076"/>
    <n v="0"/>
    <x v="13"/>
    <x v="6"/>
  </r>
  <r>
    <s v="34022000 Sintelis Divre III Palembang"/>
    <n v="44562890151"/>
    <n v="44562890151"/>
    <n v="9233777627"/>
    <n v="5755634781"/>
    <n v="14989412408"/>
    <n v="29573477743"/>
    <n v="0"/>
    <x v="13"/>
    <x v="7"/>
  </r>
  <r>
    <s v="1182000000 Persediaan Prasarana Perkeretaapian dan Umum"/>
    <n v="5574698000"/>
    <n v="5574698000"/>
    <n v="2595236997"/>
    <n v="0"/>
    <n v="2595236997"/>
    <n v="2979461003"/>
    <n v="0"/>
    <x v="14"/>
    <x v="0"/>
  </r>
  <r>
    <s v="4221422010 Peralatan Luar Sinyal Elektrik BMN"/>
    <n v="1521000000"/>
    <n v="1521000000"/>
    <n v="0"/>
    <n v="3328300"/>
    <n v="3328300"/>
    <n v="1517671700"/>
    <n v="0"/>
    <x v="14"/>
    <x v="0"/>
  </r>
  <r>
    <s v="4221423010 Peralatan Dalam Sinyal Mekanik BMN"/>
    <n v="1694175000"/>
    <n v="1694175000"/>
    <n v="810860400"/>
    <n v="0"/>
    <n v="810860400"/>
    <n v="883314600"/>
    <n v="0"/>
    <x v="14"/>
    <x v="0"/>
  </r>
  <r>
    <s v="4221424010 Peralatan Luar Sinyal Mekanik BMN"/>
    <n v="2639000000"/>
    <n v="2639000000"/>
    <n v="483429478"/>
    <n v="129199870"/>
    <n v="612629348"/>
    <n v="2026370652"/>
    <n v="0"/>
    <x v="14"/>
    <x v="0"/>
  </r>
  <r>
    <s v="4221425010 Pengamanan Perlintasan Sebidang BMN"/>
    <n v="150000000"/>
    <n v="150000000"/>
    <n v="0"/>
    <n v="0"/>
    <n v="0"/>
    <n v="150000000"/>
    <n v="0"/>
    <x v="14"/>
    <x v="0"/>
  </r>
  <r>
    <s v="4221426010 Pesawat Telepon BMN"/>
    <n v="2721193000"/>
    <n v="2721193000"/>
    <n v="777673392"/>
    <n v="0"/>
    <n v="777673392"/>
    <n v="1943519608"/>
    <n v="0"/>
    <x v="14"/>
    <x v="0"/>
  </r>
  <r>
    <s v="4221427010 Transmisi Komunikasi BMN"/>
    <n v="9794675000"/>
    <n v="9794675000"/>
    <n v="4877544282"/>
    <n v="3607897"/>
    <n v="4881152179"/>
    <n v="4913522821"/>
    <n v="0"/>
    <x v="14"/>
    <x v="0"/>
  </r>
  <r>
    <s v="4221428010 Peralatan Pendukung Sintel BMN"/>
    <n v="2114698000"/>
    <n v="2114698000"/>
    <n v="0"/>
    <n v="162049240"/>
    <n v="162049240"/>
    <n v="1952648760"/>
    <n v="0"/>
    <x v="14"/>
    <x v="0"/>
  </r>
  <r>
    <s v="4221428011 Bangunan Sintel BMN"/>
    <n v="1450000000"/>
    <n v="1450000000"/>
    <n v="0"/>
    <n v="0"/>
    <n v="0"/>
    <n v="1450000000"/>
    <n v="0"/>
    <x v="14"/>
    <x v="0"/>
  </r>
  <r>
    <s v="4221428012 Sistem Proteksi Sintel BMN"/>
    <n v="0"/>
    <n v="0"/>
    <n v="0"/>
    <n v="0"/>
    <n v="0"/>
    <n v="0"/>
    <n v="0"/>
    <x v="14"/>
    <x v="0"/>
  </r>
  <r>
    <s v="4221428014 Catu Daya Sintel BMN"/>
    <n v="915811000"/>
    <n v="915811000"/>
    <n v="0"/>
    <n v="0"/>
    <n v="0"/>
    <n v="915811000"/>
    <n v="0"/>
    <x v="14"/>
    <x v="0"/>
  </r>
  <r>
    <s v="4221429011 Beban Pemakaian Alat Kerja pendukung perawatan BMN"/>
    <n v="1750000000"/>
    <n v="1750000000"/>
    <n v="498500000"/>
    <n v="0"/>
    <n v="498500000"/>
    <n v="1251500000"/>
    <n v="0"/>
    <x v="14"/>
    <x v="0"/>
  </r>
  <r>
    <s v="4222424010 Peralatan Luar Sinyal Elektrik KAI"/>
    <n v="300000000"/>
    <n v="300000000"/>
    <n v="4951687"/>
    <n v="0"/>
    <n v="4951687"/>
    <n v="295048313"/>
    <n v="0"/>
    <x v="14"/>
    <x v="2"/>
  </r>
  <r>
    <s v="4222600000 Peralatan Khusus Prasarana KAI"/>
    <n v="645000000"/>
    <n v="483750000"/>
    <n v="14815000"/>
    <n v="68355000"/>
    <n v="83170000"/>
    <n v="400580000"/>
    <n v="161250000"/>
    <x v="14"/>
    <x v="3"/>
  </r>
  <r>
    <s v="4222800000 Beban BBM Mekanik Prasarana"/>
    <n v="285978663"/>
    <n v="285978663"/>
    <n v="23285000"/>
    <n v="32200000"/>
    <n v="55485000"/>
    <n v="230493663"/>
    <n v="0"/>
    <x v="14"/>
    <x v="8"/>
  </r>
  <r>
    <s v="4232130000 LAT Beban Umum Pengoperasian Prasarana (IO)"/>
    <n v="1539315000"/>
    <n v="1539315000"/>
    <n v="3649654"/>
    <n v="230704071"/>
    <n v="234353725"/>
    <n v="1304961275"/>
    <n v="0"/>
    <x v="14"/>
    <x v="5"/>
  </r>
  <r>
    <s v="4233100000 Rapat&amp;Akomodasi Beban Umum Perawatan Prasarana KAI"/>
    <n v="550000000"/>
    <n v="412500000"/>
    <n v="6056400"/>
    <n v="12632800"/>
    <n v="18689200"/>
    <n v="393810800"/>
    <n v="137500000"/>
    <x v="14"/>
    <x v="1"/>
  </r>
  <r>
    <s v="4233150010 Kerumahtanggaan Beban Umum Perawatan Prasarana KAI"/>
    <n v="710500000"/>
    <n v="532875000"/>
    <n v="17800620"/>
    <n v="49382229"/>
    <n v="67182849"/>
    <n v="465692151"/>
    <n v="177625000"/>
    <x v="14"/>
    <x v="1"/>
  </r>
  <r>
    <s v="4233151710 Kerumahtanggaan UMDT Beban Umum Perawatan Pras KAI"/>
    <n v="95700000"/>
    <n v="95700000"/>
    <n v="0"/>
    <n v="13500000"/>
    <n v="13500000"/>
    <n v="82200000"/>
    <n v="0"/>
    <x v="14"/>
    <x v="1"/>
  </r>
  <r>
    <s v="4233160010 Inventaris Beban Umum Perawatan Prasarana KAI"/>
    <n v="527665000"/>
    <n v="395748750"/>
    <n v="0"/>
    <n v="0"/>
    <n v="0"/>
    <n v="395748750"/>
    <n v="131916250"/>
    <x v="14"/>
    <x v="1"/>
  </r>
  <r>
    <s v="4233200000 Perjalanan Dinas BebanUmum Perawatan Prasarana KAI"/>
    <n v="449070000"/>
    <n v="336802500"/>
    <n v="17298750"/>
    <n v="64965000"/>
    <n v="82263750"/>
    <n v="254538750"/>
    <n v="112267500"/>
    <x v="14"/>
    <x v="1"/>
  </r>
  <r>
    <s v="4233400000 ATK Beban Umum Perawatan Prasarana KAI"/>
    <n v="68288000"/>
    <n v="68288000"/>
    <n v="0"/>
    <n v="0"/>
    <n v="0"/>
    <n v="68288000"/>
    <n v="0"/>
    <x v="14"/>
    <x v="1"/>
  </r>
  <r>
    <s v="4242000000 Beban Penyusutan AT Bangunan Kantor"/>
    <n v="0"/>
    <n v="0"/>
    <n v="0"/>
    <n v="5592872"/>
    <n v="5592872"/>
    <n v="-5592872"/>
    <n v="0"/>
    <x v="14"/>
    <x v="6"/>
  </r>
  <r>
    <s v="4272100010 Gaji &amp;Tunjangan PegawaiPerawatan Prasarana Unit JJ"/>
    <n v="10688916866"/>
    <n v="10688916866"/>
    <n v="0"/>
    <n v="1592655254"/>
    <n v="1592655254"/>
    <n v="9096261612"/>
    <n v="0"/>
    <x v="14"/>
    <x v="6"/>
  </r>
  <r>
    <s v="4272200010 Iuran Pensiun Pegawai Perawatan Prasarana Unit JJ/"/>
    <n v="106116051"/>
    <n v="106116051"/>
    <n v="0"/>
    <n v="18102841"/>
    <n v="18102841"/>
    <n v="88013210"/>
    <n v="0"/>
    <x v="14"/>
    <x v="6"/>
  </r>
  <r>
    <s v="4272400000 Lembur dan Perangsang Peg PrwtnPrsrna unit JJ/Sntl"/>
    <n v="9218326343"/>
    <n v="9218326343"/>
    <n v="0"/>
    <n v="1626624682"/>
    <n v="1626624682"/>
    <n v="7591701661"/>
    <n v="0"/>
    <x v="14"/>
    <x v="6"/>
  </r>
  <r>
    <s v="4272500000 PakaianDinas PegPrwtn PrasaranaUnit JJ/sntl/BY Pra"/>
    <n v="58858990"/>
    <n v="58858990"/>
    <n v="0"/>
    <n v="0"/>
    <n v="0"/>
    <n v="58858990"/>
    <n v="0"/>
    <x v="14"/>
    <x v="6"/>
  </r>
  <r>
    <s v="4273100010 Gaji &amp;Tunjangan Pegawai Renwas JJ/Sintel LAA"/>
    <n v="1422805953"/>
    <n v="1422805953"/>
    <n v="0"/>
    <n v="179659734"/>
    <n v="179659734"/>
    <n v="1243146219"/>
    <n v="0"/>
    <x v="14"/>
    <x v="6"/>
  </r>
  <r>
    <s v="4273200010 Iuran Pensiun Pegawai Renwas JJ/Sintel LAA"/>
    <n v="13916758"/>
    <n v="13916758"/>
    <n v="0"/>
    <n v="2273980"/>
    <n v="2273980"/>
    <n v="11642778"/>
    <n v="0"/>
    <x v="14"/>
    <x v="6"/>
  </r>
  <r>
    <s v="4273400000 Lembur dan Perangsang Pegawai Renwas JJ/Sintel LAA"/>
    <n v="1559682761"/>
    <n v="1559682761"/>
    <n v="0"/>
    <n v="300982812"/>
    <n v="300982812"/>
    <n v="1258699949"/>
    <n v="0"/>
    <x v="14"/>
    <x v="6"/>
  </r>
  <r>
    <s v="4273500000 Pakaian Dinas Pegawai Renwas JJ/Sintel LAA"/>
    <n v="3850588"/>
    <n v="3850588"/>
    <n v="0"/>
    <n v="0"/>
    <n v="0"/>
    <n v="3850588"/>
    <n v="0"/>
    <x v="14"/>
    <x v="6"/>
  </r>
  <r>
    <s v="35022000 Sintelis Divre IV Tanjungkarang"/>
    <n v="58569240973"/>
    <n v="57848682223"/>
    <n v="10131101660"/>
    <n v="4495816582"/>
    <n v="14626918242"/>
    <n v="43221763981"/>
    <n v="720558750"/>
    <x v="14"/>
    <x v="7"/>
  </r>
  <r>
    <m/>
    <m/>
    <m/>
    <m/>
    <m/>
    <m/>
    <m/>
    <m/>
    <x v="15"/>
    <x v="1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1">
  <r>
    <s v="Jan"/>
    <x v="0"/>
    <x v="0"/>
    <n v="100000000"/>
    <n v="84845467162"/>
    <n v="50000000"/>
    <n v="0"/>
  </r>
  <r>
    <s v="Feb"/>
    <x v="0"/>
    <x v="0"/>
    <n v="23567624816"/>
    <n v="59570632314"/>
    <n v="50000000"/>
    <n v="0"/>
  </r>
  <r>
    <s v="Mar"/>
    <x v="0"/>
    <x v="0"/>
    <n v="227166881580"/>
    <n v="46052581309"/>
    <n v="34189485820"/>
    <n v="34085923118"/>
  </r>
  <r>
    <s v="Apr"/>
    <x v="0"/>
    <x v="0"/>
    <n v="59269584722"/>
    <s v=""/>
    <n v="150000000"/>
    <s v=""/>
  </r>
  <r>
    <s v="Mei"/>
    <x v="0"/>
    <x v="0"/>
    <n v="2449082158"/>
    <s v=""/>
    <n v="270862500"/>
    <s v=""/>
  </r>
  <r>
    <s v="Jun"/>
    <x v="0"/>
    <x v="0"/>
    <n v="4232140778"/>
    <s v=""/>
    <n v="1144232361"/>
    <s v=""/>
  </r>
  <r>
    <s v="Jul"/>
    <x v="0"/>
    <x v="0"/>
    <n v="150000000"/>
    <s v=""/>
    <n v="12808685000"/>
    <s v=""/>
  </r>
  <r>
    <s v="Agt"/>
    <x v="0"/>
    <x v="0"/>
    <n v="150000000"/>
    <s v=""/>
    <n v="30371398896"/>
    <s v=""/>
  </r>
  <r>
    <s v="Sep"/>
    <x v="0"/>
    <x v="0"/>
    <n v="150000000"/>
    <s v=""/>
    <n v="32919933000"/>
    <s v=""/>
  </r>
  <r>
    <s v="Okt"/>
    <x v="0"/>
    <x v="0"/>
    <n v="150000000"/>
    <s v=""/>
    <n v="61587805112"/>
    <s v=""/>
  </r>
  <r>
    <s v="Nov"/>
    <x v="0"/>
    <x v="0"/>
    <n v="122077000"/>
    <s v=""/>
    <n v="35148562865"/>
    <s v=""/>
  </r>
  <r>
    <s v="Des"/>
    <x v="0"/>
    <x v="0"/>
    <n v="55000000"/>
    <s v=""/>
    <n v="108871425778"/>
    <s v=""/>
  </r>
  <r>
    <s v="Jan"/>
    <x v="0"/>
    <x v="1"/>
    <n v="0"/>
    <n v="0"/>
    <n v="0"/>
    <n v="0"/>
  </r>
  <r>
    <s v="Feb"/>
    <x v="0"/>
    <x v="1"/>
    <n v="0"/>
    <n v="0"/>
    <n v="0"/>
    <n v="0"/>
  </r>
  <r>
    <s v="Mar"/>
    <x v="0"/>
    <x v="1"/>
    <n v="0"/>
    <n v="0"/>
    <n v="0"/>
    <n v="0"/>
  </r>
  <r>
    <s v="Apr"/>
    <x v="0"/>
    <x v="1"/>
    <n v="0"/>
    <s v=""/>
    <n v="0"/>
    <s v=""/>
  </r>
  <r>
    <s v="Mei"/>
    <x v="0"/>
    <x v="1"/>
    <n v="0"/>
    <s v=""/>
    <n v="0"/>
    <s v=""/>
  </r>
  <r>
    <s v="Jun"/>
    <x v="0"/>
    <x v="1"/>
    <n v="0"/>
    <s v=""/>
    <n v="0"/>
    <s v=""/>
  </r>
  <r>
    <s v="Jul"/>
    <x v="0"/>
    <x v="1"/>
    <n v="0"/>
    <s v=""/>
    <n v="0"/>
    <s v=""/>
  </r>
  <r>
    <s v="Agt"/>
    <x v="0"/>
    <x v="1"/>
    <n v="0"/>
    <s v=""/>
    <n v="0"/>
    <s v=""/>
  </r>
  <r>
    <s v="Sep"/>
    <x v="0"/>
    <x v="1"/>
    <n v="0"/>
    <s v=""/>
    <n v="0"/>
    <s v=""/>
  </r>
  <r>
    <s v="Okt"/>
    <x v="0"/>
    <x v="1"/>
    <n v="0"/>
    <s v=""/>
    <n v="0"/>
    <s v=""/>
  </r>
  <r>
    <s v="Nov"/>
    <x v="0"/>
    <x v="1"/>
    <n v="0"/>
    <s v=""/>
    <n v="0"/>
    <s v=""/>
  </r>
  <r>
    <s v="Des"/>
    <x v="0"/>
    <x v="1"/>
    <n v="0"/>
    <s v=""/>
    <n v="0"/>
    <s v=""/>
  </r>
  <r>
    <s v="Jan"/>
    <x v="0"/>
    <x v="2"/>
    <n v="0"/>
    <n v="0"/>
    <n v="0"/>
    <n v="0"/>
  </r>
  <r>
    <s v="Feb"/>
    <x v="0"/>
    <x v="2"/>
    <n v="0"/>
    <n v="0"/>
    <n v="0"/>
    <n v="0"/>
  </r>
  <r>
    <s v="Mar"/>
    <x v="0"/>
    <x v="2"/>
    <n v="0"/>
    <n v="0"/>
    <n v="0"/>
    <n v="0"/>
  </r>
  <r>
    <s v="Apr"/>
    <x v="0"/>
    <x v="2"/>
    <n v="0"/>
    <s v=""/>
    <n v="0"/>
    <s v=""/>
  </r>
  <r>
    <s v="Mei"/>
    <x v="0"/>
    <x v="2"/>
    <n v="0"/>
    <s v=""/>
    <n v="0"/>
    <s v=""/>
  </r>
  <r>
    <s v="Jun"/>
    <x v="0"/>
    <x v="2"/>
    <n v="0"/>
    <s v=""/>
    <n v="0"/>
    <s v=""/>
  </r>
  <r>
    <s v="Jul"/>
    <x v="0"/>
    <x v="2"/>
    <n v="0"/>
    <s v=""/>
    <n v="0"/>
    <s v=""/>
  </r>
  <r>
    <s v="Agt"/>
    <x v="0"/>
    <x v="2"/>
    <n v="0"/>
    <s v=""/>
    <n v="0"/>
    <s v=""/>
  </r>
  <r>
    <s v="Sep"/>
    <x v="0"/>
    <x v="2"/>
    <n v="0"/>
    <s v=""/>
    <n v="0"/>
    <s v=""/>
  </r>
  <r>
    <s v="Okt"/>
    <x v="0"/>
    <x v="2"/>
    <n v="0"/>
    <s v=""/>
    <n v="0"/>
    <s v=""/>
  </r>
  <r>
    <s v="Nov"/>
    <x v="0"/>
    <x v="2"/>
    <n v="0"/>
    <s v=""/>
    <n v="0"/>
    <s v=""/>
  </r>
  <r>
    <s v="Des"/>
    <x v="0"/>
    <x v="2"/>
    <n v="0"/>
    <s v=""/>
    <n v="0"/>
    <s v=""/>
  </r>
  <r>
    <s v="Jan"/>
    <x v="0"/>
    <x v="3"/>
    <n v="0"/>
    <n v="0"/>
    <n v="0"/>
    <n v="0"/>
  </r>
  <r>
    <s v="Feb"/>
    <x v="0"/>
    <x v="3"/>
    <n v="0"/>
    <n v="0"/>
    <n v="0"/>
    <n v="0"/>
  </r>
  <r>
    <s v="Mar"/>
    <x v="0"/>
    <x v="3"/>
    <n v="0"/>
    <n v="0"/>
    <n v="0"/>
    <n v="0"/>
  </r>
  <r>
    <s v="Apr"/>
    <x v="0"/>
    <x v="3"/>
    <n v="0"/>
    <s v=""/>
    <n v="0"/>
    <s v=""/>
  </r>
  <r>
    <s v="Mei"/>
    <x v="0"/>
    <x v="3"/>
    <n v="0"/>
    <s v=""/>
    <n v="0"/>
    <s v=""/>
  </r>
  <r>
    <s v="Jun"/>
    <x v="0"/>
    <x v="3"/>
    <n v="1600000000"/>
    <s v=""/>
    <n v="0"/>
    <s v=""/>
  </r>
  <r>
    <s v="Jul"/>
    <x v="0"/>
    <x v="3"/>
    <n v="0"/>
    <s v=""/>
    <n v="0"/>
    <s v=""/>
  </r>
  <r>
    <s v="Agt"/>
    <x v="0"/>
    <x v="3"/>
    <n v="0"/>
    <s v=""/>
    <n v="1600000000"/>
    <s v=""/>
  </r>
  <r>
    <s v="Sep"/>
    <x v="0"/>
    <x v="3"/>
    <n v="0"/>
    <s v=""/>
    <n v="0"/>
    <s v=""/>
  </r>
  <r>
    <s v="Okt"/>
    <x v="0"/>
    <x v="3"/>
    <n v="0"/>
    <s v=""/>
    <n v="0"/>
    <s v=""/>
  </r>
  <r>
    <s v="Nov"/>
    <x v="0"/>
    <x v="3"/>
    <n v="0"/>
    <s v=""/>
    <n v="0"/>
    <s v=""/>
  </r>
  <r>
    <s v="Des"/>
    <x v="0"/>
    <x v="3"/>
    <n v="0"/>
    <s v=""/>
    <n v="0"/>
    <s v=""/>
  </r>
  <r>
    <s v="Jan"/>
    <x v="0"/>
    <x v="4"/>
    <n v="0"/>
    <n v="0"/>
    <n v="0"/>
    <n v="0"/>
  </r>
  <r>
    <s v="Feb"/>
    <x v="0"/>
    <x v="4"/>
    <n v="0"/>
    <n v="20986164"/>
    <n v="0"/>
    <n v="0"/>
  </r>
  <r>
    <s v="Mar"/>
    <x v="0"/>
    <x v="4"/>
    <n v="0"/>
    <n v="0"/>
    <n v="0"/>
    <n v="0"/>
  </r>
  <r>
    <s v="Apr"/>
    <x v="0"/>
    <x v="4"/>
    <n v="0"/>
    <s v=""/>
    <n v="0"/>
    <s v=""/>
  </r>
  <r>
    <s v="Mei"/>
    <x v="0"/>
    <x v="4"/>
    <n v="500000000"/>
    <s v=""/>
    <n v="0"/>
    <s v=""/>
  </r>
  <r>
    <s v="Jun"/>
    <x v="0"/>
    <x v="4"/>
    <n v="0"/>
    <s v=""/>
    <n v="0"/>
    <s v=""/>
  </r>
  <r>
    <s v="Jul"/>
    <x v="0"/>
    <x v="4"/>
    <n v="0"/>
    <s v=""/>
    <n v="500000000"/>
    <s v=""/>
  </r>
  <r>
    <s v="Agt"/>
    <x v="0"/>
    <x v="4"/>
    <n v="0"/>
    <s v=""/>
    <n v="0"/>
    <s v=""/>
  </r>
  <r>
    <s v="Sep"/>
    <x v="0"/>
    <x v="4"/>
    <n v="0"/>
    <s v=""/>
    <n v="0"/>
    <s v=""/>
  </r>
  <r>
    <s v="Okt"/>
    <x v="0"/>
    <x v="4"/>
    <n v="0"/>
    <s v=""/>
    <n v="0"/>
    <s v=""/>
  </r>
  <r>
    <s v="Nov"/>
    <x v="0"/>
    <x v="4"/>
    <n v="0"/>
    <s v=""/>
    <n v="0"/>
    <s v=""/>
  </r>
  <r>
    <s v="Des"/>
    <x v="0"/>
    <x v="4"/>
    <n v="0"/>
    <s v=""/>
    <n v="0"/>
    <s v=""/>
  </r>
  <r>
    <s v="Jan"/>
    <x v="0"/>
    <x v="5"/>
    <n v="163000000"/>
    <n v="186171889"/>
    <n v="113000000"/>
    <n v="121841700"/>
  </r>
  <r>
    <s v="Feb"/>
    <x v="0"/>
    <x v="5"/>
    <n v="243000000"/>
    <n v="171284525"/>
    <n v="243000000"/>
    <n v="143833500"/>
  </r>
  <r>
    <s v="Mar"/>
    <x v="0"/>
    <x v="5"/>
    <n v="443000000"/>
    <n v="17675000"/>
    <n v="243000000"/>
    <n v="17675000"/>
  </r>
  <r>
    <s v="Apr"/>
    <x v="0"/>
    <x v="5"/>
    <n v="2493000000"/>
    <s v=""/>
    <n v="1243000000"/>
    <s v=""/>
  </r>
  <r>
    <s v="Mei"/>
    <x v="0"/>
    <x v="5"/>
    <n v="593000000"/>
    <s v=""/>
    <n v="2093000000"/>
    <s v=""/>
  </r>
  <r>
    <s v="Jun"/>
    <x v="0"/>
    <x v="5"/>
    <n v="1513000000"/>
    <s v=""/>
    <n v="1043000000"/>
    <s v=""/>
  </r>
  <r>
    <s v="Jul"/>
    <x v="0"/>
    <x v="5"/>
    <n v="943000000"/>
    <s v=""/>
    <n v="963000000"/>
    <s v=""/>
  </r>
  <r>
    <s v="Agt"/>
    <x v="0"/>
    <x v="5"/>
    <n v="543000000"/>
    <s v=""/>
    <n v="443000000"/>
    <s v=""/>
  </r>
  <r>
    <s v="Sep"/>
    <x v="0"/>
    <x v="5"/>
    <n v="293000000"/>
    <s v=""/>
    <n v="493000000"/>
    <s v=""/>
  </r>
  <r>
    <s v="Okt"/>
    <x v="0"/>
    <x v="5"/>
    <n v="413000000"/>
    <s v=""/>
    <n v="663000000"/>
    <s v=""/>
  </r>
  <r>
    <s v="Nov"/>
    <x v="0"/>
    <x v="5"/>
    <n v="193000000"/>
    <s v=""/>
    <n v="293000000"/>
    <s v=""/>
  </r>
  <r>
    <s v="Des"/>
    <x v="0"/>
    <x v="5"/>
    <n v="113000000"/>
    <s v=""/>
    <n v="113000000"/>
    <s v=""/>
  </r>
  <r>
    <s v="Jan"/>
    <x v="0"/>
    <x v="6"/>
    <n v="310000000"/>
    <n v="275097724"/>
    <n v="310000000"/>
    <n v="275097724"/>
  </r>
  <r>
    <s v="Feb"/>
    <x v="0"/>
    <x v="6"/>
    <n v="310000000"/>
    <n v="626594334"/>
    <n v="310000000"/>
    <n v="626594334"/>
  </r>
  <r>
    <s v="Mar"/>
    <x v="0"/>
    <x v="6"/>
    <n v="310000000"/>
    <n v="222548548"/>
    <n v="310000000"/>
    <n v="0"/>
  </r>
  <r>
    <s v="Apr"/>
    <x v="0"/>
    <x v="6"/>
    <n v="420000000"/>
    <s v=""/>
    <n v="420000000"/>
    <s v=""/>
  </r>
  <r>
    <s v="Mei"/>
    <x v="0"/>
    <x v="6"/>
    <n v="420000000"/>
    <s v=""/>
    <n v="420000000"/>
    <s v=""/>
  </r>
  <r>
    <s v="Jun"/>
    <x v="0"/>
    <x v="6"/>
    <n v="420000000"/>
    <s v=""/>
    <n v="420000000"/>
    <s v=""/>
  </r>
  <r>
    <s v="Jul"/>
    <x v="0"/>
    <x v="6"/>
    <n v="420000000"/>
    <s v=""/>
    <n v="420000000"/>
    <s v=""/>
  </r>
  <r>
    <s v="Agt"/>
    <x v="0"/>
    <x v="6"/>
    <n v="370000000"/>
    <s v=""/>
    <n v="370000000"/>
    <s v=""/>
  </r>
  <r>
    <s v="Sep"/>
    <x v="0"/>
    <x v="6"/>
    <n v="400000000"/>
    <s v=""/>
    <n v="400000000"/>
    <s v=""/>
  </r>
  <r>
    <s v="Okt"/>
    <x v="0"/>
    <x v="6"/>
    <n v="400000000"/>
    <s v=""/>
    <n v="400000000"/>
    <s v=""/>
  </r>
  <r>
    <s v="Nov"/>
    <x v="0"/>
    <x v="6"/>
    <n v="400000000"/>
    <s v=""/>
    <n v="400000000"/>
    <s v=""/>
  </r>
  <r>
    <s v="Des"/>
    <x v="0"/>
    <x v="6"/>
    <n v="320000000"/>
    <s v=""/>
    <n v="320000000"/>
    <s v=""/>
  </r>
  <r>
    <s v="Jan"/>
    <x v="1"/>
    <x v="0"/>
    <n v="4665461000"/>
    <n v="6757574628"/>
    <n v="0"/>
    <n v="0"/>
  </r>
  <r>
    <s v="Feb"/>
    <x v="1"/>
    <x v="0"/>
    <n v="11366334000"/>
    <n v="10678407138"/>
    <n v="25000000"/>
    <n v="0"/>
  </r>
  <r>
    <s v="Mar"/>
    <x v="1"/>
    <x v="0"/>
    <n v="2740514000"/>
    <n v="2389907781"/>
    <n v="190000000"/>
    <n v="89970000"/>
  </r>
  <r>
    <s v="Apr"/>
    <x v="1"/>
    <x v="0"/>
    <n v="6894664000"/>
    <s v=""/>
    <n v="395000000"/>
    <s v=""/>
  </r>
  <r>
    <s v="Mei"/>
    <x v="1"/>
    <x v="0"/>
    <n v="8472689000"/>
    <s v=""/>
    <n v="265000000"/>
    <s v=""/>
  </r>
  <r>
    <s v="Jun"/>
    <x v="1"/>
    <x v="0"/>
    <n v="4435000000"/>
    <s v=""/>
    <n v="522951000"/>
    <s v=""/>
  </r>
  <r>
    <s v="Jul"/>
    <x v="1"/>
    <x v="0"/>
    <n v="4737908000"/>
    <s v=""/>
    <n v="715000000"/>
    <s v=""/>
  </r>
  <r>
    <s v="Agt"/>
    <x v="1"/>
    <x v="0"/>
    <n v="3937205000"/>
    <s v=""/>
    <n v="3151788000"/>
    <s v=""/>
  </r>
  <r>
    <s v="Sep"/>
    <x v="1"/>
    <x v="0"/>
    <n v="2045000000"/>
    <s v=""/>
    <n v="2748727000"/>
    <s v=""/>
  </r>
  <r>
    <s v="Okt"/>
    <x v="1"/>
    <x v="0"/>
    <n v="315000000"/>
    <s v=""/>
    <n v="5334544000"/>
    <s v=""/>
  </r>
  <r>
    <s v="Nov"/>
    <x v="1"/>
    <x v="0"/>
    <n v="520000000"/>
    <s v=""/>
    <n v="17620156000"/>
    <s v=""/>
  </r>
  <r>
    <s v="Des"/>
    <x v="1"/>
    <x v="0"/>
    <n v="125000000"/>
    <s v=""/>
    <n v="19286609000"/>
    <s v=""/>
  </r>
  <r>
    <s v="Jan"/>
    <x v="1"/>
    <x v="1"/>
    <n v="35000000"/>
    <n v="34500000"/>
    <n v="0"/>
    <n v="0"/>
  </r>
  <r>
    <s v="Feb"/>
    <x v="1"/>
    <x v="1"/>
    <n v="635000000"/>
    <n v="113020000"/>
    <n v="35000000"/>
    <n v="34500000"/>
  </r>
  <r>
    <s v="Mar"/>
    <x v="1"/>
    <x v="1"/>
    <n v="85000000"/>
    <n v="34500000"/>
    <n v="135000000"/>
    <n v="0"/>
  </r>
  <r>
    <s v="Apr"/>
    <x v="1"/>
    <x v="1"/>
    <n v="1635000000"/>
    <s v=""/>
    <n v="85000000"/>
    <s v=""/>
  </r>
  <r>
    <s v="Mei"/>
    <x v="1"/>
    <x v="1"/>
    <n v="335000000"/>
    <s v=""/>
    <n v="185000000"/>
    <s v=""/>
  </r>
  <r>
    <s v="Jun"/>
    <x v="1"/>
    <x v="1"/>
    <n v="685000000"/>
    <s v=""/>
    <n v="85000000"/>
    <s v=""/>
  </r>
  <r>
    <s v="Jul"/>
    <x v="1"/>
    <x v="1"/>
    <n v="885000000"/>
    <s v=""/>
    <n v="685000000"/>
    <s v=""/>
  </r>
  <r>
    <s v="Agt"/>
    <x v="1"/>
    <x v="1"/>
    <n v="685000000"/>
    <s v=""/>
    <n v="1285000000"/>
    <s v=""/>
  </r>
  <r>
    <s v="Sep"/>
    <x v="1"/>
    <x v="1"/>
    <n v="535000000"/>
    <s v=""/>
    <n v="185000000"/>
    <s v=""/>
  </r>
  <r>
    <s v="Okt"/>
    <x v="1"/>
    <x v="1"/>
    <n v="635000000"/>
    <s v=""/>
    <n v="585000000"/>
    <s v=""/>
  </r>
  <r>
    <s v="Nov"/>
    <x v="1"/>
    <x v="1"/>
    <n v="85000000"/>
    <s v=""/>
    <n v="985000000"/>
    <s v=""/>
  </r>
  <r>
    <s v="Des"/>
    <x v="1"/>
    <x v="1"/>
    <n v="135000000"/>
    <s v=""/>
    <n v="2120000000"/>
    <s v=""/>
  </r>
  <r>
    <s v="Jan"/>
    <x v="1"/>
    <x v="2"/>
    <n v="15017750"/>
    <n v="0"/>
    <n v="0"/>
    <n v="0"/>
  </r>
  <r>
    <s v="Feb"/>
    <x v="1"/>
    <x v="2"/>
    <n v="15017750"/>
    <n v="0"/>
    <n v="15017750"/>
    <n v="0"/>
  </r>
  <r>
    <s v="Mar"/>
    <x v="1"/>
    <x v="2"/>
    <n v="15017750"/>
    <n v="0"/>
    <n v="15017750"/>
    <n v="0"/>
  </r>
  <r>
    <s v="Apr"/>
    <x v="1"/>
    <x v="2"/>
    <n v="15017750"/>
    <s v=""/>
    <n v="15017750"/>
    <s v=""/>
  </r>
  <r>
    <s v="Mei"/>
    <x v="1"/>
    <x v="2"/>
    <n v="15017750"/>
    <s v=""/>
    <n v="15017750"/>
    <s v=""/>
  </r>
  <r>
    <s v="Jun"/>
    <x v="1"/>
    <x v="2"/>
    <n v="15017750"/>
    <s v=""/>
    <n v="15017750"/>
    <s v=""/>
  </r>
  <r>
    <s v="Jul"/>
    <x v="1"/>
    <x v="2"/>
    <n v="15017750"/>
    <s v=""/>
    <n v="15017750"/>
    <s v=""/>
  </r>
  <r>
    <s v="Agt"/>
    <x v="1"/>
    <x v="2"/>
    <n v="15017750"/>
    <s v=""/>
    <n v="15017750"/>
    <s v=""/>
  </r>
  <r>
    <s v="Sep"/>
    <x v="1"/>
    <x v="2"/>
    <n v="15017750"/>
    <s v=""/>
    <n v="15017750"/>
    <s v=""/>
  </r>
  <r>
    <s v="Okt"/>
    <x v="1"/>
    <x v="2"/>
    <n v="15017750"/>
    <s v=""/>
    <n v="15017750"/>
    <s v=""/>
  </r>
  <r>
    <s v="Nov"/>
    <x v="1"/>
    <x v="2"/>
    <n v="15017750"/>
    <s v=""/>
    <n v="15017750"/>
    <s v=""/>
  </r>
  <r>
    <s v="Des"/>
    <x v="1"/>
    <x v="2"/>
    <n v="14804750"/>
    <s v=""/>
    <n v="29822500"/>
    <s v=""/>
  </r>
  <r>
    <s v="Jan"/>
    <x v="1"/>
    <x v="3"/>
    <n v="0"/>
    <n v="0"/>
    <n v="0"/>
    <n v="0"/>
  </r>
  <r>
    <s v="Feb"/>
    <x v="1"/>
    <x v="3"/>
    <n v="0"/>
    <n v="0"/>
    <n v="0"/>
    <n v="0"/>
  </r>
  <r>
    <s v="Mar"/>
    <x v="1"/>
    <x v="3"/>
    <n v="0"/>
    <n v="0"/>
    <n v="0"/>
    <n v="0"/>
  </r>
  <r>
    <s v="Apr"/>
    <x v="1"/>
    <x v="3"/>
    <n v="0"/>
    <s v=""/>
    <n v="0"/>
    <s v=""/>
  </r>
  <r>
    <s v="Mei"/>
    <x v="1"/>
    <x v="3"/>
    <n v="200000000"/>
    <s v=""/>
    <n v="0"/>
    <s v=""/>
  </r>
  <r>
    <s v="Jun"/>
    <x v="1"/>
    <x v="3"/>
    <n v="0"/>
    <s v=""/>
    <n v="0"/>
    <s v=""/>
  </r>
  <r>
    <s v="Jul"/>
    <x v="1"/>
    <x v="3"/>
    <n v="0"/>
    <s v=""/>
    <n v="0"/>
    <s v=""/>
  </r>
  <r>
    <s v="Agt"/>
    <x v="1"/>
    <x v="3"/>
    <n v="0"/>
    <s v=""/>
    <n v="0"/>
    <s v=""/>
  </r>
  <r>
    <s v="Sep"/>
    <x v="1"/>
    <x v="3"/>
    <n v="0"/>
    <s v=""/>
    <n v="200000000"/>
    <s v=""/>
  </r>
  <r>
    <s v="Okt"/>
    <x v="1"/>
    <x v="3"/>
    <n v="0"/>
    <s v=""/>
    <n v="0"/>
    <s v=""/>
  </r>
  <r>
    <s v="Nov"/>
    <x v="1"/>
    <x v="3"/>
    <n v="200000000"/>
    <s v=""/>
    <n v="0"/>
    <s v=""/>
  </r>
  <r>
    <s v="Des"/>
    <x v="1"/>
    <x v="3"/>
    <n v="0"/>
    <s v=""/>
    <n v="200000000"/>
    <s v=""/>
  </r>
  <r>
    <s v="Jan"/>
    <x v="1"/>
    <x v="4"/>
    <n v="0"/>
    <n v="0"/>
    <n v="0"/>
    <n v="0"/>
  </r>
  <r>
    <s v="Feb"/>
    <x v="1"/>
    <x v="4"/>
    <n v="0"/>
    <n v="0"/>
    <n v="0"/>
    <n v="0"/>
  </r>
  <r>
    <s v="Mar"/>
    <x v="1"/>
    <x v="4"/>
    <n v="0"/>
    <n v="0"/>
    <n v="0"/>
    <n v="0"/>
  </r>
  <r>
    <s v="Apr"/>
    <x v="1"/>
    <x v="4"/>
    <n v="0"/>
    <s v=""/>
    <n v="0"/>
    <s v=""/>
  </r>
  <r>
    <s v="Mei"/>
    <x v="1"/>
    <x v="4"/>
    <n v="0"/>
    <s v=""/>
    <n v="0"/>
    <s v=""/>
  </r>
  <r>
    <s v="Jun"/>
    <x v="1"/>
    <x v="4"/>
    <n v="0"/>
    <s v=""/>
    <n v="0"/>
    <s v=""/>
  </r>
  <r>
    <s v="Jul"/>
    <x v="1"/>
    <x v="4"/>
    <n v="0"/>
    <s v=""/>
    <n v="0"/>
    <s v=""/>
  </r>
  <r>
    <s v="Agt"/>
    <x v="1"/>
    <x v="4"/>
    <n v="0"/>
    <s v=""/>
    <n v="0"/>
    <s v=""/>
  </r>
  <r>
    <s v="Sep"/>
    <x v="1"/>
    <x v="4"/>
    <n v="0"/>
    <s v=""/>
    <n v="0"/>
    <s v=""/>
  </r>
  <r>
    <s v="Okt"/>
    <x v="1"/>
    <x v="4"/>
    <n v="0"/>
    <s v=""/>
    <n v="0"/>
    <s v=""/>
  </r>
  <r>
    <s v="Nov"/>
    <x v="1"/>
    <x v="4"/>
    <n v="0"/>
    <s v=""/>
    <n v="0"/>
    <s v=""/>
  </r>
  <r>
    <s v="Des"/>
    <x v="1"/>
    <x v="4"/>
    <n v="0"/>
    <s v=""/>
    <n v="0"/>
    <s v=""/>
  </r>
  <r>
    <s v="Jan"/>
    <x v="1"/>
    <x v="5"/>
    <n v="78140000"/>
    <n v="99858450"/>
    <n v="52140000"/>
    <n v="27147500"/>
  </r>
  <r>
    <s v="Feb"/>
    <x v="1"/>
    <x v="5"/>
    <n v="128140000"/>
    <n v="70819316"/>
    <n v="78140000"/>
    <n v="86687950"/>
  </r>
  <r>
    <s v="Mar"/>
    <x v="1"/>
    <x v="5"/>
    <n v="123140000"/>
    <n v="89402275"/>
    <n v="88140000"/>
    <n v="16207500"/>
  </r>
  <r>
    <s v="Apr"/>
    <x v="1"/>
    <x v="5"/>
    <n v="503140000"/>
    <s v=""/>
    <n v="123140000"/>
    <s v=""/>
  </r>
  <r>
    <s v="Mei"/>
    <x v="1"/>
    <x v="5"/>
    <n v="315120000"/>
    <s v=""/>
    <n v="178140000"/>
    <s v=""/>
  </r>
  <r>
    <s v="Jun"/>
    <x v="1"/>
    <x v="5"/>
    <n v="88140000"/>
    <s v=""/>
    <n v="480120000"/>
    <s v=""/>
  </r>
  <r>
    <s v="Jul"/>
    <x v="1"/>
    <x v="5"/>
    <n v="88140000"/>
    <s v=""/>
    <n v="88140000"/>
    <s v=""/>
  </r>
  <r>
    <s v="Agt"/>
    <x v="1"/>
    <x v="5"/>
    <n v="401140000"/>
    <s v=""/>
    <n v="328140000"/>
    <s v=""/>
  </r>
  <r>
    <s v="Sep"/>
    <x v="1"/>
    <x v="5"/>
    <n v="483946000"/>
    <s v=""/>
    <n v="161140000"/>
    <s v=""/>
  </r>
  <r>
    <s v="Okt"/>
    <x v="1"/>
    <x v="5"/>
    <n v="124060000"/>
    <s v=""/>
    <n v="116560000"/>
    <s v=""/>
  </r>
  <r>
    <s v="Nov"/>
    <x v="1"/>
    <x v="5"/>
    <n v="125640000"/>
    <s v=""/>
    <n v="295640000"/>
    <s v=""/>
  </r>
  <r>
    <s v="Des"/>
    <x v="1"/>
    <x v="5"/>
    <n v="102260000"/>
    <s v=""/>
    <n v="571566000"/>
    <s v=""/>
  </r>
  <r>
    <s v="Jan"/>
    <x v="1"/>
    <x v="6"/>
    <n v="291666000"/>
    <n v="243961748"/>
    <n v="291666000"/>
    <n v="243961748"/>
  </r>
  <r>
    <s v="Feb"/>
    <x v="1"/>
    <x v="6"/>
    <n v="291666000"/>
    <n v="222698232"/>
    <n v="291666000"/>
    <n v="222698232"/>
  </r>
  <r>
    <s v="Mar"/>
    <x v="1"/>
    <x v="6"/>
    <n v="291666000"/>
    <n v="0"/>
    <n v="291666000"/>
    <n v="0"/>
  </r>
  <r>
    <s v="Apr"/>
    <x v="1"/>
    <x v="6"/>
    <n v="291666000"/>
    <s v=""/>
    <n v="291666000"/>
    <s v=""/>
  </r>
  <r>
    <s v="Mei"/>
    <x v="1"/>
    <x v="6"/>
    <n v="291666000"/>
    <s v=""/>
    <n v="291666000"/>
    <s v=""/>
  </r>
  <r>
    <s v="Jun"/>
    <x v="1"/>
    <x v="6"/>
    <n v="291666000"/>
    <s v=""/>
    <n v="291666000"/>
    <s v=""/>
  </r>
  <r>
    <s v="Jul"/>
    <x v="1"/>
    <x v="6"/>
    <n v="291666000"/>
    <s v=""/>
    <n v="291666000"/>
    <s v=""/>
  </r>
  <r>
    <s v="Agt"/>
    <x v="1"/>
    <x v="6"/>
    <n v="291666000"/>
    <s v=""/>
    <n v="291666000"/>
    <s v=""/>
  </r>
  <r>
    <s v="Sep"/>
    <x v="1"/>
    <x v="6"/>
    <n v="291666000"/>
    <s v=""/>
    <n v="291666000"/>
    <s v=""/>
  </r>
  <r>
    <s v="Okt"/>
    <x v="1"/>
    <x v="6"/>
    <n v="291666000"/>
    <s v=""/>
    <n v="291666000"/>
    <s v=""/>
  </r>
  <r>
    <s v="Nov"/>
    <x v="1"/>
    <x v="6"/>
    <n v="291666000"/>
    <s v=""/>
    <n v="291666000"/>
    <s v=""/>
  </r>
  <r>
    <s v="Des"/>
    <x v="1"/>
    <x v="6"/>
    <n v="291674000"/>
    <s v=""/>
    <n v="291674000"/>
    <s v=""/>
  </r>
  <r>
    <s v="Jan"/>
    <x v="2"/>
    <x v="0"/>
    <n v="24114094667"/>
    <n v="450857274"/>
    <n v="0"/>
    <n v="0"/>
  </r>
  <r>
    <s v="Feb"/>
    <x v="2"/>
    <x v="0"/>
    <n v="3125397667"/>
    <n v="25211824009"/>
    <n v="194371000"/>
    <n v="457037427"/>
  </r>
  <r>
    <s v="Mar"/>
    <x v="2"/>
    <x v="0"/>
    <n v="353351000"/>
    <n v="557084481"/>
    <n v="194371000"/>
    <n v="4230631181"/>
  </r>
  <r>
    <s v="Apr"/>
    <x v="2"/>
    <x v="0"/>
    <n v="1333955667"/>
    <s v=""/>
    <n v="694781000"/>
    <s v=""/>
  </r>
  <r>
    <s v="Mei"/>
    <x v="2"/>
    <x v="0"/>
    <n v="2268107667"/>
    <s v=""/>
    <n v="1386632000"/>
    <s v=""/>
  </r>
  <r>
    <s v="Jun"/>
    <x v="2"/>
    <x v="0"/>
    <n v="2362976667"/>
    <s v=""/>
    <n v="908992000"/>
    <s v=""/>
  </r>
  <r>
    <s v="Jul"/>
    <x v="2"/>
    <x v="0"/>
    <n v="2424464667"/>
    <s v=""/>
    <n v="2563018000"/>
    <s v=""/>
  </r>
  <r>
    <s v="Agt"/>
    <x v="2"/>
    <x v="0"/>
    <n v="2517762667"/>
    <s v=""/>
    <n v="1841049000"/>
    <s v=""/>
  </r>
  <r>
    <s v="Sep"/>
    <x v="2"/>
    <x v="0"/>
    <n v="1885646667"/>
    <s v=""/>
    <n v="1189324000"/>
    <s v=""/>
  </r>
  <r>
    <s v="Okt"/>
    <x v="2"/>
    <x v="0"/>
    <n v="1076401667"/>
    <s v=""/>
    <n v="6212854000"/>
    <s v=""/>
  </r>
  <r>
    <s v="Nov"/>
    <x v="2"/>
    <x v="0"/>
    <n v="293350667"/>
    <s v=""/>
    <n v="13410728000"/>
    <s v=""/>
  </r>
  <r>
    <s v="Des"/>
    <x v="2"/>
    <x v="0"/>
    <n v="194370667"/>
    <s v=""/>
    <n v="13353760000"/>
    <s v=""/>
  </r>
  <r>
    <s v="Jan"/>
    <x v="2"/>
    <x v="1"/>
    <n v="0"/>
    <n v="7366373"/>
    <n v="0"/>
    <n v="0"/>
  </r>
  <r>
    <s v="Feb"/>
    <x v="2"/>
    <x v="1"/>
    <n v="69155000"/>
    <n v="108905600"/>
    <n v="0"/>
    <n v="7366373"/>
  </r>
  <r>
    <s v="Mar"/>
    <x v="2"/>
    <x v="1"/>
    <n v="76585000"/>
    <n v="0"/>
    <n v="69155000"/>
    <n v="45150000"/>
  </r>
  <r>
    <s v="Apr"/>
    <x v="2"/>
    <x v="1"/>
    <n v="478750000"/>
    <s v=""/>
    <n v="76585000"/>
    <s v=""/>
  </r>
  <r>
    <s v="Mei"/>
    <x v="2"/>
    <x v="1"/>
    <n v="331409000"/>
    <s v=""/>
    <n v="78750000"/>
    <s v=""/>
  </r>
  <r>
    <s v="Jun"/>
    <x v="2"/>
    <x v="1"/>
    <n v="425832000"/>
    <s v=""/>
    <n v="331409000"/>
    <s v=""/>
  </r>
  <r>
    <s v="Jul"/>
    <x v="2"/>
    <x v="1"/>
    <n v="720000000"/>
    <s v=""/>
    <n v="645000000"/>
    <s v=""/>
  </r>
  <r>
    <s v="Agt"/>
    <x v="2"/>
    <x v="1"/>
    <n v="980337000"/>
    <s v=""/>
    <n v="470000000"/>
    <s v=""/>
  </r>
  <r>
    <s v="Sep"/>
    <x v="2"/>
    <x v="1"/>
    <n v="30000000"/>
    <s v=""/>
    <n v="569582000"/>
    <s v=""/>
  </r>
  <r>
    <s v="Okt"/>
    <x v="2"/>
    <x v="1"/>
    <n v="30000000"/>
    <s v=""/>
    <n v="280000000"/>
    <s v=""/>
  </r>
  <r>
    <s v="Nov"/>
    <x v="2"/>
    <x v="1"/>
    <n v="30000000"/>
    <s v=""/>
    <n v="621587000"/>
    <s v=""/>
  </r>
  <r>
    <s v="Des"/>
    <x v="2"/>
    <x v="1"/>
    <n v="0"/>
    <s v=""/>
    <n v="30000000"/>
    <s v=""/>
  </r>
  <r>
    <s v="Jan"/>
    <x v="2"/>
    <x v="2"/>
    <n v="0"/>
    <n v="0"/>
    <n v="0"/>
    <n v="0"/>
  </r>
  <r>
    <s v="Feb"/>
    <x v="2"/>
    <x v="2"/>
    <n v="0"/>
    <n v="0"/>
    <n v="0"/>
    <n v="0"/>
  </r>
  <r>
    <s v="Mar"/>
    <x v="2"/>
    <x v="2"/>
    <n v="0"/>
    <n v="0"/>
    <n v="0"/>
    <n v="0"/>
  </r>
  <r>
    <s v="Apr"/>
    <x v="2"/>
    <x v="2"/>
    <n v="0"/>
    <s v=""/>
    <n v="0"/>
    <s v=""/>
  </r>
  <r>
    <s v="Mei"/>
    <x v="2"/>
    <x v="2"/>
    <n v="0"/>
    <s v=""/>
    <n v="0"/>
    <s v=""/>
  </r>
  <r>
    <s v="Jun"/>
    <x v="2"/>
    <x v="2"/>
    <n v="0"/>
    <s v=""/>
    <n v="0"/>
    <s v=""/>
  </r>
  <r>
    <s v="Jul"/>
    <x v="2"/>
    <x v="2"/>
    <n v="0"/>
    <s v=""/>
    <n v="0"/>
    <s v=""/>
  </r>
  <r>
    <s v="Agt"/>
    <x v="2"/>
    <x v="2"/>
    <n v="0"/>
    <s v=""/>
    <n v="0"/>
    <s v=""/>
  </r>
  <r>
    <s v="Sep"/>
    <x v="2"/>
    <x v="2"/>
    <n v="0"/>
    <s v=""/>
    <n v="0"/>
    <s v=""/>
  </r>
  <r>
    <s v="Okt"/>
    <x v="2"/>
    <x v="2"/>
    <n v="0"/>
    <s v=""/>
    <n v="0"/>
    <s v=""/>
  </r>
  <r>
    <s v="Nov"/>
    <x v="2"/>
    <x v="2"/>
    <n v="0"/>
    <s v=""/>
    <n v="0"/>
    <s v=""/>
  </r>
  <r>
    <s v="Des"/>
    <x v="2"/>
    <x v="2"/>
    <n v="0"/>
    <s v=""/>
    <n v="0"/>
    <s v=""/>
  </r>
  <r>
    <s v="Jan"/>
    <x v="2"/>
    <x v="3"/>
    <n v="0"/>
    <n v="24488000"/>
    <n v="0"/>
    <n v="0"/>
  </r>
  <r>
    <s v="Feb"/>
    <x v="2"/>
    <x v="3"/>
    <n v="0"/>
    <n v="0"/>
    <n v="0"/>
    <n v="24488000"/>
  </r>
  <r>
    <s v="Mar"/>
    <x v="2"/>
    <x v="3"/>
    <n v="50000000"/>
    <n v="0"/>
    <n v="0"/>
    <n v="0"/>
  </r>
  <r>
    <s v="Apr"/>
    <x v="2"/>
    <x v="3"/>
    <n v="0"/>
    <s v=""/>
    <n v="50000000"/>
    <s v=""/>
  </r>
  <r>
    <s v="Mei"/>
    <x v="2"/>
    <x v="3"/>
    <n v="50000000"/>
    <s v=""/>
    <n v="0"/>
    <s v=""/>
  </r>
  <r>
    <s v="Jun"/>
    <x v="2"/>
    <x v="3"/>
    <n v="0"/>
    <s v=""/>
    <n v="50000000"/>
    <s v=""/>
  </r>
  <r>
    <s v="Jul"/>
    <x v="2"/>
    <x v="3"/>
    <n v="0"/>
    <s v=""/>
    <n v="0"/>
    <s v=""/>
  </r>
  <r>
    <s v="Agt"/>
    <x v="2"/>
    <x v="3"/>
    <n v="100000000"/>
    <s v=""/>
    <n v="0"/>
    <s v=""/>
  </r>
  <r>
    <s v="Sep"/>
    <x v="2"/>
    <x v="3"/>
    <n v="0"/>
    <s v=""/>
    <n v="100000000"/>
    <s v=""/>
  </r>
  <r>
    <s v="Okt"/>
    <x v="2"/>
    <x v="3"/>
    <n v="0"/>
    <s v=""/>
    <n v="0"/>
    <s v=""/>
  </r>
  <r>
    <s v="Nov"/>
    <x v="2"/>
    <x v="3"/>
    <n v="0"/>
    <s v=""/>
    <n v="0"/>
    <s v=""/>
  </r>
  <r>
    <s v="Des"/>
    <x v="2"/>
    <x v="3"/>
    <n v="0"/>
    <s v=""/>
    <n v="0"/>
    <s v=""/>
  </r>
  <r>
    <s v="Jan"/>
    <x v="2"/>
    <x v="4"/>
    <n v="0"/>
    <n v="0"/>
    <n v="0"/>
    <n v="0"/>
  </r>
  <r>
    <s v="Feb"/>
    <x v="2"/>
    <x v="4"/>
    <n v="0"/>
    <n v="0"/>
    <n v="0"/>
    <n v="0"/>
  </r>
  <r>
    <s v="Mar"/>
    <x v="2"/>
    <x v="4"/>
    <n v="0"/>
    <n v="0"/>
    <n v="0"/>
    <n v="0"/>
  </r>
  <r>
    <s v="Apr"/>
    <x v="2"/>
    <x v="4"/>
    <n v="0"/>
    <s v=""/>
    <n v="0"/>
    <s v=""/>
  </r>
  <r>
    <s v="Mei"/>
    <x v="2"/>
    <x v="4"/>
    <n v="0"/>
    <s v=""/>
    <n v="0"/>
    <s v=""/>
  </r>
  <r>
    <s v="Jun"/>
    <x v="2"/>
    <x v="4"/>
    <n v="0"/>
    <s v=""/>
    <n v="0"/>
    <s v=""/>
  </r>
  <r>
    <s v="Jul"/>
    <x v="2"/>
    <x v="4"/>
    <n v="0"/>
    <s v=""/>
    <n v="0"/>
    <s v=""/>
  </r>
  <r>
    <s v="Agt"/>
    <x v="2"/>
    <x v="4"/>
    <n v="0"/>
    <s v=""/>
    <n v="0"/>
    <s v=""/>
  </r>
  <r>
    <s v="Sep"/>
    <x v="2"/>
    <x v="4"/>
    <n v="0"/>
    <s v=""/>
    <n v="0"/>
    <s v=""/>
  </r>
  <r>
    <s v="Okt"/>
    <x v="2"/>
    <x v="4"/>
    <n v="0"/>
    <s v=""/>
    <n v="0"/>
    <s v=""/>
  </r>
  <r>
    <s v="Nov"/>
    <x v="2"/>
    <x v="4"/>
    <n v="0"/>
    <s v=""/>
    <n v="0"/>
    <s v=""/>
  </r>
  <r>
    <s v="Des"/>
    <x v="2"/>
    <x v="4"/>
    <n v="0"/>
    <s v=""/>
    <n v="0"/>
    <s v=""/>
  </r>
  <r>
    <s v="Jan"/>
    <x v="2"/>
    <x v="5"/>
    <n v="129134000"/>
    <n v="109818500"/>
    <n v="0"/>
    <n v="52871500"/>
  </r>
  <r>
    <s v="Feb"/>
    <x v="2"/>
    <x v="5"/>
    <n v="129134000"/>
    <n v="37750500"/>
    <n v="129134000"/>
    <n v="64950500"/>
  </r>
  <r>
    <s v="Mar"/>
    <x v="2"/>
    <x v="5"/>
    <n v="353894000"/>
    <n v="18563000"/>
    <n v="129134000"/>
    <n v="12125000"/>
  </r>
  <r>
    <s v="Apr"/>
    <x v="2"/>
    <x v="5"/>
    <n v="129134000"/>
    <s v=""/>
    <n v="353894000"/>
    <s v=""/>
  </r>
  <r>
    <s v="Mei"/>
    <x v="2"/>
    <x v="5"/>
    <n v="129134000"/>
    <s v=""/>
    <n v="129134000"/>
    <s v=""/>
  </r>
  <r>
    <s v="Jun"/>
    <x v="2"/>
    <x v="5"/>
    <n v="139135000"/>
    <s v=""/>
    <n v="129134000"/>
    <s v=""/>
  </r>
  <r>
    <s v="Jul"/>
    <x v="2"/>
    <x v="5"/>
    <n v="353897000"/>
    <s v=""/>
    <n v="139135000"/>
    <s v=""/>
  </r>
  <r>
    <s v="Agt"/>
    <x v="2"/>
    <x v="5"/>
    <n v="129137000"/>
    <s v=""/>
    <n v="353897000"/>
    <s v=""/>
  </r>
  <r>
    <s v="Sep"/>
    <x v="2"/>
    <x v="5"/>
    <n v="129137000"/>
    <s v=""/>
    <n v="129137000"/>
    <s v=""/>
  </r>
  <r>
    <s v="Okt"/>
    <x v="2"/>
    <x v="5"/>
    <n v="129137000"/>
    <s v=""/>
    <n v="129137000"/>
    <s v=""/>
  </r>
  <r>
    <s v="Nov"/>
    <x v="2"/>
    <x v="5"/>
    <n v="169497000"/>
    <s v=""/>
    <n v="129137000"/>
    <s v=""/>
  </r>
  <r>
    <s v="Des"/>
    <x v="2"/>
    <x v="5"/>
    <n v="11500000"/>
    <s v=""/>
    <n v="180997000"/>
    <s v=""/>
  </r>
  <r>
    <s v="Jan"/>
    <x v="2"/>
    <x v="6"/>
    <n v="0"/>
    <n v="0"/>
    <n v="0"/>
    <n v="0"/>
  </r>
  <r>
    <s v="Feb"/>
    <x v="2"/>
    <x v="6"/>
    <n v="0"/>
    <n v="0"/>
    <n v="0"/>
    <n v="0"/>
  </r>
  <r>
    <s v="Mar"/>
    <x v="2"/>
    <x v="6"/>
    <n v="0"/>
    <n v="0"/>
    <n v="0"/>
    <n v="0"/>
  </r>
  <r>
    <s v="Apr"/>
    <x v="2"/>
    <x v="6"/>
    <n v="0"/>
    <s v=""/>
    <n v="0"/>
    <s v=""/>
  </r>
  <r>
    <s v="Mei"/>
    <x v="2"/>
    <x v="6"/>
    <n v="0"/>
    <s v=""/>
    <n v="0"/>
    <s v=""/>
  </r>
  <r>
    <s v="Jun"/>
    <x v="2"/>
    <x v="6"/>
    <n v="0"/>
    <s v=""/>
    <n v="0"/>
    <s v=""/>
  </r>
  <r>
    <s v="Jul"/>
    <x v="2"/>
    <x v="6"/>
    <n v="0"/>
    <s v=""/>
    <n v="0"/>
    <s v=""/>
  </r>
  <r>
    <s v="Agt"/>
    <x v="2"/>
    <x v="6"/>
    <n v="0"/>
    <s v=""/>
    <n v="0"/>
    <s v=""/>
  </r>
  <r>
    <s v="Sep"/>
    <x v="2"/>
    <x v="6"/>
    <n v="0"/>
    <s v=""/>
    <n v="0"/>
    <s v=""/>
  </r>
  <r>
    <s v="Okt"/>
    <x v="2"/>
    <x v="6"/>
    <n v="0"/>
    <s v=""/>
    <n v="0"/>
    <s v=""/>
  </r>
  <r>
    <s v="Nov"/>
    <x v="2"/>
    <x v="6"/>
    <n v="0"/>
    <s v=""/>
    <n v="0"/>
    <s v=""/>
  </r>
  <r>
    <s v="Des"/>
    <x v="2"/>
    <x v="6"/>
    <n v="0"/>
    <s v=""/>
    <n v="0"/>
    <s v=""/>
  </r>
  <r>
    <s v="Jan"/>
    <x v="3"/>
    <x v="0"/>
    <n v="355000000"/>
    <n v="1724237268"/>
    <n v="0"/>
    <n v="0"/>
  </r>
  <r>
    <s v="Feb"/>
    <x v="3"/>
    <x v="0"/>
    <n v="979388000"/>
    <n v="3188732296"/>
    <n v="355000000"/>
    <n v="147536656"/>
  </r>
  <r>
    <s v="Mar"/>
    <x v="3"/>
    <x v="0"/>
    <n v="14105523000"/>
    <n v="2255650228"/>
    <n v="0"/>
    <n v="51513108"/>
  </r>
  <r>
    <s v="Apr"/>
    <x v="3"/>
    <x v="0"/>
    <n v="1907791000"/>
    <s v=""/>
    <n v="0"/>
    <s v=""/>
  </r>
  <r>
    <s v="Mei"/>
    <x v="3"/>
    <x v="0"/>
    <n v="2474359000"/>
    <s v=""/>
    <n v="1458625000"/>
    <s v=""/>
  </r>
  <r>
    <s v="Jun"/>
    <x v="3"/>
    <x v="0"/>
    <n v="2010656000"/>
    <s v=""/>
    <n v="474426000"/>
    <s v=""/>
  </r>
  <r>
    <s v="Jul"/>
    <x v="3"/>
    <x v="0"/>
    <n v="355000000"/>
    <s v=""/>
    <n v="2282791000"/>
    <s v=""/>
  </r>
  <r>
    <s v="Agt"/>
    <x v="3"/>
    <x v="0"/>
    <n v="0"/>
    <s v=""/>
    <n v="2102679000"/>
    <s v=""/>
  </r>
  <r>
    <s v="Sep"/>
    <x v="3"/>
    <x v="0"/>
    <n v="0"/>
    <s v=""/>
    <n v="2157269000"/>
    <s v=""/>
  </r>
  <r>
    <s v="Okt"/>
    <x v="3"/>
    <x v="0"/>
    <n v="355000000"/>
    <s v=""/>
    <n v="4830505000"/>
    <s v=""/>
  </r>
  <r>
    <s v="Nov"/>
    <x v="3"/>
    <x v="0"/>
    <n v="0"/>
    <s v=""/>
    <n v="8881422000"/>
    <s v=""/>
  </r>
  <r>
    <s v="Des"/>
    <x v="3"/>
    <x v="0"/>
    <n v="0"/>
    <s v=""/>
    <n v="0"/>
    <s v=""/>
  </r>
  <r>
    <s v="Jan"/>
    <x v="3"/>
    <x v="1"/>
    <n v="0"/>
    <n v="0"/>
    <n v="0"/>
    <n v="0"/>
  </r>
  <r>
    <s v="Feb"/>
    <x v="3"/>
    <x v="1"/>
    <n v="0"/>
    <n v="0"/>
    <n v="0"/>
    <n v="0"/>
  </r>
  <r>
    <s v="Mar"/>
    <x v="3"/>
    <x v="1"/>
    <n v="0"/>
    <n v="394079880"/>
    <n v="0"/>
    <n v="0"/>
  </r>
  <r>
    <s v="Apr"/>
    <x v="3"/>
    <x v="1"/>
    <n v="1150000000"/>
    <s v=""/>
    <n v="0"/>
    <s v=""/>
  </r>
  <r>
    <s v="Mei"/>
    <x v="3"/>
    <x v="1"/>
    <n v="0"/>
    <s v=""/>
    <n v="0"/>
    <s v=""/>
  </r>
  <r>
    <s v="Jun"/>
    <x v="3"/>
    <x v="1"/>
    <n v="0"/>
    <s v=""/>
    <n v="700000000"/>
    <s v=""/>
  </r>
  <r>
    <s v="Jul"/>
    <x v="3"/>
    <x v="1"/>
    <n v="0"/>
    <s v=""/>
    <n v="0"/>
    <s v=""/>
  </r>
  <r>
    <s v="Agt"/>
    <x v="3"/>
    <x v="1"/>
    <n v="354000000"/>
    <s v=""/>
    <n v="450000000"/>
    <s v=""/>
  </r>
  <r>
    <s v="Sep"/>
    <x v="3"/>
    <x v="1"/>
    <n v="0"/>
    <s v=""/>
    <n v="0"/>
    <s v=""/>
  </r>
  <r>
    <s v="Okt"/>
    <x v="3"/>
    <x v="1"/>
    <n v="0"/>
    <s v=""/>
    <n v="354000000"/>
    <s v=""/>
  </r>
  <r>
    <s v="Nov"/>
    <x v="3"/>
    <x v="1"/>
    <n v="0"/>
    <s v=""/>
    <n v="0"/>
    <s v=""/>
  </r>
  <r>
    <s v="Des"/>
    <x v="3"/>
    <x v="1"/>
    <n v="0"/>
    <s v=""/>
    <n v="0"/>
    <s v=""/>
  </r>
  <r>
    <s v="Jan"/>
    <x v="3"/>
    <x v="2"/>
    <n v="29718750"/>
    <n v="0"/>
    <n v="0"/>
    <n v="0"/>
  </r>
  <r>
    <s v="Feb"/>
    <x v="3"/>
    <x v="2"/>
    <n v="0"/>
    <n v="15775000"/>
    <n v="29718750"/>
    <n v="0"/>
  </r>
  <r>
    <s v="Mar"/>
    <x v="3"/>
    <x v="2"/>
    <n v="0"/>
    <n v="0"/>
    <n v="0"/>
    <n v="2025000"/>
  </r>
  <r>
    <s v="Apr"/>
    <x v="3"/>
    <x v="2"/>
    <n v="29718750"/>
    <s v=""/>
    <n v="0"/>
    <s v=""/>
  </r>
  <r>
    <s v="Mei"/>
    <x v="3"/>
    <x v="2"/>
    <n v="0"/>
    <s v=""/>
    <n v="29718750"/>
    <s v=""/>
  </r>
  <r>
    <s v="Jun"/>
    <x v="3"/>
    <x v="2"/>
    <n v="0"/>
    <s v=""/>
    <n v="0"/>
    <s v=""/>
  </r>
  <r>
    <s v="Jul"/>
    <x v="3"/>
    <x v="2"/>
    <n v="29718750"/>
    <s v=""/>
    <n v="0"/>
    <s v=""/>
  </r>
  <r>
    <s v="Agt"/>
    <x v="3"/>
    <x v="2"/>
    <n v="0"/>
    <s v=""/>
    <n v="29718750"/>
    <s v=""/>
  </r>
  <r>
    <s v="Sep"/>
    <x v="3"/>
    <x v="2"/>
    <n v="0"/>
    <s v=""/>
    <n v="0"/>
    <s v=""/>
  </r>
  <r>
    <s v="Okt"/>
    <x v="3"/>
    <x v="2"/>
    <n v="29718750"/>
    <s v=""/>
    <n v="0"/>
    <s v=""/>
  </r>
  <r>
    <s v="Nov"/>
    <x v="3"/>
    <x v="2"/>
    <n v="0"/>
    <s v=""/>
    <n v="29718750"/>
    <s v=""/>
  </r>
  <r>
    <s v="Des"/>
    <x v="3"/>
    <x v="2"/>
    <n v="0"/>
    <s v=""/>
    <n v="0"/>
    <s v=""/>
  </r>
  <r>
    <s v="Jan"/>
    <x v="3"/>
    <x v="3"/>
    <n v="0"/>
    <n v="0"/>
    <n v="0"/>
    <n v="0"/>
  </r>
  <r>
    <s v="Feb"/>
    <x v="3"/>
    <x v="3"/>
    <n v="0"/>
    <n v="0"/>
    <n v="0"/>
    <n v="0"/>
  </r>
  <r>
    <s v="Mar"/>
    <x v="3"/>
    <x v="3"/>
    <n v="0"/>
    <n v="0"/>
    <n v="0"/>
    <n v="0"/>
  </r>
  <r>
    <s v="Apr"/>
    <x v="3"/>
    <x v="3"/>
    <n v="0"/>
    <s v=""/>
    <n v="0"/>
    <s v=""/>
  </r>
  <r>
    <s v="Mei"/>
    <x v="3"/>
    <x v="3"/>
    <n v="705000000"/>
    <s v=""/>
    <n v="0"/>
    <s v=""/>
  </r>
  <r>
    <s v="Jun"/>
    <x v="3"/>
    <x v="3"/>
    <n v="0"/>
    <s v=""/>
    <n v="0"/>
    <s v=""/>
  </r>
  <r>
    <s v="Jul"/>
    <x v="3"/>
    <x v="3"/>
    <n v="0"/>
    <s v=""/>
    <n v="0"/>
    <s v=""/>
  </r>
  <r>
    <s v="Agt"/>
    <x v="3"/>
    <x v="3"/>
    <n v="0"/>
    <s v=""/>
    <n v="705000000"/>
    <s v=""/>
  </r>
  <r>
    <s v="Sep"/>
    <x v="3"/>
    <x v="3"/>
    <n v="0"/>
    <s v=""/>
    <n v="0"/>
    <s v=""/>
  </r>
  <r>
    <s v="Okt"/>
    <x v="3"/>
    <x v="3"/>
    <n v="0"/>
    <s v=""/>
    <n v="0"/>
    <s v=""/>
  </r>
  <r>
    <s v="Nov"/>
    <x v="3"/>
    <x v="3"/>
    <n v="0"/>
    <s v=""/>
    <n v="0"/>
    <s v=""/>
  </r>
  <r>
    <s v="Des"/>
    <x v="3"/>
    <x v="3"/>
    <n v="0"/>
    <s v=""/>
    <n v="0"/>
    <s v=""/>
  </r>
  <r>
    <s v="Jan"/>
    <x v="3"/>
    <x v="4"/>
    <n v="0"/>
    <n v="0"/>
    <m/>
    <n v="0"/>
  </r>
  <r>
    <s v="Feb"/>
    <x v="3"/>
    <x v="4"/>
    <n v="0"/>
    <n v="0"/>
    <m/>
    <n v="0"/>
  </r>
  <r>
    <s v="Mar"/>
    <x v="3"/>
    <x v="4"/>
    <n v="0"/>
    <n v="0"/>
    <m/>
    <n v="0"/>
  </r>
  <r>
    <s v="Apr"/>
    <x v="3"/>
    <x v="4"/>
    <n v="0"/>
    <s v=""/>
    <m/>
    <s v=""/>
  </r>
  <r>
    <s v="Mei"/>
    <x v="3"/>
    <x v="4"/>
    <n v="0"/>
    <s v=""/>
    <m/>
    <s v=""/>
  </r>
  <r>
    <s v="Jun"/>
    <x v="3"/>
    <x v="4"/>
    <n v="0"/>
    <s v=""/>
    <m/>
    <s v=""/>
  </r>
  <r>
    <s v="Jul"/>
    <x v="3"/>
    <x v="4"/>
    <n v="0"/>
    <s v=""/>
    <m/>
    <s v=""/>
  </r>
  <r>
    <s v="Agt"/>
    <x v="3"/>
    <x v="4"/>
    <n v="0"/>
    <s v=""/>
    <m/>
    <s v=""/>
  </r>
  <r>
    <s v="Sep"/>
    <x v="3"/>
    <x v="4"/>
    <n v="0"/>
    <s v=""/>
    <m/>
    <s v=""/>
  </r>
  <r>
    <s v="Okt"/>
    <x v="3"/>
    <x v="4"/>
    <n v="0"/>
    <s v=""/>
    <m/>
    <s v=""/>
  </r>
  <r>
    <s v="Nov"/>
    <x v="3"/>
    <x v="4"/>
    <n v="0"/>
    <s v=""/>
    <m/>
    <s v=""/>
  </r>
  <r>
    <s v="Des"/>
    <x v="3"/>
    <x v="4"/>
    <n v="0"/>
    <s v=""/>
    <m/>
    <s v=""/>
  </r>
  <r>
    <s v="Jan"/>
    <x v="3"/>
    <x v="5"/>
    <n v="98435000"/>
    <n v="112428554"/>
    <n v="98435000"/>
    <n v="19564700"/>
  </r>
  <r>
    <s v="Feb"/>
    <x v="3"/>
    <x v="5"/>
    <n v="60854000"/>
    <n v="44348055"/>
    <n v="60854000"/>
    <n v="112098409"/>
  </r>
  <r>
    <s v="Mar"/>
    <x v="3"/>
    <x v="5"/>
    <n v="74364000"/>
    <n v="56840280"/>
    <n v="74364000"/>
    <n v="29803000"/>
  </r>
  <r>
    <s v="Apr"/>
    <x v="3"/>
    <x v="5"/>
    <n v="67364000"/>
    <s v=""/>
    <n v="67364000"/>
    <s v=""/>
  </r>
  <r>
    <s v="Mei"/>
    <x v="3"/>
    <x v="5"/>
    <n v="70354000"/>
    <s v=""/>
    <n v="70354000"/>
    <s v=""/>
  </r>
  <r>
    <s v="Jun"/>
    <x v="3"/>
    <x v="5"/>
    <n v="278064000"/>
    <s v=""/>
    <n v="278064000"/>
    <s v=""/>
  </r>
  <r>
    <s v="Jul"/>
    <x v="3"/>
    <x v="5"/>
    <n v="117864000"/>
    <s v=""/>
    <n v="117864000"/>
    <s v=""/>
  </r>
  <r>
    <s v="Agt"/>
    <x v="3"/>
    <x v="5"/>
    <n v="58994000"/>
    <s v=""/>
    <n v="58994000"/>
    <s v=""/>
  </r>
  <r>
    <s v="Sep"/>
    <x v="3"/>
    <x v="5"/>
    <n v="125004000"/>
    <s v=""/>
    <n v="125004000"/>
    <s v=""/>
  </r>
  <r>
    <s v="Okt"/>
    <x v="3"/>
    <x v="5"/>
    <n v="53004000"/>
    <s v=""/>
    <n v="53004000"/>
    <s v=""/>
  </r>
  <r>
    <s v="Nov"/>
    <x v="3"/>
    <x v="5"/>
    <n v="83004000"/>
    <s v=""/>
    <n v="83004000"/>
    <s v=""/>
  </r>
  <r>
    <s v="Des"/>
    <x v="3"/>
    <x v="5"/>
    <n v="75015000"/>
    <s v=""/>
    <n v="75015000"/>
    <s v=""/>
  </r>
  <r>
    <s v="Jan"/>
    <x v="3"/>
    <x v="6"/>
    <n v="188333000"/>
    <n v="166384517"/>
    <n v="188333000"/>
    <n v="166384517"/>
  </r>
  <r>
    <s v="Feb"/>
    <x v="3"/>
    <x v="6"/>
    <n v="188333000"/>
    <n v="158708365"/>
    <n v="188333000"/>
    <n v="158708365"/>
  </r>
  <r>
    <s v="Mar"/>
    <x v="3"/>
    <x v="6"/>
    <n v="188333000"/>
    <n v="0"/>
    <n v="188333000"/>
    <n v="0"/>
  </r>
  <r>
    <s v="Apr"/>
    <x v="3"/>
    <x v="6"/>
    <n v="188333000"/>
    <s v=""/>
    <n v="188333000"/>
    <s v=""/>
  </r>
  <r>
    <s v="Mei"/>
    <x v="3"/>
    <x v="6"/>
    <n v="188333000"/>
    <s v=""/>
    <n v="188333000"/>
    <s v=""/>
  </r>
  <r>
    <s v="Jun"/>
    <x v="3"/>
    <x v="6"/>
    <n v="188333000"/>
    <s v=""/>
    <n v="188333000"/>
    <s v=""/>
  </r>
  <r>
    <s v="Jul"/>
    <x v="3"/>
    <x v="6"/>
    <n v="188333000"/>
    <s v=""/>
    <n v="188333000"/>
    <s v=""/>
  </r>
  <r>
    <s v="Agt"/>
    <x v="3"/>
    <x v="6"/>
    <n v="188333000"/>
    <s v=""/>
    <n v="188333000"/>
    <s v=""/>
  </r>
  <r>
    <s v="Sep"/>
    <x v="3"/>
    <x v="6"/>
    <n v="188333000"/>
    <s v=""/>
    <n v="188333000"/>
    <s v=""/>
  </r>
  <r>
    <s v="Okt"/>
    <x v="3"/>
    <x v="6"/>
    <n v="188333000"/>
    <s v=""/>
    <n v="188333000"/>
    <s v=""/>
  </r>
  <r>
    <s v="Nov"/>
    <x v="3"/>
    <x v="6"/>
    <n v="188333000"/>
    <s v=""/>
    <n v="188333000"/>
    <s v=""/>
  </r>
  <r>
    <s v="Des"/>
    <x v="3"/>
    <x v="6"/>
    <n v="188337000"/>
    <s v=""/>
    <n v="188337000"/>
    <s v=""/>
  </r>
  <r>
    <s v="Jan"/>
    <x v="4"/>
    <x v="0"/>
    <n v="0"/>
    <n v="620219118"/>
    <n v="0"/>
    <n v="0"/>
  </r>
  <r>
    <s v="Feb"/>
    <x v="4"/>
    <x v="0"/>
    <n v="0"/>
    <n v="882186785"/>
    <n v="0"/>
    <n v="28044916"/>
  </r>
  <r>
    <s v="Mar"/>
    <x v="4"/>
    <x v="0"/>
    <n v="12183513000"/>
    <n v="1210443297"/>
    <n v="495000000"/>
    <n v="59065000"/>
  </r>
  <r>
    <s v="Apr"/>
    <x v="4"/>
    <x v="0"/>
    <n v="3290973000"/>
    <s v=""/>
    <n v="335000000"/>
    <s v=""/>
  </r>
  <r>
    <s v="Mei"/>
    <x v="4"/>
    <x v="0"/>
    <n v="4196830000"/>
    <s v=""/>
    <n v="450000000"/>
    <s v=""/>
  </r>
  <r>
    <s v="Jun"/>
    <x v="4"/>
    <x v="0"/>
    <n v="421169000"/>
    <s v=""/>
    <n v="851266000"/>
    <s v=""/>
  </r>
  <r>
    <s v="Jul"/>
    <x v="4"/>
    <x v="0"/>
    <n v="102990000"/>
    <s v=""/>
    <n v="845041000"/>
    <s v=""/>
  </r>
  <r>
    <s v="Agt"/>
    <x v="4"/>
    <x v="0"/>
    <n v="350000000"/>
    <s v=""/>
    <n v="544675000"/>
    <s v=""/>
  </r>
  <r>
    <s v="Sep"/>
    <x v="4"/>
    <x v="0"/>
    <n v="130000000"/>
    <s v=""/>
    <n v="12919483000"/>
    <s v=""/>
  </r>
  <r>
    <s v="Okt"/>
    <x v="4"/>
    <x v="0"/>
    <n v="0"/>
    <s v=""/>
    <n v="2295330000"/>
    <s v=""/>
  </r>
  <r>
    <s v="Nov"/>
    <x v="4"/>
    <x v="0"/>
    <n v="0"/>
    <s v=""/>
    <n v="1939680000"/>
    <s v=""/>
  </r>
  <r>
    <s v="Des"/>
    <x v="4"/>
    <x v="0"/>
    <n v="130000000"/>
    <s v=""/>
    <n v="130000000"/>
    <s v=""/>
  </r>
  <r>
    <s v="Jan"/>
    <x v="4"/>
    <x v="1"/>
    <n v="0"/>
    <n v="0"/>
    <n v="0"/>
    <n v="0"/>
  </r>
  <r>
    <s v="Feb"/>
    <x v="4"/>
    <x v="1"/>
    <n v="0"/>
    <n v="28227453"/>
    <n v="0"/>
    <n v="0"/>
  </r>
  <r>
    <s v="Mar"/>
    <x v="4"/>
    <x v="1"/>
    <n v="0"/>
    <n v="18630185"/>
    <n v="0"/>
    <n v="8775138"/>
  </r>
  <r>
    <s v="Apr"/>
    <x v="4"/>
    <x v="1"/>
    <n v="128898000"/>
    <s v=""/>
    <n v="128898000"/>
    <s v=""/>
  </r>
  <r>
    <s v="Mei"/>
    <x v="4"/>
    <x v="1"/>
    <n v="532377000"/>
    <s v=""/>
    <n v="50000000"/>
    <s v=""/>
  </r>
  <r>
    <s v="Jun"/>
    <x v="4"/>
    <x v="1"/>
    <n v="435565000"/>
    <s v=""/>
    <n v="50000000"/>
    <s v=""/>
  </r>
  <r>
    <s v="Jul"/>
    <x v="4"/>
    <x v="1"/>
    <n v="50000000"/>
    <s v=""/>
    <n v="50000000"/>
    <s v=""/>
  </r>
  <r>
    <s v="Agt"/>
    <x v="4"/>
    <x v="1"/>
    <n v="50000000"/>
    <s v=""/>
    <n v="532377000"/>
    <s v=""/>
  </r>
  <r>
    <s v="Sep"/>
    <x v="4"/>
    <x v="1"/>
    <n v="50000000"/>
    <s v=""/>
    <n v="435565000"/>
    <s v=""/>
  </r>
  <r>
    <s v="Okt"/>
    <x v="4"/>
    <x v="1"/>
    <n v="100000000"/>
    <s v=""/>
    <n v="100000000"/>
    <s v=""/>
  </r>
  <r>
    <s v="Nov"/>
    <x v="4"/>
    <x v="1"/>
    <n v="100000000"/>
    <s v=""/>
    <n v="100000000"/>
    <s v=""/>
  </r>
  <r>
    <s v="Des"/>
    <x v="4"/>
    <x v="1"/>
    <n v="0"/>
    <s v=""/>
    <n v="0"/>
    <s v=""/>
  </r>
  <r>
    <s v="Jan"/>
    <x v="4"/>
    <x v="2"/>
    <n v="0"/>
    <n v="0"/>
    <n v="0"/>
    <n v="0"/>
  </r>
  <r>
    <s v="Feb"/>
    <x v="4"/>
    <x v="2"/>
    <n v="30030000"/>
    <n v="11205000"/>
    <n v="30030000"/>
    <n v="0"/>
  </r>
  <r>
    <s v="Mar"/>
    <x v="4"/>
    <x v="2"/>
    <n v="0"/>
    <n v="0"/>
    <n v="0"/>
    <n v="0"/>
  </r>
  <r>
    <s v="Apr"/>
    <x v="4"/>
    <x v="2"/>
    <n v="0"/>
    <s v=""/>
    <n v="0"/>
    <s v=""/>
  </r>
  <r>
    <s v="Mei"/>
    <x v="4"/>
    <x v="2"/>
    <n v="0"/>
    <s v=""/>
    <n v="0"/>
    <s v=""/>
  </r>
  <r>
    <s v="Jun"/>
    <x v="4"/>
    <x v="2"/>
    <n v="30030000"/>
    <s v=""/>
    <n v="30030000"/>
    <s v=""/>
  </r>
  <r>
    <s v="Jul"/>
    <x v="4"/>
    <x v="2"/>
    <n v="0"/>
    <s v=""/>
    <n v="0"/>
    <s v=""/>
  </r>
  <r>
    <s v="Agt"/>
    <x v="4"/>
    <x v="2"/>
    <n v="0"/>
    <s v=""/>
    <n v="0"/>
    <s v=""/>
  </r>
  <r>
    <s v="Sep"/>
    <x v="4"/>
    <x v="2"/>
    <n v="0"/>
    <s v=""/>
    <n v="0"/>
    <s v=""/>
  </r>
  <r>
    <s v="Okt"/>
    <x v="4"/>
    <x v="2"/>
    <n v="0"/>
    <s v=""/>
    <n v="0"/>
    <s v=""/>
  </r>
  <r>
    <s v="Nov"/>
    <x v="4"/>
    <x v="2"/>
    <n v="30030000"/>
    <s v=""/>
    <n v="30030000"/>
    <s v=""/>
  </r>
  <r>
    <s v="Des"/>
    <x v="4"/>
    <x v="2"/>
    <n v="0"/>
    <s v=""/>
    <n v="0"/>
    <s v=""/>
  </r>
  <r>
    <s v="Jan"/>
    <x v="4"/>
    <x v="3"/>
    <n v="0"/>
    <n v="0"/>
    <n v="0"/>
    <n v="0"/>
  </r>
  <r>
    <s v="Feb"/>
    <x v="4"/>
    <x v="3"/>
    <n v="0"/>
    <n v="0"/>
    <n v="0"/>
    <n v="0"/>
  </r>
  <r>
    <s v="Mar"/>
    <x v="4"/>
    <x v="3"/>
    <n v="0"/>
    <n v="0"/>
    <n v="0"/>
    <n v="0"/>
  </r>
  <r>
    <s v="Apr"/>
    <x v="4"/>
    <x v="3"/>
    <n v="0"/>
    <s v=""/>
    <n v="0"/>
    <s v=""/>
  </r>
  <r>
    <s v="Mei"/>
    <x v="4"/>
    <x v="3"/>
    <n v="60000000"/>
    <s v=""/>
    <n v="60000000"/>
    <s v=""/>
  </r>
  <r>
    <s v="Jun"/>
    <x v="4"/>
    <x v="3"/>
    <n v="30000000"/>
    <s v=""/>
    <n v="30000000"/>
    <s v=""/>
  </r>
  <r>
    <s v="Jul"/>
    <x v="4"/>
    <x v="3"/>
    <n v="160000000"/>
    <s v=""/>
    <n v="0"/>
    <s v=""/>
  </r>
  <r>
    <s v="Agt"/>
    <x v="4"/>
    <x v="3"/>
    <n v="0"/>
    <s v=""/>
    <n v="0"/>
    <s v=""/>
  </r>
  <r>
    <s v="Sep"/>
    <x v="4"/>
    <x v="3"/>
    <n v="0"/>
    <s v=""/>
    <n v="0"/>
    <s v=""/>
  </r>
  <r>
    <s v="Okt"/>
    <x v="4"/>
    <x v="3"/>
    <n v="0"/>
    <s v=""/>
    <n v="160000000"/>
    <s v=""/>
  </r>
  <r>
    <s v="Nov"/>
    <x v="4"/>
    <x v="3"/>
    <n v="0"/>
    <s v=""/>
    <n v="0"/>
    <s v=""/>
  </r>
  <r>
    <s v="Des"/>
    <x v="4"/>
    <x v="3"/>
    <n v="0"/>
    <s v=""/>
    <n v="0"/>
    <s v=""/>
  </r>
  <r>
    <s v="Jan"/>
    <x v="4"/>
    <x v="4"/>
    <n v="0"/>
    <n v="0"/>
    <n v="0"/>
    <n v="0"/>
  </r>
  <r>
    <s v="Feb"/>
    <x v="4"/>
    <x v="4"/>
    <n v="0"/>
    <n v="0"/>
    <n v="0"/>
    <n v="0"/>
  </r>
  <r>
    <s v="Mar"/>
    <x v="4"/>
    <x v="4"/>
    <n v="0"/>
    <n v="0"/>
    <n v="0"/>
    <n v="0"/>
  </r>
  <r>
    <s v="Apr"/>
    <x v="4"/>
    <x v="4"/>
    <n v="0"/>
    <s v=""/>
    <n v="0"/>
    <s v=""/>
  </r>
  <r>
    <s v="Mei"/>
    <x v="4"/>
    <x v="4"/>
    <n v="0"/>
    <s v=""/>
    <n v="0"/>
    <s v=""/>
  </r>
  <r>
    <s v="Jun"/>
    <x v="4"/>
    <x v="4"/>
    <n v="0"/>
    <s v=""/>
    <n v="0"/>
    <s v=""/>
  </r>
  <r>
    <s v="Jul"/>
    <x v="4"/>
    <x v="4"/>
    <n v="0"/>
    <s v=""/>
    <n v="0"/>
    <s v=""/>
  </r>
  <r>
    <s v="Agt"/>
    <x v="4"/>
    <x v="4"/>
    <n v="0"/>
    <s v=""/>
    <n v="0"/>
    <s v=""/>
  </r>
  <r>
    <s v="Sep"/>
    <x v="4"/>
    <x v="4"/>
    <n v="0"/>
    <s v=""/>
    <n v="0"/>
    <s v=""/>
  </r>
  <r>
    <s v="Okt"/>
    <x v="4"/>
    <x v="4"/>
    <n v="0"/>
    <s v=""/>
    <n v="0"/>
    <s v=""/>
  </r>
  <r>
    <s v="Nov"/>
    <x v="4"/>
    <x v="4"/>
    <n v="0"/>
    <s v=""/>
    <n v="0"/>
    <s v=""/>
  </r>
  <r>
    <s v="Des"/>
    <x v="4"/>
    <x v="4"/>
    <n v="0"/>
    <s v=""/>
    <n v="0"/>
    <s v=""/>
  </r>
  <r>
    <s v="Jan"/>
    <x v="4"/>
    <x v="5"/>
    <n v="50834000"/>
    <n v="107373135"/>
    <n v="50834000"/>
    <n v="29120235"/>
  </r>
  <r>
    <s v="Feb"/>
    <x v="4"/>
    <x v="5"/>
    <n v="70834000"/>
    <n v="132788748"/>
    <n v="70834000"/>
    <n v="60489500"/>
  </r>
  <r>
    <s v="Mar"/>
    <x v="4"/>
    <x v="5"/>
    <n v="302184000"/>
    <n v="18195000"/>
    <n v="302184000"/>
    <n v="28151400"/>
  </r>
  <r>
    <s v="Apr"/>
    <x v="4"/>
    <x v="5"/>
    <n v="313833000"/>
    <s v=""/>
    <n v="313833000"/>
    <s v=""/>
  </r>
  <r>
    <s v="Mei"/>
    <x v="4"/>
    <x v="5"/>
    <n v="187833000"/>
    <s v=""/>
    <n v="187833000"/>
    <s v=""/>
  </r>
  <r>
    <s v="Jun"/>
    <x v="4"/>
    <x v="5"/>
    <n v="274383000"/>
    <s v=""/>
    <n v="274383000"/>
    <s v=""/>
  </r>
  <r>
    <s v="Jul"/>
    <x v="4"/>
    <x v="5"/>
    <n v="53833000"/>
    <s v=""/>
    <n v="53833000"/>
    <s v=""/>
  </r>
  <r>
    <s v="Agt"/>
    <x v="4"/>
    <x v="5"/>
    <n v="90833000"/>
    <s v=""/>
    <n v="90833000"/>
    <s v=""/>
  </r>
  <r>
    <s v="Sep"/>
    <x v="4"/>
    <x v="5"/>
    <n v="97183000"/>
    <s v=""/>
    <n v="97183000"/>
    <s v=""/>
  </r>
  <r>
    <s v="Okt"/>
    <x v="4"/>
    <x v="5"/>
    <n v="65834000"/>
    <s v=""/>
    <n v="65834000"/>
    <s v=""/>
  </r>
  <r>
    <s v="Nov"/>
    <x v="4"/>
    <x v="5"/>
    <n v="62834000"/>
    <s v=""/>
    <n v="62834000"/>
    <s v=""/>
  </r>
  <r>
    <s v="Des"/>
    <x v="4"/>
    <x v="5"/>
    <n v="112184000"/>
    <s v=""/>
    <n v="112184000"/>
    <s v=""/>
  </r>
  <r>
    <s v="Jan"/>
    <x v="4"/>
    <x v="6"/>
    <n v="208442000"/>
    <n v="180318716"/>
    <n v="208442000"/>
    <n v="180294464"/>
  </r>
  <r>
    <s v="Feb"/>
    <x v="4"/>
    <x v="6"/>
    <n v="208442000"/>
    <n v="165926590"/>
    <n v="208442000"/>
    <n v="165950842"/>
  </r>
  <r>
    <s v="Mar"/>
    <x v="4"/>
    <x v="6"/>
    <n v="208442000"/>
    <n v="0"/>
    <n v="208442000"/>
    <n v="0"/>
  </r>
  <r>
    <s v="Apr"/>
    <x v="4"/>
    <x v="6"/>
    <n v="208442000"/>
    <s v=""/>
    <n v="208442000"/>
    <s v=""/>
  </r>
  <r>
    <s v="Mei"/>
    <x v="4"/>
    <x v="6"/>
    <n v="208442000"/>
    <s v=""/>
    <n v="208442000"/>
    <s v=""/>
  </r>
  <r>
    <s v="Jun"/>
    <x v="4"/>
    <x v="6"/>
    <n v="208442000"/>
    <s v=""/>
    <n v="208442000"/>
    <s v=""/>
  </r>
  <r>
    <s v="Jul"/>
    <x v="4"/>
    <x v="6"/>
    <n v="208442000"/>
    <s v=""/>
    <n v="208442000"/>
    <s v=""/>
  </r>
  <r>
    <s v="Agt"/>
    <x v="4"/>
    <x v="6"/>
    <n v="208442000"/>
    <s v=""/>
    <n v="208442000"/>
    <s v=""/>
  </r>
  <r>
    <s v="Sep"/>
    <x v="4"/>
    <x v="6"/>
    <n v="208441000"/>
    <s v=""/>
    <n v="208441000"/>
    <s v=""/>
  </r>
  <r>
    <s v="Okt"/>
    <x v="4"/>
    <x v="6"/>
    <n v="208441000"/>
    <s v=""/>
    <n v="208441000"/>
    <s v=""/>
  </r>
  <r>
    <s v="Nov"/>
    <x v="4"/>
    <x v="6"/>
    <n v="208441000"/>
    <s v=""/>
    <n v="208441000"/>
    <s v=""/>
  </r>
  <r>
    <s v="Des"/>
    <x v="4"/>
    <x v="6"/>
    <n v="208441000"/>
    <s v=""/>
    <n v="208441000"/>
    <s v=""/>
  </r>
  <r>
    <s v="Jan"/>
    <x v="5"/>
    <x v="0"/>
    <n v="100000000"/>
    <n v="656537346"/>
    <n v="0"/>
    <n v="0"/>
  </r>
  <r>
    <s v="Feb"/>
    <x v="5"/>
    <x v="0"/>
    <n v="235000000"/>
    <n v="683351141"/>
    <n v="185000000"/>
    <n v="93332500"/>
  </r>
  <r>
    <s v="Mar"/>
    <x v="5"/>
    <x v="0"/>
    <n v="9354173000"/>
    <n v="3192088872"/>
    <n v="500000000"/>
    <n v="80204846"/>
  </r>
  <r>
    <s v="Apr"/>
    <x v="5"/>
    <x v="0"/>
    <n v="459550000"/>
    <s v=""/>
    <n v="521650000"/>
    <s v=""/>
  </r>
  <r>
    <s v="Mei"/>
    <x v="5"/>
    <x v="0"/>
    <n v="4070366975"/>
    <s v=""/>
    <n v="190000000"/>
    <s v=""/>
  </r>
  <r>
    <s v="Jun"/>
    <x v="5"/>
    <x v="0"/>
    <n v="1051500000"/>
    <s v=""/>
    <n v="419000000"/>
    <s v=""/>
  </r>
  <r>
    <s v="Jul"/>
    <x v="5"/>
    <x v="0"/>
    <n v="925000000"/>
    <s v=""/>
    <n v="1383295000"/>
    <s v=""/>
  </r>
  <r>
    <s v="Agt"/>
    <x v="5"/>
    <x v="0"/>
    <n v="391246320"/>
    <s v=""/>
    <n v="882913000"/>
    <s v=""/>
  </r>
  <r>
    <s v="Sep"/>
    <x v="5"/>
    <x v="0"/>
    <n v="447666665.99999994"/>
    <s v=""/>
    <n v="3610437000"/>
    <s v=""/>
  </r>
  <r>
    <s v="Okt"/>
    <x v="5"/>
    <x v="0"/>
    <n v="197666660"/>
    <s v=""/>
    <n v="943622000"/>
    <s v=""/>
  </r>
  <r>
    <s v="Nov"/>
    <x v="5"/>
    <x v="0"/>
    <n v="66666660"/>
    <s v=""/>
    <n v="4123624560"/>
    <s v=""/>
  </r>
  <r>
    <s v="Des"/>
    <x v="5"/>
    <x v="0"/>
    <n v="66666660"/>
    <s v=""/>
    <n v="4605962307"/>
    <s v=""/>
  </r>
  <r>
    <s v="Jan"/>
    <x v="5"/>
    <x v="1"/>
    <n v="0"/>
    <n v="0"/>
    <n v="0"/>
    <n v="0"/>
  </r>
  <r>
    <s v="Feb"/>
    <x v="5"/>
    <x v="1"/>
    <n v="10000000"/>
    <n v="0"/>
    <n v="0"/>
    <n v="0"/>
  </r>
  <r>
    <s v="Mar"/>
    <x v="5"/>
    <x v="1"/>
    <n v="0"/>
    <n v="24707600"/>
    <n v="10000000"/>
    <n v="0"/>
  </r>
  <r>
    <s v="Apr"/>
    <x v="5"/>
    <x v="1"/>
    <n v="0"/>
    <s v=""/>
    <n v="0"/>
    <s v=""/>
  </r>
  <r>
    <s v="Mei"/>
    <x v="5"/>
    <x v="1"/>
    <n v="10000000"/>
    <s v=""/>
    <n v="0"/>
    <s v=""/>
  </r>
  <r>
    <s v="Jun"/>
    <x v="5"/>
    <x v="1"/>
    <n v="50000000"/>
    <s v=""/>
    <n v="10000000"/>
    <s v=""/>
  </r>
  <r>
    <s v="Jul"/>
    <x v="5"/>
    <x v="1"/>
    <n v="509000000"/>
    <s v=""/>
    <n v="50000000"/>
    <s v=""/>
  </r>
  <r>
    <s v="Agt"/>
    <x v="5"/>
    <x v="1"/>
    <n v="10000000"/>
    <s v=""/>
    <n v="0"/>
    <s v=""/>
  </r>
  <r>
    <s v="Sep"/>
    <x v="5"/>
    <x v="1"/>
    <n v="50000000"/>
    <s v=""/>
    <n v="10000000"/>
    <s v=""/>
  </r>
  <r>
    <s v="Okt"/>
    <x v="5"/>
    <x v="1"/>
    <n v="0"/>
    <s v=""/>
    <n v="50000000"/>
    <s v=""/>
  </r>
  <r>
    <s v="Nov"/>
    <x v="5"/>
    <x v="1"/>
    <n v="10000000"/>
    <s v=""/>
    <n v="0"/>
    <s v=""/>
  </r>
  <r>
    <s v="Des"/>
    <x v="5"/>
    <x v="1"/>
    <n v="0"/>
    <s v=""/>
    <n v="519000000"/>
    <s v=""/>
  </r>
  <r>
    <s v="Jan"/>
    <x v="5"/>
    <x v="2"/>
    <n v="0"/>
    <n v="0"/>
    <n v="0"/>
    <n v="0"/>
  </r>
  <r>
    <s v="Feb"/>
    <x v="5"/>
    <x v="2"/>
    <n v="80025000"/>
    <n v="71775000"/>
    <n v="0"/>
    <n v="0"/>
  </r>
  <r>
    <s v="Mar"/>
    <x v="5"/>
    <x v="2"/>
    <n v="0"/>
    <n v="0"/>
    <n v="80025000"/>
    <n v="0"/>
  </r>
  <r>
    <s v="Apr"/>
    <x v="5"/>
    <x v="2"/>
    <n v="0"/>
    <s v=""/>
    <n v="0"/>
    <s v=""/>
  </r>
  <r>
    <s v="Mei"/>
    <x v="5"/>
    <x v="2"/>
    <n v="80025000"/>
    <s v=""/>
    <n v="0"/>
    <s v=""/>
  </r>
  <r>
    <s v="Jun"/>
    <x v="5"/>
    <x v="2"/>
    <n v="0"/>
    <s v=""/>
    <n v="80025000"/>
    <s v=""/>
  </r>
  <r>
    <s v="Jul"/>
    <x v="5"/>
    <x v="2"/>
    <n v="0"/>
    <s v=""/>
    <n v="0"/>
    <s v=""/>
  </r>
  <r>
    <s v="Agt"/>
    <x v="5"/>
    <x v="2"/>
    <n v="80025000"/>
    <s v=""/>
    <n v="0"/>
    <s v=""/>
  </r>
  <r>
    <s v="Sep"/>
    <x v="5"/>
    <x v="2"/>
    <n v="0"/>
    <s v=""/>
    <n v="80025000"/>
    <s v=""/>
  </r>
  <r>
    <s v="Okt"/>
    <x v="5"/>
    <x v="2"/>
    <n v="0"/>
    <s v=""/>
    <n v="0"/>
    <s v=""/>
  </r>
  <r>
    <s v="Nov"/>
    <x v="5"/>
    <x v="2"/>
    <n v="80025000"/>
    <s v=""/>
    <n v="0"/>
    <s v=""/>
  </r>
  <r>
    <s v="Des"/>
    <x v="5"/>
    <x v="2"/>
    <n v="0"/>
    <s v=""/>
    <n v="80025000"/>
    <s v=""/>
  </r>
  <r>
    <s v="Jan"/>
    <x v="5"/>
    <x v="3"/>
    <n v="0"/>
    <n v="46460160"/>
    <n v="0"/>
    <n v="0"/>
  </r>
  <r>
    <s v="Feb"/>
    <x v="5"/>
    <x v="3"/>
    <n v="50000000"/>
    <n v="0"/>
    <n v="0"/>
    <n v="0"/>
  </r>
  <r>
    <s v="Mar"/>
    <x v="5"/>
    <x v="3"/>
    <n v="0"/>
    <n v="-4604160"/>
    <n v="50000000"/>
    <n v="41856000"/>
  </r>
  <r>
    <s v="Apr"/>
    <x v="5"/>
    <x v="3"/>
    <n v="0"/>
    <s v=""/>
    <n v="0"/>
    <s v=""/>
  </r>
  <r>
    <s v="Mei"/>
    <x v="5"/>
    <x v="3"/>
    <n v="0"/>
    <s v=""/>
    <n v="0"/>
    <s v=""/>
  </r>
  <r>
    <s v="Jun"/>
    <x v="5"/>
    <x v="3"/>
    <n v="0"/>
    <s v=""/>
    <n v="0"/>
    <s v=""/>
  </r>
  <r>
    <s v="Jul"/>
    <x v="5"/>
    <x v="3"/>
    <n v="50000000"/>
    <s v=""/>
    <n v="0"/>
    <s v=""/>
  </r>
  <r>
    <s v="Agt"/>
    <x v="5"/>
    <x v="3"/>
    <n v="0"/>
    <s v=""/>
    <n v="50000000"/>
    <s v=""/>
  </r>
  <r>
    <s v="Sep"/>
    <x v="5"/>
    <x v="3"/>
    <n v="0"/>
    <s v=""/>
    <n v="0"/>
    <s v=""/>
  </r>
  <r>
    <s v="Okt"/>
    <x v="5"/>
    <x v="3"/>
    <n v="50000000"/>
    <s v=""/>
    <n v="0"/>
    <s v=""/>
  </r>
  <r>
    <s v="Nov"/>
    <x v="5"/>
    <x v="3"/>
    <n v="0"/>
    <s v=""/>
    <n v="50000000"/>
    <s v=""/>
  </r>
  <r>
    <s v="Des"/>
    <x v="5"/>
    <x v="3"/>
    <n v="0"/>
    <s v=""/>
    <n v="0"/>
    <s v=""/>
  </r>
  <r>
    <s v="Jan"/>
    <x v="5"/>
    <x v="4"/>
    <n v="0"/>
    <n v="0"/>
    <n v="0"/>
    <n v="0"/>
  </r>
  <r>
    <s v="Feb"/>
    <x v="5"/>
    <x v="4"/>
    <n v="0"/>
    <n v="0"/>
    <n v="0"/>
    <n v="0"/>
  </r>
  <r>
    <s v="Mar"/>
    <x v="5"/>
    <x v="4"/>
    <n v="0"/>
    <n v="0"/>
    <n v="0"/>
    <n v="0"/>
  </r>
  <r>
    <s v="Apr"/>
    <x v="5"/>
    <x v="4"/>
    <n v="0"/>
    <s v=""/>
    <n v="0"/>
    <s v=""/>
  </r>
  <r>
    <s v="Mei"/>
    <x v="5"/>
    <x v="4"/>
    <n v="0"/>
    <s v=""/>
    <n v="0"/>
    <s v=""/>
  </r>
  <r>
    <s v="Jun"/>
    <x v="5"/>
    <x v="4"/>
    <n v="0"/>
    <s v=""/>
    <n v="0"/>
    <s v=""/>
  </r>
  <r>
    <s v="Jul"/>
    <x v="5"/>
    <x v="4"/>
    <n v="0"/>
    <s v=""/>
    <n v="0"/>
    <s v=""/>
  </r>
  <r>
    <s v="Agt"/>
    <x v="5"/>
    <x v="4"/>
    <n v="0"/>
    <s v=""/>
    <n v="0"/>
    <s v=""/>
  </r>
  <r>
    <s v="Sep"/>
    <x v="5"/>
    <x v="4"/>
    <n v="0"/>
    <s v=""/>
    <n v="0"/>
    <s v=""/>
  </r>
  <r>
    <s v="Okt"/>
    <x v="5"/>
    <x v="4"/>
    <n v="0"/>
    <s v=""/>
    <n v="0"/>
    <s v=""/>
  </r>
  <r>
    <s v="Nov"/>
    <x v="5"/>
    <x v="4"/>
    <n v="0"/>
    <s v=""/>
    <n v="0"/>
    <s v=""/>
  </r>
  <r>
    <s v="Des"/>
    <x v="5"/>
    <x v="4"/>
    <n v="0"/>
    <s v=""/>
    <n v="0"/>
    <s v=""/>
  </r>
  <r>
    <s v="Jan"/>
    <x v="5"/>
    <x v="5"/>
    <n v="142200000"/>
    <n v="125678941"/>
    <n v="8750000"/>
    <n v="17499750"/>
  </r>
  <r>
    <s v="Feb"/>
    <x v="5"/>
    <x v="5"/>
    <n v="268250000"/>
    <n v="82708000"/>
    <n v="142200000"/>
    <n v="92994741"/>
  </r>
  <r>
    <s v="Mar"/>
    <x v="5"/>
    <x v="5"/>
    <n v="143250000"/>
    <n v="16817230"/>
    <n v="268250000"/>
    <n v="55068680"/>
  </r>
  <r>
    <s v="Apr"/>
    <x v="5"/>
    <x v="5"/>
    <n v="319346000"/>
    <s v=""/>
    <n v="143250000"/>
    <s v=""/>
  </r>
  <r>
    <s v="Mei"/>
    <x v="5"/>
    <x v="5"/>
    <n v="58250000"/>
    <s v=""/>
    <n v="319346000"/>
    <s v=""/>
  </r>
  <r>
    <s v="Jun"/>
    <x v="5"/>
    <x v="5"/>
    <n v="108250000"/>
    <s v=""/>
    <n v="58250000"/>
    <s v=""/>
  </r>
  <r>
    <s v="Jul"/>
    <x v="5"/>
    <x v="5"/>
    <n v="313250000"/>
    <s v=""/>
    <n v="108250000"/>
    <s v=""/>
  </r>
  <r>
    <s v="Agt"/>
    <x v="5"/>
    <x v="5"/>
    <n v="98250000"/>
    <s v=""/>
    <n v="313250000"/>
    <s v=""/>
  </r>
  <r>
    <s v="Sep"/>
    <x v="5"/>
    <x v="5"/>
    <n v="58250000"/>
    <s v=""/>
    <n v="98250000"/>
    <s v=""/>
  </r>
  <r>
    <s v="Okt"/>
    <x v="5"/>
    <x v="5"/>
    <n v="58250000"/>
    <s v=""/>
    <n v="58250000"/>
    <s v=""/>
  </r>
  <r>
    <s v="Nov"/>
    <x v="5"/>
    <x v="5"/>
    <n v="58250000"/>
    <s v=""/>
    <n v="58250000"/>
    <s v=""/>
  </r>
  <r>
    <s v="Des"/>
    <x v="5"/>
    <x v="5"/>
    <n v="58250000"/>
    <s v=""/>
    <n v="107750000"/>
    <s v=""/>
  </r>
  <r>
    <s v="Jan"/>
    <x v="5"/>
    <x v="6"/>
    <n v="214166666.66666666"/>
    <n v="201478069"/>
    <n v="214166666.66666666"/>
    <n v="201478069"/>
  </r>
  <r>
    <s v="Feb"/>
    <x v="5"/>
    <x v="6"/>
    <n v="214166666.66666666"/>
    <n v="193379527"/>
    <n v="214166666.66666666"/>
    <n v="193379527"/>
  </r>
  <r>
    <s v="Mar"/>
    <x v="5"/>
    <x v="6"/>
    <n v="214166666.66666666"/>
    <n v="0"/>
    <n v="214166666.66666666"/>
    <n v="0"/>
  </r>
  <r>
    <s v="Apr"/>
    <x v="5"/>
    <x v="6"/>
    <n v="214166666.66666666"/>
    <s v=""/>
    <n v="214166666.66666666"/>
    <s v=""/>
  </r>
  <r>
    <s v="Mei"/>
    <x v="5"/>
    <x v="6"/>
    <n v="214166666.66666666"/>
    <s v=""/>
    <n v="214166666.66666666"/>
    <s v=""/>
  </r>
  <r>
    <s v="Jun"/>
    <x v="5"/>
    <x v="6"/>
    <n v="214166666.66666666"/>
    <s v=""/>
    <n v="214166666.66666666"/>
    <s v=""/>
  </r>
  <r>
    <s v="Jul"/>
    <x v="5"/>
    <x v="6"/>
    <n v="214166666.66666666"/>
    <s v=""/>
    <n v="214166666.66666666"/>
    <s v=""/>
  </r>
  <r>
    <s v="Agt"/>
    <x v="5"/>
    <x v="6"/>
    <n v="214166666.66666666"/>
    <s v=""/>
    <n v="214166666.66666666"/>
    <s v=""/>
  </r>
  <r>
    <s v="Sep"/>
    <x v="5"/>
    <x v="6"/>
    <n v="214166666.66666666"/>
    <s v=""/>
    <n v="214166666.66666666"/>
    <s v=""/>
  </r>
  <r>
    <s v="Okt"/>
    <x v="5"/>
    <x v="6"/>
    <n v="214166666.66666666"/>
    <s v=""/>
    <n v="214166666.66666666"/>
    <s v=""/>
  </r>
  <r>
    <s v="Nov"/>
    <x v="5"/>
    <x v="6"/>
    <n v="214166666.66666666"/>
    <s v=""/>
    <n v="214166666.66666666"/>
    <s v=""/>
  </r>
  <r>
    <s v="Des"/>
    <x v="5"/>
    <x v="6"/>
    <n v="214166666.66666666"/>
    <s v=""/>
    <n v="214166666.66666666"/>
    <s v=""/>
  </r>
  <r>
    <s v="Jan"/>
    <x v="6"/>
    <x v="0"/>
    <n v="90000000"/>
    <n v="218226790"/>
    <n v="0"/>
    <n v="0"/>
  </r>
  <r>
    <s v="Feb"/>
    <x v="6"/>
    <x v="0"/>
    <n v="2756633000"/>
    <n v="2975215110"/>
    <n v="90000000"/>
    <n v="258244550"/>
  </r>
  <r>
    <s v="Mar"/>
    <x v="6"/>
    <x v="0"/>
    <n v="10272212000"/>
    <n v="488863038"/>
    <n v="66667000"/>
    <n v="43181000"/>
  </r>
  <r>
    <s v="Apr"/>
    <x v="6"/>
    <x v="0"/>
    <n v="1843977000"/>
    <s v=""/>
    <n v="687000000"/>
    <s v=""/>
  </r>
  <r>
    <s v="Mei"/>
    <x v="6"/>
    <x v="0"/>
    <n v="635000000"/>
    <s v=""/>
    <n v="1127667000"/>
    <s v=""/>
  </r>
  <r>
    <s v="Jun"/>
    <x v="6"/>
    <x v="0"/>
    <n v="1030408000"/>
    <s v=""/>
    <n v="2050710000"/>
    <s v=""/>
  </r>
  <r>
    <s v="Jul"/>
    <x v="6"/>
    <x v="0"/>
    <n v="621650000"/>
    <s v=""/>
    <n v="3754636000"/>
    <s v=""/>
  </r>
  <r>
    <s v="Agt"/>
    <x v="6"/>
    <x v="0"/>
    <n v="2136262000"/>
    <s v=""/>
    <n v="1016136000"/>
    <s v=""/>
  </r>
  <r>
    <s v="Sep"/>
    <x v="6"/>
    <x v="0"/>
    <n v="275000000"/>
    <s v=""/>
    <n v="3410123000"/>
    <s v=""/>
  </r>
  <r>
    <s v="Okt"/>
    <x v="6"/>
    <x v="0"/>
    <n v="134561000"/>
    <s v=""/>
    <n v="1952489000"/>
    <s v=""/>
  </r>
  <r>
    <s v="Nov"/>
    <x v="6"/>
    <x v="0"/>
    <n v="224998000"/>
    <s v=""/>
    <n v="5640275000"/>
    <s v=""/>
  </r>
  <r>
    <s v="Des"/>
    <x v="6"/>
    <x v="0"/>
    <n v="66667000"/>
    <s v=""/>
    <n v="291665000"/>
    <s v=""/>
  </r>
  <r>
    <s v="Jan"/>
    <x v="6"/>
    <x v="1"/>
    <n v="0"/>
    <n v="0"/>
    <n v="0"/>
    <n v="0"/>
  </r>
  <r>
    <s v="Feb"/>
    <x v="6"/>
    <x v="1"/>
    <n v="0"/>
    <n v="0"/>
    <n v="0"/>
    <n v="0"/>
  </r>
  <r>
    <s v="Mar"/>
    <x v="6"/>
    <x v="1"/>
    <n v="0"/>
    <n v="495830000"/>
    <n v="0"/>
    <n v="0"/>
  </r>
  <r>
    <s v="Apr"/>
    <x v="6"/>
    <x v="1"/>
    <n v="0"/>
    <s v=""/>
    <n v="0"/>
    <s v=""/>
  </r>
  <r>
    <s v="Mei"/>
    <x v="6"/>
    <x v="1"/>
    <n v="1155000000"/>
    <s v=""/>
    <n v="0"/>
    <s v=""/>
  </r>
  <r>
    <s v="Jun"/>
    <x v="6"/>
    <x v="1"/>
    <n v="30000000"/>
    <s v=""/>
    <n v="0"/>
    <s v=""/>
  </r>
  <r>
    <s v="Jul"/>
    <x v="6"/>
    <x v="1"/>
    <n v="0"/>
    <s v=""/>
    <n v="30000000"/>
    <s v=""/>
  </r>
  <r>
    <s v="Agt"/>
    <x v="6"/>
    <x v="1"/>
    <n v="0"/>
    <s v=""/>
    <n v="1155000000"/>
    <s v=""/>
  </r>
  <r>
    <s v="Sep"/>
    <x v="6"/>
    <x v="1"/>
    <n v="0"/>
    <s v=""/>
    <n v="0"/>
    <s v=""/>
  </r>
  <r>
    <s v="Okt"/>
    <x v="6"/>
    <x v="1"/>
    <n v="0"/>
    <s v=""/>
    <n v="0"/>
    <s v=""/>
  </r>
  <r>
    <s v="Nov"/>
    <x v="6"/>
    <x v="1"/>
    <n v="0"/>
    <s v=""/>
    <n v="0"/>
    <s v=""/>
  </r>
  <r>
    <s v="Des"/>
    <x v="6"/>
    <x v="1"/>
    <n v="0"/>
    <s v=""/>
    <n v="0"/>
    <s v=""/>
  </r>
  <r>
    <s v="Jan"/>
    <x v="6"/>
    <x v="2"/>
    <n v="0"/>
    <n v="0"/>
    <n v="0"/>
    <n v="0"/>
  </r>
  <r>
    <s v="Feb"/>
    <x v="6"/>
    <x v="2"/>
    <n v="50000000"/>
    <n v="32848750"/>
    <n v="0"/>
    <n v="0"/>
  </r>
  <r>
    <s v="Mar"/>
    <x v="6"/>
    <x v="2"/>
    <n v="0"/>
    <n v="0"/>
    <n v="50000000"/>
    <n v="0"/>
  </r>
  <r>
    <s v="Apr"/>
    <x v="6"/>
    <x v="2"/>
    <n v="0"/>
    <s v=""/>
    <n v="0"/>
    <s v=""/>
  </r>
  <r>
    <s v="Mei"/>
    <x v="6"/>
    <x v="2"/>
    <n v="50000000"/>
    <s v=""/>
    <n v="0"/>
    <s v=""/>
  </r>
  <r>
    <s v="Jun"/>
    <x v="6"/>
    <x v="2"/>
    <n v="0"/>
    <s v=""/>
    <n v="50000000"/>
    <s v=""/>
  </r>
  <r>
    <s v="Jul"/>
    <x v="6"/>
    <x v="2"/>
    <n v="0"/>
    <s v=""/>
    <n v="0"/>
    <s v=""/>
  </r>
  <r>
    <s v="Agt"/>
    <x v="6"/>
    <x v="2"/>
    <n v="50000000"/>
    <s v=""/>
    <n v="0"/>
    <s v=""/>
  </r>
  <r>
    <s v="Sep"/>
    <x v="6"/>
    <x v="2"/>
    <n v="0"/>
    <s v=""/>
    <n v="50000000"/>
    <s v=""/>
  </r>
  <r>
    <s v="Okt"/>
    <x v="6"/>
    <x v="2"/>
    <n v="50000000"/>
    <s v=""/>
    <n v="0"/>
    <s v=""/>
  </r>
  <r>
    <s v="Nov"/>
    <x v="6"/>
    <x v="2"/>
    <n v="0"/>
    <s v=""/>
    <n v="50000000"/>
    <s v=""/>
  </r>
  <r>
    <s v="Des"/>
    <x v="6"/>
    <x v="2"/>
    <n v="50000000"/>
    <s v=""/>
    <n v="50000000"/>
    <s v=""/>
  </r>
  <r>
    <s v="Jan"/>
    <x v="6"/>
    <x v="3"/>
    <n v="0"/>
    <n v="0"/>
    <n v="0"/>
    <n v="0"/>
  </r>
  <r>
    <s v="Feb"/>
    <x v="6"/>
    <x v="3"/>
    <n v="0"/>
    <n v="0"/>
    <n v="0"/>
    <n v="0"/>
  </r>
  <r>
    <s v="Mar"/>
    <x v="6"/>
    <x v="3"/>
    <n v="200000000"/>
    <n v="0"/>
    <n v="0"/>
    <n v="0"/>
  </r>
  <r>
    <s v="Apr"/>
    <x v="6"/>
    <x v="3"/>
    <n v="0"/>
    <s v=""/>
    <n v="0"/>
    <s v=""/>
  </r>
  <r>
    <s v="Mei"/>
    <x v="6"/>
    <x v="3"/>
    <n v="340000000"/>
    <s v=""/>
    <n v="200000000"/>
    <s v=""/>
  </r>
  <r>
    <s v="Jun"/>
    <x v="6"/>
    <x v="3"/>
    <n v="0"/>
    <s v=""/>
    <n v="0"/>
    <s v=""/>
  </r>
  <r>
    <s v="Jul"/>
    <x v="6"/>
    <x v="3"/>
    <n v="0"/>
    <s v=""/>
    <n v="340000000"/>
    <s v=""/>
  </r>
  <r>
    <s v="Agt"/>
    <x v="6"/>
    <x v="3"/>
    <n v="500000000"/>
    <s v=""/>
    <n v="0"/>
    <s v=""/>
  </r>
  <r>
    <s v="Sep"/>
    <x v="6"/>
    <x v="3"/>
    <n v="0"/>
    <s v=""/>
    <n v="0"/>
    <s v=""/>
  </r>
  <r>
    <s v="Okt"/>
    <x v="6"/>
    <x v="3"/>
    <n v="0"/>
    <s v=""/>
    <n v="500000000"/>
    <s v=""/>
  </r>
  <r>
    <s v="Nov"/>
    <x v="6"/>
    <x v="3"/>
    <n v="0"/>
    <s v=""/>
    <n v="0"/>
    <s v=""/>
  </r>
  <r>
    <s v="Des"/>
    <x v="6"/>
    <x v="3"/>
    <n v="0"/>
    <s v=""/>
    <n v="0"/>
    <s v=""/>
  </r>
  <r>
    <s v="Jan"/>
    <x v="6"/>
    <x v="4"/>
    <n v="0"/>
    <n v="0"/>
    <n v="0"/>
    <n v="0"/>
  </r>
  <r>
    <s v="Feb"/>
    <x v="6"/>
    <x v="4"/>
    <n v="0"/>
    <n v="0"/>
    <n v="0"/>
    <n v="0"/>
  </r>
  <r>
    <s v="Mar"/>
    <x v="6"/>
    <x v="4"/>
    <n v="0"/>
    <n v="0"/>
    <n v="0"/>
    <n v="0"/>
  </r>
  <r>
    <s v="Apr"/>
    <x v="6"/>
    <x v="4"/>
    <n v="0"/>
    <s v=""/>
    <n v="0"/>
    <s v=""/>
  </r>
  <r>
    <s v="Mei"/>
    <x v="6"/>
    <x v="4"/>
    <n v="0"/>
    <s v=""/>
    <n v="0"/>
    <s v=""/>
  </r>
  <r>
    <s v="Jun"/>
    <x v="6"/>
    <x v="4"/>
    <n v="0"/>
    <s v=""/>
    <n v="0"/>
    <s v=""/>
  </r>
  <r>
    <s v="Jul"/>
    <x v="6"/>
    <x v="4"/>
    <n v="0"/>
    <s v=""/>
    <n v="0"/>
    <s v=""/>
  </r>
  <r>
    <s v="Agt"/>
    <x v="6"/>
    <x v="4"/>
    <n v="0"/>
    <s v=""/>
    <n v="0"/>
    <s v=""/>
  </r>
  <r>
    <s v="Sep"/>
    <x v="6"/>
    <x v="4"/>
    <n v="0"/>
    <s v=""/>
    <n v="0"/>
    <s v=""/>
  </r>
  <r>
    <s v="Okt"/>
    <x v="6"/>
    <x v="4"/>
    <n v="0"/>
    <s v=""/>
    <n v="0"/>
    <s v=""/>
  </r>
  <r>
    <s v="Nov"/>
    <x v="6"/>
    <x v="4"/>
    <n v="0"/>
    <s v=""/>
    <n v="0"/>
    <s v=""/>
  </r>
  <r>
    <s v="Des"/>
    <x v="6"/>
    <x v="4"/>
    <n v="0"/>
    <s v=""/>
    <n v="0"/>
    <s v=""/>
  </r>
  <r>
    <s v="Jan"/>
    <x v="6"/>
    <x v="5"/>
    <n v="62259333.333333336"/>
    <n v="106646150"/>
    <n v="0"/>
    <n v="19578750"/>
  </r>
  <r>
    <s v="Feb"/>
    <x v="6"/>
    <x v="5"/>
    <n v="81686766.666666657"/>
    <n v="124319935"/>
    <n v="62259333.333333328"/>
    <n v="94911900"/>
  </r>
  <r>
    <s v="Mar"/>
    <x v="6"/>
    <x v="5"/>
    <n v="89759333.333333343"/>
    <n v="22471000"/>
    <n v="81686766.666666597"/>
    <n v="22471000"/>
  </r>
  <r>
    <s v="Apr"/>
    <x v="6"/>
    <x v="5"/>
    <n v="64603433.333333336"/>
    <s v=""/>
    <n v="89759333.333333328"/>
    <s v=""/>
  </r>
  <r>
    <s v="Mei"/>
    <x v="6"/>
    <x v="5"/>
    <n v="301686766.66666669"/>
    <s v=""/>
    <n v="784603433.33333337"/>
    <s v=""/>
  </r>
  <r>
    <s v="Jun"/>
    <x v="6"/>
    <x v="5"/>
    <n v="599917433.33333337"/>
    <s v=""/>
    <n v="81686766.666666597"/>
    <s v=""/>
  </r>
  <r>
    <s v="Jul"/>
    <x v="6"/>
    <x v="5"/>
    <n v="64603433.333333336"/>
    <s v=""/>
    <n v="99917433.333333299"/>
    <s v=""/>
  </r>
  <r>
    <s v="Agt"/>
    <x v="6"/>
    <x v="5"/>
    <n v="81686766.666666657"/>
    <s v=""/>
    <n v="64603433.333333299"/>
    <s v=""/>
  </r>
  <r>
    <s v="Sep"/>
    <x v="6"/>
    <x v="5"/>
    <n v="233835433.33333334"/>
    <s v=""/>
    <n v="81686766.666666597"/>
    <s v=""/>
  </r>
  <r>
    <s v="Okt"/>
    <x v="6"/>
    <x v="5"/>
    <n v="64603433.333333336"/>
    <s v=""/>
    <n v="233835433.33333328"/>
    <s v=""/>
  </r>
  <r>
    <s v="Nov"/>
    <x v="6"/>
    <x v="5"/>
    <n v="78353433.333333328"/>
    <s v=""/>
    <n v="64603433.333333299"/>
    <s v=""/>
  </r>
  <r>
    <s v="Des"/>
    <x v="6"/>
    <x v="5"/>
    <n v="99917433.333333328"/>
    <s v=""/>
    <n v="178270866.66666669"/>
    <s v=""/>
  </r>
  <r>
    <s v="Jan"/>
    <x v="6"/>
    <x v="6"/>
    <n v="255298000"/>
    <n v="199624421"/>
    <n v="255298000"/>
    <n v="199624421"/>
  </r>
  <r>
    <s v="Feb"/>
    <x v="6"/>
    <x v="6"/>
    <n v="255298000"/>
    <n v="197235478"/>
    <n v="255298000"/>
    <n v="197235478"/>
  </r>
  <r>
    <s v="Mar"/>
    <x v="6"/>
    <x v="6"/>
    <n v="255298000"/>
    <n v="0"/>
    <n v="255298000"/>
    <n v="0"/>
  </r>
  <r>
    <s v="Apr"/>
    <x v="6"/>
    <x v="6"/>
    <n v="255298000"/>
    <s v=""/>
    <n v="255298000"/>
    <s v=""/>
  </r>
  <r>
    <s v="Mei"/>
    <x v="6"/>
    <x v="6"/>
    <n v="255298000"/>
    <s v=""/>
    <n v="255298000"/>
    <s v=""/>
  </r>
  <r>
    <s v="Jun"/>
    <x v="6"/>
    <x v="6"/>
    <n v="255298000"/>
    <s v=""/>
    <n v="255298000"/>
    <s v=""/>
  </r>
  <r>
    <s v="Jul"/>
    <x v="6"/>
    <x v="6"/>
    <n v="255298000"/>
    <s v=""/>
    <n v="255298000"/>
    <s v=""/>
  </r>
  <r>
    <s v="Agt"/>
    <x v="6"/>
    <x v="6"/>
    <n v="255298000"/>
    <s v=""/>
    <n v="255298000"/>
    <s v=""/>
  </r>
  <r>
    <s v="Sep"/>
    <x v="6"/>
    <x v="6"/>
    <n v="255298000"/>
    <s v=""/>
    <n v="255298000"/>
    <s v=""/>
  </r>
  <r>
    <s v="Okt"/>
    <x v="6"/>
    <x v="6"/>
    <n v="255298000"/>
    <s v=""/>
    <n v="255298000"/>
    <s v=""/>
  </r>
  <r>
    <s v="Nov"/>
    <x v="6"/>
    <x v="6"/>
    <n v="255298000"/>
    <s v=""/>
    <n v="255298000"/>
    <s v=""/>
  </r>
  <r>
    <s v="Des"/>
    <x v="6"/>
    <x v="6"/>
    <n v="255298000"/>
    <s v=""/>
    <n v="255298000"/>
    <s v=""/>
  </r>
  <r>
    <s v="Jan"/>
    <x v="7"/>
    <x v="0"/>
    <n v="0"/>
    <n v="31467000"/>
    <n v="0"/>
    <n v="0"/>
  </r>
  <r>
    <s v="Feb"/>
    <x v="7"/>
    <x v="0"/>
    <n v="0"/>
    <n v="4701283132"/>
    <n v="0"/>
    <n v="24650000"/>
  </r>
  <r>
    <s v="Mar"/>
    <x v="7"/>
    <x v="0"/>
    <n v="1399586000"/>
    <n v="1988511744"/>
    <n v="1199586000"/>
    <n v="105142000"/>
  </r>
  <r>
    <s v="Apr"/>
    <x v="7"/>
    <x v="0"/>
    <n v="5262021000"/>
    <s v=""/>
    <n v="2256407000"/>
    <s v=""/>
  </r>
  <r>
    <s v="Mei"/>
    <x v="7"/>
    <x v="0"/>
    <n v="6315352000"/>
    <s v=""/>
    <n v="2554922000"/>
    <s v=""/>
  </r>
  <r>
    <s v="Jun"/>
    <x v="7"/>
    <x v="0"/>
    <n v="3401417000"/>
    <s v=""/>
    <n v="3401417000"/>
    <s v=""/>
  </r>
  <r>
    <s v="Jul"/>
    <x v="7"/>
    <x v="0"/>
    <n v="3315327000"/>
    <s v=""/>
    <n v="4549327000"/>
    <s v=""/>
  </r>
  <r>
    <s v="Agt"/>
    <x v="7"/>
    <x v="0"/>
    <n v="3890302000"/>
    <s v=""/>
    <n v="5420302000"/>
    <s v=""/>
  </r>
  <r>
    <s v="Sep"/>
    <x v="7"/>
    <x v="0"/>
    <n v="3131133000"/>
    <s v=""/>
    <n v="4606747000"/>
    <s v=""/>
  </r>
  <r>
    <s v="Okt"/>
    <x v="7"/>
    <x v="0"/>
    <n v="1448551000"/>
    <s v=""/>
    <n v="3974981000"/>
    <s v=""/>
  </r>
  <r>
    <s v="Nov"/>
    <x v="7"/>
    <x v="0"/>
    <n v="375000000"/>
    <s v=""/>
    <n v="375000000"/>
    <s v=""/>
  </r>
  <r>
    <s v="Des"/>
    <x v="7"/>
    <x v="0"/>
    <n v="0"/>
    <s v=""/>
    <n v="200000000"/>
    <s v=""/>
  </r>
  <r>
    <s v="Jan"/>
    <x v="7"/>
    <x v="1"/>
    <n v="0"/>
    <n v="36500000"/>
    <n v="0"/>
    <n v="0"/>
  </r>
  <r>
    <s v="Feb"/>
    <x v="7"/>
    <x v="1"/>
    <n v="0"/>
    <n v="0"/>
    <n v="0"/>
    <n v="36500000"/>
  </r>
  <r>
    <s v="Mar"/>
    <x v="7"/>
    <x v="1"/>
    <n v="0"/>
    <n v="0"/>
    <n v="0"/>
    <n v="0"/>
  </r>
  <r>
    <s v="Apr"/>
    <x v="7"/>
    <x v="1"/>
    <n v="300000000"/>
    <s v=""/>
    <n v="300000000"/>
    <s v=""/>
  </r>
  <r>
    <s v="Mei"/>
    <x v="7"/>
    <x v="1"/>
    <n v="772000000"/>
    <s v=""/>
    <n v="772000000"/>
    <s v=""/>
  </r>
  <r>
    <s v="Jun"/>
    <x v="7"/>
    <x v="1"/>
    <n v="360000000"/>
    <s v=""/>
    <n v="360000000"/>
    <s v=""/>
  </r>
  <r>
    <s v="Jul"/>
    <x v="7"/>
    <x v="1"/>
    <n v="360000000"/>
    <s v=""/>
    <n v="360000000"/>
    <s v=""/>
  </r>
  <r>
    <s v="Agt"/>
    <x v="7"/>
    <x v="1"/>
    <n v="450000000"/>
    <s v=""/>
    <n v="450000000"/>
    <s v=""/>
  </r>
  <r>
    <s v="Sep"/>
    <x v="7"/>
    <x v="1"/>
    <n v="0"/>
    <s v=""/>
    <n v="0"/>
    <s v=""/>
  </r>
  <r>
    <s v="Okt"/>
    <x v="7"/>
    <x v="1"/>
    <n v="0"/>
    <s v=""/>
    <n v="0"/>
    <s v=""/>
  </r>
  <r>
    <s v="Nov"/>
    <x v="7"/>
    <x v="1"/>
    <n v="0"/>
    <s v=""/>
    <n v="0"/>
    <s v=""/>
  </r>
  <r>
    <s v="Des"/>
    <x v="7"/>
    <x v="1"/>
    <n v="0"/>
    <s v=""/>
    <n v="0"/>
    <s v=""/>
  </r>
  <r>
    <s v="Jan"/>
    <x v="7"/>
    <x v="2"/>
    <n v="0"/>
    <n v="62100000"/>
    <n v="0"/>
    <n v="0"/>
  </r>
  <r>
    <s v="Feb"/>
    <x v="7"/>
    <x v="2"/>
    <n v="0"/>
    <n v="0"/>
    <n v="0"/>
    <n v="62100000"/>
  </r>
  <r>
    <s v="Mar"/>
    <x v="7"/>
    <x v="2"/>
    <n v="86594000"/>
    <n v="0"/>
    <n v="86594000"/>
    <n v="0"/>
  </r>
  <r>
    <s v="Apr"/>
    <x v="7"/>
    <x v="2"/>
    <n v="0"/>
    <s v=""/>
    <n v="0"/>
    <s v=""/>
  </r>
  <r>
    <s v="Mei"/>
    <x v="7"/>
    <x v="2"/>
    <n v="86594000"/>
    <s v=""/>
    <n v="86594000"/>
    <s v=""/>
  </r>
  <r>
    <s v="Jun"/>
    <x v="7"/>
    <x v="2"/>
    <n v="0"/>
    <s v=""/>
    <n v="0"/>
    <s v=""/>
  </r>
  <r>
    <s v="Jul"/>
    <x v="7"/>
    <x v="2"/>
    <n v="86594000"/>
    <s v=""/>
    <n v="86594000"/>
    <s v=""/>
  </r>
  <r>
    <s v="Agt"/>
    <x v="7"/>
    <x v="2"/>
    <n v="0"/>
    <s v=""/>
    <n v="0"/>
    <s v=""/>
  </r>
  <r>
    <s v="Sep"/>
    <x v="7"/>
    <x v="2"/>
    <n v="86596000"/>
    <s v=""/>
    <n v="86596000"/>
    <s v=""/>
  </r>
  <r>
    <s v="Okt"/>
    <x v="7"/>
    <x v="2"/>
    <n v="0"/>
    <s v=""/>
    <n v="0"/>
    <s v=""/>
  </r>
  <r>
    <s v="Nov"/>
    <x v="7"/>
    <x v="2"/>
    <n v="0"/>
    <s v=""/>
    <n v="0"/>
    <s v=""/>
  </r>
  <r>
    <s v="Des"/>
    <x v="7"/>
    <x v="2"/>
    <n v="0"/>
    <s v=""/>
    <n v="0"/>
    <s v=""/>
  </r>
  <r>
    <s v="Jan"/>
    <x v="7"/>
    <x v="3"/>
    <n v="0"/>
    <n v="0"/>
    <n v="0"/>
    <n v="0"/>
  </r>
  <r>
    <s v="Feb"/>
    <x v="7"/>
    <x v="3"/>
    <n v="0"/>
    <n v="0"/>
    <n v="0"/>
    <n v="0"/>
  </r>
  <r>
    <s v="Mar"/>
    <x v="7"/>
    <x v="3"/>
    <n v="0"/>
    <n v="0"/>
    <n v="0"/>
    <n v="0"/>
  </r>
  <r>
    <s v="Apr"/>
    <x v="7"/>
    <x v="3"/>
    <n v="50000000"/>
    <s v=""/>
    <n v="50000000"/>
    <s v=""/>
  </r>
  <r>
    <s v="Mei"/>
    <x v="7"/>
    <x v="3"/>
    <n v="0"/>
    <s v=""/>
    <n v="0"/>
    <s v=""/>
  </r>
  <r>
    <s v="Jun"/>
    <x v="7"/>
    <x v="3"/>
    <n v="50000000"/>
    <s v=""/>
    <n v="50000000"/>
    <s v=""/>
  </r>
  <r>
    <s v="Jul"/>
    <x v="7"/>
    <x v="3"/>
    <n v="0"/>
    <s v=""/>
    <n v="0"/>
    <s v=""/>
  </r>
  <r>
    <s v="Agt"/>
    <x v="7"/>
    <x v="3"/>
    <n v="50000000"/>
    <s v=""/>
    <n v="50000000"/>
    <s v=""/>
  </r>
  <r>
    <s v="Sep"/>
    <x v="7"/>
    <x v="3"/>
    <n v="0"/>
    <s v=""/>
    <n v="0"/>
    <s v=""/>
  </r>
  <r>
    <s v="Okt"/>
    <x v="7"/>
    <x v="3"/>
    <n v="50000000"/>
    <s v=""/>
    <n v="50000000"/>
    <s v=""/>
  </r>
  <r>
    <s v="Nov"/>
    <x v="7"/>
    <x v="3"/>
    <n v="0"/>
    <s v=""/>
    <n v="0"/>
    <s v=""/>
  </r>
  <r>
    <s v="Des"/>
    <x v="7"/>
    <x v="3"/>
    <n v="0"/>
    <s v=""/>
    <n v="0"/>
    <s v=""/>
  </r>
  <r>
    <s v="Jan"/>
    <x v="7"/>
    <x v="4"/>
    <n v="0"/>
    <n v="0"/>
    <n v="0"/>
    <n v="0"/>
  </r>
  <r>
    <s v="Feb"/>
    <x v="7"/>
    <x v="4"/>
    <n v="0"/>
    <n v="0"/>
    <n v="0"/>
    <n v="0"/>
  </r>
  <r>
    <s v="Mar"/>
    <x v="7"/>
    <x v="4"/>
    <n v="0"/>
    <n v="0"/>
    <n v="0"/>
    <n v="0"/>
  </r>
  <r>
    <s v="Apr"/>
    <x v="7"/>
    <x v="4"/>
    <n v="0"/>
    <s v=""/>
    <n v="0"/>
    <s v=""/>
  </r>
  <r>
    <s v="Mei"/>
    <x v="7"/>
    <x v="4"/>
    <n v="0"/>
    <s v=""/>
    <n v="0"/>
    <s v=""/>
  </r>
  <r>
    <s v="Jun"/>
    <x v="7"/>
    <x v="4"/>
    <n v="0"/>
    <s v=""/>
    <n v="0"/>
    <s v=""/>
  </r>
  <r>
    <s v="Jul"/>
    <x v="7"/>
    <x v="4"/>
    <n v="0"/>
    <s v=""/>
    <n v="0"/>
    <s v=""/>
  </r>
  <r>
    <s v="Agt"/>
    <x v="7"/>
    <x v="4"/>
    <n v="0"/>
    <s v=""/>
    <n v="0"/>
    <s v=""/>
  </r>
  <r>
    <s v="Sep"/>
    <x v="7"/>
    <x v="4"/>
    <n v="0"/>
    <s v=""/>
    <n v="0"/>
    <s v=""/>
  </r>
  <r>
    <s v="Okt"/>
    <x v="7"/>
    <x v="4"/>
    <n v="0"/>
    <s v=""/>
    <n v="0"/>
    <s v=""/>
  </r>
  <r>
    <s v="Nov"/>
    <x v="7"/>
    <x v="4"/>
    <n v="0"/>
    <s v=""/>
    <n v="0"/>
    <s v=""/>
  </r>
  <r>
    <s v="Des"/>
    <x v="7"/>
    <x v="4"/>
    <n v="0"/>
    <s v=""/>
    <n v="0"/>
    <s v=""/>
  </r>
  <r>
    <s v="Jan"/>
    <x v="7"/>
    <x v="5"/>
    <n v="103716000"/>
    <n v="120480816"/>
    <n v="103716000"/>
    <n v="16907009"/>
  </r>
  <r>
    <s v="Feb"/>
    <x v="7"/>
    <x v="5"/>
    <n v="92092000"/>
    <n v="80820599"/>
    <n v="92092000"/>
    <n v="137491406"/>
  </r>
  <r>
    <s v="Mar"/>
    <x v="7"/>
    <x v="5"/>
    <n v="92092000"/>
    <n v="10986500"/>
    <n v="92092000"/>
    <n v="10986500"/>
  </r>
  <r>
    <s v="Apr"/>
    <x v="7"/>
    <x v="5"/>
    <n v="103716000"/>
    <s v=""/>
    <n v="103716000"/>
    <s v=""/>
  </r>
  <r>
    <s v="Mei"/>
    <x v="7"/>
    <x v="5"/>
    <n v="92092000"/>
    <s v=""/>
    <n v="92092000"/>
    <s v=""/>
  </r>
  <r>
    <s v="Jun"/>
    <x v="7"/>
    <x v="5"/>
    <n v="92092000"/>
    <s v=""/>
    <n v="92092000"/>
    <s v=""/>
  </r>
  <r>
    <s v="Jul"/>
    <x v="7"/>
    <x v="5"/>
    <n v="469238000"/>
    <s v=""/>
    <n v="469238000"/>
    <s v=""/>
  </r>
  <r>
    <s v="Agt"/>
    <x v="7"/>
    <x v="5"/>
    <n v="142092000"/>
    <s v=""/>
    <n v="142092000"/>
    <s v=""/>
  </r>
  <r>
    <s v="Sep"/>
    <x v="7"/>
    <x v="5"/>
    <n v="407092000"/>
    <s v=""/>
    <n v="407092000"/>
    <s v=""/>
  </r>
  <r>
    <s v="Okt"/>
    <x v="7"/>
    <x v="5"/>
    <n v="103717000"/>
    <s v=""/>
    <n v="103717000"/>
    <s v=""/>
  </r>
  <r>
    <s v="Nov"/>
    <x v="7"/>
    <x v="5"/>
    <n v="92092000"/>
    <s v=""/>
    <n v="92092000"/>
    <s v=""/>
  </r>
  <r>
    <s v="Des"/>
    <x v="7"/>
    <x v="5"/>
    <n v="92097000"/>
    <s v=""/>
    <n v="92097000"/>
    <s v=""/>
  </r>
  <r>
    <s v="Jan"/>
    <x v="7"/>
    <x v="6"/>
    <n v="182113333.33333334"/>
    <n v="162001884"/>
    <n v="182113333.33333334"/>
    <n v="162001884"/>
  </r>
  <r>
    <s v="Feb"/>
    <x v="7"/>
    <x v="6"/>
    <n v="182113000"/>
    <n v="158370071"/>
    <n v="182113000"/>
    <n v="158370071"/>
  </r>
  <r>
    <s v="Mar"/>
    <x v="7"/>
    <x v="6"/>
    <n v="182113000"/>
    <n v="0"/>
    <n v="182113000"/>
    <n v="0"/>
  </r>
  <r>
    <s v="Apr"/>
    <x v="7"/>
    <x v="6"/>
    <n v="182113000"/>
    <s v=""/>
    <n v="182113000"/>
    <s v=""/>
  </r>
  <r>
    <s v="Mei"/>
    <x v="7"/>
    <x v="6"/>
    <n v="182113000"/>
    <s v=""/>
    <n v="182113000"/>
    <s v=""/>
  </r>
  <r>
    <s v="Jun"/>
    <x v="7"/>
    <x v="6"/>
    <n v="182113000"/>
    <s v=""/>
    <n v="182113000"/>
    <s v=""/>
  </r>
  <r>
    <s v="Jul"/>
    <x v="7"/>
    <x v="6"/>
    <n v="182113000"/>
    <s v=""/>
    <n v="182113000"/>
    <s v=""/>
  </r>
  <r>
    <s v="Agt"/>
    <x v="7"/>
    <x v="6"/>
    <n v="182113000"/>
    <s v=""/>
    <n v="182113000"/>
    <s v=""/>
  </r>
  <r>
    <s v="Sep"/>
    <x v="7"/>
    <x v="6"/>
    <n v="182113000"/>
    <s v=""/>
    <n v="182113000"/>
    <s v=""/>
  </r>
  <r>
    <s v="Okt"/>
    <x v="7"/>
    <x v="6"/>
    <n v="182113000"/>
    <s v=""/>
    <n v="182113000"/>
    <s v=""/>
  </r>
  <r>
    <s v="Nov"/>
    <x v="7"/>
    <x v="6"/>
    <n v="182113000"/>
    <s v=""/>
    <n v="182113000"/>
    <s v=""/>
  </r>
  <r>
    <s v="Des"/>
    <x v="7"/>
    <x v="6"/>
    <n v="182117000"/>
    <s v=""/>
    <n v="182117000"/>
    <s v=""/>
  </r>
  <r>
    <s v="Jan"/>
    <x v="8"/>
    <x v="0"/>
    <n v="85000000"/>
    <n v="2021637708"/>
    <n v="0"/>
    <n v="0"/>
  </r>
  <r>
    <s v="Feb"/>
    <x v="8"/>
    <x v="0"/>
    <n v="272450000"/>
    <n v="165605895"/>
    <n v="85000000"/>
    <n v="86559328"/>
  </r>
  <r>
    <s v="Mar"/>
    <x v="8"/>
    <x v="0"/>
    <n v="4416599000"/>
    <n v="-14599000"/>
    <n v="25000000"/>
    <n v="0"/>
  </r>
  <r>
    <s v="Apr"/>
    <x v="8"/>
    <x v="0"/>
    <n v="2915231000"/>
    <s v=""/>
    <n v="11100000"/>
    <s v=""/>
  </r>
  <r>
    <s v="Mei"/>
    <x v="8"/>
    <x v="0"/>
    <n v="506375000"/>
    <s v=""/>
    <n v="1489733000"/>
    <s v=""/>
  </r>
  <r>
    <s v="Jun"/>
    <x v="8"/>
    <x v="0"/>
    <n v="483400000"/>
    <s v=""/>
    <n v="753875000"/>
    <s v=""/>
  </r>
  <r>
    <s v="Jul"/>
    <x v="8"/>
    <x v="0"/>
    <n v="314700000"/>
    <s v=""/>
    <n v="2381757000"/>
    <s v=""/>
  </r>
  <r>
    <s v="Agt"/>
    <x v="8"/>
    <x v="0"/>
    <n v="0"/>
    <s v=""/>
    <n v="2406929000"/>
    <s v=""/>
  </r>
  <r>
    <s v="Sep"/>
    <x v="8"/>
    <x v="0"/>
    <n v="149300000"/>
    <s v=""/>
    <n v="1396861000"/>
    <s v=""/>
  </r>
  <r>
    <s v="Okt"/>
    <x v="8"/>
    <x v="0"/>
    <n v="0"/>
    <s v=""/>
    <n v="592800000"/>
    <s v=""/>
  </r>
  <r>
    <s v="Nov"/>
    <x v="8"/>
    <x v="0"/>
    <n v="100000000"/>
    <s v=""/>
    <n v="0"/>
    <s v=""/>
  </r>
  <r>
    <s v="Des"/>
    <x v="8"/>
    <x v="0"/>
    <n v="0"/>
    <s v=""/>
    <n v="100000000"/>
    <s v=""/>
  </r>
  <r>
    <s v="Jan"/>
    <x v="8"/>
    <x v="1"/>
    <n v="0"/>
    <n v="0"/>
    <n v="0"/>
    <n v="0"/>
  </r>
  <r>
    <s v="Feb"/>
    <x v="8"/>
    <x v="1"/>
    <n v="0"/>
    <n v="1944000"/>
    <n v="0"/>
    <n v="0"/>
  </r>
  <r>
    <s v="Mar"/>
    <x v="8"/>
    <x v="1"/>
    <n v="0"/>
    <n v="0"/>
    <n v="0"/>
    <n v="0"/>
  </r>
  <r>
    <s v="Apr"/>
    <x v="8"/>
    <x v="1"/>
    <n v="0"/>
    <s v=""/>
    <n v="0"/>
    <s v=""/>
  </r>
  <r>
    <s v="Mei"/>
    <x v="8"/>
    <x v="1"/>
    <n v="613000000"/>
    <s v=""/>
    <n v="0"/>
    <s v=""/>
  </r>
  <r>
    <s v="Jun"/>
    <x v="8"/>
    <x v="1"/>
    <n v="15000000"/>
    <s v=""/>
    <n v="0"/>
    <s v=""/>
  </r>
  <r>
    <s v="Jul"/>
    <x v="8"/>
    <x v="1"/>
    <n v="0"/>
    <s v=""/>
    <n v="15000000"/>
    <s v=""/>
  </r>
  <r>
    <s v="Agt"/>
    <x v="8"/>
    <x v="1"/>
    <n v="150000000"/>
    <s v=""/>
    <n v="613000000"/>
    <s v=""/>
  </r>
  <r>
    <s v="Sep"/>
    <x v="8"/>
    <x v="1"/>
    <n v="0"/>
    <s v=""/>
    <n v="0"/>
    <s v=""/>
  </r>
  <r>
    <s v="Okt"/>
    <x v="8"/>
    <x v="1"/>
    <n v="0"/>
    <s v=""/>
    <n v="0"/>
    <s v=""/>
  </r>
  <r>
    <s v="Nov"/>
    <x v="8"/>
    <x v="1"/>
    <n v="0"/>
    <s v=""/>
    <n v="150000000"/>
    <s v=""/>
  </r>
  <r>
    <s v="Des"/>
    <x v="8"/>
    <x v="1"/>
    <n v="0"/>
    <s v=""/>
    <n v="0"/>
    <s v=""/>
  </r>
  <r>
    <s v="Jan"/>
    <x v="8"/>
    <x v="2"/>
    <n v="0"/>
    <n v="21262500"/>
    <n v="0"/>
    <n v="0"/>
  </r>
  <r>
    <s v="Feb"/>
    <x v="8"/>
    <x v="2"/>
    <n v="0"/>
    <n v="0"/>
    <n v="0"/>
    <n v="0"/>
  </r>
  <r>
    <s v="Mar"/>
    <x v="8"/>
    <x v="2"/>
    <n v="27800000"/>
    <n v="0"/>
    <n v="0"/>
    <n v="21262500"/>
  </r>
  <r>
    <s v="Apr"/>
    <x v="8"/>
    <x v="2"/>
    <n v="12500000"/>
    <s v=""/>
    <n v="27800000"/>
    <s v=""/>
  </r>
  <r>
    <s v="Mei"/>
    <x v="8"/>
    <x v="2"/>
    <n v="0"/>
    <s v=""/>
    <n v="12500000"/>
    <s v=""/>
  </r>
  <r>
    <s v="Jun"/>
    <x v="8"/>
    <x v="2"/>
    <n v="0"/>
    <s v=""/>
    <n v="0"/>
    <s v=""/>
  </r>
  <r>
    <s v="Jul"/>
    <x v="8"/>
    <x v="2"/>
    <n v="0"/>
    <s v=""/>
    <n v="0"/>
    <s v=""/>
  </r>
  <r>
    <s v="Agt"/>
    <x v="8"/>
    <x v="2"/>
    <n v="31010000"/>
    <s v=""/>
    <n v="0"/>
    <s v=""/>
  </r>
  <r>
    <s v="Sep"/>
    <x v="8"/>
    <x v="2"/>
    <n v="0"/>
    <s v=""/>
    <n v="31010000"/>
    <s v=""/>
  </r>
  <r>
    <s v="Okt"/>
    <x v="8"/>
    <x v="2"/>
    <n v="0"/>
    <s v=""/>
    <n v="0"/>
    <s v=""/>
  </r>
  <r>
    <s v="Nov"/>
    <x v="8"/>
    <x v="2"/>
    <n v="40000000"/>
    <s v=""/>
    <n v="0"/>
    <s v=""/>
  </r>
  <r>
    <s v="Des"/>
    <x v="8"/>
    <x v="2"/>
    <n v="0"/>
    <s v=""/>
    <n v="40000000"/>
    <s v=""/>
  </r>
  <r>
    <s v="Jan"/>
    <x v="8"/>
    <x v="3"/>
    <n v="0"/>
    <n v="2159300"/>
    <n v="0"/>
    <n v="2159300"/>
  </r>
  <r>
    <s v="Feb"/>
    <x v="8"/>
    <x v="3"/>
    <n v="0"/>
    <n v="0"/>
    <n v="0"/>
    <n v="0"/>
  </r>
  <r>
    <s v="Mar"/>
    <x v="8"/>
    <x v="3"/>
    <n v="0"/>
    <n v="0"/>
    <n v="0"/>
    <n v="0"/>
  </r>
  <r>
    <s v="Apr"/>
    <x v="8"/>
    <x v="3"/>
    <n v="15000000"/>
    <s v=""/>
    <n v="0"/>
    <s v=""/>
  </r>
  <r>
    <s v="Mei"/>
    <x v="8"/>
    <x v="3"/>
    <n v="40000000"/>
    <s v=""/>
    <n v="0"/>
    <s v=""/>
  </r>
  <r>
    <s v="Jun"/>
    <x v="8"/>
    <x v="3"/>
    <n v="45000000"/>
    <s v=""/>
    <n v="40000000"/>
    <s v=""/>
  </r>
  <r>
    <s v="Jul"/>
    <x v="8"/>
    <x v="3"/>
    <n v="0"/>
    <s v=""/>
    <n v="0"/>
    <s v=""/>
  </r>
  <r>
    <s v="Agt"/>
    <x v="8"/>
    <x v="3"/>
    <n v="0"/>
    <s v=""/>
    <n v="30000000"/>
    <s v=""/>
  </r>
  <r>
    <s v="Sep"/>
    <x v="8"/>
    <x v="3"/>
    <n v="0"/>
    <s v=""/>
    <n v="0"/>
    <s v=""/>
  </r>
  <r>
    <s v="Okt"/>
    <x v="8"/>
    <x v="3"/>
    <n v="0"/>
    <s v=""/>
    <n v="0"/>
    <s v=""/>
  </r>
  <r>
    <s v="Nov"/>
    <x v="8"/>
    <x v="3"/>
    <n v="0"/>
    <s v=""/>
    <n v="30000000"/>
    <s v=""/>
  </r>
  <r>
    <s v="Des"/>
    <x v="8"/>
    <x v="3"/>
    <n v="0"/>
    <s v=""/>
    <n v="0"/>
    <s v=""/>
  </r>
  <r>
    <s v="Jan"/>
    <x v="8"/>
    <x v="4"/>
    <n v="0"/>
    <n v="0"/>
    <n v="0"/>
    <n v="0"/>
  </r>
  <r>
    <s v="Feb"/>
    <x v="8"/>
    <x v="4"/>
    <n v="0"/>
    <n v="0"/>
    <n v="0"/>
    <n v="0"/>
  </r>
  <r>
    <s v="Mar"/>
    <x v="8"/>
    <x v="4"/>
    <n v="0"/>
    <n v="0"/>
    <n v="0"/>
    <n v="0"/>
  </r>
  <r>
    <s v="Apr"/>
    <x v="8"/>
    <x v="4"/>
    <n v="0"/>
    <s v=""/>
    <n v="0"/>
    <s v=""/>
  </r>
  <r>
    <s v="Mei"/>
    <x v="8"/>
    <x v="4"/>
    <n v="0"/>
    <s v=""/>
    <n v="0"/>
    <s v=""/>
  </r>
  <r>
    <s v="Jun"/>
    <x v="8"/>
    <x v="4"/>
    <n v="0"/>
    <s v=""/>
    <n v="0"/>
    <s v=""/>
  </r>
  <r>
    <s v="Jul"/>
    <x v="8"/>
    <x v="4"/>
    <n v="0"/>
    <s v=""/>
    <n v="0"/>
    <s v=""/>
  </r>
  <r>
    <s v="Agt"/>
    <x v="8"/>
    <x v="4"/>
    <n v="0"/>
    <s v=""/>
    <n v="0"/>
    <s v=""/>
  </r>
  <r>
    <s v="Sep"/>
    <x v="8"/>
    <x v="4"/>
    <n v="0"/>
    <s v=""/>
    <n v="0"/>
    <s v=""/>
  </r>
  <r>
    <s v="Okt"/>
    <x v="8"/>
    <x v="4"/>
    <n v="0"/>
    <s v=""/>
    <n v="0"/>
    <s v=""/>
  </r>
  <r>
    <s v="Nov"/>
    <x v="8"/>
    <x v="4"/>
    <n v="0"/>
    <s v=""/>
    <n v="0"/>
    <s v=""/>
  </r>
  <r>
    <s v="Des"/>
    <x v="8"/>
    <x v="4"/>
    <n v="0"/>
    <s v=""/>
    <n v="0"/>
    <s v=""/>
  </r>
  <r>
    <s v="Jan"/>
    <x v="8"/>
    <x v="5"/>
    <n v="33367000"/>
    <n v="69661093"/>
    <n v="33367000"/>
    <n v="13701000"/>
  </r>
  <r>
    <s v="Feb"/>
    <x v="8"/>
    <x v="5"/>
    <n v="41156000"/>
    <n v="43215908"/>
    <n v="41156000"/>
    <n v="32679201"/>
  </r>
  <r>
    <s v="Mar"/>
    <x v="8"/>
    <x v="5"/>
    <n v="177499000"/>
    <n v="7637500"/>
    <n v="42499000"/>
    <n v="17972500"/>
  </r>
  <r>
    <s v="Apr"/>
    <x v="8"/>
    <x v="5"/>
    <n v="110151000"/>
    <s v=""/>
    <n v="110151000"/>
    <s v=""/>
  </r>
  <r>
    <s v="Mei"/>
    <x v="8"/>
    <x v="5"/>
    <n v="111156000"/>
    <s v=""/>
    <n v="111156000"/>
    <s v=""/>
  </r>
  <r>
    <s v="Jun"/>
    <x v="8"/>
    <x v="5"/>
    <n v="277041000"/>
    <s v=""/>
    <n v="277041000"/>
    <s v=""/>
  </r>
  <r>
    <s v="Jul"/>
    <x v="8"/>
    <x v="5"/>
    <n v="100908000"/>
    <s v=""/>
    <n v="100908000"/>
    <s v=""/>
  </r>
  <r>
    <s v="Agt"/>
    <x v="8"/>
    <x v="5"/>
    <n v="45146000"/>
    <s v=""/>
    <n v="180146000"/>
    <s v=""/>
  </r>
  <r>
    <s v="Sep"/>
    <x v="8"/>
    <x v="5"/>
    <n v="121144000"/>
    <s v=""/>
    <n v="34744000"/>
    <s v=""/>
  </r>
  <r>
    <s v="Okt"/>
    <x v="8"/>
    <x v="5"/>
    <n v="62392000"/>
    <s v=""/>
    <n v="62392000"/>
    <s v=""/>
  </r>
  <r>
    <s v="Nov"/>
    <x v="8"/>
    <x v="5"/>
    <n v="101346000"/>
    <s v=""/>
    <n v="101346000"/>
    <s v=""/>
  </r>
  <r>
    <s v="Des"/>
    <x v="8"/>
    <x v="5"/>
    <n v="35552000"/>
    <s v=""/>
    <n v="121952000"/>
    <s v=""/>
  </r>
  <r>
    <s v="Jan"/>
    <x v="8"/>
    <x v="6"/>
    <n v="192500000"/>
    <n v="143058335"/>
    <n v="192500000"/>
    <n v="143058335"/>
  </r>
  <r>
    <s v="Feb"/>
    <x v="8"/>
    <x v="6"/>
    <n v="192500000"/>
    <n v="141087260"/>
    <n v="192500000"/>
    <n v="141087260"/>
  </r>
  <r>
    <s v="Mar"/>
    <x v="8"/>
    <x v="6"/>
    <n v="192500000"/>
    <n v="0"/>
    <n v="192500000"/>
    <n v="0"/>
  </r>
  <r>
    <s v="Apr"/>
    <x v="8"/>
    <x v="6"/>
    <n v="192500000"/>
    <s v=""/>
    <n v="192500000"/>
    <s v=""/>
  </r>
  <r>
    <s v="Mei"/>
    <x v="8"/>
    <x v="6"/>
    <n v="192500000"/>
    <s v=""/>
    <n v="192500000"/>
    <s v=""/>
  </r>
  <r>
    <s v="Jun"/>
    <x v="8"/>
    <x v="6"/>
    <n v="192500000"/>
    <s v=""/>
    <n v="192500000"/>
    <s v=""/>
  </r>
  <r>
    <s v="Jul"/>
    <x v="8"/>
    <x v="6"/>
    <n v="192500000"/>
    <s v=""/>
    <n v="192500000"/>
    <s v=""/>
  </r>
  <r>
    <s v="Agt"/>
    <x v="8"/>
    <x v="6"/>
    <n v="192500000"/>
    <s v=""/>
    <n v="192500000"/>
    <s v=""/>
  </r>
  <r>
    <s v="Sep"/>
    <x v="8"/>
    <x v="6"/>
    <n v="192500000"/>
    <s v=""/>
    <n v="192500000"/>
    <s v=""/>
  </r>
  <r>
    <s v="Okt"/>
    <x v="8"/>
    <x v="6"/>
    <n v="192500000"/>
    <s v=""/>
    <n v="192500000"/>
    <s v=""/>
  </r>
  <r>
    <s v="Nov"/>
    <x v="8"/>
    <x v="6"/>
    <n v="192500000"/>
    <s v=""/>
    <n v="192500000"/>
    <s v=""/>
  </r>
  <r>
    <s v="Des"/>
    <x v="8"/>
    <x v="6"/>
    <n v="192500000"/>
    <s v=""/>
    <n v="192500000"/>
    <s v=""/>
  </r>
  <r>
    <s v="Jan"/>
    <x v="9"/>
    <x v="0"/>
    <n v="138362000"/>
    <n v="2817500752"/>
    <n v="138362000"/>
    <n v="0"/>
  </r>
  <r>
    <s v="Feb"/>
    <x v="9"/>
    <x v="0"/>
    <n v="138362000"/>
    <n v="14723328892"/>
    <n v="138362000"/>
    <n v="426154218"/>
  </r>
  <r>
    <s v="Mar"/>
    <x v="9"/>
    <x v="0"/>
    <n v="15317250000"/>
    <n v="3333257469"/>
    <n v="138362000"/>
    <n v="728579700"/>
  </r>
  <r>
    <s v="Apr"/>
    <x v="9"/>
    <x v="0"/>
    <n v="515005000"/>
    <s v=""/>
    <n v="138362000"/>
    <s v=""/>
  </r>
  <r>
    <s v="Mei"/>
    <x v="9"/>
    <x v="0"/>
    <n v="1979048000"/>
    <s v=""/>
    <n v="1790524000"/>
    <s v=""/>
  </r>
  <r>
    <s v="Jun"/>
    <x v="9"/>
    <x v="0"/>
    <n v="4818772000"/>
    <s v=""/>
    <n v="1231565000"/>
    <s v=""/>
  </r>
  <r>
    <s v="Jul"/>
    <x v="9"/>
    <x v="0"/>
    <n v="138362000"/>
    <s v=""/>
    <n v="542174000"/>
    <s v=""/>
  </r>
  <r>
    <s v="Agt"/>
    <x v="9"/>
    <x v="0"/>
    <n v="2657670000"/>
    <s v=""/>
    <n v="1575236000"/>
    <s v=""/>
  </r>
  <r>
    <s v="Sep"/>
    <x v="9"/>
    <x v="0"/>
    <n v="465517000"/>
    <s v=""/>
    <n v="1365573000"/>
    <s v=""/>
  </r>
  <r>
    <s v="Okt"/>
    <x v="9"/>
    <x v="0"/>
    <n v="138362000"/>
    <s v=""/>
    <n v="13779904000"/>
    <s v=""/>
  </r>
  <r>
    <s v="Nov"/>
    <x v="9"/>
    <x v="0"/>
    <n v="138362000"/>
    <s v=""/>
    <n v="3087340000"/>
    <s v=""/>
  </r>
  <r>
    <s v="Des"/>
    <x v="9"/>
    <x v="0"/>
    <n v="138362000"/>
    <s v=""/>
    <n v="2657670000"/>
    <s v=""/>
  </r>
  <r>
    <s v="Jan"/>
    <x v="9"/>
    <x v="1"/>
    <n v="0"/>
    <n v="0"/>
    <n v="0"/>
    <n v="0"/>
  </r>
  <r>
    <s v="Feb"/>
    <x v="9"/>
    <x v="1"/>
    <n v="0"/>
    <n v="0"/>
    <n v="0"/>
    <n v="0"/>
  </r>
  <r>
    <s v="Mar"/>
    <x v="9"/>
    <x v="1"/>
    <n v="200000000"/>
    <n v="0"/>
    <n v="200000000"/>
    <n v="0"/>
  </r>
  <r>
    <s v="Apr"/>
    <x v="9"/>
    <x v="1"/>
    <n v="500000000"/>
    <s v=""/>
    <n v="500000000"/>
    <s v=""/>
  </r>
  <r>
    <s v="Mei"/>
    <x v="9"/>
    <x v="1"/>
    <n v="0"/>
    <s v=""/>
    <n v="0"/>
    <s v=""/>
  </r>
  <r>
    <s v="Jun"/>
    <x v="9"/>
    <x v="1"/>
    <n v="0"/>
    <s v=""/>
    <n v="0"/>
    <s v=""/>
  </r>
  <r>
    <s v="Jul"/>
    <x v="9"/>
    <x v="1"/>
    <n v="200000000"/>
    <s v=""/>
    <n v="200000000"/>
    <s v=""/>
  </r>
  <r>
    <s v="Agt"/>
    <x v="9"/>
    <x v="1"/>
    <n v="0"/>
    <s v=""/>
    <n v="0"/>
    <s v=""/>
  </r>
  <r>
    <s v="Sep"/>
    <x v="9"/>
    <x v="1"/>
    <n v="500000000"/>
    <s v=""/>
    <n v="500000000"/>
    <s v=""/>
  </r>
  <r>
    <s v="Okt"/>
    <x v="9"/>
    <x v="1"/>
    <n v="200000000"/>
    <s v=""/>
    <n v="200000000"/>
    <s v=""/>
  </r>
  <r>
    <s v="Nov"/>
    <x v="9"/>
    <x v="1"/>
    <n v="0"/>
    <s v=""/>
    <n v="0"/>
    <s v=""/>
  </r>
  <r>
    <s v="Des"/>
    <x v="9"/>
    <x v="1"/>
    <n v="0"/>
    <s v=""/>
    <n v="0"/>
    <s v=""/>
  </r>
  <r>
    <s v="Jan"/>
    <x v="9"/>
    <x v="2"/>
    <n v="0"/>
    <n v="3970000"/>
    <n v="0"/>
    <n v="0"/>
  </r>
  <r>
    <s v="Feb"/>
    <x v="9"/>
    <x v="2"/>
    <n v="35387500"/>
    <n v="24082000"/>
    <n v="0"/>
    <n v="3970000"/>
  </r>
  <r>
    <s v="Mar"/>
    <x v="9"/>
    <x v="2"/>
    <n v="0"/>
    <n v="0"/>
    <n v="35388000"/>
    <n v="0"/>
  </r>
  <r>
    <s v="Apr"/>
    <x v="9"/>
    <x v="2"/>
    <n v="0"/>
    <s v=""/>
    <n v="0"/>
    <s v=""/>
  </r>
  <r>
    <s v="Mei"/>
    <x v="9"/>
    <x v="2"/>
    <n v="35387500"/>
    <s v=""/>
    <n v="0"/>
    <s v=""/>
  </r>
  <r>
    <s v="Jun"/>
    <x v="9"/>
    <x v="2"/>
    <n v="0"/>
    <s v=""/>
    <n v="35388000"/>
    <s v=""/>
  </r>
  <r>
    <s v="Jul"/>
    <x v="9"/>
    <x v="2"/>
    <n v="0"/>
    <s v=""/>
    <n v="0"/>
    <s v=""/>
  </r>
  <r>
    <s v="Agt"/>
    <x v="9"/>
    <x v="2"/>
    <n v="35387500"/>
    <s v=""/>
    <n v="0"/>
    <s v=""/>
  </r>
  <r>
    <s v="Sep"/>
    <x v="9"/>
    <x v="2"/>
    <n v="0"/>
    <s v=""/>
    <n v="35387000"/>
    <s v=""/>
  </r>
  <r>
    <s v="Okt"/>
    <x v="9"/>
    <x v="2"/>
    <n v="0"/>
    <s v=""/>
    <n v="0"/>
    <s v=""/>
  </r>
  <r>
    <s v="Nov"/>
    <x v="9"/>
    <x v="2"/>
    <n v="35387500"/>
    <s v=""/>
    <n v="0"/>
    <s v=""/>
  </r>
  <r>
    <s v="Des"/>
    <x v="9"/>
    <x v="2"/>
    <n v="0"/>
    <s v=""/>
    <n v="35387000"/>
    <s v=""/>
  </r>
  <r>
    <s v="Jan"/>
    <x v="9"/>
    <x v="3"/>
    <n v="0"/>
    <n v="0"/>
    <n v="0"/>
    <n v="0"/>
  </r>
  <r>
    <s v="Feb"/>
    <x v="9"/>
    <x v="3"/>
    <n v="0"/>
    <n v="0"/>
    <n v="0"/>
    <n v="0"/>
  </r>
  <r>
    <s v="Mar"/>
    <x v="9"/>
    <x v="3"/>
    <n v="50000000"/>
    <n v="0"/>
    <n v="50000000"/>
    <n v="0"/>
  </r>
  <r>
    <s v="Apr"/>
    <x v="9"/>
    <x v="3"/>
    <n v="0"/>
    <s v=""/>
    <n v="0"/>
    <s v=""/>
  </r>
  <r>
    <s v="Mei"/>
    <x v="9"/>
    <x v="3"/>
    <n v="0"/>
    <s v=""/>
    <n v="0"/>
    <s v=""/>
  </r>
  <r>
    <s v="Jun"/>
    <x v="9"/>
    <x v="3"/>
    <n v="100000000"/>
    <s v=""/>
    <n v="100000000"/>
    <s v=""/>
  </r>
  <r>
    <s v="Jul"/>
    <x v="9"/>
    <x v="3"/>
    <n v="0"/>
    <s v=""/>
    <n v="0"/>
    <s v=""/>
  </r>
  <r>
    <s v="Agt"/>
    <x v="9"/>
    <x v="3"/>
    <n v="0"/>
    <s v=""/>
    <n v="0"/>
    <s v=""/>
  </r>
  <r>
    <s v="Sep"/>
    <x v="9"/>
    <x v="3"/>
    <n v="50000000"/>
    <s v=""/>
    <n v="50000000"/>
    <s v=""/>
  </r>
  <r>
    <s v="Okt"/>
    <x v="9"/>
    <x v="3"/>
    <n v="0"/>
    <s v=""/>
    <n v="0"/>
    <s v=""/>
  </r>
  <r>
    <s v="Nov"/>
    <x v="9"/>
    <x v="3"/>
    <n v="0"/>
    <s v=""/>
    <n v="0"/>
    <s v=""/>
  </r>
  <r>
    <s v="Des"/>
    <x v="9"/>
    <x v="3"/>
    <n v="0"/>
    <s v=""/>
    <n v="0"/>
    <s v=""/>
  </r>
  <r>
    <s v="Jan"/>
    <x v="9"/>
    <x v="4"/>
    <n v="0"/>
    <n v="0"/>
    <n v="0"/>
    <n v="0"/>
  </r>
  <r>
    <s v="Feb"/>
    <x v="9"/>
    <x v="4"/>
    <n v="0"/>
    <n v="0"/>
    <n v="0"/>
    <n v="0"/>
  </r>
  <r>
    <s v="Mar"/>
    <x v="9"/>
    <x v="4"/>
    <n v="0"/>
    <n v="0"/>
    <n v="0"/>
    <n v="0"/>
  </r>
  <r>
    <s v="Apr"/>
    <x v="9"/>
    <x v="4"/>
    <n v="0"/>
    <s v=""/>
    <n v="0"/>
    <s v=""/>
  </r>
  <r>
    <s v="Mei"/>
    <x v="9"/>
    <x v="4"/>
    <n v="0"/>
    <s v=""/>
    <n v="0"/>
    <s v=""/>
  </r>
  <r>
    <s v="Jun"/>
    <x v="9"/>
    <x v="4"/>
    <n v="0"/>
    <s v=""/>
    <n v="0"/>
    <s v=""/>
  </r>
  <r>
    <s v="Jul"/>
    <x v="9"/>
    <x v="4"/>
    <n v="0"/>
    <s v=""/>
    <n v="0"/>
    <s v=""/>
  </r>
  <r>
    <s v="Agt"/>
    <x v="9"/>
    <x v="4"/>
    <n v="0"/>
    <s v=""/>
    <n v="0"/>
    <s v=""/>
  </r>
  <r>
    <s v="Sep"/>
    <x v="9"/>
    <x v="4"/>
    <n v="0"/>
    <s v=""/>
    <n v="0"/>
    <s v=""/>
  </r>
  <r>
    <s v="Okt"/>
    <x v="9"/>
    <x v="4"/>
    <n v="0"/>
    <s v=""/>
    <n v="0"/>
    <s v=""/>
  </r>
  <r>
    <s v="Nov"/>
    <x v="9"/>
    <x v="4"/>
    <n v="0"/>
    <s v=""/>
    <n v="0"/>
    <s v=""/>
  </r>
  <r>
    <s v="Des"/>
    <x v="9"/>
    <x v="4"/>
    <n v="0"/>
    <s v=""/>
    <n v="0"/>
    <s v=""/>
  </r>
  <r>
    <s v="Jan"/>
    <x v="9"/>
    <x v="5"/>
    <n v="82700000"/>
    <n v="57340750"/>
    <n v="82700000"/>
    <n v="16205500"/>
  </r>
  <r>
    <s v="Feb"/>
    <x v="9"/>
    <x v="5"/>
    <n v="141200000"/>
    <n v="82038470"/>
    <n v="141200000"/>
    <n v="70154750"/>
  </r>
  <r>
    <s v="Mar"/>
    <x v="9"/>
    <x v="5"/>
    <n v="397700000"/>
    <n v="69713445"/>
    <n v="397700000"/>
    <n v="38177100"/>
  </r>
  <r>
    <s v="Apr"/>
    <x v="9"/>
    <x v="5"/>
    <n v="142700000"/>
    <s v=""/>
    <n v="142700000"/>
    <s v=""/>
  </r>
  <r>
    <s v="Mei"/>
    <x v="9"/>
    <x v="5"/>
    <n v="121200000"/>
    <s v=""/>
    <n v="121200000"/>
    <s v=""/>
  </r>
  <r>
    <s v="Jun"/>
    <x v="9"/>
    <x v="5"/>
    <n v="167700000"/>
    <s v=""/>
    <n v="167700000"/>
    <s v=""/>
  </r>
  <r>
    <s v="Jul"/>
    <x v="9"/>
    <x v="5"/>
    <n v="165700000"/>
    <s v=""/>
    <n v="165700000"/>
    <s v=""/>
  </r>
  <r>
    <s v="Agt"/>
    <x v="9"/>
    <x v="5"/>
    <n v="134000000"/>
    <s v=""/>
    <n v="134000000"/>
    <s v=""/>
  </r>
  <r>
    <s v="Sep"/>
    <x v="9"/>
    <x v="5"/>
    <n v="142757000"/>
    <s v=""/>
    <n v="142757000"/>
    <s v=""/>
  </r>
  <r>
    <s v="Okt"/>
    <x v="9"/>
    <x v="5"/>
    <n v="102700000"/>
    <s v=""/>
    <n v="102700000"/>
    <s v=""/>
  </r>
  <r>
    <s v="Nov"/>
    <x v="9"/>
    <x v="5"/>
    <n v="185200000"/>
    <s v=""/>
    <n v="185200000"/>
    <s v=""/>
  </r>
  <r>
    <s v="Des"/>
    <x v="9"/>
    <x v="5"/>
    <n v="77700000"/>
    <s v=""/>
    <n v="77700000"/>
    <s v=""/>
  </r>
  <r>
    <s v="Jan"/>
    <x v="9"/>
    <x v="6"/>
    <n v="242647000"/>
    <n v="209525890"/>
    <n v="242647000"/>
    <n v="203746495"/>
  </r>
  <r>
    <s v="Feb"/>
    <x v="9"/>
    <x v="6"/>
    <n v="242647000"/>
    <n v="202611220"/>
    <n v="242647000"/>
    <n v="207808845"/>
  </r>
  <r>
    <s v="Mar"/>
    <x v="9"/>
    <x v="6"/>
    <n v="242647000"/>
    <n v="0"/>
    <n v="242647000"/>
    <n v="0"/>
  </r>
  <r>
    <s v="Apr"/>
    <x v="9"/>
    <x v="6"/>
    <n v="242647000"/>
    <s v=""/>
    <n v="242647000"/>
    <s v=""/>
  </r>
  <r>
    <s v="Mei"/>
    <x v="9"/>
    <x v="6"/>
    <n v="242647000"/>
    <s v=""/>
    <n v="242647000"/>
    <s v=""/>
  </r>
  <r>
    <s v="Jun"/>
    <x v="9"/>
    <x v="6"/>
    <n v="242647000"/>
    <s v=""/>
    <n v="242647000"/>
    <s v=""/>
  </r>
  <r>
    <s v="Jul"/>
    <x v="9"/>
    <x v="6"/>
    <n v="242647000"/>
    <s v=""/>
    <n v="242647000"/>
    <s v=""/>
  </r>
  <r>
    <s v="Agt"/>
    <x v="9"/>
    <x v="6"/>
    <n v="242647000"/>
    <s v=""/>
    <n v="242647000"/>
    <s v=""/>
  </r>
  <r>
    <s v="Sep"/>
    <x v="9"/>
    <x v="6"/>
    <n v="242647000"/>
    <s v=""/>
    <n v="242647000"/>
    <s v=""/>
  </r>
  <r>
    <s v="Okt"/>
    <x v="9"/>
    <x v="6"/>
    <n v="242647000"/>
    <s v=""/>
    <n v="242647000"/>
    <s v=""/>
  </r>
  <r>
    <s v="Nov"/>
    <x v="9"/>
    <x v="6"/>
    <n v="242647000"/>
    <s v=""/>
    <n v="242647000"/>
    <s v=""/>
  </r>
  <r>
    <s v="Des"/>
    <x v="9"/>
    <x v="6"/>
    <n v="242647000"/>
    <s v=""/>
    <n v="242647000"/>
    <s v=""/>
  </r>
  <r>
    <s v="Jan"/>
    <x v="10"/>
    <x v="0"/>
    <n v="256149000"/>
    <n v="261345961"/>
    <n v="0"/>
    <n v="0"/>
  </r>
  <r>
    <s v="Feb"/>
    <x v="10"/>
    <x v="0"/>
    <n v="232029000"/>
    <n v="316431833"/>
    <n v="256149000"/>
    <n v="187448104"/>
  </r>
  <r>
    <s v="Mar"/>
    <x v="10"/>
    <x v="0"/>
    <n v="320000000"/>
    <n v="81029084"/>
    <n v="232029000"/>
    <n v="47099500"/>
  </r>
  <r>
    <s v="Apr"/>
    <x v="10"/>
    <x v="0"/>
    <n v="1567132000"/>
    <s v=""/>
    <n v="320000000"/>
    <s v=""/>
  </r>
  <r>
    <s v="Mei"/>
    <x v="10"/>
    <x v="0"/>
    <n v="3199778000"/>
    <s v=""/>
    <n v="346353000"/>
    <s v=""/>
  </r>
  <r>
    <s v="Jun"/>
    <x v="10"/>
    <x v="0"/>
    <n v="1289274000"/>
    <s v=""/>
    <n v="1574794000"/>
    <s v=""/>
  </r>
  <r>
    <s v="Jul"/>
    <x v="10"/>
    <x v="0"/>
    <n v="1665312000"/>
    <s v=""/>
    <n v="1850699000"/>
    <s v=""/>
  </r>
  <r>
    <s v="Agt"/>
    <x v="10"/>
    <x v="0"/>
    <n v="1072588000"/>
    <s v=""/>
    <n v="2404338000"/>
    <s v=""/>
  </r>
  <r>
    <s v="Sep"/>
    <x v="10"/>
    <x v="0"/>
    <n v="1131003000"/>
    <s v=""/>
    <n v="871823000"/>
    <s v=""/>
  </r>
  <r>
    <s v="Okt"/>
    <x v="10"/>
    <x v="0"/>
    <n v="170000000"/>
    <s v=""/>
    <n v="1131003000"/>
    <s v=""/>
  </r>
  <r>
    <s v="Nov"/>
    <x v="10"/>
    <x v="0"/>
    <n v="219669000"/>
    <s v=""/>
    <n v="1916077000"/>
    <s v=""/>
  </r>
  <r>
    <s v="Des"/>
    <x v="10"/>
    <x v="0"/>
    <n v="0"/>
    <s v=""/>
    <n v="219669000"/>
    <s v=""/>
  </r>
  <r>
    <s v="Jan"/>
    <x v="10"/>
    <x v="1"/>
    <n v="0"/>
    <n v="0"/>
    <n v="0"/>
    <n v="0"/>
  </r>
  <r>
    <s v="Feb"/>
    <x v="10"/>
    <x v="1"/>
    <n v="0"/>
    <n v="0"/>
    <n v="0"/>
    <n v="0"/>
  </r>
  <r>
    <s v="Mar"/>
    <x v="10"/>
    <x v="1"/>
    <n v="0"/>
    <n v="0"/>
    <n v="0"/>
    <n v="0"/>
  </r>
  <r>
    <s v="Apr"/>
    <x v="10"/>
    <x v="1"/>
    <n v="0"/>
    <s v=""/>
    <n v="0"/>
    <s v=""/>
  </r>
  <r>
    <s v="Mei"/>
    <x v="10"/>
    <x v="1"/>
    <n v="200000000"/>
    <s v=""/>
    <n v="0"/>
    <s v=""/>
  </r>
  <r>
    <s v="Jun"/>
    <x v="10"/>
    <x v="1"/>
    <n v="0"/>
    <s v=""/>
    <n v="0"/>
    <s v=""/>
  </r>
  <r>
    <s v="Jul"/>
    <x v="10"/>
    <x v="1"/>
    <n v="0"/>
    <s v=""/>
    <n v="200000000"/>
    <s v=""/>
  </r>
  <r>
    <s v="Agt"/>
    <x v="10"/>
    <x v="1"/>
    <n v="0"/>
    <s v=""/>
    <n v="0"/>
    <s v=""/>
  </r>
  <r>
    <s v="Sep"/>
    <x v="10"/>
    <x v="1"/>
    <n v="0"/>
    <s v=""/>
    <n v="0"/>
    <s v=""/>
  </r>
  <r>
    <s v="Okt"/>
    <x v="10"/>
    <x v="1"/>
    <n v="0"/>
    <s v=""/>
    <n v="0"/>
    <s v=""/>
  </r>
  <r>
    <s v="Nov"/>
    <x v="10"/>
    <x v="1"/>
    <n v="0"/>
    <s v=""/>
    <n v="0"/>
    <s v=""/>
  </r>
  <r>
    <s v="Des"/>
    <x v="10"/>
    <x v="1"/>
    <n v="0"/>
    <s v=""/>
    <n v="0"/>
    <s v=""/>
  </r>
  <r>
    <s v="Jan"/>
    <x v="10"/>
    <x v="2"/>
    <n v="0"/>
    <n v="0"/>
    <n v="0"/>
    <n v="0"/>
  </r>
  <r>
    <s v="Feb"/>
    <x v="10"/>
    <x v="2"/>
    <n v="24996000"/>
    <n v="0"/>
    <n v="0"/>
    <n v="0"/>
  </r>
  <r>
    <s v="Mar"/>
    <x v="10"/>
    <x v="2"/>
    <n v="0"/>
    <n v="0"/>
    <n v="24996000"/>
    <n v="0"/>
  </r>
  <r>
    <s v="Apr"/>
    <x v="10"/>
    <x v="2"/>
    <n v="0"/>
    <s v=""/>
    <n v="0"/>
    <s v=""/>
  </r>
  <r>
    <s v="Mei"/>
    <x v="10"/>
    <x v="2"/>
    <n v="24994000"/>
    <s v=""/>
    <n v="0"/>
    <s v=""/>
  </r>
  <r>
    <s v="Jun"/>
    <x v="10"/>
    <x v="2"/>
    <n v="0"/>
    <s v=""/>
    <n v="24994000"/>
    <s v=""/>
  </r>
  <r>
    <s v="Jul"/>
    <x v="10"/>
    <x v="2"/>
    <n v="0"/>
    <s v=""/>
    <n v="0"/>
    <s v=""/>
  </r>
  <r>
    <s v="Agt"/>
    <x v="10"/>
    <x v="2"/>
    <n v="24996000"/>
    <s v=""/>
    <n v="0"/>
    <s v=""/>
  </r>
  <r>
    <s v="Sep"/>
    <x v="10"/>
    <x v="2"/>
    <n v="0"/>
    <s v=""/>
    <n v="24996000"/>
    <s v=""/>
  </r>
  <r>
    <s v="Okt"/>
    <x v="10"/>
    <x v="2"/>
    <n v="0"/>
    <s v=""/>
    <n v="0"/>
    <s v=""/>
  </r>
  <r>
    <s v="Nov"/>
    <x v="10"/>
    <x v="2"/>
    <n v="24994000"/>
    <s v=""/>
    <n v="0"/>
    <s v=""/>
  </r>
  <r>
    <s v="Des"/>
    <x v="10"/>
    <x v="2"/>
    <n v="0"/>
    <s v=""/>
    <n v="24994000"/>
    <s v=""/>
  </r>
  <r>
    <s v="Jan"/>
    <x v="10"/>
    <x v="3"/>
    <n v="0"/>
    <n v="0"/>
    <n v="0"/>
    <n v="0"/>
  </r>
  <r>
    <s v="Feb"/>
    <x v="10"/>
    <x v="3"/>
    <n v="0"/>
    <n v="0"/>
    <n v="0"/>
    <n v="0"/>
  </r>
  <r>
    <s v="Mar"/>
    <x v="10"/>
    <x v="3"/>
    <n v="0"/>
    <n v="0"/>
    <n v="0"/>
    <n v="0"/>
  </r>
  <r>
    <s v="Apr"/>
    <x v="10"/>
    <x v="3"/>
    <n v="0"/>
    <s v=""/>
    <n v="0"/>
    <s v=""/>
  </r>
  <r>
    <s v="Mei"/>
    <x v="10"/>
    <x v="3"/>
    <n v="0"/>
    <s v=""/>
    <n v="0"/>
    <s v=""/>
  </r>
  <r>
    <s v="Jun"/>
    <x v="10"/>
    <x v="3"/>
    <n v="0"/>
    <s v=""/>
    <n v="0"/>
    <s v=""/>
  </r>
  <r>
    <s v="Jul"/>
    <x v="10"/>
    <x v="3"/>
    <n v="0"/>
    <s v=""/>
    <n v="0"/>
    <s v=""/>
  </r>
  <r>
    <s v="Agt"/>
    <x v="10"/>
    <x v="3"/>
    <n v="110000000"/>
    <s v=""/>
    <n v="0"/>
    <s v=""/>
  </r>
  <r>
    <s v="Sep"/>
    <x v="10"/>
    <x v="3"/>
    <n v="0"/>
    <s v=""/>
    <n v="0"/>
    <s v=""/>
  </r>
  <r>
    <s v="Okt"/>
    <x v="10"/>
    <x v="3"/>
    <n v="0"/>
    <s v=""/>
    <n v="110000000"/>
    <s v=""/>
  </r>
  <r>
    <s v="Nov"/>
    <x v="10"/>
    <x v="3"/>
    <n v="0"/>
    <s v=""/>
    <n v="0"/>
    <s v=""/>
  </r>
  <r>
    <s v="Des"/>
    <x v="10"/>
    <x v="3"/>
    <n v="0"/>
    <s v=""/>
    <n v="0"/>
    <s v=""/>
  </r>
  <r>
    <s v="Jan"/>
    <x v="10"/>
    <x v="4"/>
    <n v="0"/>
    <n v="0"/>
    <n v="0"/>
    <n v="0"/>
  </r>
  <r>
    <s v="Feb"/>
    <x v="10"/>
    <x v="4"/>
    <n v="0"/>
    <n v="0"/>
    <n v="0"/>
    <n v="0"/>
  </r>
  <r>
    <s v="Mar"/>
    <x v="10"/>
    <x v="4"/>
    <n v="0"/>
    <n v="0"/>
    <n v="0"/>
    <n v="0"/>
  </r>
  <r>
    <s v="Apr"/>
    <x v="10"/>
    <x v="4"/>
    <n v="0"/>
    <s v=""/>
    <n v="0"/>
    <s v=""/>
  </r>
  <r>
    <s v="Mei"/>
    <x v="10"/>
    <x v="4"/>
    <n v="0"/>
    <s v=""/>
    <n v="0"/>
    <s v=""/>
  </r>
  <r>
    <s v="Jun"/>
    <x v="10"/>
    <x v="4"/>
    <n v="0"/>
    <s v=""/>
    <n v="0"/>
    <s v=""/>
  </r>
  <r>
    <s v="Jul"/>
    <x v="10"/>
    <x v="4"/>
    <n v="0"/>
    <s v=""/>
    <n v="0"/>
    <s v=""/>
  </r>
  <r>
    <s v="Agt"/>
    <x v="10"/>
    <x v="4"/>
    <n v="0"/>
    <s v=""/>
    <n v="0"/>
    <s v=""/>
  </r>
  <r>
    <s v="Sep"/>
    <x v="10"/>
    <x v="4"/>
    <n v="0"/>
    <s v=""/>
    <n v="0"/>
    <s v=""/>
  </r>
  <r>
    <s v="Okt"/>
    <x v="10"/>
    <x v="4"/>
    <n v="0"/>
    <s v=""/>
    <n v="0"/>
    <s v=""/>
  </r>
  <r>
    <s v="Nov"/>
    <x v="10"/>
    <x v="4"/>
    <n v="0"/>
    <s v=""/>
    <n v="0"/>
    <s v=""/>
  </r>
  <r>
    <s v="Des"/>
    <x v="10"/>
    <x v="4"/>
    <n v="0"/>
    <s v=""/>
    <n v="0"/>
    <s v=""/>
  </r>
  <r>
    <s v="Jan"/>
    <x v="10"/>
    <x v="5"/>
    <n v="65075000"/>
    <n v="66980000"/>
    <n v="65075000"/>
    <n v="33275000"/>
  </r>
  <r>
    <s v="Feb"/>
    <x v="10"/>
    <x v="5"/>
    <n v="32625000"/>
    <n v="131493477"/>
    <n v="32625000"/>
    <n v="44852000"/>
  </r>
  <r>
    <s v="Mar"/>
    <x v="10"/>
    <x v="5"/>
    <n v="27425000"/>
    <n v="-11791000"/>
    <n v="27425000"/>
    <n v="55343462"/>
  </r>
  <r>
    <s v="Apr"/>
    <x v="10"/>
    <x v="5"/>
    <n v="253975000"/>
    <s v=""/>
    <n v="253975000"/>
    <s v=""/>
  </r>
  <r>
    <s v="Mei"/>
    <x v="10"/>
    <x v="5"/>
    <n v="23925000"/>
    <s v=""/>
    <n v="23925000"/>
    <s v=""/>
  </r>
  <r>
    <s v="Jun"/>
    <x v="10"/>
    <x v="5"/>
    <n v="35725000"/>
    <s v=""/>
    <n v="35725000"/>
    <s v=""/>
  </r>
  <r>
    <s v="Jul"/>
    <x v="10"/>
    <x v="5"/>
    <n v="64675000"/>
    <s v=""/>
    <n v="64675000"/>
    <s v=""/>
  </r>
  <r>
    <s v="Agt"/>
    <x v="10"/>
    <x v="5"/>
    <n v="172225000"/>
    <s v=""/>
    <n v="32225000"/>
    <s v=""/>
  </r>
  <r>
    <s v="Sep"/>
    <x v="10"/>
    <x v="5"/>
    <n v="152425000"/>
    <s v=""/>
    <n v="152425000"/>
    <s v=""/>
  </r>
  <r>
    <s v="Okt"/>
    <x v="10"/>
    <x v="5"/>
    <n v="72975000"/>
    <s v=""/>
    <n v="212975000"/>
    <s v=""/>
  </r>
  <r>
    <s v="Nov"/>
    <x v="10"/>
    <x v="5"/>
    <n v="23925000"/>
    <s v=""/>
    <n v="23925000"/>
    <s v=""/>
  </r>
  <r>
    <s v="Des"/>
    <x v="10"/>
    <x v="5"/>
    <n v="35725000"/>
    <s v=""/>
    <n v="35725000"/>
    <s v=""/>
  </r>
  <r>
    <s v="Jan"/>
    <x v="10"/>
    <x v="6"/>
    <n v="34257000"/>
    <n v="35093864"/>
    <n v="34257000"/>
    <n v="35093864"/>
  </r>
  <r>
    <s v="Feb"/>
    <x v="10"/>
    <x v="6"/>
    <n v="34256000"/>
    <n v="35802840"/>
    <n v="34256000"/>
    <n v="34478198"/>
  </r>
  <r>
    <s v="Mar"/>
    <x v="10"/>
    <x v="6"/>
    <n v="34257000"/>
    <n v="1639740"/>
    <n v="34257000"/>
    <n v="1324642"/>
  </r>
  <r>
    <s v="Apr"/>
    <x v="10"/>
    <x v="6"/>
    <n v="34256000"/>
    <s v=""/>
    <n v="34256000"/>
    <s v=""/>
  </r>
  <r>
    <s v="Mei"/>
    <x v="10"/>
    <x v="6"/>
    <n v="34257000"/>
    <s v=""/>
    <n v="34257000"/>
    <s v=""/>
  </r>
  <r>
    <s v="Jun"/>
    <x v="10"/>
    <x v="6"/>
    <n v="34257000"/>
    <s v=""/>
    <n v="34257000"/>
    <s v=""/>
  </r>
  <r>
    <s v="Jul"/>
    <x v="10"/>
    <x v="6"/>
    <n v="34257000"/>
    <s v=""/>
    <n v="34257000"/>
    <s v=""/>
  </r>
  <r>
    <s v="Agt"/>
    <x v="10"/>
    <x v="6"/>
    <n v="34256000"/>
    <s v=""/>
    <n v="34256000"/>
    <s v=""/>
  </r>
  <r>
    <s v="Sep"/>
    <x v="10"/>
    <x v="6"/>
    <n v="34257000"/>
    <s v=""/>
    <n v="34257000"/>
    <s v=""/>
  </r>
  <r>
    <s v="Okt"/>
    <x v="10"/>
    <x v="6"/>
    <n v="34256000"/>
    <s v=""/>
    <n v="34256000"/>
    <s v=""/>
  </r>
  <r>
    <s v="Nov"/>
    <x v="10"/>
    <x v="6"/>
    <n v="34257000"/>
    <s v=""/>
    <n v="34257000"/>
    <s v=""/>
  </r>
  <r>
    <s v="Des"/>
    <x v="10"/>
    <x v="6"/>
    <n v="34257000"/>
    <s v=""/>
    <n v="34257000"/>
    <s v=""/>
  </r>
  <r>
    <s v="Jan"/>
    <x v="11"/>
    <x v="0"/>
    <n v="0"/>
    <n v="0"/>
    <n v="0"/>
    <n v="0"/>
  </r>
  <r>
    <s v="Feb"/>
    <x v="11"/>
    <x v="0"/>
    <n v="147500000"/>
    <n v="660310335"/>
    <n v="0"/>
    <n v="0"/>
  </r>
  <r>
    <s v="Mar"/>
    <x v="11"/>
    <x v="0"/>
    <n v="4975166000"/>
    <n v="82094080"/>
    <n v="0"/>
    <n v="0"/>
  </r>
  <r>
    <s v="Apr"/>
    <x v="11"/>
    <x v="0"/>
    <n v="1596468000"/>
    <s v=""/>
    <n v="50000000"/>
    <s v=""/>
  </r>
  <r>
    <s v="Mei"/>
    <x v="11"/>
    <x v="0"/>
    <n v="1166224000"/>
    <s v=""/>
    <n v="147500000"/>
    <s v=""/>
  </r>
  <r>
    <s v="Jun"/>
    <x v="11"/>
    <x v="0"/>
    <n v="457212000"/>
    <s v=""/>
    <n v="50000000"/>
    <s v=""/>
  </r>
  <r>
    <s v="Jul"/>
    <x v="11"/>
    <x v="0"/>
    <n v="100000000"/>
    <s v=""/>
    <n v="1663840000"/>
    <s v=""/>
  </r>
  <r>
    <s v="Agt"/>
    <x v="11"/>
    <x v="0"/>
    <n v="147500000"/>
    <s v=""/>
    <n v="2498475000"/>
    <s v=""/>
  </r>
  <r>
    <s v="Sep"/>
    <x v="11"/>
    <x v="0"/>
    <n v="0"/>
    <s v=""/>
    <n v="3932755000"/>
    <s v=""/>
  </r>
  <r>
    <s v="Okt"/>
    <x v="11"/>
    <x v="0"/>
    <n v="147500000"/>
    <s v=""/>
    <n v="247500000"/>
    <s v=""/>
  </r>
  <r>
    <s v="Nov"/>
    <x v="11"/>
    <x v="0"/>
    <n v="0"/>
    <s v=""/>
    <n v="0"/>
    <s v=""/>
  </r>
  <r>
    <s v="Des"/>
    <x v="11"/>
    <x v="0"/>
    <n v="0"/>
    <s v=""/>
    <n v="147500000"/>
    <s v=""/>
  </r>
  <r>
    <s v="Jan"/>
    <x v="11"/>
    <x v="1"/>
    <n v="0"/>
    <n v="0"/>
    <n v="0"/>
    <n v="0"/>
  </r>
  <r>
    <s v="Feb"/>
    <x v="11"/>
    <x v="1"/>
    <n v="0"/>
    <n v="0"/>
    <n v="0"/>
    <n v="0"/>
  </r>
  <r>
    <s v="Mar"/>
    <x v="11"/>
    <x v="1"/>
    <n v="150000000"/>
    <n v="0"/>
    <n v="150000000"/>
    <n v="0"/>
  </r>
  <r>
    <s v="Apr"/>
    <x v="11"/>
    <x v="1"/>
    <n v="250000000"/>
    <s v=""/>
    <n v="250000000"/>
    <s v=""/>
  </r>
  <r>
    <s v="Mei"/>
    <x v="11"/>
    <x v="1"/>
    <n v="0"/>
    <s v=""/>
    <n v="0"/>
    <s v=""/>
  </r>
  <r>
    <s v="Jun"/>
    <x v="11"/>
    <x v="1"/>
    <n v="150000000"/>
    <s v=""/>
    <n v="150000000"/>
    <s v=""/>
  </r>
  <r>
    <s v="Jul"/>
    <x v="11"/>
    <x v="1"/>
    <n v="0"/>
    <s v=""/>
    <n v="0"/>
    <s v=""/>
  </r>
  <r>
    <s v="Agt"/>
    <x v="11"/>
    <x v="1"/>
    <n v="0"/>
    <s v=""/>
    <n v="0"/>
    <s v=""/>
  </r>
  <r>
    <s v="Sep"/>
    <x v="11"/>
    <x v="1"/>
    <n v="200000000"/>
    <s v=""/>
    <n v="200000000"/>
    <s v=""/>
  </r>
  <r>
    <s v="Okt"/>
    <x v="11"/>
    <x v="1"/>
    <n v="0"/>
    <s v=""/>
    <n v="0"/>
    <s v=""/>
  </r>
  <r>
    <s v="Nov"/>
    <x v="11"/>
    <x v="1"/>
    <n v="0"/>
    <s v=""/>
    <n v="0"/>
    <s v=""/>
  </r>
  <r>
    <s v="Des"/>
    <x v="11"/>
    <x v="1"/>
    <n v="0"/>
    <s v=""/>
    <n v="0"/>
    <s v=""/>
  </r>
  <r>
    <s v="Jan"/>
    <x v="11"/>
    <x v="2"/>
    <n v="0"/>
    <n v="0"/>
    <n v="0"/>
    <n v="0"/>
  </r>
  <r>
    <s v="Feb"/>
    <x v="11"/>
    <x v="2"/>
    <n v="79200000"/>
    <n v="37804500"/>
    <n v="79200000"/>
    <n v="0"/>
  </r>
  <r>
    <s v="Mar"/>
    <x v="11"/>
    <x v="2"/>
    <n v="0"/>
    <n v="14403650"/>
    <n v="0"/>
    <n v="0"/>
  </r>
  <r>
    <s v="Apr"/>
    <x v="11"/>
    <x v="2"/>
    <n v="0"/>
    <s v=""/>
    <n v="0"/>
    <s v=""/>
  </r>
  <r>
    <s v="Mei"/>
    <x v="11"/>
    <x v="2"/>
    <n v="79200000"/>
    <s v=""/>
    <n v="79200000"/>
    <s v=""/>
  </r>
  <r>
    <s v="Jun"/>
    <x v="11"/>
    <x v="2"/>
    <n v="0"/>
    <s v=""/>
    <n v="0"/>
    <s v=""/>
  </r>
  <r>
    <s v="Jul"/>
    <x v="11"/>
    <x v="2"/>
    <n v="0"/>
    <s v=""/>
    <n v="0"/>
    <s v=""/>
  </r>
  <r>
    <s v="Agt"/>
    <x v="11"/>
    <x v="2"/>
    <n v="79200000"/>
    <s v=""/>
    <n v="79200000"/>
    <s v=""/>
  </r>
  <r>
    <s v="Sep"/>
    <x v="11"/>
    <x v="2"/>
    <n v="0"/>
    <s v=""/>
    <n v="0"/>
    <s v=""/>
  </r>
  <r>
    <s v="Okt"/>
    <x v="11"/>
    <x v="2"/>
    <n v="0"/>
    <s v=""/>
    <n v="0"/>
    <s v=""/>
  </r>
  <r>
    <s v="Nov"/>
    <x v="11"/>
    <x v="2"/>
    <n v="79200000"/>
    <s v=""/>
    <n v="79200000"/>
    <s v=""/>
  </r>
  <r>
    <s v="Des"/>
    <x v="11"/>
    <x v="2"/>
    <n v="0"/>
    <s v=""/>
    <n v="0"/>
    <s v=""/>
  </r>
  <r>
    <s v="Jan"/>
    <x v="11"/>
    <x v="3"/>
    <n v="0"/>
    <n v="0"/>
    <n v="0"/>
    <n v="0"/>
  </r>
  <r>
    <s v="Feb"/>
    <x v="11"/>
    <x v="3"/>
    <n v="0"/>
    <n v="0"/>
    <n v="0"/>
    <n v="0"/>
  </r>
  <r>
    <s v="Mar"/>
    <x v="11"/>
    <x v="3"/>
    <n v="250000000"/>
    <n v="0"/>
    <n v="250000000"/>
    <n v="0"/>
  </r>
  <r>
    <s v="Apr"/>
    <x v="11"/>
    <x v="3"/>
    <n v="0"/>
    <s v=""/>
    <n v="0"/>
    <s v=""/>
  </r>
  <r>
    <s v="Mei"/>
    <x v="11"/>
    <x v="3"/>
    <n v="0"/>
    <s v=""/>
    <n v="0"/>
    <s v=""/>
  </r>
  <r>
    <s v="Jun"/>
    <x v="11"/>
    <x v="3"/>
    <n v="0"/>
    <s v=""/>
    <n v="0"/>
    <s v=""/>
  </r>
  <r>
    <s v="Jul"/>
    <x v="11"/>
    <x v="3"/>
    <n v="0"/>
    <s v=""/>
    <n v="0"/>
    <s v=""/>
  </r>
  <r>
    <s v="Agt"/>
    <x v="11"/>
    <x v="3"/>
    <n v="0"/>
    <s v=""/>
    <n v="0"/>
    <s v=""/>
  </r>
  <r>
    <s v="Sep"/>
    <x v="11"/>
    <x v="3"/>
    <n v="0"/>
    <s v=""/>
    <n v="0"/>
    <s v=""/>
  </r>
  <r>
    <s v="Okt"/>
    <x v="11"/>
    <x v="3"/>
    <n v="0"/>
    <s v=""/>
    <n v="0"/>
    <s v=""/>
  </r>
  <r>
    <s v="Nov"/>
    <x v="11"/>
    <x v="3"/>
    <n v="0"/>
    <s v=""/>
    <n v="0"/>
    <s v=""/>
  </r>
  <r>
    <s v="Des"/>
    <x v="11"/>
    <x v="3"/>
    <n v="0"/>
    <s v=""/>
    <n v="0"/>
    <s v=""/>
  </r>
  <r>
    <s v="Jan"/>
    <x v="11"/>
    <x v="4"/>
    <n v="0"/>
    <n v="0"/>
    <n v="0"/>
    <n v="0"/>
  </r>
  <r>
    <s v="Feb"/>
    <x v="11"/>
    <x v="4"/>
    <n v="0"/>
    <n v="0"/>
    <n v="0"/>
    <n v="0"/>
  </r>
  <r>
    <s v="Mar"/>
    <x v="11"/>
    <x v="4"/>
    <n v="0"/>
    <n v="0"/>
    <n v="0"/>
    <n v="0"/>
  </r>
  <r>
    <s v="Apr"/>
    <x v="11"/>
    <x v="4"/>
    <n v="0"/>
    <s v=""/>
    <n v="0"/>
    <s v=""/>
  </r>
  <r>
    <s v="Mei"/>
    <x v="11"/>
    <x v="4"/>
    <n v="0"/>
    <s v=""/>
    <n v="0"/>
    <s v=""/>
  </r>
  <r>
    <s v="Jun"/>
    <x v="11"/>
    <x v="4"/>
    <n v="0"/>
    <s v=""/>
    <n v="0"/>
    <s v=""/>
  </r>
  <r>
    <s v="Jul"/>
    <x v="11"/>
    <x v="4"/>
    <n v="0"/>
    <s v=""/>
    <n v="0"/>
    <s v=""/>
  </r>
  <r>
    <s v="Agt"/>
    <x v="11"/>
    <x v="4"/>
    <n v="0"/>
    <s v=""/>
    <n v="0"/>
    <s v=""/>
  </r>
  <r>
    <s v="Sep"/>
    <x v="11"/>
    <x v="4"/>
    <n v="0"/>
    <s v=""/>
    <n v="0"/>
    <s v=""/>
  </r>
  <r>
    <s v="Okt"/>
    <x v="11"/>
    <x v="4"/>
    <n v="0"/>
    <s v=""/>
    <n v="0"/>
    <s v=""/>
  </r>
  <r>
    <s v="Nov"/>
    <x v="11"/>
    <x v="4"/>
    <n v="0"/>
    <s v=""/>
    <n v="0"/>
    <s v=""/>
  </r>
  <r>
    <s v="Des"/>
    <x v="11"/>
    <x v="4"/>
    <n v="0"/>
    <s v=""/>
    <n v="0"/>
    <s v=""/>
  </r>
  <r>
    <s v="Jan"/>
    <x v="11"/>
    <x v="5"/>
    <n v="123852333.33333334"/>
    <n v="73891500"/>
    <n v="123852333.33333334"/>
    <n v="5977500"/>
  </r>
  <r>
    <s v="Feb"/>
    <x v="11"/>
    <x v="5"/>
    <n v="113852333.33333334"/>
    <n v="121455950"/>
    <n v="113852333.33333334"/>
    <n v="91152500"/>
  </r>
  <r>
    <s v="Mar"/>
    <x v="11"/>
    <x v="5"/>
    <n v="113852333.33333334"/>
    <n v="51886096"/>
    <n v="113852333.33333334"/>
    <n v="8250000"/>
  </r>
  <r>
    <s v="Apr"/>
    <x v="11"/>
    <x v="5"/>
    <n v="123852333.33333334"/>
    <s v=""/>
    <n v="123852333.33333334"/>
    <s v=""/>
  </r>
  <r>
    <s v="Mei"/>
    <x v="11"/>
    <x v="5"/>
    <n v="253852333.33333334"/>
    <s v=""/>
    <n v="253852333.33333334"/>
    <s v=""/>
  </r>
  <r>
    <s v="Jun"/>
    <x v="11"/>
    <x v="5"/>
    <n v="113853333.33333334"/>
    <s v=""/>
    <n v="113853333.33333334"/>
    <s v=""/>
  </r>
  <r>
    <s v="Jul"/>
    <x v="11"/>
    <x v="5"/>
    <n v="123852333.33333334"/>
    <s v=""/>
    <n v="123852333.33333334"/>
    <s v=""/>
  </r>
  <r>
    <s v="Agt"/>
    <x v="11"/>
    <x v="5"/>
    <n v="243852333.33333334"/>
    <s v=""/>
    <n v="243852333.33333334"/>
    <s v=""/>
  </r>
  <r>
    <s v="Sep"/>
    <x v="11"/>
    <x v="5"/>
    <n v="113853333.33333334"/>
    <s v=""/>
    <n v="113853333.33333334"/>
    <s v=""/>
  </r>
  <r>
    <s v="Okt"/>
    <x v="11"/>
    <x v="5"/>
    <n v="123852333.33333334"/>
    <s v=""/>
    <n v="123852333.33333334"/>
    <s v=""/>
  </r>
  <r>
    <s v="Nov"/>
    <x v="11"/>
    <x v="5"/>
    <n v="229852333.33333334"/>
    <s v=""/>
    <n v="229852333.33333334"/>
    <s v=""/>
  </r>
  <r>
    <s v="Des"/>
    <x v="11"/>
    <x v="5"/>
    <n v="113853333.33333334"/>
    <s v=""/>
    <n v="113853333.33333334"/>
    <s v=""/>
  </r>
  <r>
    <s v="Jan"/>
    <x v="11"/>
    <x v="6"/>
    <n v="185833333.33333334"/>
    <n v="96928940"/>
    <n v="185833333.33333334"/>
    <n v="96928940"/>
  </r>
  <r>
    <s v="Feb"/>
    <x v="11"/>
    <x v="6"/>
    <n v="185833333.33333334"/>
    <n v="130722605"/>
    <n v="185833333.33333334"/>
    <n v="121222605"/>
  </r>
  <r>
    <s v="Mar"/>
    <x v="11"/>
    <x v="6"/>
    <n v="185833333.33333334"/>
    <n v="0"/>
    <n v="185833333.33333334"/>
    <n v="0"/>
  </r>
  <r>
    <s v="Apr"/>
    <x v="11"/>
    <x v="6"/>
    <n v="185833333.33333334"/>
    <s v=""/>
    <n v="185833333.33333334"/>
    <s v=""/>
  </r>
  <r>
    <s v="Mei"/>
    <x v="11"/>
    <x v="6"/>
    <n v="185833333.33333334"/>
    <s v=""/>
    <n v="185833333.33333334"/>
    <s v=""/>
  </r>
  <r>
    <s v="Jun"/>
    <x v="11"/>
    <x v="6"/>
    <n v="185833333.33333334"/>
    <s v=""/>
    <n v="185833333.33333334"/>
    <s v=""/>
  </r>
  <r>
    <s v="Jul"/>
    <x v="11"/>
    <x v="6"/>
    <n v="185833333.33333334"/>
    <s v=""/>
    <n v="185833333.33333334"/>
    <s v=""/>
  </r>
  <r>
    <s v="Agt"/>
    <x v="11"/>
    <x v="6"/>
    <n v="185833333.33333334"/>
    <s v=""/>
    <n v="185833333.33333334"/>
    <s v=""/>
  </r>
  <r>
    <s v="Sep"/>
    <x v="11"/>
    <x v="6"/>
    <n v="185833333.33333334"/>
    <s v=""/>
    <n v="185833333.33333334"/>
    <s v=""/>
  </r>
  <r>
    <s v="Okt"/>
    <x v="11"/>
    <x v="6"/>
    <n v="185833333.33333334"/>
    <s v=""/>
    <n v="185833333.33333334"/>
    <s v=""/>
  </r>
  <r>
    <s v="Nov"/>
    <x v="11"/>
    <x v="6"/>
    <n v="185833333.33333334"/>
    <s v=""/>
    <n v="185833333.33333334"/>
    <s v=""/>
  </r>
  <r>
    <s v="Des"/>
    <x v="11"/>
    <x v="6"/>
    <n v="185833333.33333334"/>
    <s v=""/>
    <n v="185833333.33333334"/>
    <s v=""/>
  </r>
  <r>
    <s v="Jan"/>
    <x v="12"/>
    <x v="0"/>
    <n v="20000000"/>
    <n v="114501830"/>
    <n v="0"/>
    <n v="0"/>
  </r>
  <r>
    <s v="Feb"/>
    <x v="12"/>
    <x v="0"/>
    <n v="0"/>
    <n v="13970000"/>
    <n v="20000000"/>
    <n v="0"/>
  </r>
  <r>
    <s v="Mar"/>
    <x v="12"/>
    <x v="0"/>
    <n v="55000000"/>
    <n v="0"/>
    <n v="0"/>
    <n v="78896778"/>
  </r>
  <r>
    <s v="Apr"/>
    <x v="12"/>
    <x v="0"/>
    <n v="461300000"/>
    <s v=""/>
    <n v="55000000"/>
    <s v=""/>
  </r>
  <r>
    <s v="Mei"/>
    <x v="12"/>
    <x v="0"/>
    <n v="412440000"/>
    <s v=""/>
    <n v="0"/>
    <s v=""/>
  </r>
  <r>
    <s v="Jun"/>
    <x v="12"/>
    <x v="0"/>
    <n v="130000000"/>
    <s v=""/>
    <n v="0"/>
    <s v=""/>
  </r>
  <r>
    <s v="Jul"/>
    <x v="12"/>
    <x v="0"/>
    <n v="683211000"/>
    <s v=""/>
    <n v="516300000"/>
    <s v=""/>
  </r>
  <r>
    <s v="Agt"/>
    <x v="12"/>
    <x v="0"/>
    <n v="0"/>
    <s v=""/>
    <n v="412440000"/>
    <s v=""/>
  </r>
  <r>
    <s v="Sep"/>
    <x v="12"/>
    <x v="0"/>
    <n v="55000000"/>
    <s v=""/>
    <n v="75000000"/>
    <s v=""/>
  </r>
  <r>
    <s v="Okt"/>
    <x v="12"/>
    <x v="0"/>
    <n v="0"/>
    <s v=""/>
    <n v="55000000"/>
    <s v=""/>
  </r>
  <r>
    <s v="Nov"/>
    <x v="12"/>
    <x v="0"/>
    <n v="0"/>
    <s v=""/>
    <n v="683211000"/>
    <s v=""/>
  </r>
  <r>
    <s v="Des"/>
    <x v="12"/>
    <x v="0"/>
    <n v="55000000"/>
    <s v=""/>
    <n v="55000000"/>
    <s v=""/>
  </r>
  <r>
    <s v="Jan"/>
    <x v="12"/>
    <x v="1"/>
    <n v="0"/>
    <n v="0"/>
    <n v="0"/>
    <n v="0"/>
  </r>
  <r>
    <s v="Feb"/>
    <x v="12"/>
    <x v="1"/>
    <n v="0"/>
    <n v="0"/>
    <n v="0"/>
    <n v="0"/>
  </r>
  <r>
    <s v="Mar"/>
    <x v="12"/>
    <x v="1"/>
    <n v="0"/>
    <n v="0"/>
    <n v="0"/>
    <n v="0"/>
  </r>
  <r>
    <s v="Apr"/>
    <x v="12"/>
    <x v="1"/>
    <n v="0"/>
    <s v=""/>
    <n v="0"/>
    <s v=""/>
  </r>
  <r>
    <s v="Mei"/>
    <x v="12"/>
    <x v="1"/>
    <n v="0"/>
    <s v=""/>
    <n v="0"/>
    <s v=""/>
  </r>
  <r>
    <s v="Jun"/>
    <x v="12"/>
    <x v="1"/>
    <n v="0"/>
    <s v=""/>
    <n v="0"/>
    <s v=""/>
  </r>
  <r>
    <s v="Jul"/>
    <x v="12"/>
    <x v="1"/>
    <n v="0"/>
    <s v=""/>
    <n v="0"/>
    <s v=""/>
  </r>
  <r>
    <s v="Agt"/>
    <x v="12"/>
    <x v="1"/>
    <n v="0"/>
    <s v=""/>
    <n v="0"/>
    <s v=""/>
  </r>
  <r>
    <s v="Sep"/>
    <x v="12"/>
    <x v="1"/>
    <n v="0"/>
    <s v=""/>
    <n v="0"/>
    <s v=""/>
  </r>
  <r>
    <s v="Okt"/>
    <x v="12"/>
    <x v="1"/>
    <n v="0"/>
    <s v=""/>
    <n v="0"/>
    <s v=""/>
  </r>
  <r>
    <s v="Nov"/>
    <x v="12"/>
    <x v="1"/>
    <n v="0"/>
    <s v=""/>
    <n v="0"/>
    <s v=""/>
  </r>
  <r>
    <s v="Des"/>
    <x v="12"/>
    <x v="1"/>
    <n v="0"/>
    <s v=""/>
    <n v="0"/>
    <s v=""/>
  </r>
  <r>
    <s v="Jan"/>
    <x v="12"/>
    <x v="2"/>
    <n v="0"/>
    <n v="6119400"/>
    <n v="11287500"/>
    <n v="0"/>
  </r>
  <r>
    <s v="Feb"/>
    <x v="12"/>
    <x v="2"/>
    <n v="0"/>
    <n v="0"/>
    <n v="0"/>
    <n v="0"/>
  </r>
  <r>
    <s v="Mar"/>
    <x v="12"/>
    <x v="2"/>
    <n v="11287500"/>
    <n v="6423200"/>
    <n v="0"/>
    <n v="6119400"/>
  </r>
  <r>
    <s v="Apr"/>
    <x v="12"/>
    <x v="2"/>
    <n v="0"/>
    <s v=""/>
    <n v="11287500"/>
    <s v=""/>
  </r>
  <r>
    <s v="Mei"/>
    <x v="12"/>
    <x v="2"/>
    <n v="0"/>
    <s v=""/>
    <n v="0"/>
    <s v=""/>
  </r>
  <r>
    <s v="Jun"/>
    <x v="12"/>
    <x v="2"/>
    <n v="11287500"/>
    <s v=""/>
    <n v="0"/>
    <s v=""/>
  </r>
  <r>
    <s v="Jul"/>
    <x v="12"/>
    <x v="2"/>
    <n v="0"/>
    <s v=""/>
    <n v="11287500"/>
    <s v=""/>
  </r>
  <r>
    <s v="Agt"/>
    <x v="12"/>
    <x v="2"/>
    <n v="0"/>
    <s v=""/>
    <n v="0"/>
    <s v=""/>
  </r>
  <r>
    <s v="Sep"/>
    <x v="12"/>
    <x v="2"/>
    <n v="11287500"/>
    <s v=""/>
    <n v="0"/>
    <s v=""/>
  </r>
  <r>
    <s v="Okt"/>
    <x v="12"/>
    <x v="2"/>
    <n v="0"/>
    <s v=""/>
    <n v="11287500"/>
    <s v=""/>
  </r>
  <r>
    <s v="Nov"/>
    <x v="12"/>
    <x v="2"/>
    <n v="0"/>
    <s v=""/>
    <n v="0"/>
    <s v=""/>
  </r>
  <r>
    <s v="Des"/>
    <x v="12"/>
    <x v="2"/>
    <n v="11287500"/>
    <s v=""/>
    <n v="0"/>
    <s v=""/>
  </r>
  <r>
    <s v="Jan"/>
    <x v="12"/>
    <x v="3"/>
    <n v="0"/>
    <n v="0"/>
    <n v="0"/>
    <n v="0"/>
  </r>
  <r>
    <s v="Feb"/>
    <x v="12"/>
    <x v="3"/>
    <n v="15000000"/>
    <n v="9000000"/>
    <n v="0"/>
    <n v="0"/>
  </r>
  <r>
    <s v="Mar"/>
    <x v="12"/>
    <x v="3"/>
    <n v="0"/>
    <n v="0"/>
    <n v="15000000"/>
    <n v="0"/>
  </r>
  <r>
    <s v="Apr"/>
    <x v="12"/>
    <x v="3"/>
    <n v="0"/>
    <s v=""/>
    <n v="0"/>
    <s v=""/>
  </r>
  <r>
    <s v="Mei"/>
    <x v="12"/>
    <x v="3"/>
    <n v="15000000"/>
    <s v=""/>
    <n v="0"/>
    <s v=""/>
  </r>
  <r>
    <s v="Jun"/>
    <x v="12"/>
    <x v="3"/>
    <n v="0"/>
    <s v=""/>
    <n v="15000000"/>
    <s v=""/>
  </r>
  <r>
    <s v="Jul"/>
    <x v="12"/>
    <x v="3"/>
    <n v="0"/>
    <s v=""/>
    <n v="0"/>
    <s v=""/>
  </r>
  <r>
    <s v="Agt"/>
    <x v="12"/>
    <x v="3"/>
    <n v="15000000"/>
    <s v=""/>
    <n v="0"/>
    <s v=""/>
  </r>
  <r>
    <s v="Sep"/>
    <x v="12"/>
    <x v="3"/>
    <n v="0"/>
    <s v=""/>
    <n v="15000000"/>
    <s v=""/>
  </r>
  <r>
    <s v="Okt"/>
    <x v="12"/>
    <x v="3"/>
    <n v="0"/>
    <s v=""/>
    <n v="0"/>
    <s v=""/>
  </r>
  <r>
    <s v="Nov"/>
    <x v="12"/>
    <x v="3"/>
    <n v="15000000"/>
    <s v=""/>
    <n v="0"/>
    <s v=""/>
  </r>
  <r>
    <s v="Des"/>
    <x v="12"/>
    <x v="3"/>
    <n v="0"/>
    <s v=""/>
    <n v="15000000"/>
    <s v=""/>
  </r>
  <r>
    <s v="Jan"/>
    <x v="12"/>
    <x v="4"/>
    <n v="0"/>
    <n v="0"/>
    <n v="0"/>
    <n v="0"/>
  </r>
  <r>
    <s v="Feb"/>
    <x v="12"/>
    <x v="4"/>
    <n v="0"/>
    <n v="0"/>
    <n v="0"/>
    <n v="0"/>
  </r>
  <r>
    <s v="Mar"/>
    <x v="12"/>
    <x v="4"/>
    <n v="0"/>
    <n v="0"/>
    <n v="0"/>
    <n v="0"/>
  </r>
  <r>
    <s v="Apr"/>
    <x v="12"/>
    <x v="4"/>
    <n v="0"/>
    <s v=""/>
    <n v="0"/>
    <s v=""/>
  </r>
  <r>
    <s v="Mei"/>
    <x v="12"/>
    <x v="4"/>
    <n v="0"/>
    <s v=""/>
    <n v="0"/>
    <s v=""/>
  </r>
  <r>
    <s v="Jun"/>
    <x v="12"/>
    <x v="4"/>
    <n v="0"/>
    <s v=""/>
    <n v="0"/>
    <s v=""/>
  </r>
  <r>
    <s v="Jul"/>
    <x v="12"/>
    <x v="4"/>
    <n v="0"/>
    <s v=""/>
    <n v="0"/>
    <s v=""/>
  </r>
  <r>
    <s v="Agt"/>
    <x v="12"/>
    <x v="4"/>
    <n v="0"/>
    <s v=""/>
    <n v="0"/>
    <s v=""/>
  </r>
  <r>
    <s v="Sep"/>
    <x v="12"/>
    <x v="4"/>
    <n v="0"/>
    <s v=""/>
    <n v="0"/>
    <s v=""/>
  </r>
  <r>
    <s v="Okt"/>
    <x v="12"/>
    <x v="4"/>
    <n v="0"/>
    <s v=""/>
    <n v="0"/>
    <s v=""/>
  </r>
  <r>
    <s v="Nov"/>
    <x v="12"/>
    <x v="4"/>
    <n v="0"/>
    <s v=""/>
    <n v="0"/>
    <s v=""/>
  </r>
  <r>
    <s v="Des"/>
    <x v="12"/>
    <x v="4"/>
    <n v="0"/>
    <s v=""/>
    <n v="0"/>
    <s v=""/>
  </r>
  <r>
    <s v="Jan"/>
    <x v="12"/>
    <x v="5"/>
    <n v="11870000"/>
    <n v="3485900"/>
    <n v="11870000"/>
    <n v="2487500"/>
  </r>
  <r>
    <s v="Feb"/>
    <x v="12"/>
    <x v="5"/>
    <n v="17925000"/>
    <n v="3123150"/>
    <n v="16425000"/>
    <n v="3117150"/>
  </r>
  <r>
    <s v="Mar"/>
    <x v="12"/>
    <x v="5"/>
    <n v="14870000"/>
    <n v="2658300"/>
    <n v="16370000"/>
    <n v="0"/>
  </r>
  <r>
    <s v="Apr"/>
    <x v="12"/>
    <x v="5"/>
    <n v="11870000"/>
    <s v=""/>
    <n v="11870000"/>
    <s v=""/>
  </r>
  <r>
    <s v="Mei"/>
    <x v="12"/>
    <x v="5"/>
    <n v="85925000"/>
    <s v=""/>
    <n v="16425000"/>
    <s v=""/>
  </r>
  <r>
    <s v="Jun"/>
    <x v="12"/>
    <x v="5"/>
    <n v="85870000"/>
    <s v=""/>
    <n v="101370000"/>
    <s v=""/>
  </r>
  <r>
    <s v="Jul"/>
    <x v="12"/>
    <x v="5"/>
    <n v="66870000"/>
    <s v=""/>
    <n v="65870000"/>
    <s v=""/>
  </r>
  <r>
    <s v="Agt"/>
    <x v="12"/>
    <x v="5"/>
    <n v="17925000"/>
    <s v=""/>
    <n v="71425000"/>
    <s v=""/>
  </r>
  <r>
    <s v="Sep"/>
    <x v="12"/>
    <x v="5"/>
    <n v="14870000"/>
    <s v=""/>
    <n v="16370000"/>
    <s v=""/>
  </r>
  <r>
    <s v="Okt"/>
    <x v="12"/>
    <x v="5"/>
    <n v="11870000"/>
    <s v=""/>
    <n v="11870000"/>
    <s v=""/>
  </r>
  <r>
    <s v="Nov"/>
    <x v="12"/>
    <x v="5"/>
    <n v="17925000"/>
    <s v=""/>
    <n v="16425000"/>
    <s v=""/>
  </r>
  <r>
    <s v="Des"/>
    <x v="12"/>
    <x v="5"/>
    <n v="14870000"/>
    <s v=""/>
    <n v="16370000"/>
    <s v=""/>
  </r>
  <r>
    <s v="Jan"/>
    <x v="12"/>
    <x v="6"/>
    <n v="0"/>
    <n v="0"/>
    <n v="0"/>
    <n v="0"/>
  </r>
  <r>
    <s v="Feb"/>
    <x v="12"/>
    <x v="6"/>
    <n v="0"/>
    <n v="0"/>
    <n v="0"/>
    <n v="0"/>
  </r>
  <r>
    <s v="Mar"/>
    <x v="12"/>
    <x v="6"/>
    <n v="0"/>
    <n v="0"/>
    <n v="0"/>
    <n v="0"/>
  </r>
  <r>
    <s v="Apr"/>
    <x v="12"/>
    <x v="6"/>
    <n v="0"/>
    <s v=""/>
    <n v="0"/>
    <s v=""/>
  </r>
  <r>
    <s v="Mei"/>
    <x v="12"/>
    <x v="6"/>
    <n v="0"/>
    <s v=""/>
    <n v="0"/>
    <s v=""/>
  </r>
  <r>
    <s v="Jun"/>
    <x v="12"/>
    <x v="6"/>
    <n v="0"/>
    <s v=""/>
    <n v="0"/>
    <s v=""/>
  </r>
  <r>
    <s v="Jul"/>
    <x v="12"/>
    <x v="6"/>
    <n v="0"/>
    <s v=""/>
    <n v="0"/>
    <s v=""/>
  </r>
  <r>
    <s v="Agt"/>
    <x v="12"/>
    <x v="6"/>
    <n v="0"/>
    <s v=""/>
    <n v="0"/>
    <s v=""/>
  </r>
  <r>
    <s v="Sep"/>
    <x v="12"/>
    <x v="6"/>
    <n v="0"/>
    <s v=""/>
    <n v="0"/>
    <s v=""/>
  </r>
  <r>
    <s v="Okt"/>
    <x v="12"/>
    <x v="6"/>
    <n v="0"/>
    <s v=""/>
    <n v="0"/>
    <s v=""/>
  </r>
  <r>
    <s v="Nov"/>
    <x v="12"/>
    <x v="6"/>
    <n v="0"/>
    <s v=""/>
    <n v="0"/>
    <s v=""/>
  </r>
  <r>
    <s v="Des"/>
    <x v="12"/>
    <x v="6"/>
    <n v="0"/>
    <s v=""/>
    <n v="0"/>
    <s v=""/>
  </r>
  <r>
    <s v="Jan"/>
    <x v="13"/>
    <x v="0"/>
    <n v="0"/>
    <n v="0"/>
    <n v="0"/>
    <n v="0"/>
  </r>
  <r>
    <s v="Feb"/>
    <x v="13"/>
    <x v="0"/>
    <n v="0"/>
    <n v="0"/>
    <n v="0"/>
    <n v="0"/>
  </r>
  <r>
    <s v="Mar"/>
    <x v="13"/>
    <x v="0"/>
    <n v="0"/>
    <n v="0"/>
    <n v="0"/>
    <n v="0"/>
  </r>
  <r>
    <s v="Apr"/>
    <x v="13"/>
    <x v="0"/>
    <n v="0"/>
    <s v=""/>
    <n v="0"/>
    <s v=""/>
  </r>
  <r>
    <s v="Mei"/>
    <x v="13"/>
    <x v="0"/>
    <n v="0"/>
    <s v=""/>
    <n v="0"/>
    <s v=""/>
  </r>
  <r>
    <s v="Jun"/>
    <x v="13"/>
    <x v="0"/>
    <n v="0"/>
    <s v=""/>
    <n v="0"/>
    <s v=""/>
  </r>
  <r>
    <s v="Jul"/>
    <x v="13"/>
    <x v="0"/>
    <n v="0"/>
    <s v=""/>
    <n v="0"/>
    <s v=""/>
  </r>
  <r>
    <s v="Agt"/>
    <x v="13"/>
    <x v="0"/>
    <n v="0"/>
    <s v=""/>
    <n v="0"/>
    <s v=""/>
  </r>
  <r>
    <s v="Sep"/>
    <x v="13"/>
    <x v="0"/>
    <n v="0"/>
    <s v=""/>
    <n v="0"/>
    <s v=""/>
  </r>
  <r>
    <s v="Okt"/>
    <x v="13"/>
    <x v="0"/>
    <n v="0"/>
    <s v=""/>
    <n v="0"/>
    <s v=""/>
  </r>
  <r>
    <s v="Nov"/>
    <x v="13"/>
    <x v="0"/>
    <n v="0"/>
    <s v=""/>
    <n v="0"/>
    <s v=""/>
  </r>
  <r>
    <s v="Des"/>
    <x v="13"/>
    <x v="0"/>
    <n v="0"/>
    <s v=""/>
    <n v="0"/>
    <s v=""/>
  </r>
  <r>
    <s v="Jan"/>
    <x v="13"/>
    <x v="1"/>
    <n v="781668000"/>
    <n v="4033286500"/>
    <n v="0"/>
    <n v="0"/>
  </r>
  <r>
    <s v="Feb"/>
    <x v="13"/>
    <x v="1"/>
    <n v="660000000"/>
    <n v="4210736952"/>
    <n v="80000000"/>
    <n v="96556000"/>
  </r>
  <r>
    <s v="Mar"/>
    <x v="13"/>
    <x v="1"/>
    <n v="997950000"/>
    <n v="271010715"/>
    <n v="90000000"/>
    <n v="104836248"/>
  </r>
  <r>
    <s v="Apr"/>
    <x v="13"/>
    <x v="1"/>
    <n v="12352032000"/>
    <s v=""/>
    <n v="300000000"/>
    <s v=""/>
  </r>
  <r>
    <s v="Mei"/>
    <x v="13"/>
    <x v="1"/>
    <n v="2505262000"/>
    <s v=""/>
    <n v="288400000"/>
    <s v=""/>
  </r>
  <r>
    <s v="Jun"/>
    <x v="13"/>
    <x v="1"/>
    <n v="2623666000"/>
    <s v=""/>
    <n v="1190651000"/>
    <s v=""/>
  </r>
  <r>
    <s v="Jul"/>
    <x v="13"/>
    <x v="1"/>
    <n v="1447500000"/>
    <s v=""/>
    <n v="680000000"/>
    <s v=""/>
  </r>
  <r>
    <s v="Agt"/>
    <x v="13"/>
    <x v="1"/>
    <n v="1655000000"/>
    <s v=""/>
    <n v="3524356000"/>
    <s v=""/>
  </r>
  <r>
    <s v="Sep"/>
    <x v="13"/>
    <x v="1"/>
    <n v="2324500000"/>
    <s v=""/>
    <n v="3769450000"/>
    <s v=""/>
  </r>
  <r>
    <s v="Okt"/>
    <x v="13"/>
    <x v="1"/>
    <n v="2065000000"/>
    <s v=""/>
    <n v="9580221000"/>
    <s v=""/>
  </r>
  <r>
    <s v="Nov"/>
    <x v="13"/>
    <x v="1"/>
    <n v="349900000"/>
    <s v=""/>
    <n v="2624900000"/>
    <s v=""/>
  </r>
  <r>
    <s v="Des"/>
    <x v="13"/>
    <x v="1"/>
    <n v="230000000"/>
    <s v=""/>
    <n v="5864500000"/>
    <s v=""/>
  </r>
  <r>
    <s v="Jan"/>
    <x v="13"/>
    <x v="2"/>
    <n v="0"/>
    <n v="82800000"/>
    <n v="0"/>
    <n v="0"/>
  </r>
  <r>
    <s v="Feb"/>
    <x v="13"/>
    <x v="2"/>
    <n v="254037000"/>
    <n v="45540000"/>
    <n v="0"/>
    <n v="82800000"/>
  </r>
  <r>
    <s v="Mar"/>
    <x v="13"/>
    <x v="2"/>
    <n v="0"/>
    <n v="20325000"/>
    <n v="254037000"/>
    <n v="45540000"/>
  </r>
  <r>
    <s v="Apr"/>
    <x v="13"/>
    <x v="2"/>
    <n v="0"/>
    <s v=""/>
    <n v="0"/>
    <s v=""/>
  </r>
  <r>
    <s v="Mei"/>
    <x v="13"/>
    <x v="2"/>
    <n v="254037000"/>
    <s v=""/>
    <n v="0"/>
    <s v=""/>
  </r>
  <r>
    <s v="Jun"/>
    <x v="13"/>
    <x v="2"/>
    <n v="0"/>
    <s v=""/>
    <n v="254037000"/>
    <s v=""/>
  </r>
  <r>
    <s v="Jul"/>
    <x v="13"/>
    <x v="2"/>
    <n v="0"/>
    <s v=""/>
    <n v="0"/>
    <s v=""/>
  </r>
  <r>
    <s v="Agt"/>
    <x v="13"/>
    <x v="2"/>
    <n v="254037000"/>
    <s v=""/>
    <n v="0"/>
    <s v=""/>
  </r>
  <r>
    <s v="Sep"/>
    <x v="13"/>
    <x v="2"/>
    <n v="0"/>
    <s v=""/>
    <n v="254037000"/>
    <s v=""/>
  </r>
  <r>
    <s v="Okt"/>
    <x v="13"/>
    <x v="2"/>
    <n v="0"/>
    <s v=""/>
    <n v="0"/>
    <s v=""/>
  </r>
  <r>
    <s v="Nov"/>
    <x v="13"/>
    <x v="2"/>
    <n v="254039000"/>
    <s v=""/>
    <n v="0"/>
    <s v=""/>
  </r>
  <r>
    <s v="Des"/>
    <x v="13"/>
    <x v="2"/>
    <n v="0"/>
    <s v=""/>
    <n v="254039000"/>
    <s v=""/>
  </r>
  <r>
    <s v="Jan"/>
    <x v="13"/>
    <x v="3"/>
    <n v="0"/>
    <n v="0"/>
    <n v="0"/>
    <n v="0"/>
  </r>
  <r>
    <s v="Feb"/>
    <x v="13"/>
    <x v="3"/>
    <n v="0"/>
    <n v="12720000"/>
    <n v="0"/>
    <n v="0"/>
  </r>
  <r>
    <s v="Mar"/>
    <x v="13"/>
    <x v="3"/>
    <n v="0"/>
    <n v="0"/>
    <n v="0"/>
    <n v="0"/>
  </r>
  <r>
    <s v="Apr"/>
    <x v="13"/>
    <x v="3"/>
    <n v="0"/>
    <s v=""/>
    <n v="0"/>
    <s v=""/>
  </r>
  <r>
    <s v="Mei"/>
    <x v="13"/>
    <x v="3"/>
    <n v="0"/>
    <s v=""/>
    <n v="0"/>
    <s v=""/>
  </r>
  <r>
    <s v="Jun"/>
    <x v="13"/>
    <x v="3"/>
    <n v="0"/>
    <s v=""/>
    <n v="0"/>
    <s v=""/>
  </r>
  <r>
    <s v="Jul"/>
    <x v="13"/>
    <x v="3"/>
    <n v="50000000"/>
    <s v=""/>
    <n v="0"/>
    <s v=""/>
  </r>
  <r>
    <s v="Agt"/>
    <x v="13"/>
    <x v="3"/>
    <n v="0"/>
    <s v=""/>
    <n v="50000000"/>
    <s v=""/>
  </r>
  <r>
    <s v="Sep"/>
    <x v="13"/>
    <x v="3"/>
    <n v="50000000"/>
    <s v=""/>
    <n v="0"/>
    <s v=""/>
  </r>
  <r>
    <s v="Okt"/>
    <x v="13"/>
    <x v="3"/>
    <n v="0"/>
    <s v=""/>
    <n v="50000000"/>
    <s v=""/>
  </r>
  <r>
    <s v="Nov"/>
    <x v="13"/>
    <x v="3"/>
    <n v="0"/>
    <s v=""/>
    <n v="0"/>
    <s v=""/>
  </r>
  <r>
    <s v="Des"/>
    <x v="13"/>
    <x v="3"/>
    <n v="0"/>
    <s v=""/>
    <n v="0"/>
    <s v=""/>
  </r>
  <r>
    <s v="Jan"/>
    <x v="13"/>
    <x v="4"/>
    <n v="0"/>
    <n v="0"/>
    <n v="0"/>
    <n v="0"/>
  </r>
  <r>
    <s v="Feb"/>
    <x v="13"/>
    <x v="4"/>
    <n v="0"/>
    <n v="0"/>
    <n v="0"/>
    <n v="0"/>
  </r>
  <r>
    <s v="Mar"/>
    <x v="13"/>
    <x v="4"/>
    <n v="0"/>
    <n v="0"/>
    <n v="0"/>
    <n v="0"/>
  </r>
  <r>
    <s v="Apr"/>
    <x v="13"/>
    <x v="4"/>
    <n v="0"/>
    <s v=""/>
    <n v="0"/>
    <s v=""/>
  </r>
  <r>
    <s v="Mei"/>
    <x v="13"/>
    <x v="4"/>
    <n v="0"/>
    <s v=""/>
    <n v="0"/>
    <s v=""/>
  </r>
  <r>
    <s v="Jun"/>
    <x v="13"/>
    <x v="4"/>
    <n v="0"/>
    <s v=""/>
    <n v="0"/>
    <s v=""/>
  </r>
  <r>
    <s v="Jul"/>
    <x v="13"/>
    <x v="4"/>
    <n v="0"/>
    <s v=""/>
    <n v="0"/>
    <s v=""/>
  </r>
  <r>
    <s v="Agt"/>
    <x v="13"/>
    <x v="4"/>
    <n v="0"/>
    <s v=""/>
    <n v="0"/>
    <s v=""/>
  </r>
  <r>
    <s v="Sep"/>
    <x v="13"/>
    <x v="4"/>
    <n v="0"/>
    <s v=""/>
    <n v="0"/>
    <s v=""/>
  </r>
  <r>
    <s v="Okt"/>
    <x v="13"/>
    <x v="4"/>
    <n v="0"/>
    <s v=""/>
    <n v="0"/>
    <s v=""/>
  </r>
  <r>
    <s v="Nov"/>
    <x v="13"/>
    <x v="4"/>
    <n v="0"/>
    <s v=""/>
    <n v="0"/>
    <s v=""/>
  </r>
  <r>
    <s v="Des"/>
    <x v="13"/>
    <x v="4"/>
    <n v="0"/>
    <s v=""/>
    <n v="0"/>
    <s v=""/>
  </r>
  <r>
    <s v="Jan"/>
    <x v="13"/>
    <x v="5"/>
    <n v="183078000"/>
    <n v="142025182"/>
    <n v="178078000"/>
    <n v="20219062"/>
  </r>
  <r>
    <s v="Feb"/>
    <x v="13"/>
    <x v="5"/>
    <n v="278078000"/>
    <n v="130923900"/>
    <n v="183078000"/>
    <n v="163539770"/>
  </r>
  <r>
    <s v="Mar"/>
    <x v="13"/>
    <x v="5"/>
    <n v="232846000"/>
    <n v="179797884"/>
    <n v="286078000"/>
    <n v="18847500"/>
  </r>
  <r>
    <s v="Apr"/>
    <x v="13"/>
    <x v="5"/>
    <n v="282233000"/>
    <s v=""/>
    <n v="224846000"/>
    <s v=""/>
  </r>
  <r>
    <s v="Mei"/>
    <x v="13"/>
    <x v="5"/>
    <n v="200078000"/>
    <s v=""/>
    <n v="282233000"/>
    <s v=""/>
  </r>
  <r>
    <s v="Jun"/>
    <x v="13"/>
    <x v="5"/>
    <n v="318078000"/>
    <s v=""/>
    <n v="240078000"/>
    <s v=""/>
  </r>
  <r>
    <s v="Jul"/>
    <x v="13"/>
    <x v="5"/>
    <n v="228078000"/>
    <s v=""/>
    <n v="278078000"/>
    <s v=""/>
  </r>
  <r>
    <s v="Agt"/>
    <x v="13"/>
    <x v="5"/>
    <n v="896057000"/>
    <s v=""/>
    <n v="228078000"/>
    <s v=""/>
  </r>
  <r>
    <s v="Sep"/>
    <x v="13"/>
    <x v="5"/>
    <n v="190078000"/>
    <s v=""/>
    <n v="245078000"/>
    <s v=""/>
  </r>
  <r>
    <s v="Okt"/>
    <x v="13"/>
    <x v="5"/>
    <n v="329274000"/>
    <s v=""/>
    <n v="202533000"/>
    <s v=""/>
  </r>
  <r>
    <s v="Nov"/>
    <x v="13"/>
    <x v="5"/>
    <n v="178088000"/>
    <s v=""/>
    <n v="309829000"/>
    <s v=""/>
  </r>
  <r>
    <s v="Des"/>
    <x v="13"/>
    <x v="5"/>
    <n v="178084000"/>
    <s v=""/>
    <n v="836063000"/>
    <s v=""/>
  </r>
  <r>
    <s v="Jan"/>
    <x v="13"/>
    <x v="6"/>
    <n v="213333000"/>
    <n v="268881303"/>
    <n v="213333000"/>
    <n v="268553262"/>
  </r>
  <r>
    <s v="Feb"/>
    <x v="13"/>
    <x v="6"/>
    <n v="213333000"/>
    <n v="186153806"/>
    <n v="213333000"/>
    <n v="178077441"/>
  </r>
  <r>
    <s v="Mar"/>
    <x v="13"/>
    <x v="6"/>
    <n v="213333000"/>
    <n v="0"/>
    <n v="213333000"/>
    <n v="0"/>
  </r>
  <r>
    <s v="Apr"/>
    <x v="13"/>
    <x v="6"/>
    <n v="213333000"/>
    <s v=""/>
    <n v="213333000"/>
    <s v=""/>
  </r>
  <r>
    <s v="Mei"/>
    <x v="13"/>
    <x v="6"/>
    <n v="213333000"/>
    <s v=""/>
    <n v="213333000"/>
    <s v=""/>
  </r>
  <r>
    <s v="Jun"/>
    <x v="13"/>
    <x v="6"/>
    <n v="213333000"/>
    <s v=""/>
    <n v="213333000"/>
    <s v=""/>
  </r>
  <r>
    <s v="Jul"/>
    <x v="13"/>
    <x v="6"/>
    <n v="213333000"/>
    <s v=""/>
    <n v="213333000"/>
    <s v=""/>
  </r>
  <r>
    <s v="Agt"/>
    <x v="13"/>
    <x v="6"/>
    <n v="213333000"/>
    <s v=""/>
    <n v="213333000"/>
    <s v=""/>
  </r>
  <r>
    <s v="Sep"/>
    <x v="13"/>
    <x v="6"/>
    <n v="213333000"/>
    <s v=""/>
    <n v="213333000"/>
    <s v=""/>
  </r>
  <r>
    <s v="Okt"/>
    <x v="13"/>
    <x v="6"/>
    <n v="213333000"/>
    <s v=""/>
    <n v="213333000"/>
    <s v=""/>
  </r>
  <r>
    <s v="Nov"/>
    <x v="13"/>
    <x v="6"/>
    <n v="213333000"/>
    <s v=""/>
    <n v="213333000"/>
    <s v=""/>
  </r>
  <r>
    <s v="Des"/>
    <x v="13"/>
    <x v="6"/>
    <n v="213337000"/>
    <s v=""/>
    <n v="213337000"/>
    <s v=""/>
  </r>
  <r>
    <s v="Jan"/>
    <x v="14"/>
    <x v="0"/>
    <n v="100000000"/>
    <n v="9143456586"/>
    <n v="0"/>
    <n v="0"/>
  </r>
  <r>
    <s v="Feb"/>
    <x v="14"/>
    <x v="0"/>
    <n v="720600000"/>
    <n v="477983925"/>
    <n v="100000000"/>
    <n v="166766116"/>
  </r>
  <r>
    <s v="Mar"/>
    <x v="14"/>
    <x v="0"/>
    <n v="12889972000"/>
    <n v="22962533"/>
    <n v="100000000"/>
    <n v="53553451"/>
  </r>
  <r>
    <s v="Apr"/>
    <x v="14"/>
    <x v="0"/>
    <n v="2342762000"/>
    <s v=""/>
    <n v="400000000"/>
    <s v=""/>
  </r>
  <r>
    <s v="Mei"/>
    <x v="14"/>
    <x v="0"/>
    <n v="4570752000"/>
    <s v=""/>
    <n v="1255838000"/>
    <s v=""/>
  </r>
  <r>
    <s v="Jun"/>
    <x v="14"/>
    <x v="0"/>
    <n v="3338000000"/>
    <s v=""/>
    <n v="2086687000"/>
    <s v=""/>
  </r>
  <r>
    <s v="Jul"/>
    <x v="14"/>
    <x v="0"/>
    <n v="3740485000"/>
    <s v=""/>
    <n v="1503128000"/>
    <s v=""/>
  </r>
  <r>
    <s v="Agt"/>
    <x v="14"/>
    <x v="0"/>
    <n v="957197000"/>
    <s v=""/>
    <n v="463000000"/>
    <s v=""/>
  </r>
  <r>
    <s v="Sep"/>
    <x v="14"/>
    <x v="0"/>
    <n v="700784000"/>
    <s v=""/>
    <n v="5434938000"/>
    <s v=""/>
  </r>
  <r>
    <s v="Okt"/>
    <x v="14"/>
    <x v="0"/>
    <n v="600000000"/>
    <s v=""/>
    <n v="6916826000"/>
    <s v=""/>
  </r>
  <r>
    <s v="Nov"/>
    <x v="14"/>
    <x v="0"/>
    <n v="264698000"/>
    <s v=""/>
    <n v="8663150000"/>
    <s v=""/>
  </r>
  <r>
    <s v="Des"/>
    <x v="14"/>
    <x v="0"/>
    <n v="100000000"/>
    <s v=""/>
    <n v="3401683000"/>
    <s v=""/>
  </r>
  <r>
    <s v="Jan"/>
    <x v="14"/>
    <x v="1"/>
    <n v="0"/>
    <n v="0"/>
    <n v="0"/>
    <n v="0"/>
  </r>
  <r>
    <s v="Feb"/>
    <x v="14"/>
    <x v="1"/>
    <n v="0"/>
    <n v="0"/>
    <n v="0"/>
    <n v="0"/>
  </r>
  <r>
    <s v="Mar"/>
    <x v="14"/>
    <x v="1"/>
    <n v="0"/>
    <n v="4951687"/>
    <n v="0"/>
    <n v="0"/>
  </r>
  <r>
    <s v="Apr"/>
    <x v="14"/>
    <x v="1"/>
    <n v="0"/>
    <s v=""/>
    <n v="0"/>
    <s v=""/>
  </r>
  <r>
    <s v="Mei"/>
    <x v="14"/>
    <x v="1"/>
    <n v="0"/>
    <s v=""/>
    <n v="0"/>
    <s v=""/>
  </r>
  <r>
    <s v="Jun"/>
    <x v="14"/>
    <x v="1"/>
    <n v="0"/>
    <s v=""/>
    <n v="0"/>
    <s v=""/>
  </r>
  <r>
    <s v="Jul"/>
    <x v="14"/>
    <x v="1"/>
    <n v="0"/>
    <s v=""/>
    <n v="0"/>
    <s v=""/>
  </r>
  <r>
    <s v="Agt"/>
    <x v="14"/>
    <x v="1"/>
    <n v="150000000"/>
    <s v=""/>
    <n v="0"/>
    <s v=""/>
  </r>
  <r>
    <s v="Sep"/>
    <x v="14"/>
    <x v="1"/>
    <n v="0"/>
    <s v=""/>
    <n v="0"/>
    <s v=""/>
  </r>
  <r>
    <s v="Okt"/>
    <x v="14"/>
    <x v="1"/>
    <n v="0"/>
    <s v=""/>
    <n v="150000000"/>
    <s v=""/>
  </r>
  <r>
    <s v="Nov"/>
    <x v="14"/>
    <x v="1"/>
    <n v="150000000"/>
    <s v=""/>
    <n v="0"/>
    <s v=""/>
  </r>
  <r>
    <s v="Des"/>
    <x v="14"/>
    <x v="1"/>
    <n v="0"/>
    <s v=""/>
    <n v="150000000"/>
    <s v=""/>
  </r>
  <r>
    <s v="Jan"/>
    <x v="14"/>
    <x v="2"/>
    <n v="0"/>
    <n v="32200000"/>
    <n v="0"/>
    <n v="0"/>
  </r>
  <r>
    <s v="Feb"/>
    <x v="14"/>
    <x v="2"/>
    <n v="0"/>
    <n v="0"/>
    <n v="0"/>
    <n v="32200000"/>
  </r>
  <r>
    <s v="Mar"/>
    <x v="14"/>
    <x v="2"/>
    <n v="28597000"/>
    <n v="23285000"/>
    <n v="23831000"/>
    <n v="0"/>
  </r>
  <r>
    <s v="Apr"/>
    <x v="14"/>
    <x v="2"/>
    <n v="28597000"/>
    <s v=""/>
    <n v="23831000"/>
    <s v=""/>
  </r>
  <r>
    <s v="Mei"/>
    <x v="14"/>
    <x v="2"/>
    <n v="28597000"/>
    <s v=""/>
    <n v="23831000"/>
    <s v=""/>
  </r>
  <r>
    <s v="Jun"/>
    <x v="14"/>
    <x v="2"/>
    <n v="28597000"/>
    <s v=""/>
    <n v="23831000"/>
    <s v=""/>
  </r>
  <r>
    <s v="Jul"/>
    <x v="14"/>
    <x v="2"/>
    <n v="28597000"/>
    <s v=""/>
    <n v="47662000"/>
    <s v=""/>
  </r>
  <r>
    <s v="Agt"/>
    <x v="14"/>
    <x v="2"/>
    <n v="28597000"/>
    <s v=""/>
    <n v="23831000"/>
    <s v=""/>
  </r>
  <r>
    <s v="Sep"/>
    <x v="14"/>
    <x v="2"/>
    <n v="28597000"/>
    <s v=""/>
    <n v="23831000"/>
    <s v=""/>
  </r>
  <r>
    <s v="Okt"/>
    <x v="14"/>
    <x v="2"/>
    <n v="28597000"/>
    <s v=""/>
    <n v="23831000"/>
    <s v=""/>
  </r>
  <r>
    <s v="Nov"/>
    <x v="14"/>
    <x v="2"/>
    <n v="28597000"/>
    <s v=""/>
    <n v="23831000"/>
    <s v=""/>
  </r>
  <r>
    <s v="Des"/>
    <x v="14"/>
    <x v="2"/>
    <n v="28599000"/>
    <s v=""/>
    <n v="47662000"/>
    <s v=""/>
  </r>
  <r>
    <s v="Jan"/>
    <x v="14"/>
    <x v="3"/>
    <n v="0"/>
    <n v="18435000"/>
    <n v="0"/>
    <n v="0"/>
  </r>
  <r>
    <s v="Feb"/>
    <x v="14"/>
    <x v="3"/>
    <n v="0"/>
    <n v="64735000"/>
    <n v="0"/>
    <n v="18435000"/>
  </r>
  <r>
    <s v="Mar"/>
    <x v="14"/>
    <x v="3"/>
    <n v="0"/>
    <n v="0"/>
    <n v="0"/>
    <n v="0"/>
  </r>
  <r>
    <s v="Apr"/>
    <x v="14"/>
    <x v="3"/>
    <n v="0"/>
    <s v=""/>
    <n v="0"/>
    <s v=""/>
  </r>
  <r>
    <s v="Mei"/>
    <x v="14"/>
    <x v="3"/>
    <n v="130000000"/>
    <s v=""/>
    <n v="0"/>
    <s v=""/>
  </r>
  <r>
    <s v="Jun"/>
    <x v="14"/>
    <x v="3"/>
    <n v="0"/>
    <s v=""/>
    <n v="0"/>
    <s v=""/>
  </r>
  <r>
    <s v="Jul"/>
    <x v="14"/>
    <x v="3"/>
    <n v="0"/>
    <s v=""/>
    <n v="0"/>
    <s v=""/>
  </r>
  <r>
    <s v="Agt"/>
    <x v="14"/>
    <x v="3"/>
    <n v="350000000"/>
    <s v=""/>
    <n v="130000000"/>
    <s v=""/>
  </r>
  <r>
    <s v="Sep"/>
    <x v="14"/>
    <x v="3"/>
    <n v="0"/>
    <s v=""/>
    <n v="0"/>
    <s v=""/>
  </r>
  <r>
    <s v="Okt"/>
    <x v="14"/>
    <x v="3"/>
    <n v="0"/>
    <s v=""/>
    <n v="350000000"/>
    <s v=""/>
  </r>
  <r>
    <s v="Nov"/>
    <x v="14"/>
    <x v="3"/>
    <n v="165000000"/>
    <s v=""/>
    <n v="0"/>
    <s v=""/>
  </r>
  <r>
    <s v="Des"/>
    <x v="14"/>
    <x v="3"/>
    <n v="0"/>
    <s v=""/>
    <n v="165000000"/>
    <s v=""/>
  </r>
  <r>
    <s v="Jan"/>
    <x v="14"/>
    <x v="4"/>
    <n v="0"/>
    <n v="0"/>
    <n v="0"/>
    <n v="0"/>
  </r>
  <r>
    <s v="Feb"/>
    <x v="14"/>
    <x v="4"/>
    <n v="0"/>
    <n v="0"/>
    <n v="0"/>
    <n v="0"/>
  </r>
  <r>
    <s v="Mar"/>
    <x v="14"/>
    <x v="4"/>
    <n v="0"/>
    <n v="0"/>
    <n v="0"/>
    <n v="0"/>
  </r>
  <r>
    <s v="Apr"/>
    <x v="14"/>
    <x v="4"/>
    <n v="0"/>
    <s v=""/>
    <n v="0"/>
    <s v=""/>
  </r>
  <r>
    <s v="Mei"/>
    <x v="14"/>
    <x v="4"/>
    <n v="0"/>
    <s v=""/>
    <n v="0"/>
    <s v=""/>
  </r>
  <r>
    <s v="Jun"/>
    <x v="14"/>
    <x v="4"/>
    <n v="0"/>
    <s v=""/>
    <n v="0"/>
    <s v=""/>
  </r>
  <r>
    <s v="Jul"/>
    <x v="14"/>
    <x v="4"/>
    <n v="0"/>
    <s v=""/>
    <n v="0"/>
    <s v=""/>
  </r>
  <r>
    <s v="Agt"/>
    <x v="14"/>
    <x v="4"/>
    <n v="0"/>
    <s v=""/>
    <n v="0"/>
    <s v=""/>
  </r>
  <r>
    <s v="Sep"/>
    <x v="14"/>
    <x v="4"/>
    <n v="0"/>
    <s v=""/>
    <n v="0"/>
    <s v=""/>
  </r>
  <r>
    <s v="Okt"/>
    <x v="14"/>
    <x v="4"/>
    <n v="0"/>
    <s v=""/>
    <n v="0"/>
    <s v=""/>
  </r>
  <r>
    <s v="Nov"/>
    <x v="14"/>
    <x v="4"/>
    <n v="0"/>
    <s v=""/>
    <n v="0"/>
    <s v=""/>
  </r>
  <r>
    <s v="Des"/>
    <x v="14"/>
    <x v="4"/>
    <n v="0"/>
    <s v=""/>
    <n v="0"/>
    <s v=""/>
  </r>
  <r>
    <s v="Jan"/>
    <x v="14"/>
    <x v="5"/>
    <n v="48354000"/>
    <n v="78887534"/>
    <n v="0"/>
    <n v="17317500"/>
  </r>
  <r>
    <s v="Feb"/>
    <x v="14"/>
    <x v="5"/>
    <n v="98291000"/>
    <n v="37118745"/>
    <n v="49253000"/>
    <n v="97688779"/>
  </r>
  <r>
    <s v="Mar"/>
    <x v="14"/>
    <x v="5"/>
    <n v="145006000"/>
    <n v="46287020"/>
    <n v="117649000"/>
    <n v="24430000"/>
  </r>
  <r>
    <s v="Apr"/>
    <x v="14"/>
    <x v="5"/>
    <n v="118885000"/>
    <s v=""/>
    <n v="157715000"/>
    <s v=""/>
  </r>
  <r>
    <s v="Mei"/>
    <x v="14"/>
    <x v="5"/>
    <n v="119285000"/>
    <s v=""/>
    <n v="110812000"/>
    <s v=""/>
  </r>
  <r>
    <s v="Jun"/>
    <x v="14"/>
    <x v="5"/>
    <n v="76431000"/>
    <s v=""/>
    <n v="147281000"/>
    <s v=""/>
  </r>
  <r>
    <s v="Jul"/>
    <x v="14"/>
    <x v="5"/>
    <n v="70435000"/>
    <s v=""/>
    <n v="92765000"/>
    <s v=""/>
  </r>
  <r>
    <s v="Agt"/>
    <x v="14"/>
    <x v="5"/>
    <n v="153559000"/>
    <s v=""/>
    <n v="80150000"/>
    <s v=""/>
  </r>
  <r>
    <s v="Sep"/>
    <x v="14"/>
    <x v="5"/>
    <n v="515308000"/>
    <s v=""/>
    <n v="122196000"/>
    <s v=""/>
  </r>
  <r>
    <s v="Okt"/>
    <x v="14"/>
    <x v="5"/>
    <n v="213688000"/>
    <s v=""/>
    <n v="470142000"/>
    <s v=""/>
  </r>
  <r>
    <s v="Nov"/>
    <x v="14"/>
    <x v="5"/>
    <n v="518156000"/>
    <s v=""/>
    <n v="179167000"/>
    <s v=""/>
  </r>
  <r>
    <s v="Des"/>
    <x v="14"/>
    <x v="5"/>
    <n v="323825000"/>
    <s v=""/>
    <n v="874093000"/>
    <s v=""/>
  </r>
  <r>
    <s v="Jan"/>
    <x v="14"/>
    <x v="6"/>
    <n v="128276000"/>
    <n v="122102415"/>
    <n v="0"/>
    <n v="116102415"/>
  </r>
  <r>
    <s v="Feb"/>
    <x v="14"/>
    <x v="6"/>
    <n v="128276000"/>
    <n v="108945350"/>
    <n v="128276000"/>
    <n v="114601656"/>
  </r>
  <r>
    <s v="Mar"/>
    <x v="14"/>
    <x v="6"/>
    <n v="128276000"/>
    <n v="3000000"/>
    <n v="128276000"/>
    <n v="0"/>
  </r>
  <r>
    <s v="Apr"/>
    <x v="14"/>
    <x v="6"/>
    <n v="128276000"/>
    <s v=""/>
    <n v="128276000"/>
    <s v=""/>
  </r>
  <r>
    <s v="Mei"/>
    <x v="14"/>
    <x v="6"/>
    <n v="128276000"/>
    <s v=""/>
    <n v="128276000"/>
    <s v=""/>
  </r>
  <r>
    <s v="Jun"/>
    <x v="14"/>
    <x v="6"/>
    <n v="128276000"/>
    <s v=""/>
    <n v="128276000"/>
    <s v=""/>
  </r>
  <r>
    <s v="Jul"/>
    <x v="14"/>
    <x v="6"/>
    <n v="128276000"/>
    <s v=""/>
    <n v="128276000"/>
    <s v=""/>
  </r>
  <r>
    <s v="Agt"/>
    <x v="14"/>
    <x v="6"/>
    <n v="128276000"/>
    <s v=""/>
    <n v="128276000"/>
    <s v=""/>
  </r>
  <r>
    <s v="Sep"/>
    <x v="14"/>
    <x v="6"/>
    <n v="128276000"/>
    <s v=""/>
    <n v="128276000"/>
    <s v=""/>
  </r>
  <r>
    <s v="Okt"/>
    <x v="14"/>
    <x v="6"/>
    <n v="128276000"/>
    <s v=""/>
    <n v="128276000"/>
    <s v=""/>
  </r>
  <r>
    <s v="Nov"/>
    <x v="14"/>
    <x v="6"/>
    <n v="128276000"/>
    <s v=""/>
    <n v="128276000"/>
    <s v=""/>
  </r>
  <r>
    <s v="Des"/>
    <x v="14"/>
    <x v="6"/>
    <n v="128279000"/>
    <s v=""/>
    <n v="256555000"/>
    <s v=""/>
  </r>
  <r>
    <m/>
    <x v="15"/>
    <x v="7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1923E9-DF74-4016-8B5F-B50FD2D4B2C1}" name="PivotTable1" cacheId="74" applyNumberFormats="0" applyBorderFormats="0" applyFontFormats="0" applyPatternFormats="0" applyAlignmentFormats="0" applyWidthHeightFormats="1" dataCaption="Values" updatedVersion="7" minRefreshableVersion="3" itemPrintTitles="1" createdVersion="7" indent="0" outline="1" outlineData="1" multipleFieldFilters="0">
  <location ref="B2:E123" firstHeaderRow="0" firstDataRow="1" firstDataCol="1"/>
  <pivotFields count="8">
    <pivotField showAll="0"/>
    <pivotField axis="axisRow" showAll="0">
      <items count="17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0"/>
        <item h="1" x="15"/>
        <item t="default"/>
      </items>
    </pivotField>
    <pivotField axis="axisRow" showAll="0">
      <items count="9">
        <item x="2"/>
        <item x="4"/>
        <item x="5"/>
        <item x="6"/>
        <item x="3"/>
        <item x="0"/>
        <item x="1"/>
        <item x="7"/>
        <item t="default"/>
      </items>
    </pivotField>
    <pivotField dataField="1" showAll="0"/>
    <pivotField showAll="0"/>
    <pivotField dataField="1" showAll="0"/>
    <pivotField showAll="0"/>
    <pivotField dataField="1" dragToRow="0" dragToCol="0" dragToPage="0" showAll="0" defaultSubtotal="0"/>
  </pivotFields>
  <rowFields count="2">
    <field x="1"/>
    <field x="2"/>
  </rowFields>
  <rowItems count="12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nsumed" fld="3" baseField="0" baseItem="0"/>
    <dataField name="Actual" fld="5" baseField="0" baseItem="0"/>
    <dataField name="Sum of Selisih" fld="7" baseField="0" baseItem="0"/>
  </dataFields>
  <formats count="101">
    <format dxfId="4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outline="0" collapsedLevelsAreSubtotals="1" fieldPosition="0"/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10">
      <pivotArea field="1" type="button" dataOnly="0" labelOnly="1" outline="0" axis="axisRow" fieldPosition="0"/>
    </format>
    <format dxfId="411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412">
      <pivotArea field="1" type="button" dataOnly="0" labelOnly="1" outline="0" axis="axisRow" fieldPosition="0"/>
    </format>
    <format dxfId="413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41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6">
      <pivotArea collapsedLevelsAreSubtotals="1" fieldPosition="0">
        <references count="2">
          <reference field="1" count="1" selected="0">
            <x v="8"/>
          </reference>
          <reference field="2" count="2">
            <x v="2"/>
            <x v="3"/>
          </reference>
        </references>
      </pivotArea>
    </format>
    <format dxfId="417">
      <pivotArea dataOnly="0" labelOnly="1" fieldPosition="0">
        <references count="2">
          <reference field="1" count="1" selected="0">
            <x v="8"/>
          </reference>
          <reference field="2" count="2">
            <x v="2"/>
            <x v="3"/>
          </reference>
        </references>
      </pivotArea>
    </format>
    <format dxfId="418">
      <pivotArea collapsedLevelsAreSubtotals="1" fieldPosition="0">
        <references count="2">
          <reference field="1" count="1" selected="0">
            <x v="8"/>
          </reference>
          <reference field="2" count="1">
            <x v="2"/>
          </reference>
        </references>
      </pivotArea>
    </format>
    <format dxfId="419">
      <pivotArea dataOnly="0" labelOnly="1" fieldPosition="0">
        <references count="2">
          <reference field="1" count="1" selected="0">
            <x v="8"/>
          </reference>
          <reference field="2" count="1">
            <x v="2"/>
          </reference>
        </references>
      </pivotArea>
    </format>
    <format dxfId="420">
      <pivotArea collapsedLevelsAreSubtotals="1" fieldPosition="0">
        <references count="2">
          <reference field="1" count="1" selected="0">
            <x v="8"/>
          </reference>
          <reference field="2" count="1">
            <x v="3"/>
          </reference>
        </references>
      </pivotArea>
    </format>
    <format dxfId="421">
      <pivotArea dataOnly="0" labelOnly="1" fieldPosition="0">
        <references count="2">
          <reference field="1" count="1" selected="0">
            <x v="8"/>
          </reference>
          <reference field="2" count="1">
            <x v="3"/>
          </reference>
        </references>
      </pivotArea>
    </format>
    <format dxfId="4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5"/>
          </reference>
        </references>
      </pivotArea>
    </format>
    <format dxfId="42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6">
            <x v="1"/>
            <x v="2"/>
            <x v="3"/>
            <x v="4"/>
            <x v="5"/>
            <x v="6"/>
          </reference>
        </references>
      </pivotArea>
    </format>
    <format dxfId="4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5"/>
          </reference>
        </references>
      </pivotArea>
    </format>
    <format dxfId="42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6"/>
          </reference>
        </references>
      </pivotArea>
    </format>
    <format dxfId="42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2"/>
          </reference>
        </references>
      </pivotArea>
    </format>
    <format dxfId="4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3"/>
          </reference>
        </references>
      </pivotArea>
    </format>
    <format dxfId="42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0"/>
          </reference>
        </references>
      </pivotArea>
    </format>
    <format dxfId="42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4"/>
          </reference>
        </references>
      </pivotArea>
    </format>
    <format dxfId="4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5"/>
          </reference>
        </references>
      </pivotArea>
    </format>
    <format dxfId="43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6"/>
          </reference>
        </references>
      </pivotArea>
    </format>
    <format dxfId="43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2"/>
          </reference>
        </references>
      </pivotArea>
    </format>
    <format dxfId="4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4"/>
          </reference>
        </references>
      </pivotArea>
    </format>
    <format dxfId="43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5"/>
          </reference>
        </references>
      </pivotArea>
    </format>
    <format dxfId="43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6"/>
          </reference>
        </references>
      </pivotArea>
    </format>
    <format dxfId="4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2"/>
          </reference>
        </references>
      </pivotArea>
    </format>
    <format dxfId="43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4"/>
          </reference>
        </references>
      </pivotArea>
    </format>
    <format dxfId="43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3"/>
          </reference>
        </references>
      </pivotArea>
    </format>
    <format dxfId="43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0"/>
          </reference>
        </references>
      </pivotArea>
    </format>
    <format dxfId="44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5"/>
          </reference>
        </references>
      </pivotArea>
    </format>
    <format dxfId="44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6"/>
          </reference>
        </references>
      </pivotArea>
    </format>
    <format dxfId="44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2"/>
          </reference>
        </references>
      </pivotArea>
    </format>
    <format dxfId="44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4"/>
          </reference>
        </references>
      </pivotArea>
    </format>
    <format dxfId="44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3"/>
          </reference>
        </references>
      </pivotArea>
    </format>
    <format dxfId="44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0"/>
          </reference>
        </references>
      </pivotArea>
    </format>
    <format dxfId="44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5"/>
          </reference>
        </references>
      </pivotArea>
    </format>
    <format dxfId="44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6"/>
          </reference>
        </references>
      </pivotArea>
    </format>
    <format dxfId="44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2"/>
          </reference>
        </references>
      </pivotArea>
    </format>
    <format dxfId="44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4"/>
          </reference>
        </references>
      </pivotArea>
    </format>
    <format dxfId="45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3"/>
          </reference>
        </references>
      </pivotArea>
    </format>
    <format dxfId="45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0"/>
          </reference>
        </references>
      </pivotArea>
    </format>
    <format dxfId="45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5"/>
          </reference>
        </references>
      </pivotArea>
    </format>
    <format dxfId="45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6"/>
          </reference>
        </references>
      </pivotArea>
    </format>
    <format dxfId="4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2"/>
          </reference>
        </references>
      </pivotArea>
    </format>
    <format dxfId="45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4"/>
          </reference>
        </references>
      </pivotArea>
    </format>
    <format dxfId="45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3"/>
          </reference>
        </references>
      </pivotArea>
    </format>
    <format dxfId="4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0"/>
          </reference>
        </references>
      </pivotArea>
    </format>
    <format dxfId="45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5"/>
          </reference>
        </references>
      </pivotArea>
    </format>
    <format dxfId="45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6"/>
          </reference>
        </references>
      </pivotArea>
    </format>
    <format dxfId="46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2"/>
          </reference>
        </references>
      </pivotArea>
    </format>
    <format dxfId="46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4"/>
          </reference>
        </references>
      </pivotArea>
    </format>
    <format dxfId="46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3"/>
          </reference>
        </references>
      </pivotArea>
    </format>
    <format dxfId="46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0"/>
          </reference>
        </references>
      </pivotArea>
    </format>
    <format dxfId="46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5"/>
          </reference>
        </references>
      </pivotArea>
    </format>
    <format dxfId="46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6"/>
          </reference>
        </references>
      </pivotArea>
    </format>
    <format dxfId="46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2"/>
          </reference>
        </references>
      </pivotArea>
    </format>
    <format dxfId="46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4"/>
          </reference>
        </references>
      </pivotArea>
    </format>
    <format dxfId="46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3"/>
          </reference>
        </references>
      </pivotArea>
    </format>
    <format dxfId="46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0"/>
          </reference>
        </references>
      </pivotArea>
    </format>
    <format dxfId="47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5"/>
          </reference>
        </references>
      </pivotArea>
    </format>
    <format dxfId="47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6"/>
          </reference>
        </references>
      </pivotArea>
    </format>
    <format dxfId="47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2"/>
          </reference>
        </references>
      </pivotArea>
    </format>
    <format dxfId="47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4"/>
          </reference>
        </references>
      </pivotArea>
    </format>
    <format dxfId="47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3"/>
          </reference>
        </references>
      </pivotArea>
    </format>
    <format dxfId="47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0"/>
          </reference>
        </references>
      </pivotArea>
    </format>
    <format dxfId="47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5"/>
          </reference>
        </references>
      </pivotArea>
    </format>
    <format dxfId="47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6"/>
          </reference>
        </references>
      </pivotArea>
    </format>
    <format dxfId="47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2"/>
          </reference>
        </references>
      </pivotArea>
    </format>
    <format dxfId="47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4"/>
          </reference>
        </references>
      </pivotArea>
    </format>
    <format dxfId="48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3"/>
          </reference>
        </references>
      </pivotArea>
    </format>
    <format dxfId="48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0"/>
          </reference>
        </references>
      </pivotArea>
    </format>
    <format dxfId="48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5"/>
          </reference>
        </references>
      </pivotArea>
    </format>
    <format dxfId="48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6"/>
          </reference>
        </references>
      </pivotArea>
    </format>
    <format dxfId="48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2"/>
          </reference>
        </references>
      </pivotArea>
    </format>
    <format dxfId="48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4"/>
          </reference>
        </references>
      </pivotArea>
    </format>
    <format dxfId="48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3"/>
          </reference>
        </references>
      </pivotArea>
    </format>
    <format dxfId="48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0"/>
          </reference>
        </references>
      </pivotArea>
    </format>
    <format dxfId="48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5"/>
          </reference>
        </references>
      </pivotArea>
    </format>
    <format dxfId="48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2"/>
          </reference>
        </references>
      </pivotArea>
    </format>
    <format dxfId="49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4"/>
          </reference>
        </references>
      </pivotArea>
    </format>
    <format dxfId="49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0"/>
          </reference>
        </references>
      </pivotArea>
    </format>
    <format dxfId="49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6"/>
          </reference>
        </references>
      </pivotArea>
    </format>
    <format dxfId="49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2"/>
          </reference>
        </references>
      </pivotArea>
    </format>
    <format dxfId="49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4"/>
          </reference>
        </references>
      </pivotArea>
    </format>
    <format dxfId="49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3"/>
          </reference>
        </references>
      </pivotArea>
    </format>
    <format dxfId="49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0"/>
          </reference>
        </references>
      </pivotArea>
    </format>
    <format dxfId="49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5"/>
          </reference>
        </references>
      </pivotArea>
    </format>
    <format dxfId="49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6"/>
          </reference>
        </references>
      </pivotArea>
    </format>
    <format dxfId="49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2"/>
          </reference>
        </references>
      </pivotArea>
    </format>
    <format dxfId="50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4"/>
          </reference>
        </references>
      </pivotArea>
    </format>
    <format dxfId="50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3"/>
          </reference>
        </references>
      </pivotArea>
    </format>
    <format dxfId="50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0"/>
          </reference>
        </references>
      </pivotArea>
    </format>
    <format dxfId="50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4"/>
          </reference>
          <reference field="2" count="6">
            <x v="1"/>
            <x v="2"/>
            <x v="3"/>
            <x v="4"/>
            <x v="5"/>
            <x v="6"/>
          </reference>
        </references>
      </pivotArea>
    </format>
    <format dxfId="50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417E61-C840-43E0-8540-9FF05A27D339}" name="PivotTable1" cacheId="25" applyNumberFormats="0" applyBorderFormats="0" applyFontFormats="0" applyPatternFormats="0" applyAlignmentFormats="0" applyWidthHeightFormats="1" dataCaption="Values" updatedVersion="7" minRefreshableVersion="3" itemPrintTitles="1" createdVersion="7" indent="0" outline="1" outlineData="1" multipleFieldFilters="0">
  <location ref="B1:D106" firstHeaderRow="0" firstDataRow="1" firstDataCol="1"/>
  <pivotFields count="10"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axis="axisRow" showAll="0">
      <items count="17">
        <item x="2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0"/>
        <item x="15"/>
        <item t="default"/>
      </items>
    </pivotField>
    <pivotField axis="axisRow" showAll="0">
      <items count="12">
        <item h="1" x="6"/>
        <item x="8"/>
        <item x="4"/>
        <item x="1"/>
        <item x="5"/>
        <item x="9"/>
        <item x="3"/>
        <item x="0"/>
        <item x="2"/>
        <item h="1" x="7"/>
        <item h="1" x="10"/>
        <item t="default"/>
      </items>
    </pivotField>
  </pivotFields>
  <rowFields count="2">
    <field x="8"/>
    <field x="9"/>
  </rowFields>
  <rowItems count="105">
    <i>
      <x/>
    </i>
    <i r="1">
      <x v="3"/>
    </i>
    <i r="1">
      <x v="6"/>
    </i>
    <i r="1">
      <x v="7"/>
    </i>
    <i r="1">
      <x v="8"/>
    </i>
    <i>
      <x v="1"/>
    </i>
    <i r="1">
      <x v="1"/>
    </i>
    <i r="1">
      <x v="3"/>
    </i>
    <i r="1">
      <x v="4"/>
    </i>
    <i r="1">
      <x v="6"/>
    </i>
    <i r="1">
      <x v="7"/>
    </i>
    <i r="1">
      <x v="8"/>
    </i>
    <i>
      <x v="2"/>
    </i>
    <i r="1">
      <x v="1"/>
    </i>
    <i r="1">
      <x v="3"/>
    </i>
    <i r="1">
      <x v="4"/>
    </i>
    <i r="1">
      <x v="6"/>
    </i>
    <i r="1">
      <x v="7"/>
    </i>
    <i r="1">
      <x v="8"/>
    </i>
    <i>
      <x v="3"/>
    </i>
    <i r="1">
      <x v="1"/>
    </i>
    <i r="1">
      <x v="3"/>
    </i>
    <i r="1">
      <x v="4"/>
    </i>
    <i r="1">
      <x v="6"/>
    </i>
    <i r="1">
      <x v="7"/>
    </i>
    <i r="1">
      <x v="8"/>
    </i>
    <i>
      <x v="4"/>
    </i>
    <i r="1">
      <x v="1"/>
    </i>
    <i r="1">
      <x v="3"/>
    </i>
    <i r="1">
      <x v="4"/>
    </i>
    <i r="1">
      <x v="6"/>
    </i>
    <i r="1">
      <x v="7"/>
    </i>
    <i r="1">
      <x v="8"/>
    </i>
    <i>
      <x v="5"/>
    </i>
    <i r="1">
      <x v="1"/>
    </i>
    <i r="1">
      <x v="3"/>
    </i>
    <i r="1">
      <x v="4"/>
    </i>
    <i r="1">
      <x v="6"/>
    </i>
    <i r="1">
      <x v="7"/>
    </i>
    <i r="1">
      <x v="8"/>
    </i>
    <i>
      <x v="6"/>
    </i>
    <i r="1">
      <x v="1"/>
    </i>
    <i r="1">
      <x v="3"/>
    </i>
    <i r="1">
      <x v="4"/>
    </i>
    <i r="1">
      <x v="6"/>
    </i>
    <i r="1">
      <x v="7"/>
    </i>
    <i r="1">
      <x v="8"/>
    </i>
    <i>
      <x v="7"/>
    </i>
    <i r="1">
      <x v="1"/>
    </i>
    <i r="1">
      <x v="3"/>
    </i>
    <i r="1">
      <x v="4"/>
    </i>
    <i r="1">
      <x v="6"/>
    </i>
    <i r="1">
      <x v="7"/>
    </i>
    <i r="1">
      <x v="8"/>
    </i>
    <i>
      <x v="8"/>
    </i>
    <i r="1">
      <x v="1"/>
    </i>
    <i r="1">
      <x v="3"/>
    </i>
    <i r="1">
      <x v="4"/>
    </i>
    <i r="1">
      <x v="6"/>
    </i>
    <i r="1">
      <x v="7"/>
    </i>
    <i r="1">
      <x v="8"/>
    </i>
    <i>
      <x v="9"/>
    </i>
    <i r="1">
      <x v="1"/>
    </i>
    <i r="1">
      <x v="3"/>
    </i>
    <i r="1">
      <x v="4"/>
    </i>
    <i r="1">
      <x v="6"/>
    </i>
    <i r="1">
      <x v="7"/>
    </i>
    <i r="1">
      <x v="8"/>
    </i>
    <i>
      <x v="10"/>
    </i>
    <i r="1">
      <x v="1"/>
    </i>
    <i r="1">
      <x v="3"/>
    </i>
    <i r="1">
      <x v="4"/>
    </i>
    <i r="1">
      <x v="6"/>
    </i>
    <i r="1">
      <x v="7"/>
    </i>
    <i r="1">
      <x v="8"/>
    </i>
    <i>
      <x v="11"/>
    </i>
    <i r="1">
      <x v="1"/>
    </i>
    <i r="1">
      <x v="2"/>
    </i>
    <i r="1">
      <x v="3"/>
    </i>
    <i r="1">
      <x v="5"/>
    </i>
    <i r="1">
      <x v="6"/>
    </i>
    <i r="1">
      <x v="7"/>
    </i>
    <i>
      <x v="12"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>
      <x v="13"/>
    </i>
    <i r="1">
      <x v="1"/>
    </i>
    <i r="1">
      <x v="3"/>
    </i>
    <i r="1">
      <x v="4"/>
    </i>
    <i r="1">
      <x v="6"/>
    </i>
    <i r="1">
      <x v="7"/>
    </i>
    <i r="1">
      <x v="8"/>
    </i>
    <i>
      <x v="14"/>
    </i>
    <i r="1">
      <x v="2"/>
    </i>
    <i r="1">
      <x v="3"/>
    </i>
    <i r="1">
      <x v="4"/>
    </i>
    <i r="1">
      <x v="6"/>
    </i>
    <i r="1">
      <x v="7"/>
    </i>
    <i r="1"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onsumed" fld="5" baseField="0" baseItem="0"/>
    <dataField name="Sum of Actual" fld="4" baseField="0" baseItem="0"/>
  </dataFields>
  <formats count="99">
    <format dxfId="2907">
      <pivotArea outline="0" collapsedLevelsAreSubtotals="1" fieldPosition="0"/>
    </format>
    <format dxfId="29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09">
      <pivotArea collapsedLevelsAreSubtotals="1" fieldPosition="0">
        <references count="2">
          <reference field="8" count="1" selected="0">
            <x v="0"/>
          </reference>
          <reference field="9" count="5">
            <x v="3"/>
            <x v="6"/>
            <x v="7"/>
            <x v="8"/>
            <x v="9"/>
          </reference>
        </references>
      </pivotArea>
    </format>
    <format dxfId="2910">
      <pivotArea collapsedLevelsAreSubtotals="1" fieldPosition="0">
        <references count="1">
          <reference field="8" count="1">
            <x v="1"/>
          </reference>
        </references>
      </pivotArea>
    </format>
    <format dxfId="2911">
      <pivotArea collapsedLevelsAreSubtotals="1" fieldPosition="0">
        <references count="2">
          <reference field="8" count="1" selected="0">
            <x v="1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12">
      <pivotArea collapsedLevelsAreSubtotals="1" fieldPosition="0">
        <references count="1">
          <reference field="8" count="1">
            <x v="2"/>
          </reference>
        </references>
      </pivotArea>
    </format>
    <format dxfId="2913">
      <pivotArea collapsedLevelsAreSubtotals="1" fieldPosition="0">
        <references count="2">
          <reference field="8" count="1" selected="0">
            <x v="2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14">
      <pivotArea collapsedLevelsAreSubtotals="1" fieldPosition="0">
        <references count="1">
          <reference field="8" count="1">
            <x v="3"/>
          </reference>
        </references>
      </pivotArea>
    </format>
    <format dxfId="2915">
      <pivotArea collapsedLevelsAreSubtotals="1" fieldPosition="0">
        <references count="2">
          <reference field="8" count="1" selected="0">
            <x v="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16">
      <pivotArea collapsedLevelsAreSubtotals="1" fieldPosition="0">
        <references count="1">
          <reference field="8" count="1">
            <x v="4"/>
          </reference>
        </references>
      </pivotArea>
    </format>
    <format dxfId="2917">
      <pivotArea collapsedLevelsAreSubtotals="1" fieldPosition="0">
        <references count="2">
          <reference field="8" count="1" selected="0">
            <x v="4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18">
      <pivotArea collapsedLevelsAreSubtotals="1" fieldPosition="0">
        <references count="1">
          <reference field="8" count="1">
            <x v="5"/>
          </reference>
        </references>
      </pivotArea>
    </format>
    <format dxfId="2919">
      <pivotArea collapsedLevelsAreSubtotals="1" fieldPosition="0">
        <references count="2">
          <reference field="8" count="1" selected="0">
            <x v="5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20">
      <pivotArea collapsedLevelsAreSubtotals="1" fieldPosition="0">
        <references count="1">
          <reference field="8" count="1">
            <x v="6"/>
          </reference>
        </references>
      </pivotArea>
    </format>
    <format dxfId="2921">
      <pivotArea collapsedLevelsAreSubtotals="1" fieldPosition="0">
        <references count="2">
          <reference field="8" count="1" selected="0">
            <x v="6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22">
      <pivotArea collapsedLevelsAreSubtotals="1" fieldPosition="0">
        <references count="1">
          <reference field="8" count="1">
            <x v="7"/>
          </reference>
        </references>
      </pivotArea>
    </format>
    <format dxfId="2923">
      <pivotArea collapsedLevelsAreSubtotals="1" fieldPosition="0">
        <references count="2">
          <reference field="8" count="1" selected="0">
            <x v="7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24">
      <pivotArea collapsedLevelsAreSubtotals="1" fieldPosition="0">
        <references count="1">
          <reference field="8" count="1">
            <x v="8"/>
          </reference>
        </references>
      </pivotArea>
    </format>
    <format dxfId="2925">
      <pivotArea collapsedLevelsAreSubtotals="1" fieldPosition="0">
        <references count="2">
          <reference field="8" count="1" selected="0">
            <x v="8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26">
      <pivotArea collapsedLevelsAreSubtotals="1" fieldPosition="0">
        <references count="1">
          <reference field="8" count="1">
            <x v="9"/>
          </reference>
        </references>
      </pivotArea>
    </format>
    <format dxfId="2927">
      <pivotArea collapsedLevelsAreSubtotals="1" fieldPosition="0">
        <references count="2">
          <reference field="8" count="1" selected="0">
            <x v="9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28">
      <pivotArea collapsedLevelsAreSubtotals="1" fieldPosition="0">
        <references count="1">
          <reference field="8" count="1">
            <x v="10"/>
          </reference>
        </references>
      </pivotArea>
    </format>
    <format dxfId="2929">
      <pivotArea collapsedLevelsAreSubtotals="1" fieldPosition="0">
        <references count="2">
          <reference field="8" count="1" selected="0">
            <x v="10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30">
      <pivotArea collapsedLevelsAreSubtotals="1" fieldPosition="0">
        <references count="1">
          <reference field="8" count="1">
            <x v="11"/>
          </reference>
        </references>
      </pivotArea>
    </format>
    <format dxfId="2931">
      <pivotArea collapsedLevelsAreSubtotals="1" fieldPosition="0">
        <references count="2">
          <reference field="8" count="1" selected="0">
            <x v="11"/>
          </reference>
          <reference field="9" count="8">
            <x v="0"/>
            <x v="1"/>
            <x v="2"/>
            <x v="3"/>
            <x v="5"/>
            <x v="6"/>
            <x v="7"/>
            <x v="9"/>
          </reference>
        </references>
      </pivotArea>
    </format>
    <format dxfId="2932">
      <pivotArea collapsedLevelsAreSubtotals="1" fieldPosition="0">
        <references count="1">
          <reference field="8" count="1">
            <x v="12"/>
          </reference>
        </references>
      </pivotArea>
    </format>
    <format dxfId="2933">
      <pivotArea collapsedLevelsAreSubtotals="1" fieldPosition="0">
        <references count="2">
          <reference field="8" count="1" selected="0">
            <x v="12"/>
          </reference>
          <reference field="9" count="9">
            <x v="0"/>
            <x v="1"/>
            <x v="3"/>
            <x v="4"/>
            <x v="5"/>
            <x v="6"/>
            <x v="7"/>
            <x v="8"/>
            <x v="9"/>
          </reference>
        </references>
      </pivotArea>
    </format>
    <format dxfId="2934">
      <pivotArea collapsedLevelsAreSubtotals="1" fieldPosition="0">
        <references count="1">
          <reference field="8" count="1">
            <x v="13"/>
          </reference>
        </references>
      </pivotArea>
    </format>
    <format dxfId="2935">
      <pivotArea collapsedLevelsAreSubtotals="1" fieldPosition="0">
        <references count="2">
          <reference field="8" count="1" selected="0">
            <x v="1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36">
      <pivotArea collapsedLevelsAreSubtotals="1" fieldPosition="0">
        <references count="1">
          <reference field="8" count="1">
            <x v="14"/>
          </reference>
        </references>
      </pivotArea>
    </format>
    <format dxfId="2937">
      <pivotArea collapsedLevelsAreSubtotals="1" fieldPosition="0">
        <references count="2">
          <reference field="8" count="1" selected="0">
            <x v="14"/>
          </reference>
          <reference field="9" count="8">
            <x v="0"/>
            <x v="2"/>
            <x v="3"/>
            <x v="4"/>
            <x v="6"/>
            <x v="7"/>
            <x v="8"/>
            <x v="9"/>
          </reference>
        </references>
      </pivotArea>
    </format>
    <format dxfId="2938">
      <pivotArea collapsedLevelsAreSubtotals="1" fieldPosition="0">
        <references count="1">
          <reference field="8" count="1">
            <x v="15"/>
          </reference>
        </references>
      </pivotArea>
    </format>
    <format dxfId="2939">
      <pivotArea collapsedLevelsAreSubtotals="1" fieldPosition="0">
        <references count="2">
          <reference field="8" count="1" selected="0">
            <x v="15"/>
          </reference>
          <reference field="9" count="1">
            <x v="10"/>
          </reference>
        </references>
      </pivotArea>
    </format>
    <format dxfId="2940">
      <pivotArea grandRow="1" outline="0" collapsedLevelsAreSubtotals="1" fieldPosition="0"/>
    </format>
    <format dxfId="2941">
      <pivotArea dataOnly="0" labelOnly="1" fieldPosition="0">
        <references count="2">
          <reference field="8" count="1" selected="0">
            <x v="0"/>
          </reference>
          <reference field="9" count="5">
            <x v="3"/>
            <x v="6"/>
            <x v="7"/>
            <x v="8"/>
            <x v="9"/>
          </reference>
        </references>
      </pivotArea>
    </format>
    <format dxfId="2942">
      <pivotArea dataOnly="0" labelOnly="1" fieldPosition="0">
        <references count="2">
          <reference field="8" count="1" selected="0">
            <x v="1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43">
      <pivotArea dataOnly="0" labelOnly="1" fieldPosition="0">
        <references count="2">
          <reference field="8" count="1" selected="0">
            <x v="2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44">
      <pivotArea dataOnly="0" labelOnly="1" fieldPosition="0">
        <references count="2">
          <reference field="8" count="1" selected="0">
            <x v="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45">
      <pivotArea dataOnly="0" labelOnly="1" fieldPosition="0">
        <references count="2">
          <reference field="8" count="1" selected="0">
            <x v="4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46">
      <pivotArea dataOnly="0" labelOnly="1" fieldPosition="0">
        <references count="2">
          <reference field="8" count="1" selected="0">
            <x v="5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47">
      <pivotArea dataOnly="0" labelOnly="1" fieldPosition="0">
        <references count="2">
          <reference field="8" count="1" selected="0">
            <x v="6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48">
      <pivotArea dataOnly="0" labelOnly="1" fieldPosition="0">
        <references count="2">
          <reference field="8" count="1" selected="0">
            <x v="7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49">
      <pivotArea dataOnly="0" labelOnly="1" fieldPosition="0">
        <references count="2">
          <reference field="8" count="1" selected="0">
            <x v="8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50">
      <pivotArea dataOnly="0" labelOnly="1" fieldPosition="0">
        <references count="2">
          <reference field="8" count="1" selected="0">
            <x v="9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51">
      <pivotArea dataOnly="0" labelOnly="1" fieldPosition="0">
        <references count="2">
          <reference field="8" count="1" selected="0">
            <x v="10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52">
      <pivotArea dataOnly="0" labelOnly="1" fieldPosition="0">
        <references count="2">
          <reference field="8" count="1" selected="0">
            <x v="11"/>
          </reference>
          <reference field="9" count="8">
            <x v="0"/>
            <x v="1"/>
            <x v="2"/>
            <x v="3"/>
            <x v="5"/>
            <x v="6"/>
            <x v="7"/>
            <x v="9"/>
          </reference>
        </references>
      </pivotArea>
    </format>
    <format dxfId="2953">
      <pivotArea dataOnly="0" labelOnly="1" fieldPosition="0">
        <references count="2">
          <reference field="8" count="1" selected="0">
            <x v="12"/>
          </reference>
          <reference field="9" count="9">
            <x v="0"/>
            <x v="1"/>
            <x v="3"/>
            <x v="4"/>
            <x v="5"/>
            <x v="6"/>
            <x v="7"/>
            <x v="8"/>
            <x v="9"/>
          </reference>
        </references>
      </pivotArea>
    </format>
    <format dxfId="2954">
      <pivotArea dataOnly="0" labelOnly="1" fieldPosition="0">
        <references count="2">
          <reference field="8" count="1" selected="0">
            <x v="1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55">
      <pivotArea dataOnly="0" labelOnly="1" fieldPosition="0">
        <references count="2">
          <reference field="8" count="1" selected="0">
            <x v="14"/>
          </reference>
          <reference field="9" count="8">
            <x v="0"/>
            <x v="2"/>
            <x v="3"/>
            <x v="4"/>
            <x v="6"/>
            <x v="7"/>
            <x v="8"/>
            <x v="9"/>
          </reference>
        </references>
      </pivotArea>
    </format>
    <format dxfId="2956">
      <pivotArea collapsedLevelsAreSubtotals="1" fieldPosition="0">
        <references count="3">
          <reference field="4294967294" count="1" selected="0">
            <x v="1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2957">
      <pivotArea dataOnly="0" labelOnly="1" fieldPosition="0">
        <references count="2">
          <reference field="8" count="1" selected="0">
            <x v="0"/>
          </reference>
          <reference field="9" count="1">
            <x v="0"/>
          </reference>
        </references>
      </pivotArea>
    </format>
    <format dxfId="2958">
      <pivotArea collapsedLevelsAreSubtotals="1" fieldPosition="0">
        <references count="1">
          <reference field="8" count="1">
            <x v="0"/>
          </reference>
        </references>
      </pivotArea>
    </format>
    <format dxfId="295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60">
      <pivotArea outline="0" collapsedLevelsAreSubtotals="1" fieldPosition="0"/>
    </format>
    <format dxfId="29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62">
      <pivotArea type="all" dataOnly="0" outline="0" fieldPosition="0"/>
    </format>
    <format dxfId="2963">
      <pivotArea outline="0" collapsedLevelsAreSubtotals="1" fieldPosition="0"/>
    </format>
    <format dxfId="2964">
      <pivotArea field="8" type="button" dataOnly="0" labelOnly="1" outline="0" axis="axisRow" fieldPosition="0"/>
    </format>
    <format dxfId="2965">
      <pivotArea dataOnly="0" labelOnly="1" fieldPosition="0">
        <references count="1">
          <reference field="8" count="0"/>
        </references>
      </pivotArea>
    </format>
    <format dxfId="2966">
      <pivotArea dataOnly="0" labelOnly="1" grandRow="1" outline="0" fieldPosition="0"/>
    </format>
    <format dxfId="2967">
      <pivotArea dataOnly="0" labelOnly="1" fieldPosition="0">
        <references count="2">
          <reference field="8" count="1" selected="0">
            <x v="0"/>
          </reference>
          <reference field="9" count="4">
            <x v="3"/>
            <x v="6"/>
            <x v="7"/>
            <x v="8"/>
          </reference>
        </references>
      </pivotArea>
    </format>
    <format dxfId="2968">
      <pivotArea dataOnly="0" labelOnly="1" fieldPosition="0">
        <references count="2">
          <reference field="8" count="1" selected="0">
            <x v="1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69">
      <pivotArea dataOnly="0" labelOnly="1" fieldPosition="0">
        <references count="2">
          <reference field="8" count="1" selected="0">
            <x v="2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70">
      <pivotArea dataOnly="0" labelOnly="1" fieldPosition="0">
        <references count="2">
          <reference field="8" count="1" selected="0">
            <x v="3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71">
      <pivotArea dataOnly="0" labelOnly="1" fieldPosition="0">
        <references count="2">
          <reference field="8" count="1" selected="0">
            <x v="4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72">
      <pivotArea dataOnly="0" labelOnly="1" fieldPosition="0">
        <references count="2">
          <reference field="8" count="1" selected="0">
            <x v="5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73">
      <pivotArea dataOnly="0" labelOnly="1" fieldPosition="0">
        <references count="2">
          <reference field="8" count="1" selected="0">
            <x v="6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74">
      <pivotArea dataOnly="0" labelOnly="1" fieldPosition="0">
        <references count="2">
          <reference field="8" count="1" selected="0">
            <x v="7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75">
      <pivotArea dataOnly="0" labelOnly="1" fieldPosition="0">
        <references count="2">
          <reference field="8" count="1" selected="0">
            <x v="8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76">
      <pivotArea dataOnly="0" labelOnly="1" fieldPosition="0">
        <references count="2">
          <reference field="8" count="1" selected="0">
            <x v="9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77">
      <pivotArea dataOnly="0" labelOnly="1" fieldPosition="0">
        <references count="2">
          <reference field="8" count="1" selected="0">
            <x v="10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78">
      <pivotArea dataOnly="0" labelOnly="1" fieldPosition="0">
        <references count="2">
          <reference field="8" count="1" selected="0">
            <x v="11"/>
          </reference>
          <reference field="9" count="6">
            <x v="1"/>
            <x v="2"/>
            <x v="3"/>
            <x v="5"/>
            <x v="6"/>
            <x v="7"/>
          </reference>
        </references>
      </pivotArea>
    </format>
    <format dxfId="2979">
      <pivotArea dataOnly="0" labelOnly="1" fieldPosition="0">
        <references count="2">
          <reference field="8" count="1" selected="0">
            <x v="12"/>
          </reference>
          <reference field="9" count="7">
            <x v="1"/>
            <x v="3"/>
            <x v="4"/>
            <x v="5"/>
            <x v="6"/>
            <x v="7"/>
            <x v="8"/>
          </reference>
        </references>
      </pivotArea>
    </format>
    <format dxfId="2980">
      <pivotArea dataOnly="0" labelOnly="1" fieldPosition="0">
        <references count="2">
          <reference field="8" count="1" selected="0">
            <x v="13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81">
      <pivotArea dataOnly="0" labelOnly="1" fieldPosition="0">
        <references count="2">
          <reference field="8" count="1" selected="0">
            <x v="14"/>
          </reference>
          <reference field="9" count="6">
            <x v="2"/>
            <x v="3"/>
            <x v="4"/>
            <x v="6"/>
            <x v="7"/>
            <x v="8"/>
          </reference>
        </references>
      </pivotArea>
    </format>
    <format dxfId="2982">
      <pivotArea dataOnly="0" labelOnly="1" fieldPosition="0">
        <references count="2">
          <reference field="8" count="1" selected="0">
            <x v="15"/>
          </reference>
          <reference field="9" count="1">
            <x v="10"/>
          </reference>
        </references>
      </pivotArea>
    </format>
    <format dxfId="298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84">
      <pivotArea type="all" dataOnly="0" outline="0" fieldPosition="0"/>
    </format>
    <format dxfId="2985">
      <pivotArea outline="0" collapsedLevelsAreSubtotals="1" fieldPosition="0"/>
    </format>
    <format dxfId="2986">
      <pivotArea field="8" type="button" dataOnly="0" labelOnly="1" outline="0" axis="axisRow" fieldPosition="0"/>
    </format>
    <format dxfId="2987">
      <pivotArea dataOnly="0" labelOnly="1" fieldPosition="0">
        <references count="1">
          <reference field="8" count="0"/>
        </references>
      </pivotArea>
    </format>
    <format dxfId="2988">
      <pivotArea dataOnly="0" labelOnly="1" grandRow="1" outline="0" fieldPosition="0"/>
    </format>
    <format dxfId="2989">
      <pivotArea dataOnly="0" labelOnly="1" fieldPosition="0">
        <references count="2">
          <reference field="8" count="1" selected="0">
            <x v="0"/>
          </reference>
          <reference field="9" count="4">
            <x v="3"/>
            <x v="6"/>
            <x v="7"/>
            <x v="8"/>
          </reference>
        </references>
      </pivotArea>
    </format>
    <format dxfId="2990">
      <pivotArea dataOnly="0" labelOnly="1" fieldPosition="0">
        <references count="2">
          <reference field="8" count="1" selected="0">
            <x v="1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91">
      <pivotArea dataOnly="0" labelOnly="1" fieldPosition="0">
        <references count="2">
          <reference field="8" count="1" selected="0">
            <x v="2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92">
      <pivotArea dataOnly="0" labelOnly="1" fieldPosition="0">
        <references count="2">
          <reference field="8" count="1" selected="0">
            <x v="3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93">
      <pivotArea dataOnly="0" labelOnly="1" fieldPosition="0">
        <references count="2">
          <reference field="8" count="1" selected="0">
            <x v="4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94">
      <pivotArea dataOnly="0" labelOnly="1" fieldPosition="0">
        <references count="2">
          <reference field="8" count="1" selected="0">
            <x v="5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95">
      <pivotArea dataOnly="0" labelOnly="1" fieldPosition="0">
        <references count="2">
          <reference field="8" count="1" selected="0">
            <x v="6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96">
      <pivotArea dataOnly="0" labelOnly="1" fieldPosition="0">
        <references count="2">
          <reference field="8" count="1" selected="0">
            <x v="7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97">
      <pivotArea dataOnly="0" labelOnly="1" fieldPosition="0">
        <references count="2">
          <reference field="8" count="1" selected="0">
            <x v="8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98">
      <pivotArea dataOnly="0" labelOnly="1" fieldPosition="0">
        <references count="2">
          <reference field="8" count="1" selected="0">
            <x v="9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99">
      <pivotArea dataOnly="0" labelOnly="1" fieldPosition="0">
        <references count="2">
          <reference field="8" count="1" selected="0">
            <x v="10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3000">
      <pivotArea dataOnly="0" labelOnly="1" fieldPosition="0">
        <references count="2">
          <reference field="8" count="1" selected="0">
            <x v="11"/>
          </reference>
          <reference field="9" count="6">
            <x v="1"/>
            <x v="2"/>
            <x v="3"/>
            <x v="5"/>
            <x v="6"/>
            <x v="7"/>
          </reference>
        </references>
      </pivotArea>
    </format>
    <format dxfId="3001">
      <pivotArea dataOnly="0" labelOnly="1" fieldPosition="0">
        <references count="2">
          <reference field="8" count="1" selected="0">
            <x v="12"/>
          </reference>
          <reference field="9" count="7">
            <x v="1"/>
            <x v="3"/>
            <x v="4"/>
            <x v="5"/>
            <x v="6"/>
            <x v="7"/>
            <x v="8"/>
          </reference>
        </references>
      </pivotArea>
    </format>
    <format dxfId="3002">
      <pivotArea dataOnly="0" labelOnly="1" fieldPosition="0">
        <references count="2">
          <reference field="8" count="1" selected="0">
            <x v="13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3003">
      <pivotArea dataOnly="0" labelOnly="1" fieldPosition="0">
        <references count="2">
          <reference field="8" count="1" selected="0">
            <x v="14"/>
          </reference>
          <reference field="9" count="6">
            <x v="2"/>
            <x v="3"/>
            <x v="4"/>
            <x v="6"/>
            <x v="7"/>
            <x v="8"/>
          </reference>
        </references>
      </pivotArea>
    </format>
    <format dxfId="3004">
      <pivotArea dataOnly="0" labelOnly="1" fieldPosition="0">
        <references count="2">
          <reference field="8" count="1" selected="0">
            <x v="15"/>
          </reference>
          <reference field="9" count="1">
            <x v="10"/>
          </reference>
        </references>
      </pivotArea>
    </format>
    <format dxfId="300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6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11" sqref="F11"/>
    </sheetView>
  </sheetViews>
  <sheetFormatPr defaultRowHeight="14.25" x14ac:dyDescent="0.45"/>
  <cols>
    <col min="1" max="1" width="7" customWidth="1"/>
    <col min="2" max="2" width="14" customWidth="1"/>
    <col min="3" max="3" width="22" customWidth="1"/>
    <col min="4" max="4" width="20" style="24" customWidth="1"/>
    <col min="5" max="5" width="19" style="4" customWidth="1"/>
    <col min="6" max="6" width="20" style="24" customWidth="1"/>
    <col min="7" max="7" width="17" style="4" customWidth="1"/>
  </cols>
  <sheetData>
    <row r="1" spans="1:7" x14ac:dyDescent="0.45">
      <c r="A1" s="1" t="s">
        <v>0</v>
      </c>
      <c r="B1" s="1" t="s">
        <v>1</v>
      </c>
      <c r="C1" s="1" t="s">
        <v>2</v>
      </c>
      <c r="D1" s="21" t="s">
        <v>3</v>
      </c>
      <c r="E1" s="2" t="s">
        <v>4</v>
      </c>
      <c r="F1" s="21" t="s">
        <v>5</v>
      </c>
      <c r="G1" s="2" t="s">
        <v>6</v>
      </c>
    </row>
    <row r="2" spans="1:7" x14ac:dyDescent="0.45">
      <c r="A2" t="s">
        <v>7</v>
      </c>
      <c r="B2" t="s">
        <v>8</v>
      </c>
      <c r="C2" t="s">
        <v>9</v>
      </c>
      <c r="D2" s="24">
        <v>100000000</v>
      </c>
      <c r="E2" s="29">
        <f>'Hitung Per Bulan'!E2</f>
        <v>84845467162</v>
      </c>
      <c r="F2" s="24">
        <v>50000000</v>
      </c>
      <c r="G2" s="29">
        <f>'Hitung Per Bulan'!G2</f>
        <v>0</v>
      </c>
    </row>
    <row r="3" spans="1:7" x14ac:dyDescent="0.45">
      <c r="A3" t="s">
        <v>10</v>
      </c>
      <c r="B3" t="s">
        <v>8</v>
      </c>
      <c r="C3" t="s">
        <v>9</v>
      </c>
      <c r="D3" s="24">
        <v>23567624816</v>
      </c>
      <c r="E3" s="29">
        <f>'Hitung Per Bulan'!E3</f>
        <v>59570632314</v>
      </c>
      <c r="F3" s="24">
        <v>50000000</v>
      </c>
      <c r="G3" s="29">
        <f>'Hitung Per Bulan'!G3</f>
        <v>0</v>
      </c>
    </row>
    <row r="4" spans="1:7" x14ac:dyDescent="0.45">
      <c r="A4" t="s">
        <v>11</v>
      </c>
      <c r="B4" t="s">
        <v>8</v>
      </c>
      <c r="C4" t="s">
        <v>9</v>
      </c>
      <c r="D4" s="24">
        <v>227166881580</v>
      </c>
      <c r="E4" s="29">
        <f>'Hitung Per Bulan'!E4</f>
        <v>46052581309</v>
      </c>
      <c r="F4" s="24">
        <v>34189485820</v>
      </c>
      <c r="G4" s="29">
        <f>'Hitung Per Bulan'!G4</f>
        <v>34085923118</v>
      </c>
    </row>
    <row r="5" spans="1:7" x14ac:dyDescent="0.45">
      <c r="A5" t="s">
        <v>12</v>
      </c>
      <c r="B5" t="s">
        <v>8</v>
      </c>
      <c r="C5" t="s">
        <v>9</v>
      </c>
      <c r="D5" s="24">
        <v>59269584722</v>
      </c>
      <c r="E5" s="29" t="str">
        <f>'Hitung Per Bulan'!E5</f>
        <v/>
      </c>
      <c r="F5" s="24">
        <v>150000000</v>
      </c>
      <c r="G5" s="29" t="str">
        <f>'Hitung Per Bulan'!G5</f>
        <v/>
      </c>
    </row>
    <row r="6" spans="1:7" x14ac:dyDescent="0.45">
      <c r="A6" t="s">
        <v>13</v>
      </c>
      <c r="B6" t="s">
        <v>8</v>
      </c>
      <c r="C6" t="s">
        <v>9</v>
      </c>
      <c r="D6" s="24">
        <v>2449082158</v>
      </c>
      <c r="E6" s="29" t="str">
        <f>'Hitung Per Bulan'!E6</f>
        <v/>
      </c>
      <c r="F6" s="24">
        <v>270862500</v>
      </c>
      <c r="G6" s="29" t="str">
        <f>'Hitung Per Bulan'!G6</f>
        <v/>
      </c>
    </row>
    <row r="7" spans="1:7" x14ac:dyDescent="0.45">
      <c r="A7" t="s">
        <v>14</v>
      </c>
      <c r="B7" t="s">
        <v>8</v>
      </c>
      <c r="C7" t="s">
        <v>9</v>
      </c>
      <c r="D7" s="24">
        <v>4232140778</v>
      </c>
      <c r="E7" s="29" t="str">
        <f>'Hitung Per Bulan'!E7</f>
        <v/>
      </c>
      <c r="F7" s="24">
        <v>1144232361</v>
      </c>
      <c r="G7" s="29" t="str">
        <f>'Hitung Per Bulan'!G7</f>
        <v/>
      </c>
    </row>
    <row r="8" spans="1:7" x14ac:dyDescent="0.45">
      <c r="A8" t="s">
        <v>15</v>
      </c>
      <c r="B8" t="s">
        <v>8</v>
      </c>
      <c r="C8" t="s">
        <v>9</v>
      </c>
      <c r="D8" s="24">
        <v>150000000</v>
      </c>
      <c r="E8" s="29" t="str">
        <f>'Hitung Per Bulan'!E8</f>
        <v/>
      </c>
      <c r="F8" s="24">
        <v>12808685000</v>
      </c>
      <c r="G8" s="29" t="str">
        <f>'Hitung Per Bulan'!G8</f>
        <v/>
      </c>
    </row>
    <row r="9" spans="1:7" x14ac:dyDescent="0.45">
      <c r="A9" t="s">
        <v>16</v>
      </c>
      <c r="B9" t="s">
        <v>8</v>
      </c>
      <c r="C9" t="s">
        <v>9</v>
      </c>
      <c r="D9" s="24">
        <v>150000000</v>
      </c>
      <c r="E9" s="29" t="str">
        <f>'Hitung Per Bulan'!E9</f>
        <v/>
      </c>
      <c r="F9" s="24">
        <v>30371398896</v>
      </c>
      <c r="G9" s="29" t="str">
        <f>'Hitung Per Bulan'!G9</f>
        <v/>
      </c>
    </row>
    <row r="10" spans="1:7" x14ac:dyDescent="0.45">
      <c r="A10" t="s">
        <v>17</v>
      </c>
      <c r="B10" t="s">
        <v>8</v>
      </c>
      <c r="C10" t="s">
        <v>9</v>
      </c>
      <c r="D10" s="24">
        <v>150000000</v>
      </c>
      <c r="E10" s="29" t="str">
        <f>'Hitung Per Bulan'!E10</f>
        <v/>
      </c>
      <c r="F10" s="24">
        <v>32919933000</v>
      </c>
      <c r="G10" s="29" t="str">
        <f>'Hitung Per Bulan'!G10</f>
        <v/>
      </c>
    </row>
    <row r="11" spans="1:7" x14ac:dyDescent="0.45">
      <c r="A11" t="s">
        <v>18</v>
      </c>
      <c r="B11" t="s">
        <v>8</v>
      </c>
      <c r="C11" t="s">
        <v>9</v>
      </c>
      <c r="D11" s="24">
        <v>150000000</v>
      </c>
      <c r="E11" s="29" t="str">
        <f>'Hitung Per Bulan'!E11</f>
        <v/>
      </c>
      <c r="F11" s="24">
        <v>61587805112</v>
      </c>
      <c r="G11" s="29" t="str">
        <f>'Hitung Per Bulan'!G11</f>
        <v/>
      </c>
    </row>
    <row r="12" spans="1:7" x14ac:dyDescent="0.45">
      <c r="A12" t="s">
        <v>19</v>
      </c>
      <c r="B12" t="s">
        <v>8</v>
      </c>
      <c r="C12" t="s">
        <v>9</v>
      </c>
      <c r="D12" s="24">
        <v>122077000</v>
      </c>
      <c r="E12" s="29" t="str">
        <f>'Hitung Per Bulan'!E12</f>
        <v/>
      </c>
      <c r="F12" s="24">
        <v>35148562865</v>
      </c>
      <c r="G12" s="29" t="str">
        <f>'Hitung Per Bulan'!G12</f>
        <v/>
      </c>
    </row>
    <row r="13" spans="1:7" x14ac:dyDescent="0.45">
      <c r="A13" t="s">
        <v>20</v>
      </c>
      <c r="B13" t="s">
        <v>8</v>
      </c>
      <c r="C13" t="s">
        <v>9</v>
      </c>
      <c r="D13" s="24">
        <v>55000000</v>
      </c>
      <c r="E13" s="29" t="str">
        <f>'Hitung Per Bulan'!E13</f>
        <v/>
      </c>
      <c r="F13" s="24">
        <v>108871425778</v>
      </c>
      <c r="G13" s="29" t="str">
        <f>'Hitung Per Bulan'!G13</f>
        <v/>
      </c>
    </row>
    <row r="14" spans="1:7" x14ac:dyDescent="0.45">
      <c r="A14" t="s">
        <v>7</v>
      </c>
      <c r="B14" t="s">
        <v>8</v>
      </c>
      <c r="C14" t="s">
        <v>21</v>
      </c>
      <c r="D14" s="24">
        <v>0</v>
      </c>
      <c r="E14" s="29">
        <f>'Hitung Per Bulan'!E14</f>
        <v>0</v>
      </c>
      <c r="F14" s="24">
        <v>0</v>
      </c>
      <c r="G14" s="29">
        <f>'Hitung Per Bulan'!G14</f>
        <v>0</v>
      </c>
    </row>
    <row r="15" spans="1:7" x14ac:dyDescent="0.45">
      <c r="A15" t="s">
        <v>10</v>
      </c>
      <c r="B15" t="s">
        <v>8</v>
      </c>
      <c r="C15" t="s">
        <v>21</v>
      </c>
      <c r="D15" s="24">
        <v>0</v>
      </c>
      <c r="E15" s="29">
        <f>'Hitung Per Bulan'!E15</f>
        <v>0</v>
      </c>
      <c r="F15" s="24">
        <v>0</v>
      </c>
      <c r="G15" s="29">
        <f>'Hitung Per Bulan'!G15</f>
        <v>0</v>
      </c>
    </row>
    <row r="16" spans="1:7" x14ac:dyDescent="0.45">
      <c r="A16" t="s">
        <v>11</v>
      </c>
      <c r="B16" t="s">
        <v>8</v>
      </c>
      <c r="C16" t="s">
        <v>21</v>
      </c>
      <c r="D16" s="24">
        <v>0</v>
      </c>
      <c r="E16" s="29">
        <f>'Hitung Per Bulan'!E16</f>
        <v>0</v>
      </c>
      <c r="F16" s="24">
        <v>0</v>
      </c>
      <c r="G16" s="29">
        <f>'Hitung Per Bulan'!G16</f>
        <v>0</v>
      </c>
    </row>
    <row r="17" spans="1:7" x14ac:dyDescent="0.45">
      <c r="A17" t="s">
        <v>12</v>
      </c>
      <c r="B17" t="s">
        <v>8</v>
      </c>
      <c r="C17" t="s">
        <v>21</v>
      </c>
      <c r="D17" s="24">
        <v>0</v>
      </c>
      <c r="E17" s="29" t="str">
        <f>'Hitung Per Bulan'!E17</f>
        <v/>
      </c>
      <c r="F17" s="24">
        <v>0</v>
      </c>
      <c r="G17" s="29" t="str">
        <f>'Hitung Per Bulan'!G17</f>
        <v/>
      </c>
    </row>
    <row r="18" spans="1:7" x14ac:dyDescent="0.45">
      <c r="A18" t="s">
        <v>13</v>
      </c>
      <c r="B18" t="s">
        <v>8</v>
      </c>
      <c r="C18" t="s">
        <v>21</v>
      </c>
      <c r="D18" s="24">
        <v>0</v>
      </c>
      <c r="E18" s="29" t="str">
        <f>'Hitung Per Bulan'!E18</f>
        <v/>
      </c>
      <c r="F18" s="24">
        <v>0</v>
      </c>
      <c r="G18" s="29" t="str">
        <f>'Hitung Per Bulan'!G18</f>
        <v/>
      </c>
    </row>
    <row r="19" spans="1:7" x14ac:dyDescent="0.45">
      <c r="A19" t="s">
        <v>14</v>
      </c>
      <c r="B19" t="s">
        <v>8</v>
      </c>
      <c r="C19" t="s">
        <v>21</v>
      </c>
      <c r="D19" s="24">
        <v>0</v>
      </c>
      <c r="E19" s="29" t="str">
        <f>'Hitung Per Bulan'!E19</f>
        <v/>
      </c>
      <c r="F19" s="24">
        <v>0</v>
      </c>
      <c r="G19" s="29" t="str">
        <f>'Hitung Per Bulan'!G19</f>
        <v/>
      </c>
    </row>
    <row r="20" spans="1:7" x14ac:dyDescent="0.45">
      <c r="A20" t="s">
        <v>15</v>
      </c>
      <c r="B20" t="s">
        <v>8</v>
      </c>
      <c r="C20" t="s">
        <v>21</v>
      </c>
      <c r="D20" s="24">
        <v>0</v>
      </c>
      <c r="E20" s="29" t="str">
        <f>'Hitung Per Bulan'!E20</f>
        <v/>
      </c>
      <c r="F20" s="24">
        <v>0</v>
      </c>
      <c r="G20" s="29" t="str">
        <f>'Hitung Per Bulan'!G20</f>
        <v/>
      </c>
    </row>
    <row r="21" spans="1:7" x14ac:dyDescent="0.45">
      <c r="A21" t="s">
        <v>16</v>
      </c>
      <c r="B21" t="s">
        <v>8</v>
      </c>
      <c r="C21" t="s">
        <v>21</v>
      </c>
      <c r="D21" s="24">
        <v>0</v>
      </c>
      <c r="E21" s="29" t="str">
        <f>'Hitung Per Bulan'!E21</f>
        <v/>
      </c>
      <c r="F21" s="24">
        <v>0</v>
      </c>
      <c r="G21" s="29" t="str">
        <f>'Hitung Per Bulan'!G21</f>
        <v/>
      </c>
    </row>
    <row r="22" spans="1:7" x14ac:dyDescent="0.45">
      <c r="A22" t="s">
        <v>17</v>
      </c>
      <c r="B22" t="s">
        <v>8</v>
      </c>
      <c r="C22" t="s">
        <v>21</v>
      </c>
      <c r="D22" s="24">
        <v>0</v>
      </c>
      <c r="E22" s="29" t="str">
        <f>'Hitung Per Bulan'!E22</f>
        <v/>
      </c>
      <c r="F22" s="24">
        <v>0</v>
      </c>
      <c r="G22" s="29" t="str">
        <f>'Hitung Per Bulan'!G22</f>
        <v/>
      </c>
    </row>
    <row r="23" spans="1:7" x14ac:dyDescent="0.45">
      <c r="A23" t="s">
        <v>18</v>
      </c>
      <c r="B23" t="s">
        <v>8</v>
      </c>
      <c r="C23" t="s">
        <v>21</v>
      </c>
      <c r="D23" s="24">
        <v>0</v>
      </c>
      <c r="E23" s="29" t="str">
        <f>'Hitung Per Bulan'!E23</f>
        <v/>
      </c>
      <c r="F23" s="24">
        <v>0</v>
      </c>
      <c r="G23" s="29" t="str">
        <f>'Hitung Per Bulan'!G23</f>
        <v/>
      </c>
    </row>
    <row r="24" spans="1:7" x14ac:dyDescent="0.45">
      <c r="A24" t="s">
        <v>19</v>
      </c>
      <c r="B24" t="s">
        <v>8</v>
      </c>
      <c r="C24" t="s">
        <v>21</v>
      </c>
      <c r="D24" s="24">
        <v>0</v>
      </c>
      <c r="E24" s="29" t="str">
        <f>'Hitung Per Bulan'!E24</f>
        <v/>
      </c>
      <c r="F24" s="24">
        <v>0</v>
      </c>
      <c r="G24" s="29" t="str">
        <f>'Hitung Per Bulan'!G24</f>
        <v/>
      </c>
    </row>
    <row r="25" spans="1:7" x14ac:dyDescent="0.45">
      <c r="A25" t="s">
        <v>20</v>
      </c>
      <c r="B25" t="s">
        <v>8</v>
      </c>
      <c r="C25" t="s">
        <v>21</v>
      </c>
      <c r="D25" s="24">
        <v>0</v>
      </c>
      <c r="E25" s="29" t="str">
        <f>'Hitung Per Bulan'!E25</f>
        <v/>
      </c>
      <c r="F25" s="24">
        <v>0</v>
      </c>
      <c r="G25" s="29" t="str">
        <f>'Hitung Per Bulan'!G25</f>
        <v/>
      </c>
    </row>
    <row r="26" spans="1:7" x14ac:dyDescent="0.45">
      <c r="A26" t="s">
        <v>7</v>
      </c>
      <c r="B26" t="s">
        <v>8</v>
      </c>
      <c r="C26" t="s">
        <v>22</v>
      </c>
      <c r="D26" s="24">
        <v>0</v>
      </c>
      <c r="E26" s="29">
        <f>'Hitung Per Bulan'!E26</f>
        <v>0</v>
      </c>
      <c r="F26" s="24">
        <v>0</v>
      </c>
      <c r="G26" s="29">
        <f>'Hitung Per Bulan'!G26</f>
        <v>0</v>
      </c>
    </row>
    <row r="27" spans="1:7" x14ac:dyDescent="0.45">
      <c r="A27" t="s">
        <v>10</v>
      </c>
      <c r="B27" t="s">
        <v>8</v>
      </c>
      <c r="C27" t="s">
        <v>22</v>
      </c>
      <c r="D27" s="24">
        <v>0</v>
      </c>
      <c r="E27" s="29">
        <f>'Hitung Per Bulan'!E27</f>
        <v>0</v>
      </c>
      <c r="F27" s="24">
        <v>0</v>
      </c>
      <c r="G27" s="29">
        <f>'Hitung Per Bulan'!G27</f>
        <v>0</v>
      </c>
    </row>
    <row r="28" spans="1:7" x14ac:dyDescent="0.45">
      <c r="A28" t="s">
        <v>11</v>
      </c>
      <c r="B28" t="s">
        <v>8</v>
      </c>
      <c r="C28" t="s">
        <v>22</v>
      </c>
      <c r="D28" s="24">
        <v>0</v>
      </c>
      <c r="E28" s="29">
        <f>'Hitung Per Bulan'!E28</f>
        <v>0</v>
      </c>
      <c r="F28" s="24">
        <v>0</v>
      </c>
      <c r="G28" s="29">
        <f>'Hitung Per Bulan'!G28</f>
        <v>0</v>
      </c>
    </row>
    <row r="29" spans="1:7" x14ac:dyDescent="0.45">
      <c r="A29" t="s">
        <v>12</v>
      </c>
      <c r="B29" t="s">
        <v>8</v>
      </c>
      <c r="C29" t="s">
        <v>22</v>
      </c>
      <c r="D29" s="24">
        <v>0</v>
      </c>
      <c r="E29" s="29" t="str">
        <f>'Hitung Per Bulan'!E29</f>
        <v/>
      </c>
      <c r="F29" s="24">
        <v>0</v>
      </c>
      <c r="G29" s="29" t="str">
        <f>'Hitung Per Bulan'!G29</f>
        <v/>
      </c>
    </row>
    <row r="30" spans="1:7" x14ac:dyDescent="0.45">
      <c r="A30" t="s">
        <v>13</v>
      </c>
      <c r="B30" t="s">
        <v>8</v>
      </c>
      <c r="C30" t="s">
        <v>22</v>
      </c>
      <c r="D30" s="24">
        <v>0</v>
      </c>
      <c r="E30" s="29" t="str">
        <f>'Hitung Per Bulan'!E30</f>
        <v/>
      </c>
      <c r="F30" s="24">
        <v>0</v>
      </c>
      <c r="G30" s="29" t="str">
        <f>'Hitung Per Bulan'!G30</f>
        <v/>
      </c>
    </row>
    <row r="31" spans="1:7" x14ac:dyDescent="0.45">
      <c r="A31" t="s">
        <v>14</v>
      </c>
      <c r="B31" t="s">
        <v>8</v>
      </c>
      <c r="C31" t="s">
        <v>22</v>
      </c>
      <c r="D31" s="24">
        <v>0</v>
      </c>
      <c r="E31" s="29" t="str">
        <f>'Hitung Per Bulan'!E31</f>
        <v/>
      </c>
      <c r="F31" s="24">
        <v>0</v>
      </c>
      <c r="G31" s="29" t="str">
        <f>'Hitung Per Bulan'!G31</f>
        <v/>
      </c>
    </row>
    <row r="32" spans="1:7" x14ac:dyDescent="0.45">
      <c r="A32" t="s">
        <v>15</v>
      </c>
      <c r="B32" t="s">
        <v>8</v>
      </c>
      <c r="C32" t="s">
        <v>22</v>
      </c>
      <c r="D32" s="24">
        <v>0</v>
      </c>
      <c r="E32" s="29" t="str">
        <f>'Hitung Per Bulan'!E32</f>
        <v/>
      </c>
      <c r="F32" s="24">
        <v>0</v>
      </c>
      <c r="G32" s="29" t="str">
        <f>'Hitung Per Bulan'!G32</f>
        <v/>
      </c>
    </row>
    <row r="33" spans="1:7" x14ac:dyDescent="0.45">
      <c r="A33" t="s">
        <v>16</v>
      </c>
      <c r="B33" t="s">
        <v>8</v>
      </c>
      <c r="C33" t="s">
        <v>22</v>
      </c>
      <c r="D33" s="24">
        <v>0</v>
      </c>
      <c r="E33" s="29" t="str">
        <f>'Hitung Per Bulan'!E33</f>
        <v/>
      </c>
      <c r="F33" s="24">
        <v>0</v>
      </c>
      <c r="G33" s="29" t="str">
        <f>'Hitung Per Bulan'!G33</f>
        <v/>
      </c>
    </row>
    <row r="34" spans="1:7" x14ac:dyDescent="0.45">
      <c r="A34" t="s">
        <v>17</v>
      </c>
      <c r="B34" t="s">
        <v>8</v>
      </c>
      <c r="C34" t="s">
        <v>22</v>
      </c>
      <c r="D34" s="24">
        <v>0</v>
      </c>
      <c r="E34" s="29" t="str">
        <f>'Hitung Per Bulan'!E34</f>
        <v/>
      </c>
      <c r="F34" s="24">
        <v>0</v>
      </c>
      <c r="G34" s="29" t="str">
        <f>'Hitung Per Bulan'!G34</f>
        <v/>
      </c>
    </row>
    <row r="35" spans="1:7" x14ac:dyDescent="0.45">
      <c r="A35" t="s">
        <v>18</v>
      </c>
      <c r="B35" t="s">
        <v>8</v>
      </c>
      <c r="C35" t="s">
        <v>22</v>
      </c>
      <c r="D35" s="24">
        <v>0</v>
      </c>
      <c r="E35" s="29" t="str">
        <f>'Hitung Per Bulan'!E35</f>
        <v/>
      </c>
      <c r="F35" s="24">
        <v>0</v>
      </c>
      <c r="G35" s="29" t="str">
        <f>'Hitung Per Bulan'!G35</f>
        <v/>
      </c>
    </row>
    <row r="36" spans="1:7" x14ac:dyDescent="0.45">
      <c r="A36" t="s">
        <v>19</v>
      </c>
      <c r="B36" t="s">
        <v>8</v>
      </c>
      <c r="C36" t="s">
        <v>22</v>
      </c>
      <c r="D36" s="24">
        <v>0</v>
      </c>
      <c r="E36" s="29" t="str">
        <f>'Hitung Per Bulan'!E36</f>
        <v/>
      </c>
      <c r="F36" s="24">
        <v>0</v>
      </c>
      <c r="G36" s="29" t="str">
        <f>'Hitung Per Bulan'!G36</f>
        <v/>
      </c>
    </row>
    <row r="37" spans="1:7" x14ac:dyDescent="0.45">
      <c r="A37" t="s">
        <v>20</v>
      </c>
      <c r="B37" t="s">
        <v>8</v>
      </c>
      <c r="C37" t="s">
        <v>22</v>
      </c>
      <c r="D37" s="24">
        <v>0</v>
      </c>
      <c r="E37" s="29" t="str">
        <f>'Hitung Per Bulan'!E37</f>
        <v/>
      </c>
      <c r="F37" s="24">
        <v>0</v>
      </c>
      <c r="G37" s="29" t="str">
        <f>'Hitung Per Bulan'!G37</f>
        <v/>
      </c>
    </row>
    <row r="38" spans="1:7" x14ac:dyDescent="0.45">
      <c r="A38" t="s">
        <v>7</v>
      </c>
      <c r="B38" t="s">
        <v>8</v>
      </c>
      <c r="C38" t="s">
        <v>23</v>
      </c>
      <c r="D38" s="24">
        <v>0</v>
      </c>
      <c r="E38" s="29">
        <f>'Hitung Per Bulan'!E38</f>
        <v>0</v>
      </c>
      <c r="F38" s="24">
        <v>0</v>
      </c>
      <c r="G38" s="29">
        <f>'Hitung Per Bulan'!G38</f>
        <v>0</v>
      </c>
    </row>
    <row r="39" spans="1:7" x14ac:dyDescent="0.45">
      <c r="A39" t="s">
        <v>10</v>
      </c>
      <c r="B39" t="s">
        <v>8</v>
      </c>
      <c r="C39" t="s">
        <v>23</v>
      </c>
      <c r="D39" s="24">
        <v>0</v>
      </c>
      <c r="E39" s="29">
        <f>'Hitung Per Bulan'!E39</f>
        <v>0</v>
      </c>
      <c r="F39" s="24">
        <v>0</v>
      </c>
      <c r="G39" s="29">
        <f>'Hitung Per Bulan'!G39</f>
        <v>0</v>
      </c>
    </row>
    <row r="40" spans="1:7" x14ac:dyDescent="0.45">
      <c r="A40" t="s">
        <v>11</v>
      </c>
      <c r="B40" t="s">
        <v>8</v>
      </c>
      <c r="C40" t="s">
        <v>23</v>
      </c>
      <c r="D40" s="24">
        <v>0</v>
      </c>
      <c r="E40" s="29">
        <f>'Hitung Per Bulan'!E40</f>
        <v>0</v>
      </c>
      <c r="F40" s="24">
        <v>0</v>
      </c>
      <c r="G40" s="29">
        <f>'Hitung Per Bulan'!G40</f>
        <v>0</v>
      </c>
    </row>
    <row r="41" spans="1:7" x14ac:dyDescent="0.45">
      <c r="A41" t="s">
        <v>12</v>
      </c>
      <c r="B41" t="s">
        <v>8</v>
      </c>
      <c r="C41" t="s">
        <v>23</v>
      </c>
      <c r="D41" s="24">
        <v>0</v>
      </c>
      <c r="E41" s="29" t="str">
        <f>'Hitung Per Bulan'!E41</f>
        <v/>
      </c>
      <c r="F41" s="24">
        <v>0</v>
      </c>
      <c r="G41" s="29" t="str">
        <f>'Hitung Per Bulan'!G41</f>
        <v/>
      </c>
    </row>
    <row r="42" spans="1:7" x14ac:dyDescent="0.45">
      <c r="A42" t="s">
        <v>13</v>
      </c>
      <c r="B42" t="s">
        <v>8</v>
      </c>
      <c r="C42" t="s">
        <v>23</v>
      </c>
      <c r="D42" s="24">
        <v>0</v>
      </c>
      <c r="E42" s="29" t="str">
        <f>'Hitung Per Bulan'!E42</f>
        <v/>
      </c>
      <c r="F42" s="24">
        <v>0</v>
      </c>
      <c r="G42" s="29" t="str">
        <f>'Hitung Per Bulan'!G42</f>
        <v/>
      </c>
    </row>
    <row r="43" spans="1:7" x14ac:dyDescent="0.45">
      <c r="A43" t="s">
        <v>14</v>
      </c>
      <c r="B43" t="s">
        <v>8</v>
      </c>
      <c r="C43" t="s">
        <v>23</v>
      </c>
      <c r="D43" s="24">
        <v>1600000000</v>
      </c>
      <c r="E43" s="29" t="str">
        <f>'Hitung Per Bulan'!E43</f>
        <v/>
      </c>
      <c r="F43" s="24">
        <v>0</v>
      </c>
      <c r="G43" s="29" t="str">
        <f>'Hitung Per Bulan'!G43</f>
        <v/>
      </c>
    </row>
    <row r="44" spans="1:7" x14ac:dyDescent="0.45">
      <c r="A44" t="s">
        <v>15</v>
      </c>
      <c r="B44" t="s">
        <v>8</v>
      </c>
      <c r="C44" t="s">
        <v>23</v>
      </c>
      <c r="D44" s="24">
        <v>0</v>
      </c>
      <c r="E44" s="29" t="str">
        <f>'Hitung Per Bulan'!E44</f>
        <v/>
      </c>
      <c r="F44" s="24">
        <v>0</v>
      </c>
      <c r="G44" s="29" t="str">
        <f>'Hitung Per Bulan'!G44</f>
        <v/>
      </c>
    </row>
    <row r="45" spans="1:7" x14ac:dyDescent="0.45">
      <c r="A45" t="s">
        <v>16</v>
      </c>
      <c r="B45" t="s">
        <v>8</v>
      </c>
      <c r="C45" t="s">
        <v>23</v>
      </c>
      <c r="D45" s="24">
        <v>0</v>
      </c>
      <c r="E45" s="29" t="str">
        <f>'Hitung Per Bulan'!E45</f>
        <v/>
      </c>
      <c r="F45" s="24">
        <v>1600000000</v>
      </c>
      <c r="G45" s="29" t="str">
        <f>'Hitung Per Bulan'!G45</f>
        <v/>
      </c>
    </row>
    <row r="46" spans="1:7" x14ac:dyDescent="0.45">
      <c r="A46" t="s">
        <v>17</v>
      </c>
      <c r="B46" t="s">
        <v>8</v>
      </c>
      <c r="C46" t="s">
        <v>23</v>
      </c>
      <c r="D46" s="24">
        <v>0</v>
      </c>
      <c r="E46" s="29" t="str">
        <f>'Hitung Per Bulan'!E46</f>
        <v/>
      </c>
      <c r="F46" s="24">
        <v>0</v>
      </c>
      <c r="G46" s="29" t="str">
        <f>'Hitung Per Bulan'!G46</f>
        <v/>
      </c>
    </row>
    <row r="47" spans="1:7" x14ac:dyDescent="0.45">
      <c r="A47" t="s">
        <v>18</v>
      </c>
      <c r="B47" t="s">
        <v>8</v>
      </c>
      <c r="C47" t="s">
        <v>23</v>
      </c>
      <c r="D47" s="24">
        <v>0</v>
      </c>
      <c r="E47" s="29" t="str">
        <f>'Hitung Per Bulan'!E47</f>
        <v/>
      </c>
      <c r="F47" s="24">
        <v>0</v>
      </c>
      <c r="G47" s="29" t="str">
        <f>'Hitung Per Bulan'!G47</f>
        <v/>
      </c>
    </row>
    <row r="48" spans="1:7" x14ac:dyDescent="0.45">
      <c r="A48" t="s">
        <v>19</v>
      </c>
      <c r="B48" t="s">
        <v>8</v>
      </c>
      <c r="C48" t="s">
        <v>23</v>
      </c>
      <c r="D48" s="24">
        <v>0</v>
      </c>
      <c r="E48" s="29" t="str">
        <f>'Hitung Per Bulan'!E48</f>
        <v/>
      </c>
      <c r="F48" s="24">
        <v>0</v>
      </c>
      <c r="G48" s="29" t="str">
        <f>'Hitung Per Bulan'!G48</f>
        <v/>
      </c>
    </row>
    <row r="49" spans="1:7" x14ac:dyDescent="0.45">
      <c r="A49" t="s">
        <v>20</v>
      </c>
      <c r="B49" t="s">
        <v>8</v>
      </c>
      <c r="C49" t="s">
        <v>23</v>
      </c>
      <c r="D49" s="24">
        <v>0</v>
      </c>
      <c r="E49" s="29" t="str">
        <f>'Hitung Per Bulan'!E49</f>
        <v/>
      </c>
      <c r="F49" s="24">
        <v>0</v>
      </c>
      <c r="G49" s="29" t="str">
        <f>'Hitung Per Bulan'!G49</f>
        <v/>
      </c>
    </row>
    <row r="50" spans="1:7" x14ac:dyDescent="0.45">
      <c r="A50" t="s">
        <v>7</v>
      </c>
      <c r="B50" t="s">
        <v>8</v>
      </c>
      <c r="C50" t="s">
        <v>24</v>
      </c>
      <c r="D50" s="24">
        <v>0</v>
      </c>
      <c r="E50" s="29">
        <f>'Hitung Per Bulan'!E50</f>
        <v>0</v>
      </c>
      <c r="F50" s="24">
        <v>0</v>
      </c>
      <c r="G50" s="29">
        <f>'Hitung Per Bulan'!G50</f>
        <v>0</v>
      </c>
    </row>
    <row r="51" spans="1:7" x14ac:dyDescent="0.45">
      <c r="A51" t="s">
        <v>10</v>
      </c>
      <c r="B51" t="s">
        <v>8</v>
      </c>
      <c r="C51" t="s">
        <v>24</v>
      </c>
      <c r="D51" s="24">
        <v>0</v>
      </c>
      <c r="E51" s="29">
        <f>'Hitung Per Bulan'!E51</f>
        <v>20986164</v>
      </c>
      <c r="F51" s="24">
        <v>0</v>
      </c>
      <c r="G51" s="29">
        <f>'Hitung Per Bulan'!G51</f>
        <v>0</v>
      </c>
    </row>
    <row r="52" spans="1:7" x14ac:dyDescent="0.45">
      <c r="A52" t="s">
        <v>11</v>
      </c>
      <c r="B52" t="s">
        <v>8</v>
      </c>
      <c r="C52" t="s">
        <v>24</v>
      </c>
      <c r="D52" s="24">
        <v>0</v>
      </c>
      <c r="E52" s="29">
        <f>'Hitung Per Bulan'!E52</f>
        <v>0</v>
      </c>
      <c r="F52" s="24">
        <v>0</v>
      </c>
      <c r="G52" s="29">
        <f>'Hitung Per Bulan'!G52</f>
        <v>0</v>
      </c>
    </row>
    <row r="53" spans="1:7" x14ac:dyDescent="0.45">
      <c r="A53" t="s">
        <v>12</v>
      </c>
      <c r="B53" t="s">
        <v>8</v>
      </c>
      <c r="C53" t="s">
        <v>24</v>
      </c>
      <c r="D53" s="24">
        <v>0</v>
      </c>
      <c r="E53" s="29" t="str">
        <f>'Hitung Per Bulan'!E53</f>
        <v/>
      </c>
      <c r="F53" s="24">
        <v>0</v>
      </c>
      <c r="G53" s="29" t="str">
        <f>'Hitung Per Bulan'!G53</f>
        <v/>
      </c>
    </row>
    <row r="54" spans="1:7" x14ac:dyDescent="0.45">
      <c r="A54" t="s">
        <v>13</v>
      </c>
      <c r="B54" t="s">
        <v>8</v>
      </c>
      <c r="C54" t="s">
        <v>24</v>
      </c>
      <c r="D54" s="24">
        <v>500000000</v>
      </c>
      <c r="E54" s="29" t="str">
        <f>'Hitung Per Bulan'!E54</f>
        <v/>
      </c>
      <c r="F54" s="24">
        <v>0</v>
      </c>
      <c r="G54" s="29" t="str">
        <f>'Hitung Per Bulan'!G54</f>
        <v/>
      </c>
    </row>
    <row r="55" spans="1:7" x14ac:dyDescent="0.45">
      <c r="A55" t="s">
        <v>14</v>
      </c>
      <c r="B55" t="s">
        <v>8</v>
      </c>
      <c r="C55" t="s">
        <v>24</v>
      </c>
      <c r="D55" s="24">
        <v>0</v>
      </c>
      <c r="E55" s="29" t="str">
        <f>'Hitung Per Bulan'!E55</f>
        <v/>
      </c>
      <c r="F55" s="24">
        <v>0</v>
      </c>
      <c r="G55" s="29" t="str">
        <f>'Hitung Per Bulan'!G55</f>
        <v/>
      </c>
    </row>
    <row r="56" spans="1:7" x14ac:dyDescent="0.45">
      <c r="A56" t="s">
        <v>15</v>
      </c>
      <c r="B56" t="s">
        <v>8</v>
      </c>
      <c r="C56" t="s">
        <v>24</v>
      </c>
      <c r="D56" s="24">
        <v>0</v>
      </c>
      <c r="E56" s="29" t="str">
        <f>'Hitung Per Bulan'!E56</f>
        <v/>
      </c>
      <c r="F56" s="24">
        <v>500000000</v>
      </c>
      <c r="G56" s="29" t="str">
        <f>'Hitung Per Bulan'!G56</f>
        <v/>
      </c>
    </row>
    <row r="57" spans="1:7" x14ac:dyDescent="0.45">
      <c r="A57" t="s">
        <v>16</v>
      </c>
      <c r="B57" t="s">
        <v>8</v>
      </c>
      <c r="C57" t="s">
        <v>24</v>
      </c>
      <c r="D57" s="24">
        <v>0</v>
      </c>
      <c r="E57" s="29" t="str">
        <f>'Hitung Per Bulan'!E57</f>
        <v/>
      </c>
      <c r="F57" s="24">
        <v>0</v>
      </c>
      <c r="G57" s="29" t="str">
        <f>'Hitung Per Bulan'!G57</f>
        <v/>
      </c>
    </row>
    <row r="58" spans="1:7" x14ac:dyDescent="0.45">
      <c r="A58" t="s">
        <v>17</v>
      </c>
      <c r="B58" t="s">
        <v>8</v>
      </c>
      <c r="C58" t="s">
        <v>24</v>
      </c>
      <c r="D58" s="24">
        <v>0</v>
      </c>
      <c r="E58" s="29" t="str">
        <f>'Hitung Per Bulan'!E58</f>
        <v/>
      </c>
      <c r="F58" s="24">
        <v>0</v>
      </c>
      <c r="G58" s="29" t="str">
        <f>'Hitung Per Bulan'!G58</f>
        <v/>
      </c>
    </row>
    <row r="59" spans="1:7" x14ac:dyDescent="0.45">
      <c r="A59" t="s">
        <v>18</v>
      </c>
      <c r="B59" t="s">
        <v>8</v>
      </c>
      <c r="C59" t="s">
        <v>24</v>
      </c>
      <c r="D59" s="24">
        <v>0</v>
      </c>
      <c r="E59" s="29" t="str">
        <f>'Hitung Per Bulan'!E59</f>
        <v/>
      </c>
      <c r="F59" s="24">
        <v>0</v>
      </c>
      <c r="G59" s="29" t="str">
        <f>'Hitung Per Bulan'!G59</f>
        <v/>
      </c>
    </row>
    <row r="60" spans="1:7" x14ac:dyDescent="0.45">
      <c r="A60" t="s">
        <v>19</v>
      </c>
      <c r="B60" t="s">
        <v>8</v>
      </c>
      <c r="C60" t="s">
        <v>24</v>
      </c>
      <c r="D60" s="24">
        <v>0</v>
      </c>
      <c r="E60" s="29" t="str">
        <f>'Hitung Per Bulan'!E60</f>
        <v/>
      </c>
      <c r="F60" s="24">
        <v>0</v>
      </c>
      <c r="G60" s="29" t="str">
        <f>'Hitung Per Bulan'!G60</f>
        <v/>
      </c>
    </row>
    <row r="61" spans="1:7" x14ac:dyDescent="0.45">
      <c r="A61" t="s">
        <v>20</v>
      </c>
      <c r="B61" t="s">
        <v>8</v>
      </c>
      <c r="C61" t="s">
        <v>24</v>
      </c>
      <c r="D61" s="24">
        <v>0</v>
      </c>
      <c r="E61" s="29" t="str">
        <f>'Hitung Per Bulan'!E61</f>
        <v/>
      </c>
      <c r="F61" s="24">
        <v>0</v>
      </c>
      <c r="G61" s="29" t="str">
        <f>'Hitung Per Bulan'!G61</f>
        <v/>
      </c>
    </row>
    <row r="62" spans="1:7" x14ac:dyDescent="0.45">
      <c r="A62" t="s">
        <v>7</v>
      </c>
      <c r="B62" t="s">
        <v>8</v>
      </c>
      <c r="C62" t="s">
        <v>25</v>
      </c>
      <c r="D62" s="24">
        <v>163000000</v>
      </c>
      <c r="E62" s="29">
        <f>'Hitung Per Bulan'!E62</f>
        <v>186171889</v>
      </c>
      <c r="F62" s="24">
        <v>113000000</v>
      </c>
      <c r="G62" s="29">
        <f>'Hitung Per Bulan'!G62</f>
        <v>121841700</v>
      </c>
    </row>
    <row r="63" spans="1:7" x14ac:dyDescent="0.45">
      <c r="A63" t="s">
        <v>10</v>
      </c>
      <c r="B63" t="s">
        <v>8</v>
      </c>
      <c r="C63" t="s">
        <v>25</v>
      </c>
      <c r="D63" s="24">
        <v>243000000</v>
      </c>
      <c r="E63" s="29">
        <f>'Hitung Per Bulan'!E63</f>
        <v>171284525</v>
      </c>
      <c r="F63" s="24">
        <v>243000000</v>
      </c>
      <c r="G63" s="29">
        <f>'Hitung Per Bulan'!G63</f>
        <v>143833500</v>
      </c>
    </row>
    <row r="64" spans="1:7" x14ac:dyDescent="0.45">
      <c r="A64" t="s">
        <v>11</v>
      </c>
      <c r="B64" t="s">
        <v>8</v>
      </c>
      <c r="C64" t="s">
        <v>25</v>
      </c>
      <c r="D64" s="24">
        <v>443000000</v>
      </c>
      <c r="E64" s="29">
        <f>'Hitung Per Bulan'!E64</f>
        <v>17675000</v>
      </c>
      <c r="F64" s="24">
        <v>243000000</v>
      </c>
      <c r="G64" s="29">
        <f>'Hitung Per Bulan'!G64</f>
        <v>17675000</v>
      </c>
    </row>
    <row r="65" spans="1:7" x14ac:dyDescent="0.45">
      <c r="A65" t="s">
        <v>12</v>
      </c>
      <c r="B65" t="s">
        <v>8</v>
      </c>
      <c r="C65" t="s">
        <v>25</v>
      </c>
      <c r="D65" s="24">
        <f>1993000000+500000000</f>
        <v>2493000000</v>
      </c>
      <c r="E65" s="29" t="str">
        <f>'Hitung Per Bulan'!E65</f>
        <v/>
      </c>
      <c r="F65" s="24">
        <v>1243000000</v>
      </c>
      <c r="G65" s="29" t="str">
        <f>'Hitung Per Bulan'!G65</f>
        <v/>
      </c>
    </row>
    <row r="66" spans="1:7" x14ac:dyDescent="0.45">
      <c r="A66" t="s">
        <v>13</v>
      </c>
      <c r="B66" t="s">
        <v>8</v>
      </c>
      <c r="C66" t="s">
        <v>25</v>
      </c>
      <c r="D66" s="24">
        <v>593000000</v>
      </c>
      <c r="E66" s="29" t="str">
        <f>'Hitung Per Bulan'!E66</f>
        <v/>
      </c>
      <c r="F66" s="24">
        <f>593000000+1500000000</f>
        <v>2093000000</v>
      </c>
      <c r="G66" s="29" t="str">
        <f>'Hitung Per Bulan'!G66</f>
        <v/>
      </c>
    </row>
    <row r="67" spans="1:7" x14ac:dyDescent="0.45">
      <c r="A67" t="s">
        <v>14</v>
      </c>
      <c r="B67" t="s">
        <v>8</v>
      </c>
      <c r="C67" t="s">
        <v>25</v>
      </c>
      <c r="D67" s="24">
        <f>513000000+1000000000</f>
        <v>1513000000</v>
      </c>
      <c r="E67" s="29" t="str">
        <f>'Hitung Per Bulan'!E67</f>
        <v/>
      </c>
      <c r="F67" s="24">
        <v>1043000000</v>
      </c>
      <c r="G67" s="29" t="str">
        <f>'Hitung Per Bulan'!G67</f>
        <v/>
      </c>
    </row>
    <row r="68" spans="1:7" x14ac:dyDescent="0.45">
      <c r="A68" t="s">
        <v>15</v>
      </c>
      <c r="B68" t="s">
        <v>8</v>
      </c>
      <c r="C68" t="s">
        <v>25</v>
      </c>
      <c r="D68" s="24">
        <v>943000000</v>
      </c>
      <c r="E68" s="29" t="str">
        <f>'Hitung Per Bulan'!E68</f>
        <v/>
      </c>
      <c r="F68" s="24">
        <v>963000000</v>
      </c>
      <c r="G68" s="29" t="str">
        <f>'Hitung Per Bulan'!G68</f>
        <v/>
      </c>
    </row>
    <row r="69" spans="1:7" x14ac:dyDescent="0.45">
      <c r="A69" t="s">
        <v>16</v>
      </c>
      <c r="B69" t="s">
        <v>8</v>
      </c>
      <c r="C69" t="s">
        <v>25</v>
      </c>
      <c r="D69" s="24">
        <v>543000000</v>
      </c>
      <c r="E69" s="29" t="str">
        <f>'Hitung Per Bulan'!E69</f>
        <v/>
      </c>
      <c r="F69" s="24">
        <v>443000000</v>
      </c>
      <c r="G69" s="29" t="str">
        <f>'Hitung Per Bulan'!G69</f>
        <v/>
      </c>
    </row>
    <row r="70" spans="1:7" x14ac:dyDescent="0.45">
      <c r="A70" t="s">
        <v>17</v>
      </c>
      <c r="B70" t="s">
        <v>8</v>
      </c>
      <c r="C70" t="s">
        <v>25</v>
      </c>
      <c r="D70" s="24">
        <v>293000000</v>
      </c>
      <c r="E70" s="29" t="str">
        <f>'Hitung Per Bulan'!E70</f>
        <v/>
      </c>
      <c r="F70" s="24">
        <v>493000000</v>
      </c>
      <c r="G70" s="29" t="str">
        <f>'Hitung Per Bulan'!G70</f>
        <v/>
      </c>
    </row>
    <row r="71" spans="1:7" x14ac:dyDescent="0.45">
      <c r="A71" t="s">
        <v>18</v>
      </c>
      <c r="B71" t="s">
        <v>8</v>
      </c>
      <c r="C71" t="s">
        <v>25</v>
      </c>
      <c r="D71" s="24">
        <v>413000000</v>
      </c>
      <c r="E71" s="29" t="str">
        <f>'Hitung Per Bulan'!E71</f>
        <v/>
      </c>
      <c r="F71" s="24">
        <v>663000000</v>
      </c>
      <c r="G71" s="29" t="str">
        <f>'Hitung Per Bulan'!G71</f>
        <v/>
      </c>
    </row>
    <row r="72" spans="1:7" x14ac:dyDescent="0.45">
      <c r="A72" t="s">
        <v>19</v>
      </c>
      <c r="B72" t="s">
        <v>8</v>
      </c>
      <c r="C72" t="s">
        <v>25</v>
      </c>
      <c r="D72" s="24">
        <v>193000000</v>
      </c>
      <c r="E72" s="29" t="str">
        <f>'Hitung Per Bulan'!E72</f>
        <v/>
      </c>
      <c r="F72" s="24">
        <v>293000000</v>
      </c>
      <c r="G72" s="29" t="str">
        <f>'Hitung Per Bulan'!G72</f>
        <v/>
      </c>
    </row>
    <row r="73" spans="1:7" x14ac:dyDescent="0.45">
      <c r="A73" t="s">
        <v>20</v>
      </c>
      <c r="B73" t="s">
        <v>8</v>
      </c>
      <c r="C73" t="s">
        <v>25</v>
      </c>
      <c r="D73" s="24">
        <v>113000000</v>
      </c>
      <c r="E73" s="29" t="str">
        <f>'Hitung Per Bulan'!E73</f>
        <v/>
      </c>
      <c r="F73" s="24">
        <v>113000000</v>
      </c>
      <c r="G73" s="29" t="str">
        <f>'Hitung Per Bulan'!G73</f>
        <v/>
      </c>
    </row>
    <row r="74" spans="1:7" x14ac:dyDescent="0.45">
      <c r="A74" t="s">
        <v>7</v>
      </c>
      <c r="B74" t="s">
        <v>8</v>
      </c>
      <c r="C74" t="s">
        <v>26</v>
      </c>
      <c r="D74" s="24">
        <v>310000000</v>
      </c>
      <c r="E74" s="29">
        <f>'Hitung Per Bulan'!E74</f>
        <v>275097724</v>
      </c>
      <c r="F74" s="24">
        <v>310000000</v>
      </c>
      <c r="G74" s="29">
        <f>'Hitung Per Bulan'!G74</f>
        <v>275097724</v>
      </c>
    </row>
    <row r="75" spans="1:7" x14ac:dyDescent="0.45">
      <c r="A75" t="s">
        <v>10</v>
      </c>
      <c r="B75" t="s">
        <v>8</v>
      </c>
      <c r="C75" t="s">
        <v>26</v>
      </c>
      <c r="D75" s="24">
        <v>310000000</v>
      </c>
      <c r="E75" s="29">
        <f>'Hitung Per Bulan'!E75</f>
        <v>626594334</v>
      </c>
      <c r="F75" s="24">
        <v>310000000</v>
      </c>
      <c r="G75" s="29">
        <f>'Hitung Per Bulan'!G75</f>
        <v>626594334</v>
      </c>
    </row>
    <row r="76" spans="1:7" x14ac:dyDescent="0.45">
      <c r="A76" t="s">
        <v>11</v>
      </c>
      <c r="B76" t="s">
        <v>8</v>
      </c>
      <c r="C76" t="s">
        <v>26</v>
      </c>
      <c r="D76" s="24">
        <v>310000000</v>
      </c>
      <c r="E76" s="29">
        <f>'Hitung Per Bulan'!E76</f>
        <v>222548548</v>
      </c>
      <c r="F76" s="24">
        <v>310000000</v>
      </c>
      <c r="G76" s="29">
        <f>'Hitung Per Bulan'!G76</f>
        <v>0</v>
      </c>
    </row>
    <row r="77" spans="1:7" x14ac:dyDescent="0.45">
      <c r="A77" t="s">
        <v>12</v>
      </c>
      <c r="B77" t="s">
        <v>8</v>
      </c>
      <c r="C77" t="s">
        <v>26</v>
      </c>
      <c r="D77" s="24">
        <v>420000000</v>
      </c>
      <c r="E77" s="29" t="str">
        <f>'Hitung Per Bulan'!E77</f>
        <v/>
      </c>
      <c r="F77" s="24">
        <v>420000000</v>
      </c>
      <c r="G77" s="29" t="str">
        <f>'Hitung Per Bulan'!G77</f>
        <v/>
      </c>
    </row>
    <row r="78" spans="1:7" x14ac:dyDescent="0.45">
      <c r="A78" t="s">
        <v>13</v>
      </c>
      <c r="B78" t="s">
        <v>8</v>
      </c>
      <c r="C78" t="s">
        <v>26</v>
      </c>
      <c r="D78" s="24">
        <v>420000000</v>
      </c>
      <c r="E78" s="29" t="str">
        <f>'Hitung Per Bulan'!E78</f>
        <v/>
      </c>
      <c r="F78" s="24">
        <v>420000000</v>
      </c>
      <c r="G78" s="29" t="str">
        <f>'Hitung Per Bulan'!G78</f>
        <v/>
      </c>
    </row>
    <row r="79" spans="1:7" x14ac:dyDescent="0.45">
      <c r="A79" t="s">
        <v>14</v>
      </c>
      <c r="B79" t="s">
        <v>8</v>
      </c>
      <c r="C79" t="s">
        <v>26</v>
      </c>
      <c r="D79" s="24">
        <v>420000000</v>
      </c>
      <c r="E79" s="29" t="str">
        <f>'Hitung Per Bulan'!E79</f>
        <v/>
      </c>
      <c r="F79" s="24">
        <v>420000000</v>
      </c>
      <c r="G79" s="29" t="str">
        <f>'Hitung Per Bulan'!G79</f>
        <v/>
      </c>
    </row>
    <row r="80" spans="1:7" x14ac:dyDescent="0.45">
      <c r="A80" t="s">
        <v>15</v>
      </c>
      <c r="B80" t="s">
        <v>8</v>
      </c>
      <c r="C80" t="s">
        <v>26</v>
      </c>
      <c r="D80" s="24">
        <v>420000000</v>
      </c>
      <c r="E80" s="29" t="str">
        <f>'Hitung Per Bulan'!E80</f>
        <v/>
      </c>
      <c r="F80" s="24">
        <v>420000000</v>
      </c>
      <c r="G80" s="29" t="str">
        <f>'Hitung Per Bulan'!G80</f>
        <v/>
      </c>
    </row>
    <row r="81" spans="1:7" x14ac:dyDescent="0.45">
      <c r="A81" t="s">
        <v>16</v>
      </c>
      <c r="B81" t="s">
        <v>8</v>
      </c>
      <c r="C81" t="s">
        <v>26</v>
      </c>
      <c r="D81" s="24">
        <v>370000000</v>
      </c>
      <c r="E81" s="29" t="str">
        <f>'Hitung Per Bulan'!E81</f>
        <v/>
      </c>
      <c r="F81" s="24">
        <v>370000000</v>
      </c>
      <c r="G81" s="29" t="str">
        <f>'Hitung Per Bulan'!G81</f>
        <v/>
      </c>
    </row>
    <row r="82" spans="1:7" x14ac:dyDescent="0.45">
      <c r="A82" t="s">
        <v>17</v>
      </c>
      <c r="B82" t="s">
        <v>8</v>
      </c>
      <c r="C82" t="s">
        <v>26</v>
      </c>
      <c r="D82" s="24">
        <v>400000000</v>
      </c>
      <c r="E82" s="29" t="str">
        <f>'Hitung Per Bulan'!E82</f>
        <v/>
      </c>
      <c r="F82" s="24">
        <v>400000000</v>
      </c>
      <c r="G82" s="29" t="str">
        <f>'Hitung Per Bulan'!G82</f>
        <v/>
      </c>
    </row>
    <row r="83" spans="1:7" x14ac:dyDescent="0.45">
      <c r="A83" t="s">
        <v>18</v>
      </c>
      <c r="B83" t="s">
        <v>8</v>
      </c>
      <c r="C83" t="s">
        <v>26</v>
      </c>
      <c r="D83" s="24">
        <v>400000000</v>
      </c>
      <c r="E83" s="29" t="str">
        <f>'Hitung Per Bulan'!E83</f>
        <v/>
      </c>
      <c r="F83" s="24">
        <v>400000000</v>
      </c>
      <c r="G83" s="29" t="str">
        <f>'Hitung Per Bulan'!G83</f>
        <v/>
      </c>
    </row>
    <row r="84" spans="1:7" x14ac:dyDescent="0.45">
      <c r="A84" t="s">
        <v>19</v>
      </c>
      <c r="B84" t="s">
        <v>8</v>
      </c>
      <c r="C84" t="s">
        <v>26</v>
      </c>
      <c r="D84" s="24">
        <v>400000000</v>
      </c>
      <c r="E84" s="29" t="str">
        <f>'Hitung Per Bulan'!E84</f>
        <v/>
      </c>
      <c r="F84" s="24">
        <v>400000000</v>
      </c>
      <c r="G84" s="29" t="str">
        <f>'Hitung Per Bulan'!G84</f>
        <v/>
      </c>
    </row>
    <row r="85" spans="1:7" x14ac:dyDescent="0.45">
      <c r="A85" t="s">
        <v>20</v>
      </c>
      <c r="B85" t="s">
        <v>8</v>
      </c>
      <c r="C85" t="s">
        <v>26</v>
      </c>
      <c r="D85" s="24">
        <v>320000000</v>
      </c>
      <c r="E85" s="29" t="str">
        <f>'Hitung Per Bulan'!E85</f>
        <v/>
      </c>
      <c r="F85" s="24">
        <v>320000000</v>
      </c>
      <c r="G85" s="29" t="str">
        <f>'Hitung Per Bulan'!G85</f>
        <v/>
      </c>
    </row>
    <row r="86" spans="1:7" x14ac:dyDescent="0.45">
      <c r="A86" t="s">
        <v>7</v>
      </c>
      <c r="B86" t="s">
        <v>27</v>
      </c>
      <c r="C86" t="s">
        <v>9</v>
      </c>
      <c r="D86" s="24">
        <v>4665461000</v>
      </c>
      <c r="E86" s="29">
        <f>'Hitung Per Bulan'!E86</f>
        <v>6757574628</v>
      </c>
      <c r="F86" s="24">
        <v>0</v>
      </c>
      <c r="G86" s="29">
        <f>'Hitung Per Bulan'!G86</f>
        <v>0</v>
      </c>
    </row>
    <row r="87" spans="1:7" x14ac:dyDescent="0.45">
      <c r="A87" t="s">
        <v>10</v>
      </c>
      <c r="B87" t="s">
        <v>27</v>
      </c>
      <c r="C87" t="s">
        <v>9</v>
      </c>
      <c r="D87" s="24">
        <v>11366334000</v>
      </c>
      <c r="E87" s="29">
        <f>'Hitung Per Bulan'!E87</f>
        <v>10678407138</v>
      </c>
      <c r="F87" s="24">
        <v>25000000</v>
      </c>
      <c r="G87" s="29">
        <f>'Hitung Per Bulan'!G87</f>
        <v>0</v>
      </c>
    </row>
    <row r="88" spans="1:7" x14ac:dyDescent="0.45">
      <c r="A88" t="s">
        <v>11</v>
      </c>
      <c r="B88" t="s">
        <v>27</v>
      </c>
      <c r="C88" t="s">
        <v>9</v>
      </c>
      <c r="D88" s="24">
        <v>2740514000</v>
      </c>
      <c r="E88" s="29">
        <f>'Hitung Per Bulan'!E88</f>
        <v>2389907781</v>
      </c>
      <c r="F88" s="24">
        <v>190000000</v>
      </c>
      <c r="G88" s="29">
        <f>'Hitung Per Bulan'!G88</f>
        <v>89970000</v>
      </c>
    </row>
    <row r="89" spans="1:7" x14ac:dyDescent="0.45">
      <c r="A89" t="s">
        <v>12</v>
      </c>
      <c r="B89" t="s">
        <v>27</v>
      </c>
      <c r="C89" t="s">
        <v>9</v>
      </c>
      <c r="D89" s="24">
        <v>6894664000</v>
      </c>
      <c r="E89" s="29" t="str">
        <f>'Hitung Per Bulan'!E89</f>
        <v/>
      </c>
      <c r="F89" s="24">
        <v>395000000</v>
      </c>
      <c r="G89" s="29" t="str">
        <f>'Hitung Per Bulan'!G89</f>
        <v/>
      </c>
    </row>
    <row r="90" spans="1:7" x14ac:dyDescent="0.45">
      <c r="A90" t="s">
        <v>13</v>
      </c>
      <c r="B90" t="s">
        <v>27</v>
      </c>
      <c r="C90" t="s">
        <v>9</v>
      </c>
      <c r="D90" s="24">
        <v>8472689000</v>
      </c>
      <c r="E90" s="29" t="str">
        <f>'Hitung Per Bulan'!E90</f>
        <v/>
      </c>
      <c r="F90" s="24">
        <v>265000000</v>
      </c>
      <c r="G90" s="29" t="str">
        <f>'Hitung Per Bulan'!G90</f>
        <v/>
      </c>
    </row>
    <row r="91" spans="1:7" x14ac:dyDescent="0.45">
      <c r="A91" t="s">
        <v>14</v>
      </c>
      <c r="B91" t="s">
        <v>27</v>
      </c>
      <c r="C91" t="s">
        <v>9</v>
      </c>
      <c r="D91" s="24">
        <v>4435000000</v>
      </c>
      <c r="E91" s="29" t="str">
        <f>'Hitung Per Bulan'!E91</f>
        <v/>
      </c>
      <c r="F91" s="24">
        <v>522951000</v>
      </c>
      <c r="G91" s="29" t="str">
        <f>'Hitung Per Bulan'!G91</f>
        <v/>
      </c>
    </row>
    <row r="92" spans="1:7" x14ac:dyDescent="0.45">
      <c r="A92" t="s">
        <v>15</v>
      </c>
      <c r="B92" t="s">
        <v>27</v>
      </c>
      <c r="C92" t="s">
        <v>9</v>
      </c>
      <c r="D92" s="24">
        <v>4737908000</v>
      </c>
      <c r="E92" s="29" t="str">
        <f>'Hitung Per Bulan'!E92</f>
        <v/>
      </c>
      <c r="F92" s="24">
        <v>715000000</v>
      </c>
      <c r="G92" s="29" t="str">
        <f>'Hitung Per Bulan'!G92</f>
        <v/>
      </c>
    </row>
    <row r="93" spans="1:7" x14ac:dyDescent="0.45">
      <c r="A93" t="s">
        <v>16</v>
      </c>
      <c r="B93" t="s">
        <v>27</v>
      </c>
      <c r="C93" t="s">
        <v>9</v>
      </c>
      <c r="D93" s="24">
        <v>3937205000</v>
      </c>
      <c r="E93" s="29" t="str">
        <f>'Hitung Per Bulan'!E93</f>
        <v/>
      </c>
      <c r="F93" s="24">
        <v>3151788000</v>
      </c>
      <c r="G93" s="29" t="str">
        <f>'Hitung Per Bulan'!G93</f>
        <v/>
      </c>
    </row>
    <row r="94" spans="1:7" x14ac:dyDescent="0.45">
      <c r="A94" t="s">
        <v>17</v>
      </c>
      <c r="B94" t="s">
        <v>27</v>
      </c>
      <c r="C94" t="s">
        <v>9</v>
      </c>
      <c r="D94" s="24">
        <v>2045000000</v>
      </c>
      <c r="E94" s="29" t="str">
        <f>'Hitung Per Bulan'!E94</f>
        <v/>
      </c>
      <c r="F94" s="24">
        <v>2748727000</v>
      </c>
      <c r="G94" s="29" t="str">
        <f>'Hitung Per Bulan'!G94</f>
        <v/>
      </c>
    </row>
    <row r="95" spans="1:7" x14ac:dyDescent="0.45">
      <c r="A95" t="s">
        <v>18</v>
      </c>
      <c r="B95" t="s">
        <v>27</v>
      </c>
      <c r="C95" t="s">
        <v>9</v>
      </c>
      <c r="D95" s="24">
        <v>315000000</v>
      </c>
      <c r="E95" s="29" t="str">
        <f>'Hitung Per Bulan'!E95</f>
        <v/>
      </c>
      <c r="F95" s="24">
        <v>5334544000</v>
      </c>
      <c r="G95" s="29" t="str">
        <f>'Hitung Per Bulan'!G95</f>
        <v/>
      </c>
    </row>
    <row r="96" spans="1:7" x14ac:dyDescent="0.45">
      <c r="A96" t="s">
        <v>19</v>
      </c>
      <c r="B96" t="s">
        <v>27</v>
      </c>
      <c r="C96" t="s">
        <v>9</v>
      </c>
      <c r="D96" s="24">
        <v>520000000</v>
      </c>
      <c r="E96" s="29" t="str">
        <f>'Hitung Per Bulan'!E96</f>
        <v/>
      </c>
      <c r="F96" s="24">
        <v>17620156000</v>
      </c>
      <c r="G96" s="29" t="str">
        <f>'Hitung Per Bulan'!G96</f>
        <v/>
      </c>
    </row>
    <row r="97" spans="1:7" x14ac:dyDescent="0.45">
      <c r="A97" t="s">
        <v>20</v>
      </c>
      <c r="B97" t="s">
        <v>27</v>
      </c>
      <c r="C97" t="s">
        <v>9</v>
      </c>
      <c r="D97" s="24">
        <v>125000000</v>
      </c>
      <c r="E97" s="29" t="str">
        <f>'Hitung Per Bulan'!E97</f>
        <v/>
      </c>
      <c r="F97" s="24">
        <v>19286609000</v>
      </c>
      <c r="G97" s="29" t="str">
        <f>'Hitung Per Bulan'!G97</f>
        <v/>
      </c>
    </row>
    <row r="98" spans="1:7" x14ac:dyDescent="0.45">
      <c r="A98" t="s">
        <v>7</v>
      </c>
      <c r="B98" t="s">
        <v>27</v>
      </c>
      <c r="C98" t="s">
        <v>21</v>
      </c>
      <c r="D98" s="24">
        <v>35000000</v>
      </c>
      <c r="E98" s="29">
        <f>'Hitung Per Bulan'!E98</f>
        <v>34500000</v>
      </c>
      <c r="F98" s="24">
        <v>0</v>
      </c>
      <c r="G98" s="29">
        <f>'Hitung Per Bulan'!G98</f>
        <v>0</v>
      </c>
    </row>
    <row r="99" spans="1:7" x14ac:dyDescent="0.45">
      <c r="A99" t="s">
        <v>10</v>
      </c>
      <c r="B99" t="s">
        <v>27</v>
      </c>
      <c r="C99" t="s">
        <v>21</v>
      </c>
      <c r="D99" s="24">
        <v>635000000</v>
      </c>
      <c r="E99" s="29">
        <f>'Hitung Per Bulan'!E99</f>
        <v>113020000</v>
      </c>
      <c r="F99" s="24">
        <v>35000000</v>
      </c>
      <c r="G99" s="29">
        <f>'Hitung Per Bulan'!G99</f>
        <v>34500000</v>
      </c>
    </row>
    <row r="100" spans="1:7" x14ac:dyDescent="0.45">
      <c r="A100" t="s">
        <v>11</v>
      </c>
      <c r="B100" t="s">
        <v>27</v>
      </c>
      <c r="C100" t="s">
        <v>21</v>
      </c>
      <c r="D100" s="24">
        <v>85000000</v>
      </c>
      <c r="E100" s="29">
        <f>'Hitung Per Bulan'!E100</f>
        <v>34500000</v>
      </c>
      <c r="F100" s="24">
        <v>135000000</v>
      </c>
      <c r="G100" s="29">
        <f>'Hitung Per Bulan'!G100</f>
        <v>0</v>
      </c>
    </row>
    <row r="101" spans="1:7" x14ac:dyDescent="0.45">
      <c r="A101" t="s">
        <v>12</v>
      </c>
      <c r="B101" t="s">
        <v>27</v>
      </c>
      <c r="C101" t="s">
        <v>21</v>
      </c>
      <c r="D101" s="24">
        <v>1635000000</v>
      </c>
      <c r="E101" s="29" t="str">
        <f>'Hitung Per Bulan'!E101</f>
        <v/>
      </c>
      <c r="F101" s="24">
        <v>85000000</v>
      </c>
      <c r="G101" s="29" t="str">
        <f>'Hitung Per Bulan'!G101</f>
        <v/>
      </c>
    </row>
    <row r="102" spans="1:7" x14ac:dyDescent="0.45">
      <c r="A102" t="s">
        <v>13</v>
      </c>
      <c r="B102" t="s">
        <v>27</v>
      </c>
      <c r="C102" t="s">
        <v>21</v>
      </c>
      <c r="D102" s="24">
        <v>335000000</v>
      </c>
      <c r="E102" s="29" t="str">
        <f>'Hitung Per Bulan'!E102</f>
        <v/>
      </c>
      <c r="F102" s="24">
        <v>185000000</v>
      </c>
      <c r="G102" s="29" t="str">
        <f>'Hitung Per Bulan'!G102</f>
        <v/>
      </c>
    </row>
    <row r="103" spans="1:7" x14ac:dyDescent="0.45">
      <c r="A103" t="s">
        <v>14</v>
      </c>
      <c r="B103" t="s">
        <v>27</v>
      </c>
      <c r="C103" t="s">
        <v>21</v>
      </c>
      <c r="D103" s="24">
        <v>685000000</v>
      </c>
      <c r="E103" s="29" t="str">
        <f>'Hitung Per Bulan'!E103</f>
        <v/>
      </c>
      <c r="F103" s="24">
        <v>85000000</v>
      </c>
      <c r="G103" s="29" t="str">
        <f>'Hitung Per Bulan'!G103</f>
        <v/>
      </c>
    </row>
    <row r="104" spans="1:7" x14ac:dyDescent="0.45">
      <c r="A104" t="s">
        <v>15</v>
      </c>
      <c r="B104" t="s">
        <v>27</v>
      </c>
      <c r="C104" t="s">
        <v>21</v>
      </c>
      <c r="D104" s="24">
        <v>885000000</v>
      </c>
      <c r="E104" s="29" t="str">
        <f>'Hitung Per Bulan'!E104</f>
        <v/>
      </c>
      <c r="F104" s="24">
        <v>685000000</v>
      </c>
      <c r="G104" s="29" t="str">
        <f>'Hitung Per Bulan'!G104</f>
        <v/>
      </c>
    </row>
    <row r="105" spans="1:7" x14ac:dyDescent="0.45">
      <c r="A105" t="s">
        <v>16</v>
      </c>
      <c r="B105" t="s">
        <v>27</v>
      </c>
      <c r="C105" t="s">
        <v>21</v>
      </c>
      <c r="D105" s="24">
        <v>685000000</v>
      </c>
      <c r="E105" s="29" t="str">
        <f>'Hitung Per Bulan'!E105</f>
        <v/>
      </c>
      <c r="F105" s="24">
        <v>1285000000</v>
      </c>
      <c r="G105" s="29" t="str">
        <f>'Hitung Per Bulan'!G105</f>
        <v/>
      </c>
    </row>
    <row r="106" spans="1:7" x14ac:dyDescent="0.45">
      <c r="A106" t="s">
        <v>17</v>
      </c>
      <c r="B106" t="s">
        <v>27</v>
      </c>
      <c r="C106" t="s">
        <v>21</v>
      </c>
      <c r="D106" s="24">
        <v>535000000</v>
      </c>
      <c r="E106" s="29" t="str">
        <f>'Hitung Per Bulan'!E106</f>
        <v/>
      </c>
      <c r="F106" s="24">
        <v>185000000</v>
      </c>
      <c r="G106" s="29" t="str">
        <f>'Hitung Per Bulan'!G106</f>
        <v/>
      </c>
    </row>
    <row r="107" spans="1:7" x14ac:dyDescent="0.45">
      <c r="A107" t="s">
        <v>18</v>
      </c>
      <c r="B107" t="s">
        <v>27</v>
      </c>
      <c r="C107" t="s">
        <v>21</v>
      </c>
      <c r="D107" s="24">
        <v>635000000</v>
      </c>
      <c r="E107" s="29" t="str">
        <f>'Hitung Per Bulan'!E107</f>
        <v/>
      </c>
      <c r="F107" s="24">
        <v>585000000</v>
      </c>
      <c r="G107" s="29" t="str">
        <f>'Hitung Per Bulan'!G107</f>
        <v/>
      </c>
    </row>
    <row r="108" spans="1:7" x14ac:dyDescent="0.45">
      <c r="A108" t="s">
        <v>19</v>
      </c>
      <c r="B108" t="s">
        <v>27</v>
      </c>
      <c r="C108" t="s">
        <v>21</v>
      </c>
      <c r="D108" s="24">
        <v>85000000</v>
      </c>
      <c r="E108" s="29" t="str">
        <f>'Hitung Per Bulan'!E108</f>
        <v/>
      </c>
      <c r="F108" s="24">
        <v>985000000</v>
      </c>
      <c r="G108" s="29" t="str">
        <f>'Hitung Per Bulan'!G108</f>
        <v/>
      </c>
    </row>
    <row r="109" spans="1:7" x14ac:dyDescent="0.45">
      <c r="A109" t="s">
        <v>20</v>
      </c>
      <c r="B109" t="s">
        <v>27</v>
      </c>
      <c r="C109" t="s">
        <v>21</v>
      </c>
      <c r="D109" s="24">
        <v>135000000</v>
      </c>
      <c r="E109" s="29" t="str">
        <f>'Hitung Per Bulan'!E109</f>
        <v/>
      </c>
      <c r="F109" s="24">
        <v>2120000000</v>
      </c>
      <c r="G109" s="29" t="str">
        <f>'Hitung Per Bulan'!G109</f>
        <v/>
      </c>
    </row>
    <row r="110" spans="1:7" x14ac:dyDescent="0.45">
      <c r="A110" t="s">
        <v>7</v>
      </c>
      <c r="B110" t="s">
        <v>27</v>
      </c>
      <c r="C110" t="s">
        <v>22</v>
      </c>
      <c r="D110" s="24">
        <v>15017750</v>
      </c>
      <c r="E110" s="29">
        <f>'Hitung Per Bulan'!E110</f>
        <v>0</v>
      </c>
      <c r="F110" s="24">
        <v>0</v>
      </c>
      <c r="G110" s="29">
        <f>'Hitung Per Bulan'!G110</f>
        <v>0</v>
      </c>
    </row>
    <row r="111" spans="1:7" x14ac:dyDescent="0.45">
      <c r="A111" t="s">
        <v>10</v>
      </c>
      <c r="B111" t="s">
        <v>27</v>
      </c>
      <c r="C111" t="s">
        <v>22</v>
      </c>
      <c r="D111" s="24">
        <v>15017750</v>
      </c>
      <c r="E111" s="29">
        <f>'Hitung Per Bulan'!E111</f>
        <v>0</v>
      </c>
      <c r="F111" s="24">
        <v>15017750</v>
      </c>
      <c r="G111" s="29">
        <f>'Hitung Per Bulan'!G111</f>
        <v>0</v>
      </c>
    </row>
    <row r="112" spans="1:7" x14ac:dyDescent="0.45">
      <c r="A112" t="s">
        <v>11</v>
      </c>
      <c r="B112" t="s">
        <v>27</v>
      </c>
      <c r="C112" t="s">
        <v>22</v>
      </c>
      <c r="D112" s="24">
        <v>15017750</v>
      </c>
      <c r="E112" s="29">
        <f>'Hitung Per Bulan'!E112</f>
        <v>0</v>
      </c>
      <c r="F112" s="24">
        <v>15017750</v>
      </c>
      <c r="G112" s="29">
        <f>'Hitung Per Bulan'!G112</f>
        <v>0</v>
      </c>
    </row>
    <row r="113" spans="1:7" x14ac:dyDescent="0.45">
      <c r="A113" t="s">
        <v>12</v>
      </c>
      <c r="B113" t="s">
        <v>27</v>
      </c>
      <c r="C113" t="s">
        <v>22</v>
      </c>
      <c r="D113" s="24">
        <v>15017750</v>
      </c>
      <c r="E113" s="29" t="str">
        <f>'Hitung Per Bulan'!E113</f>
        <v/>
      </c>
      <c r="F113" s="24">
        <v>15017750</v>
      </c>
      <c r="G113" s="29" t="str">
        <f>'Hitung Per Bulan'!G113</f>
        <v/>
      </c>
    </row>
    <row r="114" spans="1:7" x14ac:dyDescent="0.45">
      <c r="A114" t="s">
        <v>13</v>
      </c>
      <c r="B114" t="s">
        <v>27</v>
      </c>
      <c r="C114" t="s">
        <v>22</v>
      </c>
      <c r="D114" s="24">
        <v>15017750</v>
      </c>
      <c r="E114" s="29" t="str">
        <f>'Hitung Per Bulan'!E114</f>
        <v/>
      </c>
      <c r="F114" s="24">
        <v>15017750</v>
      </c>
      <c r="G114" s="29" t="str">
        <f>'Hitung Per Bulan'!G114</f>
        <v/>
      </c>
    </row>
    <row r="115" spans="1:7" x14ac:dyDescent="0.45">
      <c r="A115" t="s">
        <v>14</v>
      </c>
      <c r="B115" t="s">
        <v>27</v>
      </c>
      <c r="C115" t="s">
        <v>22</v>
      </c>
      <c r="D115" s="24">
        <v>15017750</v>
      </c>
      <c r="E115" s="29" t="str">
        <f>'Hitung Per Bulan'!E115</f>
        <v/>
      </c>
      <c r="F115" s="24">
        <v>15017750</v>
      </c>
      <c r="G115" s="29" t="str">
        <f>'Hitung Per Bulan'!G115</f>
        <v/>
      </c>
    </row>
    <row r="116" spans="1:7" x14ac:dyDescent="0.45">
      <c r="A116" t="s">
        <v>15</v>
      </c>
      <c r="B116" t="s">
        <v>27</v>
      </c>
      <c r="C116" t="s">
        <v>22</v>
      </c>
      <c r="D116" s="24">
        <v>15017750</v>
      </c>
      <c r="E116" s="29" t="str">
        <f>'Hitung Per Bulan'!E116</f>
        <v/>
      </c>
      <c r="F116" s="24">
        <v>15017750</v>
      </c>
      <c r="G116" s="29" t="str">
        <f>'Hitung Per Bulan'!G116</f>
        <v/>
      </c>
    </row>
    <row r="117" spans="1:7" x14ac:dyDescent="0.45">
      <c r="A117" t="s">
        <v>16</v>
      </c>
      <c r="B117" t="s">
        <v>27</v>
      </c>
      <c r="C117" t="s">
        <v>22</v>
      </c>
      <c r="D117" s="24">
        <v>15017750</v>
      </c>
      <c r="E117" s="29" t="str">
        <f>'Hitung Per Bulan'!E117</f>
        <v/>
      </c>
      <c r="F117" s="24">
        <v>15017750</v>
      </c>
      <c r="G117" s="29" t="str">
        <f>'Hitung Per Bulan'!G117</f>
        <v/>
      </c>
    </row>
    <row r="118" spans="1:7" x14ac:dyDescent="0.45">
      <c r="A118" t="s">
        <v>17</v>
      </c>
      <c r="B118" t="s">
        <v>27</v>
      </c>
      <c r="C118" t="s">
        <v>22</v>
      </c>
      <c r="D118" s="24">
        <v>15017750</v>
      </c>
      <c r="E118" s="29" t="str">
        <f>'Hitung Per Bulan'!E118</f>
        <v/>
      </c>
      <c r="F118" s="24">
        <v>15017750</v>
      </c>
      <c r="G118" s="29" t="str">
        <f>'Hitung Per Bulan'!G118</f>
        <v/>
      </c>
    </row>
    <row r="119" spans="1:7" x14ac:dyDescent="0.45">
      <c r="A119" t="s">
        <v>18</v>
      </c>
      <c r="B119" t="s">
        <v>27</v>
      </c>
      <c r="C119" t="s">
        <v>22</v>
      </c>
      <c r="D119" s="24">
        <v>15017750</v>
      </c>
      <c r="E119" s="29" t="str">
        <f>'Hitung Per Bulan'!E119</f>
        <v/>
      </c>
      <c r="F119" s="24">
        <v>15017750</v>
      </c>
      <c r="G119" s="29" t="str">
        <f>'Hitung Per Bulan'!G119</f>
        <v/>
      </c>
    </row>
    <row r="120" spans="1:7" x14ac:dyDescent="0.45">
      <c r="A120" t="s">
        <v>19</v>
      </c>
      <c r="B120" t="s">
        <v>27</v>
      </c>
      <c r="C120" t="s">
        <v>22</v>
      </c>
      <c r="D120" s="24">
        <v>15017750</v>
      </c>
      <c r="E120" s="29" t="str">
        <f>'Hitung Per Bulan'!E120</f>
        <v/>
      </c>
      <c r="F120" s="24">
        <v>15017750</v>
      </c>
      <c r="G120" s="29" t="str">
        <f>'Hitung Per Bulan'!G120</f>
        <v/>
      </c>
    </row>
    <row r="121" spans="1:7" x14ac:dyDescent="0.45">
      <c r="A121" t="s">
        <v>20</v>
      </c>
      <c r="B121" t="s">
        <v>27</v>
      </c>
      <c r="C121" t="s">
        <v>22</v>
      </c>
      <c r="D121" s="24">
        <v>14804750</v>
      </c>
      <c r="E121" s="29" t="str">
        <f>'Hitung Per Bulan'!E121</f>
        <v/>
      </c>
      <c r="F121" s="24">
        <v>29822500</v>
      </c>
      <c r="G121" s="29" t="str">
        <f>'Hitung Per Bulan'!G121</f>
        <v/>
      </c>
    </row>
    <row r="122" spans="1:7" x14ac:dyDescent="0.45">
      <c r="A122" t="s">
        <v>7</v>
      </c>
      <c r="B122" t="s">
        <v>27</v>
      </c>
      <c r="C122" t="s">
        <v>23</v>
      </c>
      <c r="D122" s="24">
        <v>0</v>
      </c>
      <c r="E122" s="29">
        <f>'Hitung Per Bulan'!E122</f>
        <v>0</v>
      </c>
      <c r="F122" s="24">
        <v>0</v>
      </c>
      <c r="G122" s="29">
        <f>'Hitung Per Bulan'!G122</f>
        <v>0</v>
      </c>
    </row>
    <row r="123" spans="1:7" x14ac:dyDescent="0.45">
      <c r="A123" t="s">
        <v>10</v>
      </c>
      <c r="B123" t="s">
        <v>27</v>
      </c>
      <c r="C123" t="s">
        <v>23</v>
      </c>
      <c r="D123" s="24">
        <v>0</v>
      </c>
      <c r="E123" s="29">
        <f>'Hitung Per Bulan'!E123</f>
        <v>0</v>
      </c>
      <c r="F123" s="24">
        <v>0</v>
      </c>
      <c r="G123" s="29">
        <f>'Hitung Per Bulan'!G123</f>
        <v>0</v>
      </c>
    </row>
    <row r="124" spans="1:7" x14ac:dyDescent="0.45">
      <c r="A124" t="s">
        <v>11</v>
      </c>
      <c r="B124" t="s">
        <v>27</v>
      </c>
      <c r="C124" t="s">
        <v>23</v>
      </c>
      <c r="D124" s="24">
        <v>0</v>
      </c>
      <c r="E124" s="29">
        <f>'Hitung Per Bulan'!E124</f>
        <v>0</v>
      </c>
      <c r="F124" s="24">
        <v>0</v>
      </c>
      <c r="G124" s="29">
        <f>'Hitung Per Bulan'!G124</f>
        <v>0</v>
      </c>
    </row>
    <row r="125" spans="1:7" x14ac:dyDescent="0.45">
      <c r="A125" t="s">
        <v>12</v>
      </c>
      <c r="B125" t="s">
        <v>27</v>
      </c>
      <c r="C125" t="s">
        <v>23</v>
      </c>
      <c r="D125" s="24">
        <v>0</v>
      </c>
      <c r="E125" s="29" t="str">
        <f>'Hitung Per Bulan'!E125</f>
        <v/>
      </c>
      <c r="F125" s="24">
        <v>0</v>
      </c>
      <c r="G125" s="29" t="str">
        <f>'Hitung Per Bulan'!G125</f>
        <v/>
      </c>
    </row>
    <row r="126" spans="1:7" x14ac:dyDescent="0.45">
      <c r="A126" t="s">
        <v>13</v>
      </c>
      <c r="B126" t="s">
        <v>27</v>
      </c>
      <c r="C126" t="s">
        <v>23</v>
      </c>
      <c r="D126" s="24">
        <v>200000000</v>
      </c>
      <c r="E126" s="29" t="str">
        <f>'Hitung Per Bulan'!E126</f>
        <v/>
      </c>
      <c r="F126" s="24">
        <v>0</v>
      </c>
      <c r="G126" s="29" t="str">
        <f>'Hitung Per Bulan'!G126</f>
        <v/>
      </c>
    </row>
    <row r="127" spans="1:7" x14ac:dyDescent="0.45">
      <c r="A127" t="s">
        <v>14</v>
      </c>
      <c r="B127" t="s">
        <v>27</v>
      </c>
      <c r="C127" t="s">
        <v>23</v>
      </c>
      <c r="D127" s="24">
        <v>0</v>
      </c>
      <c r="E127" s="29" t="str">
        <f>'Hitung Per Bulan'!E127</f>
        <v/>
      </c>
      <c r="F127" s="24">
        <v>0</v>
      </c>
      <c r="G127" s="29" t="str">
        <f>'Hitung Per Bulan'!G127</f>
        <v/>
      </c>
    </row>
    <row r="128" spans="1:7" x14ac:dyDescent="0.45">
      <c r="A128" t="s">
        <v>15</v>
      </c>
      <c r="B128" t="s">
        <v>27</v>
      </c>
      <c r="C128" t="s">
        <v>23</v>
      </c>
      <c r="D128" s="24">
        <v>0</v>
      </c>
      <c r="E128" s="29" t="str">
        <f>'Hitung Per Bulan'!E128</f>
        <v/>
      </c>
      <c r="F128" s="24">
        <v>0</v>
      </c>
      <c r="G128" s="29" t="str">
        <f>'Hitung Per Bulan'!G128</f>
        <v/>
      </c>
    </row>
    <row r="129" spans="1:7" x14ac:dyDescent="0.45">
      <c r="A129" t="s">
        <v>16</v>
      </c>
      <c r="B129" t="s">
        <v>27</v>
      </c>
      <c r="C129" t="s">
        <v>23</v>
      </c>
      <c r="D129" s="24">
        <v>0</v>
      </c>
      <c r="E129" s="29" t="str">
        <f>'Hitung Per Bulan'!E129</f>
        <v/>
      </c>
      <c r="F129" s="24">
        <v>0</v>
      </c>
      <c r="G129" s="29" t="str">
        <f>'Hitung Per Bulan'!G129</f>
        <v/>
      </c>
    </row>
    <row r="130" spans="1:7" x14ac:dyDescent="0.45">
      <c r="A130" t="s">
        <v>17</v>
      </c>
      <c r="B130" t="s">
        <v>27</v>
      </c>
      <c r="C130" t="s">
        <v>23</v>
      </c>
      <c r="D130" s="24">
        <v>0</v>
      </c>
      <c r="E130" s="29" t="str">
        <f>'Hitung Per Bulan'!E130</f>
        <v/>
      </c>
      <c r="F130" s="24">
        <v>200000000</v>
      </c>
      <c r="G130" s="29" t="str">
        <f>'Hitung Per Bulan'!G130</f>
        <v/>
      </c>
    </row>
    <row r="131" spans="1:7" x14ac:dyDescent="0.45">
      <c r="A131" t="s">
        <v>18</v>
      </c>
      <c r="B131" t="s">
        <v>27</v>
      </c>
      <c r="C131" t="s">
        <v>23</v>
      </c>
      <c r="D131" s="24">
        <v>0</v>
      </c>
      <c r="E131" s="29" t="str">
        <f>'Hitung Per Bulan'!E131</f>
        <v/>
      </c>
      <c r="F131" s="24">
        <v>0</v>
      </c>
      <c r="G131" s="29" t="str">
        <f>'Hitung Per Bulan'!G131</f>
        <v/>
      </c>
    </row>
    <row r="132" spans="1:7" x14ac:dyDescent="0.45">
      <c r="A132" t="s">
        <v>19</v>
      </c>
      <c r="B132" t="s">
        <v>27</v>
      </c>
      <c r="C132" t="s">
        <v>23</v>
      </c>
      <c r="D132" s="24">
        <v>200000000</v>
      </c>
      <c r="E132" s="29" t="str">
        <f>'Hitung Per Bulan'!E132</f>
        <v/>
      </c>
      <c r="F132" s="24">
        <v>0</v>
      </c>
      <c r="G132" s="29" t="str">
        <f>'Hitung Per Bulan'!G132</f>
        <v/>
      </c>
    </row>
    <row r="133" spans="1:7" x14ac:dyDescent="0.45">
      <c r="A133" t="s">
        <v>20</v>
      </c>
      <c r="B133" t="s">
        <v>27</v>
      </c>
      <c r="C133" t="s">
        <v>23</v>
      </c>
      <c r="D133" s="24">
        <v>0</v>
      </c>
      <c r="E133" s="29" t="str">
        <f>'Hitung Per Bulan'!E133</f>
        <v/>
      </c>
      <c r="F133" s="24">
        <v>200000000</v>
      </c>
      <c r="G133" s="29" t="str">
        <f>'Hitung Per Bulan'!G133</f>
        <v/>
      </c>
    </row>
    <row r="134" spans="1:7" x14ac:dyDescent="0.45">
      <c r="A134" t="s">
        <v>7</v>
      </c>
      <c r="B134" t="s">
        <v>27</v>
      </c>
      <c r="C134" t="s">
        <v>24</v>
      </c>
      <c r="D134" s="24">
        <v>0</v>
      </c>
      <c r="E134" s="29">
        <f>'Hitung Per Bulan'!E134</f>
        <v>0</v>
      </c>
      <c r="F134" s="24">
        <v>0</v>
      </c>
      <c r="G134" s="29">
        <f>'Hitung Per Bulan'!G134</f>
        <v>0</v>
      </c>
    </row>
    <row r="135" spans="1:7" x14ac:dyDescent="0.45">
      <c r="A135" t="s">
        <v>10</v>
      </c>
      <c r="B135" t="s">
        <v>27</v>
      </c>
      <c r="C135" t="s">
        <v>24</v>
      </c>
      <c r="D135" s="24">
        <v>0</v>
      </c>
      <c r="E135" s="29">
        <f>'Hitung Per Bulan'!E135</f>
        <v>0</v>
      </c>
      <c r="F135" s="24">
        <v>0</v>
      </c>
      <c r="G135" s="29">
        <f>'Hitung Per Bulan'!G135</f>
        <v>0</v>
      </c>
    </row>
    <row r="136" spans="1:7" x14ac:dyDescent="0.45">
      <c r="A136" t="s">
        <v>11</v>
      </c>
      <c r="B136" t="s">
        <v>27</v>
      </c>
      <c r="C136" t="s">
        <v>24</v>
      </c>
      <c r="D136" s="24">
        <v>0</v>
      </c>
      <c r="E136" s="29">
        <f>'Hitung Per Bulan'!E136</f>
        <v>0</v>
      </c>
      <c r="F136" s="24">
        <v>0</v>
      </c>
      <c r="G136" s="29">
        <f>'Hitung Per Bulan'!G136</f>
        <v>0</v>
      </c>
    </row>
    <row r="137" spans="1:7" x14ac:dyDescent="0.45">
      <c r="A137" t="s">
        <v>12</v>
      </c>
      <c r="B137" t="s">
        <v>27</v>
      </c>
      <c r="C137" t="s">
        <v>24</v>
      </c>
      <c r="D137" s="24">
        <v>0</v>
      </c>
      <c r="E137" s="29" t="str">
        <f>'Hitung Per Bulan'!E137</f>
        <v/>
      </c>
      <c r="F137" s="24">
        <v>0</v>
      </c>
      <c r="G137" s="29" t="str">
        <f>'Hitung Per Bulan'!G137</f>
        <v/>
      </c>
    </row>
    <row r="138" spans="1:7" x14ac:dyDescent="0.45">
      <c r="A138" t="s">
        <v>13</v>
      </c>
      <c r="B138" t="s">
        <v>27</v>
      </c>
      <c r="C138" t="s">
        <v>24</v>
      </c>
      <c r="D138" s="24">
        <v>0</v>
      </c>
      <c r="E138" s="29" t="str">
        <f>'Hitung Per Bulan'!E138</f>
        <v/>
      </c>
      <c r="F138" s="24">
        <v>0</v>
      </c>
      <c r="G138" s="29" t="str">
        <f>'Hitung Per Bulan'!G138</f>
        <v/>
      </c>
    </row>
    <row r="139" spans="1:7" x14ac:dyDescent="0.45">
      <c r="A139" t="s">
        <v>14</v>
      </c>
      <c r="B139" t="s">
        <v>27</v>
      </c>
      <c r="C139" t="s">
        <v>24</v>
      </c>
      <c r="D139" s="24">
        <v>0</v>
      </c>
      <c r="E139" s="29" t="str">
        <f>'Hitung Per Bulan'!E139</f>
        <v/>
      </c>
      <c r="F139" s="24">
        <v>0</v>
      </c>
      <c r="G139" s="29" t="str">
        <f>'Hitung Per Bulan'!G139</f>
        <v/>
      </c>
    </row>
    <row r="140" spans="1:7" x14ac:dyDescent="0.45">
      <c r="A140" t="s">
        <v>15</v>
      </c>
      <c r="B140" t="s">
        <v>27</v>
      </c>
      <c r="C140" t="s">
        <v>24</v>
      </c>
      <c r="D140" s="24">
        <v>0</v>
      </c>
      <c r="E140" s="29" t="str">
        <f>'Hitung Per Bulan'!E140</f>
        <v/>
      </c>
      <c r="F140" s="24">
        <v>0</v>
      </c>
      <c r="G140" s="29" t="str">
        <f>'Hitung Per Bulan'!G140</f>
        <v/>
      </c>
    </row>
    <row r="141" spans="1:7" x14ac:dyDescent="0.45">
      <c r="A141" t="s">
        <v>16</v>
      </c>
      <c r="B141" t="s">
        <v>27</v>
      </c>
      <c r="C141" t="s">
        <v>24</v>
      </c>
      <c r="D141" s="24">
        <v>0</v>
      </c>
      <c r="E141" s="29" t="str">
        <f>'Hitung Per Bulan'!E141</f>
        <v/>
      </c>
      <c r="F141" s="24">
        <v>0</v>
      </c>
      <c r="G141" s="29" t="str">
        <f>'Hitung Per Bulan'!G141</f>
        <v/>
      </c>
    </row>
    <row r="142" spans="1:7" x14ac:dyDescent="0.45">
      <c r="A142" t="s">
        <v>17</v>
      </c>
      <c r="B142" t="s">
        <v>27</v>
      </c>
      <c r="C142" t="s">
        <v>24</v>
      </c>
      <c r="D142" s="24">
        <v>0</v>
      </c>
      <c r="E142" s="29" t="str">
        <f>'Hitung Per Bulan'!E142</f>
        <v/>
      </c>
      <c r="F142" s="24">
        <v>0</v>
      </c>
      <c r="G142" s="29" t="str">
        <f>'Hitung Per Bulan'!G142</f>
        <v/>
      </c>
    </row>
    <row r="143" spans="1:7" x14ac:dyDescent="0.45">
      <c r="A143" t="s">
        <v>18</v>
      </c>
      <c r="B143" t="s">
        <v>27</v>
      </c>
      <c r="C143" t="s">
        <v>24</v>
      </c>
      <c r="D143" s="24">
        <v>0</v>
      </c>
      <c r="E143" s="29" t="str">
        <f>'Hitung Per Bulan'!E143</f>
        <v/>
      </c>
      <c r="F143" s="24">
        <v>0</v>
      </c>
      <c r="G143" s="29" t="str">
        <f>'Hitung Per Bulan'!G143</f>
        <v/>
      </c>
    </row>
    <row r="144" spans="1:7" x14ac:dyDescent="0.45">
      <c r="A144" t="s">
        <v>19</v>
      </c>
      <c r="B144" t="s">
        <v>27</v>
      </c>
      <c r="C144" t="s">
        <v>24</v>
      </c>
      <c r="D144" s="24">
        <v>0</v>
      </c>
      <c r="E144" s="29" t="str">
        <f>'Hitung Per Bulan'!E144</f>
        <v/>
      </c>
      <c r="F144" s="24">
        <v>0</v>
      </c>
      <c r="G144" s="29" t="str">
        <f>'Hitung Per Bulan'!G144</f>
        <v/>
      </c>
    </row>
    <row r="145" spans="1:7" x14ac:dyDescent="0.45">
      <c r="A145" t="s">
        <v>20</v>
      </c>
      <c r="B145" t="s">
        <v>27</v>
      </c>
      <c r="C145" t="s">
        <v>24</v>
      </c>
      <c r="D145" s="24">
        <v>0</v>
      </c>
      <c r="E145" s="29" t="str">
        <f>'Hitung Per Bulan'!E145</f>
        <v/>
      </c>
      <c r="F145" s="24">
        <v>0</v>
      </c>
      <c r="G145" s="29" t="str">
        <f>'Hitung Per Bulan'!G145</f>
        <v/>
      </c>
    </row>
    <row r="146" spans="1:7" x14ac:dyDescent="0.45">
      <c r="A146" t="s">
        <v>7</v>
      </c>
      <c r="B146" t="s">
        <v>27</v>
      </c>
      <c r="C146" t="s">
        <v>25</v>
      </c>
      <c r="D146" s="24">
        <v>78140000</v>
      </c>
      <c r="E146" s="29">
        <f>'Hitung Per Bulan'!E146</f>
        <v>99858450</v>
      </c>
      <c r="F146" s="24">
        <v>52140000</v>
      </c>
      <c r="G146" s="29">
        <f>'Hitung Per Bulan'!G146</f>
        <v>27147500</v>
      </c>
    </row>
    <row r="147" spans="1:7" x14ac:dyDescent="0.45">
      <c r="A147" t="s">
        <v>10</v>
      </c>
      <c r="B147" t="s">
        <v>27</v>
      </c>
      <c r="C147" t="s">
        <v>25</v>
      </c>
      <c r="D147" s="24">
        <v>128140000</v>
      </c>
      <c r="E147" s="29">
        <f>'Hitung Per Bulan'!E147</f>
        <v>70819316</v>
      </c>
      <c r="F147" s="24">
        <v>78140000</v>
      </c>
      <c r="G147" s="29">
        <f>'Hitung Per Bulan'!G147</f>
        <v>86687950</v>
      </c>
    </row>
    <row r="148" spans="1:7" x14ac:dyDescent="0.45">
      <c r="A148" t="s">
        <v>11</v>
      </c>
      <c r="B148" t="s">
        <v>27</v>
      </c>
      <c r="C148" t="s">
        <v>25</v>
      </c>
      <c r="D148" s="24">
        <v>123140000</v>
      </c>
      <c r="E148" s="29">
        <f>'Hitung Per Bulan'!E148</f>
        <v>89402275</v>
      </c>
      <c r="F148" s="24">
        <v>88140000</v>
      </c>
      <c r="G148" s="29">
        <f>'Hitung Per Bulan'!G148</f>
        <v>16207500</v>
      </c>
    </row>
    <row r="149" spans="1:7" x14ac:dyDescent="0.45">
      <c r="A149" t="s">
        <v>12</v>
      </c>
      <c r="B149" t="s">
        <v>27</v>
      </c>
      <c r="C149" t="s">
        <v>25</v>
      </c>
      <c r="D149" s="24">
        <v>503140000</v>
      </c>
      <c r="E149" s="29" t="str">
        <f>'Hitung Per Bulan'!E149</f>
        <v/>
      </c>
      <c r="F149" s="24">
        <v>123140000</v>
      </c>
      <c r="G149" s="29" t="str">
        <f>'Hitung Per Bulan'!G149</f>
        <v/>
      </c>
    </row>
    <row r="150" spans="1:7" x14ac:dyDescent="0.45">
      <c r="A150" t="s">
        <v>13</v>
      </c>
      <c r="B150" t="s">
        <v>27</v>
      </c>
      <c r="C150" t="s">
        <v>25</v>
      </c>
      <c r="D150" s="24">
        <v>315120000</v>
      </c>
      <c r="E150" s="29" t="str">
        <f>'Hitung Per Bulan'!E150</f>
        <v/>
      </c>
      <c r="F150" s="24">
        <v>178140000</v>
      </c>
      <c r="G150" s="29" t="str">
        <f>'Hitung Per Bulan'!G150</f>
        <v/>
      </c>
    </row>
    <row r="151" spans="1:7" x14ac:dyDescent="0.45">
      <c r="A151" t="s">
        <v>14</v>
      </c>
      <c r="B151" t="s">
        <v>27</v>
      </c>
      <c r="C151" t="s">
        <v>25</v>
      </c>
      <c r="D151" s="24">
        <v>88140000</v>
      </c>
      <c r="E151" s="29" t="str">
        <f>'Hitung Per Bulan'!E151</f>
        <v/>
      </c>
      <c r="F151" s="24">
        <v>480120000</v>
      </c>
      <c r="G151" s="29" t="str">
        <f>'Hitung Per Bulan'!G151</f>
        <v/>
      </c>
    </row>
    <row r="152" spans="1:7" x14ac:dyDescent="0.45">
      <c r="A152" t="s">
        <v>15</v>
      </c>
      <c r="B152" t="s">
        <v>27</v>
      </c>
      <c r="C152" t="s">
        <v>25</v>
      </c>
      <c r="D152" s="24">
        <v>88140000</v>
      </c>
      <c r="E152" s="29" t="str">
        <f>'Hitung Per Bulan'!E152</f>
        <v/>
      </c>
      <c r="F152" s="24">
        <v>88140000</v>
      </c>
      <c r="G152" s="29" t="str">
        <f>'Hitung Per Bulan'!G152</f>
        <v/>
      </c>
    </row>
    <row r="153" spans="1:7" x14ac:dyDescent="0.45">
      <c r="A153" t="s">
        <v>16</v>
      </c>
      <c r="B153" t="s">
        <v>27</v>
      </c>
      <c r="C153" t="s">
        <v>25</v>
      </c>
      <c r="D153" s="24">
        <v>401140000</v>
      </c>
      <c r="E153" s="29" t="str">
        <f>'Hitung Per Bulan'!E153</f>
        <v/>
      </c>
      <c r="F153" s="24">
        <v>328140000</v>
      </c>
      <c r="G153" s="29" t="str">
        <f>'Hitung Per Bulan'!G153</f>
        <v/>
      </c>
    </row>
    <row r="154" spans="1:7" x14ac:dyDescent="0.45">
      <c r="A154" t="s">
        <v>17</v>
      </c>
      <c r="B154" t="s">
        <v>27</v>
      </c>
      <c r="C154" t="s">
        <v>25</v>
      </c>
      <c r="D154" s="24">
        <v>483946000</v>
      </c>
      <c r="E154" s="29" t="str">
        <f>'Hitung Per Bulan'!E154</f>
        <v/>
      </c>
      <c r="F154" s="24">
        <v>161140000</v>
      </c>
      <c r="G154" s="29" t="str">
        <f>'Hitung Per Bulan'!G154</f>
        <v/>
      </c>
    </row>
    <row r="155" spans="1:7" x14ac:dyDescent="0.45">
      <c r="A155" t="s">
        <v>18</v>
      </c>
      <c r="B155" t="s">
        <v>27</v>
      </c>
      <c r="C155" t="s">
        <v>25</v>
      </c>
      <c r="D155" s="24">
        <v>124060000</v>
      </c>
      <c r="E155" s="29" t="str">
        <f>'Hitung Per Bulan'!E155</f>
        <v/>
      </c>
      <c r="F155" s="24">
        <v>116560000</v>
      </c>
      <c r="G155" s="29" t="str">
        <f>'Hitung Per Bulan'!G155</f>
        <v/>
      </c>
    </row>
    <row r="156" spans="1:7" x14ac:dyDescent="0.45">
      <c r="A156" t="s">
        <v>19</v>
      </c>
      <c r="B156" t="s">
        <v>27</v>
      </c>
      <c r="C156" t="s">
        <v>25</v>
      </c>
      <c r="D156" s="24">
        <v>125640000</v>
      </c>
      <c r="E156" s="29" t="str">
        <f>'Hitung Per Bulan'!E156</f>
        <v/>
      </c>
      <c r="F156" s="24">
        <v>295640000</v>
      </c>
      <c r="G156" s="29" t="str">
        <f>'Hitung Per Bulan'!G156</f>
        <v/>
      </c>
    </row>
    <row r="157" spans="1:7" x14ac:dyDescent="0.45">
      <c r="A157" t="s">
        <v>20</v>
      </c>
      <c r="B157" t="s">
        <v>27</v>
      </c>
      <c r="C157" t="s">
        <v>25</v>
      </c>
      <c r="D157" s="24">
        <v>102260000</v>
      </c>
      <c r="E157" s="29" t="str">
        <f>'Hitung Per Bulan'!E157</f>
        <v/>
      </c>
      <c r="F157" s="24">
        <v>571566000</v>
      </c>
      <c r="G157" s="29" t="str">
        <f>'Hitung Per Bulan'!G157</f>
        <v/>
      </c>
    </row>
    <row r="158" spans="1:7" x14ac:dyDescent="0.45">
      <c r="A158" t="s">
        <v>7</v>
      </c>
      <c r="B158" t="s">
        <v>27</v>
      </c>
      <c r="C158" t="s">
        <v>26</v>
      </c>
      <c r="D158" s="24">
        <v>291666000</v>
      </c>
      <c r="E158" s="29">
        <f>'Hitung Per Bulan'!E158</f>
        <v>243961748</v>
      </c>
      <c r="F158" s="24">
        <v>291666000</v>
      </c>
      <c r="G158" s="29">
        <f>'Hitung Per Bulan'!G158</f>
        <v>243961748</v>
      </c>
    </row>
    <row r="159" spans="1:7" x14ac:dyDescent="0.45">
      <c r="A159" t="s">
        <v>10</v>
      </c>
      <c r="B159" t="s">
        <v>27</v>
      </c>
      <c r="C159" t="s">
        <v>26</v>
      </c>
      <c r="D159" s="24">
        <v>291666000</v>
      </c>
      <c r="E159" s="29">
        <f>'Hitung Per Bulan'!E159</f>
        <v>222698232</v>
      </c>
      <c r="F159" s="24">
        <v>291666000</v>
      </c>
      <c r="G159" s="29">
        <f>'Hitung Per Bulan'!G159</f>
        <v>222698232</v>
      </c>
    </row>
    <row r="160" spans="1:7" x14ac:dyDescent="0.45">
      <c r="A160" t="s">
        <v>11</v>
      </c>
      <c r="B160" t="s">
        <v>27</v>
      </c>
      <c r="C160" t="s">
        <v>26</v>
      </c>
      <c r="D160" s="24">
        <v>291666000</v>
      </c>
      <c r="E160" s="29">
        <f>'Hitung Per Bulan'!E160</f>
        <v>0</v>
      </c>
      <c r="F160" s="24">
        <v>291666000</v>
      </c>
      <c r="G160" s="29">
        <f>'Hitung Per Bulan'!G160</f>
        <v>0</v>
      </c>
    </row>
    <row r="161" spans="1:7" x14ac:dyDescent="0.45">
      <c r="A161" t="s">
        <v>12</v>
      </c>
      <c r="B161" t="s">
        <v>27</v>
      </c>
      <c r="C161" t="s">
        <v>26</v>
      </c>
      <c r="D161" s="24">
        <v>291666000</v>
      </c>
      <c r="E161" s="29" t="str">
        <f>'Hitung Per Bulan'!E161</f>
        <v/>
      </c>
      <c r="F161" s="24">
        <v>291666000</v>
      </c>
      <c r="G161" s="29" t="str">
        <f>'Hitung Per Bulan'!G161</f>
        <v/>
      </c>
    </row>
    <row r="162" spans="1:7" x14ac:dyDescent="0.45">
      <c r="A162" t="s">
        <v>13</v>
      </c>
      <c r="B162" t="s">
        <v>27</v>
      </c>
      <c r="C162" t="s">
        <v>26</v>
      </c>
      <c r="D162" s="24">
        <v>291666000</v>
      </c>
      <c r="E162" s="29" t="str">
        <f>'Hitung Per Bulan'!E162</f>
        <v/>
      </c>
      <c r="F162" s="24">
        <v>291666000</v>
      </c>
      <c r="G162" s="29" t="str">
        <f>'Hitung Per Bulan'!G162</f>
        <v/>
      </c>
    </row>
    <row r="163" spans="1:7" x14ac:dyDescent="0.45">
      <c r="A163" t="s">
        <v>14</v>
      </c>
      <c r="B163" t="s">
        <v>27</v>
      </c>
      <c r="C163" t="s">
        <v>26</v>
      </c>
      <c r="D163" s="24">
        <v>291666000</v>
      </c>
      <c r="E163" s="29" t="str">
        <f>'Hitung Per Bulan'!E163</f>
        <v/>
      </c>
      <c r="F163" s="24">
        <v>291666000</v>
      </c>
      <c r="G163" s="29" t="str">
        <f>'Hitung Per Bulan'!G163</f>
        <v/>
      </c>
    </row>
    <row r="164" spans="1:7" x14ac:dyDescent="0.45">
      <c r="A164" t="s">
        <v>15</v>
      </c>
      <c r="B164" t="s">
        <v>27</v>
      </c>
      <c r="C164" t="s">
        <v>26</v>
      </c>
      <c r="D164" s="24">
        <v>291666000</v>
      </c>
      <c r="E164" s="29" t="str">
        <f>'Hitung Per Bulan'!E164</f>
        <v/>
      </c>
      <c r="F164" s="24">
        <v>291666000</v>
      </c>
      <c r="G164" s="29" t="str">
        <f>'Hitung Per Bulan'!G164</f>
        <v/>
      </c>
    </row>
    <row r="165" spans="1:7" x14ac:dyDescent="0.45">
      <c r="A165" t="s">
        <v>16</v>
      </c>
      <c r="B165" t="s">
        <v>27</v>
      </c>
      <c r="C165" t="s">
        <v>26</v>
      </c>
      <c r="D165" s="24">
        <v>291666000</v>
      </c>
      <c r="E165" s="29" t="str">
        <f>'Hitung Per Bulan'!E165</f>
        <v/>
      </c>
      <c r="F165" s="24">
        <v>291666000</v>
      </c>
      <c r="G165" s="29" t="str">
        <f>'Hitung Per Bulan'!G165</f>
        <v/>
      </c>
    </row>
    <row r="166" spans="1:7" x14ac:dyDescent="0.45">
      <c r="A166" t="s">
        <v>17</v>
      </c>
      <c r="B166" t="s">
        <v>27</v>
      </c>
      <c r="C166" t="s">
        <v>26</v>
      </c>
      <c r="D166" s="24">
        <v>291666000</v>
      </c>
      <c r="E166" s="29" t="str">
        <f>'Hitung Per Bulan'!E166</f>
        <v/>
      </c>
      <c r="F166" s="24">
        <v>291666000</v>
      </c>
      <c r="G166" s="29" t="str">
        <f>'Hitung Per Bulan'!G166</f>
        <v/>
      </c>
    </row>
    <row r="167" spans="1:7" x14ac:dyDescent="0.45">
      <c r="A167" t="s">
        <v>18</v>
      </c>
      <c r="B167" t="s">
        <v>27</v>
      </c>
      <c r="C167" t="s">
        <v>26</v>
      </c>
      <c r="D167" s="24">
        <v>291666000</v>
      </c>
      <c r="E167" s="29" t="str">
        <f>'Hitung Per Bulan'!E167</f>
        <v/>
      </c>
      <c r="F167" s="24">
        <v>291666000</v>
      </c>
      <c r="G167" s="29" t="str">
        <f>'Hitung Per Bulan'!G167</f>
        <v/>
      </c>
    </row>
    <row r="168" spans="1:7" x14ac:dyDescent="0.45">
      <c r="A168" t="s">
        <v>19</v>
      </c>
      <c r="B168" t="s">
        <v>27</v>
      </c>
      <c r="C168" t="s">
        <v>26</v>
      </c>
      <c r="D168" s="24">
        <v>291666000</v>
      </c>
      <c r="E168" s="29" t="str">
        <f>'Hitung Per Bulan'!E168</f>
        <v/>
      </c>
      <c r="F168" s="24">
        <v>291666000</v>
      </c>
      <c r="G168" s="29" t="str">
        <f>'Hitung Per Bulan'!G168</f>
        <v/>
      </c>
    </row>
    <row r="169" spans="1:7" x14ac:dyDescent="0.45">
      <c r="A169" t="s">
        <v>20</v>
      </c>
      <c r="B169" t="s">
        <v>27</v>
      </c>
      <c r="C169" t="s">
        <v>26</v>
      </c>
      <c r="D169" s="24">
        <v>291674000</v>
      </c>
      <c r="E169" s="29" t="str">
        <f>'Hitung Per Bulan'!E169</f>
        <v/>
      </c>
      <c r="F169" s="24">
        <v>291674000</v>
      </c>
      <c r="G169" s="29" t="str">
        <f>'Hitung Per Bulan'!G169</f>
        <v/>
      </c>
    </row>
    <row r="170" spans="1:7" x14ac:dyDescent="0.45">
      <c r="A170" t="s">
        <v>7</v>
      </c>
      <c r="B170" t="s">
        <v>28</v>
      </c>
      <c r="C170" t="s">
        <v>9</v>
      </c>
      <c r="D170" s="24">
        <v>24114094667</v>
      </c>
      <c r="E170" s="29">
        <f>'Hitung Per Bulan'!E170</f>
        <v>450857274</v>
      </c>
      <c r="F170" s="24">
        <v>0</v>
      </c>
      <c r="G170" s="29">
        <f>'Hitung Per Bulan'!G170</f>
        <v>0</v>
      </c>
    </row>
    <row r="171" spans="1:7" x14ac:dyDescent="0.45">
      <c r="A171" t="s">
        <v>10</v>
      </c>
      <c r="B171" t="s">
        <v>28</v>
      </c>
      <c r="C171" t="s">
        <v>9</v>
      </c>
      <c r="D171" s="24">
        <v>3125397667</v>
      </c>
      <c r="E171" s="29">
        <f>'Hitung Per Bulan'!E171</f>
        <v>25211824009</v>
      </c>
      <c r="F171" s="24">
        <v>194371000</v>
      </c>
      <c r="G171" s="29">
        <f>'Hitung Per Bulan'!G171</f>
        <v>457037427</v>
      </c>
    </row>
    <row r="172" spans="1:7" x14ac:dyDescent="0.45">
      <c r="A172" t="s">
        <v>11</v>
      </c>
      <c r="B172" t="s">
        <v>28</v>
      </c>
      <c r="C172" t="s">
        <v>9</v>
      </c>
      <c r="D172" s="24">
        <v>353351000</v>
      </c>
      <c r="E172" s="29">
        <f>'Hitung Per Bulan'!E172</f>
        <v>557084481</v>
      </c>
      <c r="F172" s="24">
        <v>194371000</v>
      </c>
      <c r="G172" s="29">
        <f>'Hitung Per Bulan'!G172</f>
        <v>4230631181</v>
      </c>
    </row>
    <row r="173" spans="1:7" x14ac:dyDescent="0.45">
      <c r="A173" t="s">
        <v>12</v>
      </c>
      <c r="B173" t="s">
        <v>28</v>
      </c>
      <c r="C173" t="s">
        <v>9</v>
      </c>
      <c r="D173" s="24">
        <v>1333955667</v>
      </c>
      <c r="E173" s="29" t="str">
        <f>'Hitung Per Bulan'!E173</f>
        <v/>
      </c>
      <c r="F173" s="24">
        <v>694781000</v>
      </c>
      <c r="G173" s="29" t="str">
        <f>'Hitung Per Bulan'!G173</f>
        <v/>
      </c>
    </row>
    <row r="174" spans="1:7" x14ac:dyDescent="0.45">
      <c r="A174" t="s">
        <v>13</v>
      </c>
      <c r="B174" t="s">
        <v>28</v>
      </c>
      <c r="C174" t="s">
        <v>9</v>
      </c>
      <c r="D174" s="24">
        <v>2268107667</v>
      </c>
      <c r="E174" s="29" t="str">
        <f>'Hitung Per Bulan'!E174</f>
        <v/>
      </c>
      <c r="F174" s="24">
        <v>1386632000</v>
      </c>
      <c r="G174" s="29" t="str">
        <f>'Hitung Per Bulan'!G174</f>
        <v/>
      </c>
    </row>
    <row r="175" spans="1:7" x14ac:dyDescent="0.45">
      <c r="A175" t="s">
        <v>14</v>
      </c>
      <c r="B175" t="s">
        <v>28</v>
      </c>
      <c r="C175" t="s">
        <v>9</v>
      </c>
      <c r="D175" s="24">
        <v>2362976667</v>
      </c>
      <c r="E175" s="29" t="str">
        <f>'Hitung Per Bulan'!E175</f>
        <v/>
      </c>
      <c r="F175" s="24">
        <v>908992000</v>
      </c>
      <c r="G175" s="29" t="str">
        <f>'Hitung Per Bulan'!G175</f>
        <v/>
      </c>
    </row>
    <row r="176" spans="1:7" x14ac:dyDescent="0.45">
      <c r="A176" t="s">
        <v>15</v>
      </c>
      <c r="B176" t="s">
        <v>28</v>
      </c>
      <c r="C176" t="s">
        <v>9</v>
      </c>
      <c r="D176" s="24">
        <v>2424464667</v>
      </c>
      <c r="E176" s="29" t="str">
        <f>'Hitung Per Bulan'!E176</f>
        <v/>
      </c>
      <c r="F176" s="24">
        <v>2563018000</v>
      </c>
      <c r="G176" s="29" t="str">
        <f>'Hitung Per Bulan'!G176</f>
        <v/>
      </c>
    </row>
    <row r="177" spans="1:7" x14ac:dyDescent="0.45">
      <c r="A177" t="s">
        <v>16</v>
      </c>
      <c r="B177" t="s">
        <v>28</v>
      </c>
      <c r="C177" t="s">
        <v>9</v>
      </c>
      <c r="D177" s="24">
        <v>2517762667</v>
      </c>
      <c r="E177" s="29" t="str">
        <f>'Hitung Per Bulan'!E177</f>
        <v/>
      </c>
      <c r="F177" s="24">
        <v>1841049000</v>
      </c>
      <c r="G177" s="29" t="str">
        <f>'Hitung Per Bulan'!G177</f>
        <v/>
      </c>
    </row>
    <row r="178" spans="1:7" x14ac:dyDescent="0.45">
      <c r="A178" t="s">
        <v>17</v>
      </c>
      <c r="B178" t="s">
        <v>28</v>
      </c>
      <c r="C178" t="s">
        <v>9</v>
      </c>
      <c r="D178" s="24">
        <v>1885646667</v>
      </c>
      <c r="E178" s="29" t="str">
        <f>'Hitung Per Bulan'!E178</f>
        <v/>
      </c>
      <c r="F178" s="24">
        <v>1189324000</v>
      </c>
      <c r="G178" s="29" t="str">
        <f>'Hitung Per Bulan'!G178</f>
        <v/>
      </c>
    </row>
    <row r="179" spans="1:7" x14ac:dyDescent="0.45">
      <c r="A179" t="s">
        <v>18</v>
      </c>
      <c r="B179" t="s">
        <v>28</v>
      </c>
      <c r="C179" t="s">
        <v>9</v>
      </c>
      <c r="D179" s="24">
        <v>1076401667</v>
      </c>
      <c r="E179" s="29" t="str">
        <f>'Hitung Per Bulan'!E179</f>
        <v/>
      </c>
      <c r="F179" s="24">
        <v>6212854000</v>
      </c>
      <c r="G179" s="29" t="str">
        <f>'Hitung Per Bulan'!G179</f>
        <v/>
      </c>
    </row>
    <row r="180" spans="1:7" x14ac:dyDescent="0.45">
      <c r="A180" t="s">
        <v>19</v>
      </c>
      <c r="B180" t="s">
        <v>28</v>
      </c>
      <c r="C180" t="s">
        <v>9</v>
      </c>
      <c r="D180" s="24">
        <v>293350667</v>
      </c>
      <c r="E180" s="29" t="str">
        <f>'Hitung Per Bulan'!E180</f>
        <v/>
      </c>
      <c r="F180" s="24">
        <v>13410728000</v>
      </c>
      <c r="G180" s="29" t="str">
        <f>'Hitung Per Bulan'!G180</f>
        <v/>
      </c>
    </row>
    <row r="181" spans="1:7" x14ac:dyDescent="0.45">
      <c r="A181" t="s">
        <v>20</v>
      </c>
      <c r="B181" t="s">
        <v>28</v>
      </c>
      <c r="C181" t="s">
        <v>9</v>
      </c>
      <c r="D181" s="24">
        <v>194370667</v>
      </c>
      <c r="E181" s="29" t="str">
        <f>'Hitung Per Bulan'!E181</f>
        <v/>
      </c>
      <c r="F181" s="24">
        <v>13353760000</v>
      </c>
      <c r="G181" s="29" t="str">
        <f>'Hitung Per Bulan'!G181</f>
        <v/>
      </c>
    </row>
    <row r="182" spans="1:7" x14ac:dyDescent="0.45">
      <c r="A182" t="s">
        <v>7</v>
      </c>
      <c r="B182" t="s">
        <v>28</v>
      </c>
      <c r="C182" t="s">
        <v>21</v>
      </c>
      <c r="D182" s="24">
        <v>0</v>
      </c>
      <c r="E182" s="29">
        <f>'Hitung Per Bulan'!E182</f>
        <v>7366373</v>
      </c>
      <c r="F182" s="24">
        <v>0</v>
      </c>
      <c r="G182" s="29">
        <f>'Hitung Per Bulan'!G182</f>
        <v>0</v>
      </c>
    </row>
    <row r="183" spans="1:7" x14ac:dyDescent="0.45">
      <c r="A183" t="s">
        <v>10</v>
      </c>
      <c r="B183" t="s">
        <v>28</v>
      </c>
      <c r="C183" t="s">
        <v>21</v>
      </c>
      <c r="D183" s="24">
        <v>69155000</v>
      </c>
      <c r="E183" s="29">
        <f>'Hitung Per Bulan'!E183</f>
        <v>108905600</v>
      </c>
      <c r="F183" s="24">
        <v>0</v>
      </c>
      <c r="G183" s="29">
        <f>'Hitung Per Bulan'!G183</f>
        <v>7366373</v>
      </c>
    </row>
    <row r="184" spans="1:7" x14ac:dyDescent="0.45">
      <c r="A184" t="s">
        <v>11</v>
      </c>
      <c r="B184" t="s">
        <v>28</v>
      </c>
      <c r="C184" t="s">
        <v>21</v>
      </c>
      <c r="D184" s="24">
        <v>76585000</v>
      </c>
      <c r="E184" s="29">
        <f>'Hitung Per Bulan'!E184</f>
        <v>0</v>
      </c>
      <c r="F184" s="24">
        <v>69155000</v>
      </c>
      <c r="G184" s="29">
        <f>'Hitung Per Bulan'!G184</f>
        <v>45150000</v>
      </c>
    </row>
    <row r="185" spans="1:7" x14ac:dyDescent="0.45">
      <c r="A185" t="s">
        <v>12</v>
      </c>
      <c r="B185" t="s">
        <v>28</v>
      </c>
      <c r="C185" t="s">
        <v>21</v>
      </c>
      <c r="D185" s="24">
        <v>478750000</v>
      </c>
      <c r="E185" s="29" t="str">
        <f>'Hitung Per Bulan'!E185</f>
        <v/>
      </c>
      <c r="F185" s="24">
        <v>76585000</v>
      </c>
      <c r="G185" s="29" t="str">
        <f>'Hitung Per Bulan'!G185</f>
        <v/>
      </c>
    </row>
    <row r="186" spans="1:7" x14ac:dyDescent="0.45">
      <c r="A186" t="s">
        <v>13</v>
      </c>
      <c r="B186" t="s">
        <v>28</v>
      </c>
      <c r="C186" t="s">
        <v>21</v>
      </c>
      <c r="D186" s="24">
        <v>331409000</v>
      </c>
      <c r="E186" s="29" t="str">
        <f>'Hitung Per Bulan'!E186</f>
        <v/>
      </c>
      <c r="F186" s="24">
        <v>78750000</v>
      </c>
      <c r="G186" s="29" t="str">
        <f>'Hitung Per Bulan'!G186</f>
        <v/>
      </c>
    </row>
    <row r="187" spans="1:7" x14ac:dyDescent="0.45">
      <c r="A187" t="s">
        <v>14</v>
      </c>
      <c r="B187" t="s">
        <v>28</v>
      </c>
      <c r="C187" t="s">
        <v>21</v>
      </c>
      <c r="D187" s="24">
        <v>425832000</v>
      </c>
      <c r="E187" s="29" t="str">
        <f>'Hitung Per Bulan'!E187</f>
        <v/>
      </c>
      <c r="F187" s="24">
        <v>331409000</v>
      </c>
      <c r="G187" s="29" t="str">
        <f>'Hitung Per Bulan'!G187</f>
        <v/>
      </c>
    </row>
    <row r="188" spans="1:7" x14ac:dyDescent="0.45">
      <c r="A188" t="s">
        <v>15</v>
      </c>
      <c r="B188" t="s">
        <v>28</v>
      </c>
      <c r="C188" t="s">
        <v>21</v>
      </c>
      <c r="D188" s="24">
        <v>720000000</v>
      </c>
      <c r="E188" s="29" t="str">
        <f>'Hitung Per Bulan'!E188</f>
        <v/>
      </c>
      <c r="F188" s="24">
        <v>645000000</v>
      </c>
      <c r="G188" s="29" t="str">
        <f>'Hitung Per Bulan'!G188</f>
        <v/>
      </c>
    </row>
    <row r="189" spans="1:7" x14ac:dyDescent="0.45">
      <c r="A189" t="s">
        <v>16</v>
      </c>
      <c r="B189" t="s">
        <v>28</v>
      </c>
      <c r="C189" t="s">
        <v>21</v>
      </c>
      <c r="D189" s="24">
        <v>980337000</v>
      </c>
      <c r="E189" s="29" t="str">
        <f>'Hitung Per Bulan'!E189</f>
        <v/>
      </c>
      <c r="F189" s="24">
        <v>470000000</v>
      </c>
      <c r="G189" s="29" t="str">
        <f>'Hitung Per Bulan'!G189</f>
        <v/>
      </c>
    </row>
    <row r="190" spans="1:7" x14ac:dyDescent="0.45">
      <c r="A190" t="s">
        <v>17</v>
      </c>
      <c r="B190" t="s">
        <v>28</v>
      </c>
      <c r="C190" t="s">
        <v>21</v>
      </c>
      <c r="D190" s="24">
        <v>30000000</v>
      </c>
      <c r="E190" s="29" t="str">
        <f>'Hitung Per Bulan'!E190</f>
        <v/>
      </c>
      <c r="F190" s="24">
        <v>569582000</v>
      </c>
      <c r="G190" s="29" t="str">
        <f>'Hitung Per Bulan'!G190</f>
        <v/>
      </c>
    </row>
    <row r="191" spans="1:7" x14ac:dyDescent="0.45">
      <c r="A191" t="s">
        <v>18</v>
      </c>
      <c r="B191" t="s">
        <v>28</v>
      </c>
      <c r="C191" t="s">
        <v>21</v>
      </c>
      <c r="D191" s="24">
        <v>30000000</v>
      </c>
      <c r="E191" s="29" t="str">
        <f>'Hitung Per Bulan'!E191</f>
        <v/>
      </c>
      <c r="F191" s="24">
        <v>280000000</v>
      </c>
      <c r="G191" s="29" t="str">
        <f>'Hitung Per Bulan'!G191</f>
        <v/>
      </c>
    </row>
    <row r="192" spans="1:7" x14ac:dyDescent="0.45">
      <c r="A192" t="s">
        <v>19</v>
      </c>
      <c r="B192" t="s">
        <v>28</v>
      </c>
      <c r="C192" t="s">
        <v>21</v>
      </c>
      <c r="D192" s="24">
        <v>30000000</v>
      </c>
      <c r="E192" s="29" t="str">
        <f>'Hitung Per Bulan'!E192</f>
        <v/>
      </c>
      <c r="F192" s="24">
        <v>621587000</v>
      </c>
      <c r="G192" s="29" t="str">
        <f>'Hitung Per Bulan'!G192</f>
        <v/>
      </c>
    </row>
    <row r="193" spans="1:7" x14ac:dyDescent="0.45">
      <c r="A193" t="s">
        <v>20</v>
      </c>
      <c r="B193" t="s">
        <v>28</v>
      </c>
      <c r="C193" t="s">
        <v>21</v>
      </c>
      <c r="D193" s="24">
        <v>0</v>
      </c>
      <c r="E193" s="29" t="str">
        <f>'Hitung Per Bulan'!E193</f>
        <v/>
      </c>
      <c r="F193" s="24">
        <v>30000000</v>
      </c>
      <c r="G193" s="29" t="str">
        <f>'Hitung Per Bulan'!G193</f>
        <v/>
      </c>
    </row>
    <row r="194" spans="1:7" x14ac:dyDescent="0.45">
      <c r="A194" t="s">
        <v>7</v>
      </c>
      <c r="B194" t="s">
        <v>28</v>
      </c>
      <c r="C194" t="s">
        <v>22</v>
      </c>
      <c r="D194" s="24">
        <v>0</v>
      </c>
      <c r="E194" s="29">
        <f>'Hitung Per Bulan'!E194</f>
        <v>0</v>
      </c>
      <c r="F194" s="24">
        <v>0</v>
      </c>
      <c r="G194" s="29">
        <f>'Hitung Per Bulan'!G194</f>
        <v>0</v>
      </c>
    </row>
    <row r="195" spans="1:7" x14ac:dyDescent="0.45">
      <c r="A195" t="s">
        <v>10</v>
      </c>
      <c r="B195" t="s">
        <v>28</v>
      </c>
      <c r="C195" t="s">
        <v>22</v>
      </c>
      <c r="D195" s="24">
        <v>0</v>
      </c>
      <c r="E195" s="29">
        <f>'Hitung Per Bulan'!E195</f>
        <v>0</v>
      </c>
      <c r="F195" s="24">
        <v>0</v>
      </c>
      <c r="G195" s="29">
        <f>'Hitung Per Bulan'!G195</f>
        <v>0</v>
      </c>
    </row>
    <row r="196" spans="1:7" x14ac:dyDescent="0.45">
      <c r="A196" t="s">
        <v>11</v>
      </c>
      <c r="B196" t="s">
        <v>28</v>
      </c>
      <c r="C196" t="s">
        <v>22</v>
      </c>
      <c r="D196" s="24">
        <v>0</v>
      </c>
      <c r="E196" s="29">
        <f>'Hitung Per Bulan'!E196</f>
        <v>0</v>
      </c>
      <c r="F196" s="24">
        <v>0</v>
      </c>
      <c r="G196" s="29">
        <f>'Hitung Per Bulan'!G196</f>
        <v>0</v>
      </c>
    </row>
    <row r="197" spans="1:7" x14ac:dyDescent="0.45">
      <c r="A197" t="s">
        <v>12</v>
      </c>
      <c r="B197" t="s">
        <v>28</v>
      </c>
      <c r="C197" t="s">
        <v>22</v>
      </c>
      <c r="D197" s="24">
        <v>0</v>
      </c>
      <c r="E197" s="29" t="str">
        <f>'Hitung Per Bulan'!E197</f>
        <v/>
      </c>
      <c r="F197" s="24">
        <v>0</v>
      </c>
      <c r="G197" s="29" t="str">
        <f>'Hitung Per Bulan'!G197</f>
        <v/>
      </c>
    </row>
    <row r="198" spans="1:7" x14ac:dyDescent="0.45">
      <c r="A198" t="s">
        <v>13</v>
      </c>
      <c r="B198" t="s">
        <v>28</v>
      </c>
      <c r="C198" t="s">
        <v>22</v>
      </c>
      <c r="D198" s="24">
        <v>0</v>
      </c>
      <c r="E198" s="29" t="str">
        <f>'Hitung Per Bulan'!E198</f>
        <v/>
      </c>
      <c r="F198" s="24">
        <v>0</v>
      </c>
      <c r="G198" s="29" t="str">
        <f>'Hitung Per Bulan'!G198</f>
        <v/>
      </c>
    </row>
    <row r="199" spans="1:7" x14ac:dyDescent="0.45">
      <c r="A199" t="s">
        <v>14</v>
      </c>
      <c r="B199" t="s">
        <v>28</v>
      </c>
      <c r="C199" t="s">
        <v>22</v>
      </c>
      <c r="D199" s="24">
        <v>0</v>
      </c>
      <c r="E199" s="29" t="str">
        <f>'Hitung Per Bulan'!E199</f>
        <v/>
      </c>
      <c r="F199" s="24">
        <v>0</v>
      </c>
      <c r="G199" s="29" t="str">
        <f>'Hitung Per Bulan'!G199</f>
        <v/>
      </c>
    </row>
    <row r="200" spans="1:7" x14ac:dyDescent="0.45">
      <c r="A200" t="s">
        <v>15</v>
      </c>
      <c r="B200" t="s">
        <v>28</v>
      </c>
      <c r="C200" t="s">
        <v>22</v>
      </c>
      <c r="D200" s="24">
        <v>0</v>
      </c>
      <c r="E200" s="29" t="str">
        <f>'Hitung Per Bulan'!E200</f>
        <v/>
      </c>
      <c r="F200" s="24">
        <v>0</v>
      </c>
      <c r="G200" s="29" t="str">
        <f>'Hitung Per Bulan'!G200</f>
        <v/>
      </c>
    </row>
    <row r="201" spans="1:7" x14ac:dyDescent="0.45">
      <c r="A201" t="s">
        <v>16</v>
      </c>
      <c r="B201" t="s">
        <v>28</v>
      </c>
      <c r="C201" t="s">
        <v>22</v>
      </c>
      <c r="D201" s="24">
        <v>0</v>
      </c>
      <c r="E201" s="29" t="str">
        <f>'Hitung Per Bulan'!E201</f>
        <v/>
      </c>
      <c r="F201" s="24">
        <v>0</v>
      </c>
      <c r="G201" s="29" t="str">
        <f>'Hitung Per Bulan'!G201</f>
        <v/>
      </c>
    </row>
    <row r="202" spans="1:7" x14ac:dyDescent="0.45">
      <c r="A202" t="s">
        <v>17</v>
      </c>
      <c r="B202" t="s">
        <v>28</v>
      </c>
      <c r="C202" t="s">
        <v>22</v>
      </c>
      <c r="D202" s="24">
        <v>0</v>
      </c>
      <c r="E202" s="29" t="str">
        <f>'Hitung Per Bulan'!E202</f>
        <v/>
      </c>
      <c r="F202" s="24">
        <v>0</v>
      </c>
      <c r="G202" s="29" t="str">
        <f>'Hitung Per Bulan'!G202</f>
        <v/>
      </c>
    </row>
    <row r="203" spans="1:7" x14ac:dyDescent="0.45">
      <c r="A203" t="s">
        <v>18</v>
      </c>
      <c r="B203" t="s">
        <v>28</v>
      </c>
      <c r="C203" t="s">
        <v>22</v>
      </c>
      <c r="D203" s="24">
        <v>0</v>
      </c>
      <c r="E203" s="29" t="str">
        <f>'Hitung Per Bulan'!E203</f>
        <v/>
      </c>
      <c r="F203" s="24">
        <v>0</v>
      </c>
      <c r="G203" s="29" t="str">
        <f>'Hitung Per Bulan'!G203</f>
        <v/>
      </c>
    </row>
    <row r="204" spans="1:7" x14ac:dyDescent="0.45">
      <c r="A204" t="s">
        <v>19</v>
      </c>
      <c r="B204" t="s">
        <v>28</v>
      </c>
      <c r="C204" t="s">
        <v>22</v>
      </c>
      <c r="D204" s="24">
        <v>0</v>
      </c>
      <c r="E204" s="29" t="str">
        <f>'Hitung Per Bulan'!E204</f>
        <v/>
      </c>
      <c r="F204" s="24">
        <v>0</v>
      </c>
      <c r="G204" s="29" t="str">
        <f>'Hitung Per Bulan'!G204</f>
        <v/>
      </c>
    </row>
    <row r="205" spans="1:7" x14ac:dyDescent="0.45">
      <c r="A205" t="s">
        <v>20</v>
      </c>
      <c r="B205" t="s">
        <v>28</v>
      </c>
      <c r="C205" t="s">
        <v>22</v>
      </c>
      <c r="D205" s="24">
        <v>0</v>
      </c>
      <c r="E205" s="29" t="str">
        <f>'Hitung Per Bulan'!E205</f>
        <v/>
      </c>
      <c r="F205" s="24">
        <v>0</v>
      </c>
      <c r="G205" s="29" t="str">
        <f>'Hitung Per Bulan'!G205</f>
        <v/>
      </c>
    </row>
    <row r="206" spans="1:7" x14ac:dyDescent="0.45">
      <c r="A206" t="s">
        <v>7</v>
      </c>
      <c r="B206" t="s">
        <v>28</v>
      </c>
      <c r="C206" t="s">
        <v>23</v>
      </c>
      <c r="D206" s="24">
        <v>0</v>
      </c>
      <c r="E206" s="29">
        <f>'Hitung Per Bulan'!E206</f>
        <v>24488000</v>
      </c>
      <c r="F206" s="24">
        <v>0</v>
      </c>
      <c r="G206" s="29">
        <f>'Hitung Per Bulan'!G206</f>
        <v>0</v>
      </c>
    </row>
    <row r="207" spans="1:7" x14ac:dyDescent="0.45">
      <c r="A207" t="s">
        <v>10</v>
      </c>
      <c r="B207" t="s">
        <v>28</v>
      </c>
      <c r="C207" t="s">
        <v>23</v>
      </c>
      <c r="D207" s="24">
        <v>0</v>
      </c>
      <c r="E207" s="29">
        <f>'Hitung Per Bulan'!E207</f>
        <v>0</v>
      </c>
      <c r="F207" s="24">
        <v>0</v>
      </c>
      <c r="G207" s="29">
        <f>'Hitung Per Bulan'!G207</f>
        <v>24488000</v>
      </c>
    </row>
    <row r="208" spans="1:7" x14ac:dyDescent="0.45">
      <c r="A208" t="s">
        <v>11</v>
      </c>
      <c r="B208" t="s">
        <v>28</v>
      </c>
      <c r="C208" t="s">
        <v>23</v>
      </c>
      <c r="D208" s="24">
        <v>50000000</v>
      </c>
      <c r="E208" s="29">
        <f>'Hitung Per Bulan'!E208</f>
        <v>0</v>
      </c>
      <c r="F208" s="24">
        <v>0</v>
      </c>
      <c r="G208" s="29">
        <f>'Hitung Per Bulan'!G208</f>
        <v>0</v>
      </c>
    </row>
    <row r="209" spans="1:7" x14ac:dyDescent="0.45">
      <c r="A209" t="s">
        <v>12</v>
      </c>
      <c r="B209" t="s">
        <v>28</v>
      </c>
      <c r="C209" t="s">
        <v>23</v>
      </c>
      <c r="D209" s="24">
        <v>0</v>
      </c>
      <c r="E209" s="29" t="str">
        <f>'Hitung Per Bulan'!E209</f>
        <v/>
      </c>
      <c r="F209" s="24">
        <v>50000000</v>
      </c>
      <c r="G209" s="29" t="str">
        <f>'Hitung Per Bulan'!G209</f>
        <v/>
      </c>
    </row>
    <row r="210" spans="1:7" x14ac:dyDescent="0.45">
      <c r="A210" t="s">
        <v>13</v>
      </c>
      <c r="B210" t="s">
        <v>28</v>
      </c>
      <c r="C210" t="s">
        <v>23</v>
      </c>
      <c r="D210" s="24">
        <v>50000000</v>
      </c>
      <c r="E210" s="29" t="str">
        <f>'Hitung Per Bulan'!E210</f>
        <v/>
      </c>
      <c r="F210" s="24">
        <v>0</v>
      </c>
      <c r="G210" s="29" t="str">
        <f>'Hitung Per Bulan'!G210</f>
        <v/>
      </c>
    </row>
    <row r="211" spans="1:7" x14ac:dyDescent="0.45">
      <c r="A211" t="s">
        <v>14</v>
      </c>
      <c r="B211" t="s">
        <v>28</v>
      </c>
      <c r="C211" t="s">
        <v>23</v>
      </c>
      <c r="D211" s="24">
        <v>0</v>
      </c>
      <c r="E211" s="29" t="str">
        <f>'Hitung Per Bulan'!E211</f>
        <v/>
      </c>
      <c r="F211" s="24">
        <v>50000000</v>
      </c>
      <c r="G211" s="29" t="str">
        <f>'Hitung Per Bulan'!G211</f>
        <v/>
      </c>
    </row>
    <row r="212" spans="1:7" x14ac:dyDescent="0.45">
      <c r="A212" t="s">
        <v>15</v>
      </c>
      <c r="B212" t="s">
        <v>28</v>
      </c>
      <c r="C212" t="s">
        <v>23</v>
      </c>
      <c r="D212" s="24">
        <v>0</v>
      </c>
      <c r="E212" s="29" t="str">
        <f>'Hitung Per Bulan'!E212</f>
        <v/>
      </c>
      <c r="F212" s="24">
        <v>0</v>
      </c>
      <c r="G212" s="29" t="str">
        <f>'Hitung Per Bulan'!G212</f>
        <v/>
      </c>
    </row>
    <row r="213" spans="1:7" x14ac:dyDescent="0.45">
      <c r="A213" t="s">
        <v>16</v>
      </c>
      <c r="B213" t="s">
        <v>28</v>
      </c>
      <c r="C213" t="s">
        <v>23</v>
      </c>
      <c r="D213" s="24">
        <v>100000000</v>
      </c>
      <c r="E213" s="29" t="str">
        <f>'Hitung Per Bulan'!E213</f>
        <v/>
      </c>
      <c r="F213" s="24">
        <v>0</v>
      </c>
      <c r="G213" s="29" t="str">
        <f>'Hitung Per Bulan'!G213</f>
        <v/>
      </c>
    </row>
    <row r="214" spans="1:7" x14ac:dyDescent="0.45">
      <c r="A214" t="s">
        <v>17</v>
      </c>
      <c r="B214" t="s">
        <v>28</v>
      </c>
      <c r="C214" t="s">
        <v>23</v>
      </c>
      <c r="D214" s="24">
        <v>0</v>
      </c>
      <c r="E214" s="29" t="str">
        <f>'Hitung Per Bulan'!E214</f>
        <v/>
      </c>
      <c r="F214" s="24">
        <v>100000000</v>
      </c>
      <c r="G214" s="29" t="str">
        <f>'Hitung Per Bulan'!G214</f>
        <v/>
      </c>
    </row>
    <row r="215" spans="1:7" x14ac:dyDescent="0.45">
      <c r="A215" t="s">
        <v>18</v>
      </c>
      <c r="B215" t="s">
        <v>28</v>
      </c>
      <c r="C215" t="s">
        <v>23</v>
      </c>
      <c r="D215" s="24">
        <v>0</v>
      </c>
      <c r="E215" s="29" t="str">
        <f>'Hitung Per Bulan'!E215</f>
        <v/>
      </c>
      <c r="F215" s="24">
        <v>0</v>
      </c>
      <c r="G215" s="29" t="str">
        <f>'Hitung Per Bulan'!G215</f>
        <v/>
      </c>
    </row>
    <row r="216" spans="1:7" x14ac:dyDescent="0.45">
      <c r="A216" t="s">
        <v>19</v>
      </c>
      <c r="B216" t="s">
        <v>28</v>
      </c>
      <c r="C216" t="s">
        <v>23</v>
      </c>
      <c r="D216" s="24">
        <v>0</v>
      </c>
      <c r="E216" s="29" t="str">
        <f>'Hitung Per Bulan'!E216</f>
        <v/>
      </c>
      <c r="F216" s="24">
        <v>0</v>
      </c>
      <c r="G216" s="29" t="str">
        <f>'Hitung Per Bulan'!G216</f>
        <v/>
      </c>
    </row>
    <row r="217" spans="1:7" x14ac:dyDescent="0.45">
      <c r="A217" t="s">
        <v>20</v>
      </c>
      <c r="B217" t="s">
        <v>28</v>
      </c>
      <c r="C217" t="s">
        <v>23</v>
      </c>
      <c r="D217" s="24">
        <v>0</v>
      </c>
      <c r="E217" s="29" t="str">
        <f>'Hitung Per Bulan'!E217</f>
        <v/>
      </c>
      <c r="F217" s="24">
        <v>0</v>
      </c>
      <c r="G217" s="29" t="str">
        <f>'Hitung Per Bulan'!G217</f>
        <v/>
      </c>
    </row>
    <row r="218" spans="1:7" x14ac:dyDescent="0.45">
      <c r="A218" t="s">
        <v>7</v>
      </c>
      <c r="B218" t="s">
        <v>28</v>
      </c>
      <c r="C218" t="s">
        <v>24</v>
      </c>
      <c r="D218" s="24">
        <v>0</v>
      </c>
      <c r="E218" s="29">
        <f>'Hitung Per Bulan'!E218</f>
        <v>0</v>
      </c>
      <c r="F218" s="24">
        <v>0</v>
      </c>
      <c r="G218" s="29">
        <f>'Hitung Per Bulan'!G218</f>
        <v>0</v>
      </c>
    </row>
    <row r="219" spans="1:7" x14ac:dyDescent="0.45">
      <c r="A219" t="s">
        <v>10</v>
      </c>
      <c r="B219" t="s">
        <v>28</v>
      </c>
      <c r="C219" t="s">
        <v>24</v>
      </c>
      <c r="D219" s="24">
        <v>0</v>
      </c>
      <c r="E219" s="29">
        <f>'Hitung Per Bulan'!E219</f>
        <v>0</v>
      </c>
      <c r="F219" s="24">
        <v>0</v>
      </c>
      <c r="G219" s="29">
        <f>'Hitung Per Bulan'!G219</f>
        <v>0</v>
      </c>
    </row>
    <row r="220" spans="1:7" x14ac:dyDescent="0.45">
      <c r="A220" t="s">
        <v>11</v>
      </c>
      <c r="B220" t="s">
        <v>28</v>
      </c>
      <c r="C220" t="s">
        <v>24</v>
      </c>
      <c r="D220" s="24">
        <v>0</v>
      </c>
      <c r="E220" s="29">
        <f>'Hitung Per Bulan'!E220</f>
        <v>0</v>
      </c>
      <c r="F220" s="24">
        <v>0</v>
      </c>
      <c r="G220" s="29">
        <f>'Hitung Per Bulan'!G220</f>
        <v>0</v>
      </c>
    </row>
    <row r="221" spans="1:7" x14ac:dyDescent="0.45">
      <c r="A221" t="s">
        <v>12</v>
      </c>
      <c r="B221" t="s">
        <v>28</v>
      </c>
      <c r="C221" t="s">
        <v>24</v>
      </c>
      <c r="D221" s="24">
        <v>0</v>
      </c>
      <c r="E221" s="29" t="str">
        <f>'Hitung Per Bulan'!E221</f>
        <v/>
      </c>
      <c r="F221" s="24">
        <v>0</v>
      </c>
      <c r="G221" s="29" t="str">
        <f>'Hitung Per Bulan'!G221</f>
        <v/>
      </c>
    </row>
    <row r="222" spans="1:7" x14ac:dyDescent="0.45">
      <c r="A222" t="s">
        <v>13</v>
      </c>
      <c r="B222" t="s">
        <v>28</v>
      </c>
      <c r="C222" t="s">
        <v>24</v>
      </c>
      <c r="D222" s="24">
        <v>0</v>
      </c>
      <c r="E222" s="29" t="str">
        <f>'Hitung Per Bulan'!E222</f>
        <v/>
      </c>
      <c r="F222" s="24">
        <v>0</v>
      </c>
      <c r="G222" s="29" t="str">
        <f>'Hitung Per Bulan'!G222</f>
        <v/>
      </c>
    </row>
    <row r="223" spans="1:7" x14ac:dyDescent="0.45">
      <c r="A223" t="s">
        <v>14</v>
      </c>
      <c r="B223" t="s">
        <v>28</v>
      </c>
      <c r="C223" t="s">
        <v>24</v>
      </c>
      <c r="D223" s="24">
        <v>0</v>
      </c>
      <c r="E223" s="29" t="str">
        <f>'Hitung Per Bulan'!E223</f>
        <v/>
      </c>
      <c r="F223" s="24">
        <v>0</v>
      </c>
      <c r="G223" s="29" t="str">
        <f>'Hitung Per Bulan'!G223</f>
        <v/>
      </c>
    </row>
    <row r="224" spans="1:7" x14ac:dyDescent="0.45">
      <c r="A224" t="s">
        <v>15</v>
      </c>
      <c r="B224" t="s">
        <v>28</v>
      </c>
      <c r="C224" t="s">
        <v>24</v>
      </c>
      <c r="D224" s="24">
        <v>0</v>
      </c>
      <c r="E224" s="29" t="str">
        <f>'Hitung Per Bulan'!E224</f>
        <v/>
      </c>
      <c r="F224" s="24">
        <v>0</v>
      </c>
      <c r="G224" s="29" t="str">
        <f>'Hitung Per Bulan'!G224</f>
        <v/>
      </c>
    </row>
    <row r="225" spans="1:7" x14ac:dyDescent="0.45">
      <c r="A225" t="s">
        <v>16</v>
      </c>
      <c r="B225" t="s">
        <v>28</v>
      </c>
      <c r="C225" t="s">
        <v>24</v>
      </c>
      <c r="D225" s="24">
        <v>0</v>
      </c>
      <c r="E225" s="29" t="str">
        <f>'Hitung Per Bulan'!E225</f>
        <v/>
      </c>
      <c r="F225" s="24">
        <v>0</v>
      </c>
      <c r="G225" s="29" t="str">
        <f>'Hitung Per Bulan'!G225</f>
        <v/>
      </c>
    </row>
    <row r="226" spans="1:7" x14ac:dyDescent="0.45">
      <c r="A226" t="s">
        <v>17</v>
      </c>
      <c r="B226" t="s">
        <v>28</v>
      </c>
      <c r="C226" t="s">
        <v>24</v>
      </c>
      <c r="D226" s="24">
        <v>0</v>
      </c>
      <c r="E226" s="29" t="str">
        <f>'Hitung Per Bulan'!E226</f>
        <v/>
      </c>
      <c r="F226" s="24">
        <v>0</v>
      </c>
      <c r="G226" s="29" t="str">
        <f>'Hitung Per Bulan'!G226</f>
        <v/>
      </c>
    </row>
    <row r="227" spans="1:7" x14ac:dyDescent="0.45">
      <c r="A227" t="s">
        <v>18</v>
      </c>
      <c r="B227" t="s">
        <v>28</v>
      </c>
      <c r="C227" t="s">
        <v>24</v>
      </c>
      <c r="D227" s="24">
        <v>0</v>
      </c>
      <c r="E227" s="29" t="str">
        <f>'Hitung Per Bulan'!E227</f>
        <v/>
      </c>
      <c r="F227" s="24">
        <v>0</v>
      </c>
      <c r="G227" s="29" t="str">
        <f>'Hitung Per Bulan'!G227</f>
        <v/>
      </c>
    </row>
    <row r="228" spans="1:7" x14ac:dyDescent="0.45">
      <c r="A228" t="s">
        <v>19</v>
      </c>
      <c r="B228" t="s">
        <v>28</v>
      </c>
      <c r="C228" t="s">
        <v>24</v>
      </c>
      <c r="D228" s="24">
        <v>0</v>
      </c>
      <c r="E228" s="29" t="str">
        <f>'Hitung Per Bulan'!E228</f>
        <v/>
      </c>
      <c r="F228" s="24">
        <v>0</v>
      </c>
      <c r="G228" s="29" t="str">
        <f>'Hitung Per Bulan'!G228</f>
        <v/>
      </c>
    </row>
    <row r="229" spans="1:7" x14ac:dyDescent="0.45">
      <c r="A229" t="s">
        <v>20</v>
      </c>
      <c r="B229" t="s">
        <v>28</v>
      </c>
      <c r="C229" t="s">
        <v>24</v>
      </c>
      <c r="D229" s="24">
        <v>0</v>
      </c>
      <c r="E229" s="29" t="str">
        <f>'Hitung Per Bulan'!E229</f>
        <v/>
      </c>
      <c r="F229" s="24">
        <v>0</v>
      </c>
      <c r="G229" s="29" t="str">
        <f>'Hitung Per Bulan'!G229</f>
        <v/>
      </c>
    </row>
    <row r="230" spans="1:7" x14ac:dyDescent="0.45">
      <c r="A230" t="s">
        <v>7</v>
      </c>
      <c r="B230" t="s">
        <v>28</v>
      </c>
      <c r="C230" t="s">
        <v>25</v>
      </c>
      <c r="D230" s="24">
        <v>129134000</v>
      </c>
      <c r="E230" s="29">
        <f>'Hitung Per Bulan'!E230</f>
        <v>109818500</v>
      </c>
      <c r="F230" s="24">
        <v>0</v>
      </c>
      <c r="G230" s="29">
        <f>'Hitung Per Bulan'!G230</f>
        <v>52871500</v>
      </c>
    </row>
    <row r="231" spans="1:7" x14ac:dyDescent="0.45">
      <c r="A231" t="s">
        <v>10</v>
      </c>
      <c r="B231" t="s">
        <v>28</v>
      </c>
      <c r="C231" t="s">
        <v>25</v>
      </c>
      <c r="D231" s="24">
        <v>129134000</v>
      </c>
      <c r="E231" s="29">
        <f>'Hitung Per Bulan'!E231</f>
        <v>37750500</v>
      </c>
      <c r="F231" s="24">
        <v>129134000</v>
      </c>
      <c r="G231" s="29">
        <f>'Hitung Per Bulan'!G231</f>
        <v>64950500</v>
      </c>
    </row>
    <row r="232" spans="1:7" x14ac:dyDescent="0.45">
      <c r="A232" t="s">
        <v>11</v>
      </c>
      <c r="B232" t="s">
        <v>28</v>
      </c>
      <c r="C232" t="s">
        <v>25</v>
      </c>
      <c r="D232" s="24">
        <v>353894000</v>
      </c>
      <c r="E232" s="29">
        <f>'Hitung Per Bulan'!E232</f>
        <v>18563000</v>
      </c>
      <c r="F232" s="24">
        <v>129134000</v>
      </c>
      <c r="G232" s="29">
        <f>'Hitung Per Bulan'!G232</f>
        <v>12125000</v>
      </c>
    </row>
    <row r="233" spans="1:7" x14ac:dyDescent="0.45">
      <c r="A233" t="s">
        <v>12</v>
      </c>
      <c r="B233" t="s">
        <v>28</v>
      </c>
      <c r="C233" t="s">
        <v>25</v>
      </c>
      <c r="D233" s="24">
        <v>129134000</v>
      </c>
      <c r="E233" s="29" t="str">
        <f>'Hitung Per Bulan'!E233</f>
        <v/>
      </c>
      <c r="F233" s="24">
        <v>353894000</v>
      </c>
      <c r="G233" s="29" t="str">
        <f>'Hitung Per Bulan'!G233</f>
        <v/>
      </c>
    </row>
    <row r="234" spans="1:7" x14ac:dyDescent="0.45">
      <c r="A234" t="s">
        <v>13</v>
      </c>
      <c r="B234" t="s">
        <v>28</v>
      </c>
      <c r="C234" t="s">
        <v>25</v>
      </c>
      <c r="D234" s="24">
        <v>129134000</v>
      </c>
      <c r="E234" s="29" t="str">
        <f>'Hitung Per Bulan'!E234</f>
        <v/>
      </c>
      <c r="F234" s="24">
        <v>129134000</v>
      </c>
      <c r="G234" s="29" t="str">
        <f>'Hitung Per Bulan'!G234</f>
        <v/>
      </c>
    </row>
    <row r="235" spans="1:7" x14ac:dyDescent="0.45">
      <c r="A235" t="s">
        <v>14</v>
      </c>
      <c r="B235" t="s">
        <v>28</v>
      </c>
      <c r="C235" t="s">
        <v>25</v>
      </c>
      <c r="D235" s="24">
        <v>139135000</v>
      </c>
      <c r="E235" s="29" t="str">
        <f>'Hitung Per Bulan'!E235</f>
        <v/>
      </c>
      <c r="F235" s="24">
        <v>129134000</v>
      </c>
      <c r="G235" s="29" t="str">
        <f>'Hitung Per Bulan'!G235</f>
        <v/>
      </c>
    </row>
    <row r="236" spans="1:7" x14ac:dyDescent="0.45">
      <c r="A236" t="s">
        <v>15</v>
      </c>
      <c r="B236" t="s">
        <v>28</v>
      </c>
      <c r="C236" t="s">
        <v>25</v>
      </c>
      <c r="D236" s="24">
        <v>353897000</v>
      </c>
      <c r="E236" s="29" t="str">
        <f>'Hitung Per Bulan'!E236</f>
        <v/>
      </c>
      <c r="F236" s="24">
        <v>139135000</v>
      </c>
      <c r="G236" s="29" t="str">
        <f>'Hitung Per Bulan'!G236</f>
        <v/>
      </c>
    </row>
    <row r="237" spans="1:7" x14ac:dyDescent="0.45">
      <c r="A237" t="s">
        <v>16</v>
      </c>
      <c r="B237" t="s">
        <v>28</v>
      </c>
      <c r="C237" t="s">
        <v>25</v>
      </c>
      <c r="D237" s="24">
        <v>129137000</v>
      </c>
      <c r="E237" s="29" t="str">
        <f>'Hitung Per Bulan'!E237</f>
        <v/>
      </c>
      <c r="F237" s="24">
        <v>353897000</v>
      </c>
      <c r="G237" s="29" t="str">
        <f>'Hitung Per Bulan'!G237</f>
        <v/>
      </c>
    </row>
    <row r="238" spans="1:7" x14ac:dyDescent="0.45">
      <c r="A238" t="s">
        <v>17</v>
      </c>
      <c r="B238" t="s">
        <v>28</v>
      </c>
      <c r="C238" t="s">
        <v>25</v>
      </c>
      <c r="D238" s="24">
        <v>129137000</v>
      </c>
      <c r="E238" s="29" t="str">
        <f>'Hitung Per Bulan'!E238</f>
        <v/>
      </c>
      <c r="F238" s="24">
        <v>129137000</v>
      </c>
      <c r="G238" s="29" t="str">
        <f>'Hitung Per Bulan'!G238</f>
        <v/>
      </c>
    </row>
    <row r="239" spans="1:7" x14ac:dyDescent="0.45">
      <c r="A239" t="s">
        <v>18</v>
      </c>
      <c r="B239" t="s">
        <v>28</v>
      </c>
      <c r="C239" t="s">
        <v>25</v>
      </c>
      <c r="D239" s="24">
        <v>129137000</v>
      </c>
      <c r="E239" s="29" t="str">
        <f>'Hitung Per Bulan'!E239</f>
        <v/>
      </c>
      <c r="F239" s="24">
        <v>129137000</v>
      </c>
      <c r="G239" s="29" t="str">
        <f>'Hitung Per Bulan'!G239</f>
        <v/>
      </c>
    </row>
    <row r="240" spans="1:7" x14ac:dyDescent="0.45">
      <c r="A240" t="s">
        <v>19</v>
      </c>
      <c r="B240" t="s">
        <v>28</v>
      </c>
      <c r="C240" t="s">
        <v>25</v>
      </c>
      <c r="D240" s="24">
        <v>169497000</v>
      </c>
      <c r="E240" s="29" t="str">
        <f>'Hitung Per Bulan'!E240</f>
        <v/>
      </c>
      <c r="F240" s="24">
        <v>129137000</v>
      </c>
      <c r="G240" s="29" t="str">
        <f>'Hitung Per Bulan'!G240</f>
        <v/>
      </c>
    </row>
    <row r="241" spans="1:7" x14ac:dyDescent="0.45">
      <c r="A241" t="s">
        <v>20</v>
      </c>
      <c r="B241" t="s">
        <v>28</v>
      </c>
      <c r="C241" t="s">
        <v>25</v>
      </c>
      <c r="D241" s="24">
        <v>11500000</v>
      </c>
      <c r="E241" s="29" t="str">
        <f>'Hitung Per Bulan'!E241</f>
        <v/>
      </c>
      <c r="F241" s="24">
        <v>180997000</v>
      </c>
      <c r="G241" s="29" t="str">
        <f>'Hitung Per Bulan'!G241</f>
        <v/>
      </c>
    </row>
    <row r="242" spans="1:7" x14ac:dyDescent="0.45">
      <c r="A242" t="s">
        <v>7</v>
      </c>
      <c r="B242" t="s">
        <v>28</v>
      </c>
      <c r="C242" t="s">
        <v>26</v>
      </c>
      <c r="D242" s="24">
        <v>0</v>
      </c>
      <c r="E242" s="29">
        <f>'Hitung Per Bulan'!E242</f>
        <v>0</v>
      </c>
      <c r="F242" s="24">
        <v>0</v>
      </c>
      <c r="G242" s="29">
        <f>'Hitung Per Bulan'!G242</f>
        <v>0</v>
      </c>
    </row>
    <row r="243" spans="1:7" x14ac:dyDescent="0.45">
      <c r="A243" t="s">
        <v>10</v>
      </c>
      <c r="B243" t="s">
        <v>28</v>
      </c>
      <c r="C243" t="s">
        <v>26</v>
      </c>
      <c r="D243" s="24">
        <v>0</v>
      </c>
      <c r="E243" s="29">
        <f>'Hitung Per Bulan'!E243</f>
        <v>0</v>
      </c>
      <c r="F243" s="24">
        <v>0</v>
      </c>
      <c r="G243" s="29">
        <f>'Hitung Per Bulan'!G243</f>
        <v>0</v>
      </c>
    </row>
    <row r="244" spans="1:7" x14ac:dyDescent="0.45">
      <c r="A244" t="s">
        <v>11</v>
      </c>
      <c r="B244" t="s">
        <v>28</v>
      </c>
      <c r="C244" t="s">
        <v>26</v>
      </c>
      <c r="D244" s="24">
        <v>0</v>
      </c>
      <c r="E244" s="29">
        <f>'Hitung Per Bulan'!E244</f>
        <v>0</v>
      </c>
      <c r="F244" s="24">
        <v>0</v>
      </c>
      <c r="G244" s="29">
        <f>'Hitung Per Bulan'!G244</f>
        <v>0</v>
      </c>
    </row>
    <row r="245" spans="1:7" x14ac:dyDescent="0.45">
      <c r="A245" t="s">
        <v>12</v>
      </c>
      <c r="B245" t="s">
        <v>28</v>
      </c>
      <c r="C245" t="s">
        <v>26</v>
      </c>
      <c r="D245" s="24">
        <v>0</v>
      </c>
      <c r="E245" s="29" t="str">
        <f>'Hitung Per Bulan'!E245</f>
        <v/>
      </c>
      <c r="F245" s="24">
        <v>0</v>
      </c>
      <c r="G245" s="29" t="str">
        <f>'Hitung Per Bulan'!G245</f>
        <v/>
      </c>
    </row>
    <row r="246" spans="1:7" x14ac:dyDescent="0.45">
      <c r="A246" t="s">
        <v>13</v>
      </c>
      <c r="B246" t="s">
        <v>28</v>
      </c>
      <c r="C246" t="s">
        <v>26</v>
      </c>
      <c r="D246" s="24">
        <v>0</v>
      </c>
      <c r="E246" s="29" t="str">
        <f>'Hitung Per Bulan'!E246</f>
        <v/>
      </c>
      <c r="F246" s="24">
        <v>0</v>
      </c>
      <c r="G246" s="29" t="str">
        <f>'Hitung Per Bulan'!G246</f>
        <v/>
      </c>
    </row>
    <row r="247" spans="1:7" x14ac:dyDescent="0.45">
      <c r="A247" t="s">
        <v>14</v>
      </c>
      <c r="B247" t="s">
        <v>28</v>
      </c>
      <c r="C247" t="s">
        <v>26</v>
      </c>
      <c r="D247" s="24">
        <v>0</v>
      </c>
      <c r="E247" s="29" t="str">
        <f>'Hitung Per Bulan'!E247</f>
        <v/>
      </c>
      <c r="F247" s="24">
        <v>0</v>
      </c>
      <c r="G247" s="29" t="str">
        <f>'Hitung Per Bulan'!G247</f>
        <v/>
      </c>
    </row>
    <row r="248" spans="1:7" x14ac:dyDescent="0.45">
      <c r="A248" t="s">
        <v>15</v>
      </c>
      <c r="B248" t="s">
        <v>28</v>
      </c>
      <c r="C248" t="s">
        <v>26</v>
      </c>
      <c r="D248" s="24">
        <v>0</v>
      </c>
      <c r="E248" s="29" t="str">
        <f>'Hitung Per Bulan'!E248</f>
        <v/>
      </c>
      <c r="F248" s="24">
        <v>0</v>
      </c>
      <c r="G248" s="29" t="str">
        <f>'Hitung Per Bulan'!G248</f>
        <v/>
      </c>
    </row>
    <row r="249" spans="1:7" x14ac:dyDescent="0.45">
      <c r="A249" t="s">
        <v>16</v>
      </c>
      <c r="B249" t="s">
        <v>28</v>
      </c>
      <c r="C249" t="s">
        <v>26</v>
      </c>
      <c r="D249" s="24">
        <v>0</v>
      </c>
      <c r="E249" s="29" t="str">
        <f>'Hitung Per Bulan'!E249</f>
        <v/>
      </c>
      <c r="F249" s="24">
        <v>0</v>
      </c>
      <c r="G249" s="29" t="str">
        <f>'Hitung Per Bulan'!G249</f>
        <v/>
      </c>
    </row>
    <row r="250" spans="1:7" x14ac:dyDescent="0.45">
      <c r="A250" t="s">
        <v>17</v>
      </c>
      <c r="B250" t="s">
        <v>28</v>
      </c>
      <c r="C250" t="s">
        <v>26</v>
      </c>
      <c r="D250" s="24">
        <v>0</v>
      </c>
      <c r="E250" s="29" t="str">
        <f>'Hitung Per Bulan'!E250</f>
        <v/>
      </c>
      <c r="F250" s="24">
        <v>0</v>
      </c>
      <c r="G250" s="29" t="str">
        <f>'Hitung Per Bulan'!G250</f>
        <v/>
      </c>
    </row>
    <row r="251" spans="1:7" x14ac:dyDescent="0.45">
      <c r="A251" t="s">
        <v>18</v>
      </c>
      <c r="B251" t="s">
        <v>28</v>
      </c>
      <c r="C251" t="s">
        <v>26</v>
      </c>
      <c r="D251" s="24">
        <v>0</v>
      </c>
      <c r="E251" s="29" t="str">
        <f>'Hitung Per Bulan'!E251</f>
        <v/>
      </c>
      <c r="F251" s="24">
        <v>0</v>
      </c>
      <c r="G251" s="29" t="str">
        <f>'Hitung Per Bulan'!G251</f>
        <v/>
      </c>
    </row>
    <row r="252" spans="1:7" x14ac:dyDescent="0.45">
      <c r="A252" t="s">
        <v>19</v>
      </c>
      <c r="B252" t="s">
        <v>28</v>
      </c>
      <c r="C252" t="s">
        <v>26</v>
      </c>
      <c r="D252" s="24">
        <v>0</v>
      </c>
      <c r="E252" s="29" t="str">
        <f>'Hitung Per Bulan'!E252</f>
        <v/>
      </c>
      <c r="F252" s="24">
        <v>0</v>
      </c>
      <c r="G252" s="29" t="str">
        <f>'Hitung Per Bulan'!G252</f>
        <v/>
      </c>
    </row>
    <row r="253" spans="1:7" x14ac:dyDescent="0.45">
      <c r="A253" t="s">
        <v>20</v>
      </c>
      <c r="B253" t="s">
        <v>28</v>
      </c>
      <c r="C253" t="s">
        <v>26</v>
      </c>
      <c r="D253" s="24">
        <v>0</v>
      </c>
      <c r="E253" s="29" t="str">
        <f>'Hitung Per Bulan'!E253</f>
        <v/>
      </c>
      <c r="F253" s="24">
        <v>0</v>
      </c>
      <c r="G253" s="29" t="str">
        <f>'Hitung Per Bulan'!G253</f>
        <v/>
      </c>
    </row>
    <row r="254" spans="1:7" x14ac:dyDescent="0.45">
      <c r="A254" t="s">
        <v>7</v>
      </c>
      <c r="B254" t="s">
        <v>29</v>
      </c>
      <c r="C254" t="s">
        <v>9</v>
      </c>
      <c r="D254" s="24">
        <v>355000000</v>
      </c>
      <c r="E254" s="29">
        <f>'Hitung Per Bulan'!E254</f>
        <v>1724237268</v>
      </c>
      <c r="F254" s="24">
        <v>0</v>
      </c>
      <c r="G254" s="29">
        <f>'Hitung Per Bulan'!G254</f>
        <v>0</v>
      </c>
    </row>
    <row r="255" spans="1:7" x14ac:dyDescent="0.45">
      <c r="A255" t="s">
        <v>10</v>
      </c>
      <c r="B255" t="s">
        <v>29</v>
      </c>
      <c r="C255" t="s">
        <v>9</v>
      </c>
      <c r="D255" s="24">
        <v>979388000</v>
      </c>
      <c r="E255" s="29">
        <f>'Hitung Per Bulan'!E255</f>
        <v>3188732296</v>
      </c>
      <c r="F255" s="24">
        <v>355000000</v>
      </c>
      <c r="G255" s="29">
        <f>'Hitung Per Bulan'!G255</f>
        <v>147536656</v>
      </c>
    </row>
    <row r="256" spans="1:7" x14ac:dyDescent="0.45">
      <c r="A256" t="s">
        <v>11</v>
      </c>
      <c r="B256" t="s">
        <v>29</v>
      </c>
      <c r="C256" t="s">
        <v>9</v>
      </c>
      <c r="D256" s="24">
        <v>14105523000</v>
      </c>
      <c r="E256" s="29">
        <f>'Hitung Per Bulan'!E256</f>
        <v>2255650228</v>
      </c>
      <c r="F256" s="24">
        <v>0</v>
      </c>
      <c r="G256" s="29">
        <f>'Hitung Per Bulan'!G256</f>
        <v>51513108</v>
      </c>
    </row>
    <row r="257" spans="1:7" x14ac:dyDescent="0.45">
      <c r="A257" t="s">
        <v>12</v>
      </c>
      <c r="B257" t="s">
        <v>29</v>
      </c>
      <c r="C257" t="s">
        <v>9</v>
      </c>
      <c r="D257" s="24">
        <v>1907791000</v>
      </c>
      <c r="E257" s="29" t="str">
        <f>'Hitung Per Bulan'!E257</f>
        <v/>
      </c>
      <c r="F257" s="24">
        <v>0</v>
      </c>
      <c r="G257" s="29" t="str">
        <f>'Hitung Per Bulan'!G257</f>
        <v/>
      </c>
    </row>
    <row r="258" spans="1:7" x14ac:dyDescent="0.45">
      <c r="A258" t="s">
        <v>13</v>
      </c>
      <c r="B258" t="s">
        <v>29</v>
      </c>
      <c r="C258" t="s">
        <v>9</v>
      </c>
      <c r="D258" s="24">
        <v>2474359000</v>
      </c>
      <c r="E258" s="29" t="str">
        <f>'Hitung Per Bulan'!E258</f>
        <v/>
      </c>
      <c r="F258" s="24">
        <v>1458625000</v>
      </c>
      <c r="G258" s="29" t="str">
        <f>'Hitung Per Bulan'!G258</f>
        <v/>
      </c>
    </row>
    <row r="259" spans="1:7" x14ac:dyDescent="0.45">
      <c r="A259" t="s">
        <v>14</v>
      </c>
      <c r="B259" t="s">
        <v>29</v>
      </c>
      <c r="C259" t="s">
        <v>9</v>
      </c>
      <c r="D259" s="24">
        <v>2010656000</v>
      </c>
      <c r="E259" s="29" t="str">
        <f>'Hitung Per Bulan'!E259</f>
        <v/>
      </c>
      <c r="F259" s="24">
        <v>474426000</v>
      </c>
      <c r="G259" s="29" t="str">
        <f>'Hitung Per Bulan'!G259</f>
        <v/>
      </c>
    </row>
    <row r="260" spans="1:7" x14ac:dyDescent="0.45">
      <c r="A260" t="s">
        <v>15</v>
      </c>
      <c r="B260" t="s">
        <v>29</v>
      </c>
      <c r="C260" t="s">
        <v>9</v>
      </c>
      <c r="D260" s="24">
        <v>355000000</v>
      </c>
      <c r="E260" s="29" t="str">
        <f>'Hitung Per Bulan'!E260</f>
        <v/>
      </c>
      <c r="F260" s="24">
        <v>2282791000</v>
      </c>
      <c r="G260" s="29" t="str">
        <f>'Hitung Per Bulan'!G260</f>
        <v/>
      </c>
    </row>
    <row r="261" spans="1:7" x14ac:dyDescent="0.45">
      <c r="A261" t="s">
        <v>16</v>
      </c>
      <c r="B261" t="s">
        <v>29</v>
      </c>
      <c r="C261" t="s">
        <v>9</v>
      </c>
      <c r="D261" s="24">
        <v>0</v>
      </c>
      <c r="E261" s="29" t="str">
        <f>'Hitung Per Bulan'!E261</f>
        <v/>
      </c>
      <c r="F261" s="24">
        <v>2102679000</v>
      </c>
      <c r="G261" s="29" t="str">
        <f>'Hitung Per Bulan'!G261</f>
        <v/>
      </c>
    </row>
    <row r="262" spans="1:7" x14ac:dyDescent="0.45">
      <c r="A262" t="s">
        <v>17</v>
      </c>
      <c r="B262" t="s">
        <v>29</v>
      </c>
      <c r="C262" t="s">
        <v>9</v>
      </c>
      <c r="D262" s="24">
        <v>0</v>
      </c>
      <c r="E262" s="29" t="str">
        <f>'Hitung Per Bulan'!E262</f>
        <v/>
      </c>
      <c r="F262" s="24">
        <v>2157269000</v>
      </c>
      <c r="G262" s="29" t="str">
        <f>'Hitung Per Bulan'!G262</f>
        <v/>
      </c>
    </row>
    <row r="263" spans="1:7" x14ac:dyDescent="0.45">
      <c r="A263" t="s">
        <v>18</v>
      </c>
      <c r="B263" t="s">
        <v>29</v>
      </c>
      <c r="C263" t="s">
        <v>9</v>
      </c>
      <c r="D263" s="24">
        <v>355000000</v>
      </c>
      <c r="E263" s="29" t="str">
        <f>'Hitung Per Bulan'!E263</f>
        <v/>
      </c>
      <c r="F263" s="24">
        <v>4830505000</v>
      </c>
      <c r="G263" s="29" t="str">
        <f>'Hitung Per Bulan'!G263</f>
        <v/>
      </c>
    </row>
    <row r="264" spans="1:7" x14ac:dyDescent="0.45">
      <c r="A264" t="s">
        <v>19</v>
      </c>
      <c r="B264" t="s">
        <v>29</v>
      </c>
      <c r="C264" t="s">
        <v>9</v>
      </c>
      <c r="D264" s="24">
        <v>0</v>
      </c>
      <c r="E264" s="29" t="str">
        <f>'Hitung Per Bulan'!E264</f>
        <v/>
      </c>
      <c r="F264" s="24">
        <v>8881422000</v>
      </c>
      <c r="G264" s="29" t="str">
        <f>'Hitung Per Bulan'!G264</f>
        <v/>
      </c>
    </row>
    <row r="265" spans="1:7" x14ac:dyDescent="0.45">
      <c r="A265" t="s">
        <v>20</v>
      </c>
      <c r="B265" t="s">
        <v>29</v>
      </c>
      <c r="C265" t="s">
        <v>9</v>
      </c>
      <c r="D265" s="24">
        <v>0</v>
      </c>
      <c r="E265" s="29" t="str">
        <f>'Hitung Per Bulan'!E265</f>
        <v/>
      </c>
      <c r="F265" s="24">
        <v>0</v>
      </c>
      <c r="G265" s="29" t="str">
        <f>'Hitung Per Bulan'!G265</f>
        <v/>
      </c>
    </row>
    <row r="266" spans="1:7" x14ac:dyDescent="0.45">
      <c r="A266" t="s">
        <v>7</v>
      </c>
      <c r="B266" t="s">
        <v>29</v>
      </c>
      <c r="C266" t="s">
        <v>21</v>
      </c>
      <c r="D266" s="24">
        <v>0</v>
      </c>
      <c r="E266" s="29">
        <f>'Hitung Per Bulan'!E266</f>
        <v>0</v>
      </c>
      <c r="F266" s="24">
        <v>0</v>
      </c>
      <c r="G266" s="29">
        <f>'Hitung Per Bulan'!G266</f>
        <v>0</v>
      </c>
    </row>
    <row r="267" spans="1:7" x14ac:dyDescent="0.45">
      <c r="A267" t="s">
        <v>10</v>
      </c>
      <c r="B267" t="s">
        <v>29</v>
      </c>
      <c r="C267" t="s">
        <v>21</v>
      </c>
      <c r="D267" s="24">
        <v>0</v>
      </c>
      <c r="E267" s="29">
        <f>'Hitung Per Bulan'!E267</f>
        <v>0</v>
      </c>
      <c r="F267" s="24">
        <v>0</v>
      </c>
      <c r="G267" s="29">
        <f>'Hitung Per Bulan'!G267</f>
        <v>0</v>
      </c>
    </row>
    <row r="268" spans="1:7" x14ac:dyDescent="0.45">
      <c r="A268" t="s">
        <v>11</v>
      </c>
      <c r="B268" t="s">
        <v>29</v>
      </c>
      <c r="C268" t="s">
        <v>21</v>
      </c>
      <c r="D268" s="24">
        <v>0</v>
      </c>
      <c r="E268" s="29">
        <f>'Hitung Per Bulan'!E268</f>
        <v>394079880</v>
      </c>
      <c r="F268" s="24">
        <v>0</v>
      </c>
      <c r="G268" s="29">
        <f>'Hitung Per Bulan'!G268</f>
        <v>0</v>
      </c>
    </row>
    <row r="269" spans="1:7" x14ac:dyDescent="0.45">
      <c r="A269" t="s">
        <v>12</v>
      </c>
      <c r="B269" t="s">
        <v>29</v>
      </c>
      <c r="C269" t="s">
        <v>21</v>
      </c>
      <c r="D269" s="24">
        <v>1150000000</v>
      </c>
      <c r="E269" s="29" t="str">
        <f>'Hitung Per Bulan'!E269</f>
        <v/>
      </c>
      <c r="F269" s="24">
        <v>0</v>
      </c>
      <c r="G269" s="29" t="str">
        <f>'Hitung Per Bulan'!G269</f>
        <v/>
      </c>
    </row>
    <row r="270" spans="1:7" x14ac:dyDescent="0.45">
      <c r="A270" t="s">
        <v>13</v>
      </c>
      <c r="B270" t="s">
        <v>29</v>
      </c>
      <c r="C270" t="s">
        <v>21</v>
      </c>
      <c r="D270" s="24">
        <v>0</v>
      </c>
      <c r="E270" s="29" t="str">
        <f>'Hitung Per Bulan'!E270</f>
        <v/>
      </c>
      <c r="F270" s="24">
        <v>0</v>
      </c>
      <c r="G270" s="29" t="str">
        <f>'Hitung Per Bulan'!G270</f>
        <v/>
      </c>
    </row>
    <row r="271" spans="1:7" x14ac:dyDescent="0.45">
      <c r="A271" t="s">
        <v>14</v>
      </c>
      <c r="B271" t="s">
        <v>29</v>
      </c>
      <c r="C271" t="s">
        <v>21</v>
      </c>
      <c r="D271" s="24">
        <v>0</v>
      </c>
      <c r="E271" s="29" t="str">
        <f>'Hitung Per Bulan'!E271</f>
        <v/>
      </c>
      <c r="F271" s="24">
        <v>700000000</v>
      </c>
      <c r="G271" s="29" t="str">
        <f>'Hitung Per Bulan'!G271</f>
        <v/>
      </c>
    </row>
    <row r="272" spans="1:7" x14ac:dyDescent="0.45">
      <c r="A272" t="s">
        <v>15</v>
      </c>
      <c r="B272" t="s">
        <v>29</v>
      </c>
      <c r="C272" t="s">
        <v>21</v>
      </c>
      <c r="D272" s="24">
        <v>0</v>
      </c>
      <c r="E272" s="29" t="str">
        <f>'Hitung Per Bulan'!E272</f>
        <v/>
      </c>
      <c r="F272" s="24">
        <v>0</v>
      </c>
      <c r="G272" s="29" t="str">
        <f>'Hitung Per Bulan'!G272</f>
        <v/>
      </c>
    </row>
    <row r="273" spans="1:7" x14ac:dyDescent="0.45">
      <c r="A273" t="s">
        <v>16</v>
      </c>
      <c r="B273" t="s">
        <v>29</v>
      </c>
      <c r="C273" t="s">
        <v>21</v>
      </c>
      <c r="D273" s="24">
        <v>354000000</v>
      </c>
      <c r="E273" s="29" t="str">
        <f>'Hitung Per Bulan'!E273</f>
        <v/>
      </c>
      <c r="F273" s="24">
        <v>450000000</v>
      </c>
      <c r="G273" s="29" t="str">
        <f>'Hitung Per Bulan'!G273</f>
        <v/>
      </c>
    </row>
    <row r="274" spans="1:7" x14ac:dyDescent="0.45">
      <c r="A274" t="s">
        <v>17</v>
      </c>
      <c r="B274" t="s">
        <v>29</v>
      </c>
      <c r="C274" t="s">
        <v>21</v>
      </c>
      <c r="D274" s="24">
        <v>0</v>
      </c>
      <c r="E274" s="29" t="str">
        <f>'Hitung Per Bulan'!E274</f>
        <v/>
      </c>
      <c r="F274" s="24">
        <v>0</v>
      </c>
      <c r="G274" s="29" t="str">
        <f>'Hitung Per Bulan'!G274</f>
        <v/>
      </c>
    </row>
    <row r="275" spans="1:7" x14ac:dyDescent="0.45">
      <c r="A275" t="s">
        <v>18</v>
      </c>
      <c r="B275" t="s">
        <v>29</v>
      </c>
      <c r="C275" t="s">
        <v>21</v>
      </c>
      <c r="D275" s="24">
        <v>0</v>
      </c>
      <c r="E275" s="29" t="str">
        <f>'Hitung Per Bulan'!E275</f>
        <v/>
      </c>
      <c r="F275" s="24">
        <v>354000000</v>
      </c>
      <c r="G275" s="29" t="str">
        <f>'Hitung Per Bulan'!G275</f>
        <v/>
      </c>
    </row>
    <row r="276" spans="1:7" x14ac:dyDescent="0.45">
      <c r="A276" t="s">
        <v>19</v>
      </c>
      <c r="B276" t="s">
        <v>29</v>
      </c>
      <c r="C276" t="s">
        <v>21</v>
      </c>
      <c r="D276" s="24">
        <v>0</v>
      </c>
      <c r="E276" s="29" t="str">
        <f>'Hitung Per Bulan'!E276</f>
        <v/>
      </c>
      <c r="F276" s="24">
        <v>0</v>
      </c>
      <c r="G276" s="29" t="str">
        <f>'Hitung Per Bulan'!G276</f>
        <v/>
      </c>
    </row>
    <row r="277" spans="1:7" x14ac:dyDescent="0.45">
      <c r="A277" t="s">
        <v>20</v>
      </c>
      <c r="B277" t="s">
        <v>29</v>
      </c>
      <c r="C277" t="s">
        <v>21</v>
      </c>
      <c r="D277" s="24">
        <v>0</v>
      </c>
      <c r="E277" s="29" t="str">
        <f>'Hitung Per Bulan'!E277</f>
        <v/>
      </c>
      <c r="F277" s="24">
        <v>0</v>
      </c>
      <c r="G277" s="29" t="str">
        <f>'Hitung Per Bulan'!G277</f>
        <v/>
      </c>
    </row>
    <row r="278" spans="1:7" x14ac:dyDescent="0.45">
      <c r="A278" t="s">
        <v>7</v>
      </c>
      <c r="B278" t="s">
        <v>29</v>
      </c>
      <c r="C278" t="s">
        <v>22</v>
      </c>
      <c r="D278" s="24">
        <v>29718750</v>
      </c>
      <c r="E278" s="29">
        <f>'Hitung Per Bulan'!E278</f>
        <v>0</v>
      </c>
      <c r="F278" s="24">
        <v>0</v>
      </c>
      <c r="G278" s="29">
        <f>'Hitung Per Bulan'!G278</f>
        <v>0</v>
      </c>
    </row>
    <row r="279" spans="1:7" x14ac:dyDescent="0.45">
      <c r="A279" t="s">
        <v>10</v>
      </c>
      <c r="B279" t="s">
        <v>29</v>
      </c>
      <c r="C279" t="s">
        <v>22</v>
      </c>
      <c r="D279" s="24">
        <v>0</v>
      </c>
      <c r="E279" s="29">
        <f>'Hitung Per Bulan'!E279</f>
        <v>15775000</v>
      </c>
      <c r="F279" s="24">
        <v>29718750</v>
      </c>
      <c r="G279" s="29">
        <f>'Hitung Per Bulan'!G279</f>
        <v>0</v>
      </c>
    </row>
    <row r="280" spans="1:7" x14ac:dyDescent="0.45">
      <c r="A280" t="s">
        <v>11</v>
      </c>
      <c r="B280" t="s">
        <v>29</v>
      </c>
      <c r="C280" t="s">
        <v>22</v>
      </c>
      <c r="D280" s="24">
        <v>0</v>
      </c>
      <c r="E280" s="29">
        <f>'Hitung Per Bulan'!E280</f>
        <v>0</v>
      </c>
      <c r="F280" s="24">
        <v>0</v>
      </c>
      <c r="G280" s="29">
        <f>'Hitung Per Bulan'!G280</f>
        <v>2025000</v>
      </c>
    </row>
    <row r="281" spans="1:7" x14ac:dyDescent="0.45">
      <c r="A281" t="s">
        <v>12</v>
      </c>
      <c r="B281" t="s">
        <v>29</v>
      </c>
      <c r="C281" t="s">
        <v>22</v>
      </c>
      <c r="D281" s="24">
        <v>29718750</v>
      </c>
      <c r="E281" s="29" t="str">
        <f>'Hitung Per Bulan'!E281</f>
        <v/>
      </c>
      <c r="F281" s="24">
        <v>0</v>
      </c>
      <c r="G281" s="29" t="str">
        <f>'Hitung Per Bulan'!G281</f>
        <v/>
      </c>
    </row>
    <row r="282" spans="1:7" x14ac:dyDescent="0.45">
      <c r="A282" t="s">
        <v>13</v>
      </c>
      <c r="B282" t="s">
        <v>29</v>
      </c>
      <c r="C282" t="s">
        <v>22</v>
      </c>
      <c r="D282" s="24">
        <v>0</v>
      </c>
      <c r="E282" s="29" t="str">
        <f>'Hitung Per Bulan'!E282</f>
        <v/>
      </c>
      <c r="F282" s="24">
        <v>29718750</v>
      </c>
      <c r="G282" s="29" t="str">
        <f>'Hitung Per Bulan'!G282</f>
        <v/>
      </c>
    </row>
    <row r="283" spans="1:7" x14ac:dyDescent="0.45">
      <c r="A283" t="s">
        <v>14</v>
      </c>
      <c r="B283" t="s">
        <v>29</v>
      </c>
      <c r="C283" t="s">
        <v>22</v>
      </c>
      <c r="D283" s="24">
        <v>0</v>
      </c>
      <c r="E283" s="29" t="str">
        <f>'Hitung Per Bulan'!E283</f>
        <v/>
      </c>
      <c r="F283" s="24">
        <v>0</v>
      </c>
      <c r="G283" s="29" t="str">
        <f>'Hitung Per Bulan'!G283</f>
        <v/>
      </c>
    </row>
    <row r="284" spans="1:7" x14ac:dyDescent="0.45">
      <c r="A284" t="s">
        <v>15</v>
      </c>
      <c r="B284" t="s">
        <v>29</v>
      </c>
      <c r="C284" t="s">
        <v>22</v>
      </c>
      <c r="D284" s="24">
        <v>29718750</v>
      </c>
      <c r="E284" s="29" t="str">
        <f>'Hitung Per Bulan'!E284</f>
        <v/>
      </c>
      <c r="F284" s="24">
        <v>0</v>
      </c>
      <c r="G284" s="29" t="str">
        <f>'Hitung Per Bulan'!G284</f>
        <v/>
      </c>
    </row>
    <row r="285" spans="1:7" x14ac:dyDescent="0.45">
      <c r="A285" t="s">
        <v>16</v>
      </c>
      <c r="B285" t="s">
        <v>29</v>
      </c>
      <c r="C285" t="s">
        <v>22</v>
      </c>
      <c r="D285" s="24">
        <v>0</v>
      </c>
      <c r="E285" s="29" t="str">
        <f>'Hitung Per Bulan'!E285</f>
        <v/>
      </c>
      <c r="F285" s="24">
        <v>29718750</v>
      </c>
      <c r="G285" s="29" t="str">
        <f>'Hitung Per Bulan'!G285</f>
        <v/>
      </c>
    </row>
    <row r="286" spans="1:7" x14ac:dyDescent="0.45">
      <c r="A286" t="s">
        <v>17</v>
      </c>
      <c r="B286" t="s">
        <v>29</v>
      </c>
      <c r="C286" t="s">
        <v>22</v>
      </c>
      <c r="D286" s="24">
        <v>0</v>
      </c>
      <c r="E286" s="29" t="str">
        <f>'Hitung Per Bulan'!E286</f>
        <v/>
      </c>
      <c r="F286" s="24">
        <v>0</v>
      </c>
      <c r="G286" s="29" t="str">
        <f>'Hitung Per Bulan'!G286</f>
        <v/>
      </c>
    </row>
    <row r="287" spans="1:7" x14ac:dyDescent="0.45">
      <c r="A287" t="s">
        <v>18</v>
      </c>
      <c r="B287" t="s">
        <v>29</v>
      </c>
      <c r="C287" t="s">
        <v>22</v>
      </c>
      <c r="D287" s="24">
        <v>29718750</v>
      </c>
      <c r="E287" s="29" t="str">
        <f>'Hitung Per Bulan'!E287</f>
        <v/>
      </c>
      <c r="F287" s="24">
        <v>0</v>
      </c>
      <c r="G287" s="29" t="str">
        <f>'Hitung Per Bulan'!G287</f>
        <v/>
      </c>
    </row>
    <row r="288" spans="1:7" x14ac:dyDescent="0.45">
      <c r="A288" t="s">
        <v>19</v>
      </c>
      <c r="B288" t="s">
        <v>29</v>
      </c>
      <c r="C288" t="s">
        <v>22</v>
      </c>
      <c r="D288" s="24">
        <v>0</v>
      </c>
      <c r="E288" s="29" t="str">
        <f>'Hitung Per Bulan'!E288</f>
        <v/>
      </c>
      <c r="F288" s="24">
        <v>29718750</v>
      </c>
      <c r="G288" s="29" t="str">
        <f>'Hitung Per Bulan'!G288</f>
        <v/>
      </c>
    </row>
    <row r="289" spans="1:7" x14ac:dyDescent="0.45">
      <c r="A289" t="s">
        <v>20</v>
      </c>
      <c r="B289" t="s">
        <v>29</v>
      </c>
      <c r="C289" t="s">
        <v>22</v>
      </c>
      <c r="D289" s="24">
        <v>0</v>
      </c>
      <c r="E289" s="29" t="str">
        <f>'Hitung Per Bulan'!E289</f>
        <v/>
      </c>
      <c r="F289" s="24">
        <v>0</v>
      </c>
      <c r="G289" s="29" t="str">
        <f>'Hitung Per Bulan'!G289</f>
        <v/>
      </c>
    </row>
    <row r="290" spans="1:7" x14ac:dyDescent="0.45">
      <c r="A290" t="s">
        <v>7</v>
      </c>
      <c r="B290" t="s">
        <v>29</v>
      </c>
      <c r="C290" t="s">
        <v>23</v>
      </c>
      <c r="D290" s="24">
        <v>0</v>
      </c>
      <c r="E290" s="29">
        <f>'Hitung Per Bulan'!E290</f>
        <v>0</v>
      </c>
      <c r="F290" s="24">
        <v>0</v>
      </c>
      <c r="G290" s="29">
        <f>'Hitung Per Bulan'!G290</f>
        <v>0</v>
      </c>
    </row>
    <row r="291" spans="1:7" x14ac:dyDescent="0.45">
      <c r="A291" t="s">
        <v>10</v>
      </c>
      <c r="B291" t="s">
        <v>29</v>
      </c>
      <c r="C291" t="s">
        <v>23</v>
      </c>
      <c r="D291" s="24">
        <v>0</v>
      </c>
      <c r="E291" s="29">
        <f>'Hitung Per Bulan'!E291</f>
        <v>0</v>
      </c>
      <c r="F291" s="24">
        <v>0</v>
      </c>
      <c r="G291" s="29">
        <f>'Hitung Per Bulan'!G291</f>
        <v>0</v>
      </c>
    </row>
    <row r="292" spans="1:7" x14ac:dyDescent="0.45">
      <c r="A292" t="s">
        <v>11</v>
      </c>
      <c r="B292" t="s">
        <v>29</v>
      </c>
      <c r="C292" t="s">
        <v>23</v>
      </c>
      <c r="D292" s="24">
        <v>0</v>
      </c>
      <c r="E292" s="29">
        <f>'Hitung Per Bulan'!E292</f>
        <v>0</v>
      </c>
      <c r="F292" s="24">
        <v>0</v>
      </c>
      <c r="G292" s="29">
        <f>'Hitung Per Bulan'!G292</f>
        <v>0</v>
      </c>
    </row>
    <row r="293" spans="1:7" x14ac:dyDescent="0.45">
      <c r="A293" t="s">
        <v>12</v>
      </c>
      <c r="B293" t="s">
        <v>29</v>
      </c>
      <c r="C293" t="s">
        <v>23</v>
      </c>
      <c r="D293" s="24">
        <v>0</v>
      </c>
      <c r="E293" s="29" t="str">
        <f>'Hitung Per Bulan'!E293</f>
        <v/>
      </c>
      <c r="F293" s="24">
        <v>0</v>
      </c>
      <c r="G293" s="29" t="str">
        <f>'Hitung Per Bulan'!G293</f>
        <v/>
      </c>
    </row>
    <row r="294" spans="1:7" x14ac:dyDescent="0.45">
      <c r="A294" t="s">
        <v>13</v>
      </c>
      <c r="B294" t="s">
        <v>29</v>
      </c>
      <c r="C294" t="s">
        <v>23</v>
      </c>
      <c r="D294" s="24">
        <v>705000000</v>
      </c>
      <c r="E294" s="29" t="str">
        <f>'Hitung Per Bulan'!E294</f>
        <v/>
      </c>
      <c r="F294" s="24">
        <v>0</v>
      </c>
      <c r="G294" s="29" t="str">
        <f>'Hitung Per Bulan'!G294</f>
        <v/>
      </c>
    </row>
    <row r="295" spans="1:7" x14ac:dyDescent="0.45">
      <c r="A295" t="s">
        <v>14</v>
      </c>
      <c r="B295" t="s">
        <v>29</v>
      </c>
      <c r="C295" t="s">
        <v>23</v>
      </c>
      <c r="D295" s="24">
        <v>0</v>
      </c>
      <c r="E295" s="29" t="str">
        <f>'Hitung Per Bulan'!E295</f>
        <v/>
      </c>
      <c r="F295" s="24">
        <v>0</v>
      </c>
      <c r="G295" s="29" t="str">
        <f>'Hitung Per Bulan'!G295</f>
        <v/>
      </c>
    </row>
    <row r="296" spans="1:7" x14ac:dyDescent="0.45">
      <c r="A296" t="s">
        <v>15</v>
      </c>
      <c r="B296" t="s">
        <v>29</v>
      </c>
      <c r="C296" t="s">
        <v>23</v>
      </c>
      <c r="D296" s="24">
        <v>0</v>
      </c>
      <c r="E296" s="29" t="str">
        <f>'Hitung Per Bulan'!E296</f>
        <v/>
      </c>
      <c r="F296" s="24">
        <v>0</v>
      </c>
      <c r="G296" s="29" t="str">
        <f>'Hitung Per Bulan'!G296</f>
        <v/>
      </c>
    </row>
    <row r="297" spans="1:7" x14ac:dyDescent="0.45">
      <c r="A297" t="s">
        <v>16</v>
      </c>
      <c r="B297" t="s">
        <v>29</v>
      </c>
      <c r="C297" t="s">
        <v>23</v>
      </c>
      <c r="D297" s="24">
        <v>0</v>
      </c>
      <c r="E297" s="29" t="str">
        <f>'Hitung Per Bulan'!E297</f>
        <v/>
      </c>
      <c r="F297" s="24">
        <v>705000000</v>
      </c>
      <c r="G297" s="29" t="str">
        <f>'Hitung Per Bulan'!G297</f>
        <v/>
      </c>
    </row>
    <row r="298" spans="1:7" x14ac:dyDescent="0.45">
      <c r="A298" t="s">
        <v>17</v>
      </c>
      <c r="B298" t="s">
        <v>29</v>
      </c>
      <c r="C298" t="s">
        <v>23</v>
      </c>
      <c r="D298" s="24">
        <v>0</v>
      </c>
      <c r="E298" s="29" t="str">
        <f>'Hitung Per Bulan'!E298</f>
        <v/>
      </c>
      <c r="F298" s="24">
        <v>0</v>
      </c>
      <c r="G298" s="29" t="str">
        <f>'Hitung Per Bulan'!G298</f>
        <v/>
      </c>
    </row>
    <row r="299" spans="1:7" x14ac:dyDescent="0.45">
      <c r="A299" t="s">
        <v>18</v>
      </c>
      <c r="B299" t="s">
        <v>29</v>
      </c>
      <c r="C299" t="s">
        <v>23</v>
      </c>
      <c r="D299" s="24">
        <v>0</v>
      </c>
      <c r="E299" s="29" t="str">
        <f>'Hitung Per Bulan'!E299</f>
        <v/>
      </c>
      <c r="F299" s="24">
        <v>0</v>
      </c>
      <c r="G299" s="29" t="str">
        <f>'Hitung Per Bulan'!G299</f>
        <v/>
      </c>
    </row>
    <row r="300" spans="1:7" x14ac:dyDescent="0.45">
      <c r="A300" t="s">
        <v>19</v>
      </c>
      <c r="B300" t="s">
        <v>29</v>
      </c>
      <c r="C300" t="s">
        <v>23</v>
      </c>
      <c r="D300" s="24">
        <v>0</v>
      </c>
      <c r="E300" s="29" t="str">
        <f>'Hitung Per Bulan'!E300</f>
        <v/>
      </c>
      <c r="F300" s="24">
        <v>0</v>
      </c>
      <c r="G300" s="29" t="str">
        <f>'Hitung Per Bulan'!G300</f>
        <v/>
      </c>
    </row>
    <row r="301" spans="1:7" x14ac:dyDescent="0.45">
      <c r="A301" t="s">
        <v>20</v>
      </c>
      <c r="B301" t="s">
        <v>29</v>
      </c>
      <c r="C301" t="s">
        <v>23</v>
      </c>
      <c r="D301" s="24">
        <v>0</v>
      </c>
      <c r="E301" s="29" t="str">
        <f>'Hitung Per Bulan'!E301</f>
        <v/>
      </c>
      <c r="F301" s="24">
        <v>0</v>
      </c>
      <c r="G301" s="29" t="str">
        <f>'Hitung Per Bulan'!G301</f>
        <v/>
      </c>
    </row>
    <row r="302" spans="1:7" x14ac:dyDescent="0.45">
      <c r="A302" t="s">
        <v>7</v>
      </c>
      <c r="B302" t="s">
        <v>29</v>
      </c>
      <c r="C302" t="s">
        <v>24</v>
      </c>
      <c r="D302" s="24">
        <v>0</v>
      </c>
      <c r="E302" s="29">
        <f>'Hitung Per Bulan'!E302</f>
        <v>0</v>
      </c>
      <c r="G302" s="29">
        <f>'Hitung Per Bulan'!G302</f>
        <v>0</v>
      </c>
    </row>
    <row r="303" spans="1:7" x14ac:dyDescent="0.45">
      <c r="A303" t="s">
        <v>10</v>
      </c>
      <c r="B303" t="s">
        <v>29</v>
      </c>
      <c r="C303" t="s">
        <v>24</v>
      </c>
      <c r="D303" s="24">
        <v>0</v>
      </c>
      <c r="E303" s="29">
        <f>'Hitung Per Bulan'!E303</f>
        <v>0</v>
      </c>
      <c r="G303" s="29">
        <f>'Hitung Per Bulan'!G303</f>
        <v>0</v>
      </c>
    </row>
    <row r="304" spans="1:7" x14ac:dyDescent="0.45">
      <c r="A304" t="s">
        <v>11</v>
      </c>
      <c r="B304" t="s">
        <v>29</v>
      </c>
      <c r="C304" t="s">
        <v>24</v>
      </c>
      <c r="D304" s="24">
        <v>0</v>
      </c>
      <c r="E304" s="29">
        <f>'Hitung Per Bulan'!E304</f>
        <v>0</v>
      </c>
      <c r="G304" s="29">
        <f>'Hitung Per Bulan'!G304</f>
        <v>0</v>
      </c>
    </row>
    <row r="305" spans="1:7" x14ac:dyDescent="0.45">
      <c r="A305" t="s">
        <v>12</v>
      </c>
      <c r="B305" t="s">
        <v>29</v>
      </c>
      <c r="C305" t="s">
        <v>24</v>
      </c>
      <c r="D305" s="24">
        <v>0</v>
      </c>
      <c r="E305" s="29" t="str">
        <f>'Hitung Per Bulan'!E305</f>
        <v/>
      </c>
      <c r="G305" s="29" t="str">
        <f>'Hitung Per Bulan'!G305</f>
        <v/>
      </c>
    </row>
    <row r="306" spans="1:7" x14ac:dyDescent="0.45">
      <c r="A306" t="s">
        <v>13</v>
      </c>
      <c r="B306" t="s">
        <v>29</v>
      </c>
      <c r="C306" t="s">
        <v>24</v>
      </c>
      <c r="D306" s="24">
        <v>0</v>
      </c>
      <c r="E306" s="29" t="str">
        <f>'Hitung Per Bulan'!E306</f>
        <v/>
      </c>
      <c r="G306" s="29" t="str">
        <f>'Hitung Per Bulan'!G306</f>
        <v/>
      </c>
    </row>
    <row r="307" spans="1:7" x14ac:dyDescent="0.45">
      <c r="A307" t="s">
        <v>14</v>
      </c>
      <c r="B307" t="s">
        <v>29</v>
      </c>
      <c r="C307" t="s">
        <v>24</v>
      </c>
      <c r="D307" s="24">
        <v>0</v>
      </c>
      <c r="E307" s="29" t="str">
        <f>'Hitung Per Bulan'!E307</f>
        <v/>
      </c>
      <c r="G307" s="29" t="str">
        <f>'Hitung Per Bulan'!G307</f>
        <v/>
      </c>
    </row>
    <row r="308" spans="1:7" x14ac:dyDescent="0.45">
      <c r="A308" t="s">
        <v>15</v>
      </c>
      <c r="B308" t="s">
        <v>29</v>
      </c>
      <c r="C308" t="s">
        <v>24</v>
      </c>
      <c r="D308" s="24">
        <v>0</v>
      </c>
      <c r="E308" s="29" t="str">
        <f>'Hitung Per Bulan'!E308</f>
        <v/>
      </c>
      <c r="G308" s="29" t="str">
        <f>'Hitung Per Bulan'!G308</f>
        <v/>
      </c>
    </row>
    <row r="309" spans="1:7" x14ac:dyDescent="0.45">
      <c r="A309" t="s">
        <v>16</v>
      </c>
      <c r="B309" t="s">
        <v>29</v>
      </c>
      <c r="C309" t="s">
        <v>24</v>
      </c>
      <c r="D309" s="24">
        <v>0</v>
      </c>
      <c r="E309" s="29" t="str">
        <f>'Hitung Per Bulan'!E309</f>
        <v/>
      </c>
      <c r="G309" s="29" t="str">
        <f>'Hitung Per Bulan'!G309</f>
        <v/>
      </c>
    </row>
    <row r="310" spans="1:7" x14ac:dyDescent="0.45">
      <c r="A310" t="s">
        <v>17</v>
      </c>
      <c r="B310" t="s">
        <v>29</v>
      </c>
      <c r="C310" t="s">
        <v>24</v>
      </c>
      <c r="D310" s="24">
        <v>0</v>
      </c>
      <c r="E310" s="29" t="str">
        <f>'Hitung Per Bulan'!E310</f>
        <v/>
      </c>
      <c r="G310" s="29" t="str">
        <f>'Hitung Per Bulan'!G310</f>
        <v/>
      </c>
    </row>
    <row r="311" spans="1:7" x14ac:dyDescent="0.45">
      <c r="A311" t="s">
        <v>18</v>
      </c>
      <c r="B311" t="s">
        <v>29</v>
      </c>
      <c r="C311" t="s">
        <v>24</v>
      </c>
      <c r="D311" s="24">
        <v>0</v>
      </c>
      <c r="E311" s="29" t="str">
        <f>'Hitung Per Bulan'!E311</f>
        <v/>
      </c>
      <c r="G311" s="29" t="str">
        <f>'Hitung Per Bulan'!G311</f>
        <v/>
      </c>
    </row>
    <row r="312" spans="1:7" x14ac:dyDescent="0.45">
      <c r="A312" t="s">
        <v>19</v>
      </c>
      <c r="B312" t="s">
        <v>29</v>
      </c>
      <c r="C312" t="s">
        <v>24</v>
      </c>
      <c r="D312" s="24">
        <v>0</v>
      </c>
      <c r="E312" s="29" t="str">
        <f>'Hitung Per Bulan'!E312</f>
        <v/>
      </c>
      <c r="G312" s="29" t="str">
        <f>'Hitung Per Bulan'!G312</f>
        <v/>
      </c>
    </row>
    <row r="313" spans="1:7" x14ac:dyDescent="0.45">
      <c r="A313" t="s">
        <v>20</v>
      </c>
      <c r="B313" t="s">
        <v>29</v>
      </c>
      <c r="C313" t="s">
        <v>24</v>
      </c>
      <c r="D313" s="24">
        <v>0</v>
      </c>
      <c r="E313" s="29" t="str">
        <f>'Hitung Per Bulan'!E313</f>
        <v/>
      </c>
      <c r="G313" s="29" t="str">
        <f>'Hitung Per Bulan'!G313</f>
        <v/>
      </c>
    </row>
    <row r="314" spans="1:7" x14ac:dyDescent="0.45">
      <c r="A314" t="s">
        <v>7</v>
      </c>
      <c r="B314" t="s">
        <v>29</v>
      </c>
      <c r="C314" t="s">
        <v>25</v>
      </c>
      <c r="D314" s="24">
        <v>98435000</v>
      </c>
      <c r="E314" s="29">
        <f>'Hitung Per Bulan'!E314</f>
        <v>112428554</v>
      </c>
      <c r="F314" s="24">
        <v>98435000</v>
      </c>
      <c r="G314" s="29">
        <f>'Hitung Per Bulan'!G314</f>
        <v>19564700</v>
      </c>
    </row>
    <row r="315" spans="1:7" x14ac:dyDescent="0.45">
      <c r="A315" t="s">
        <v>10</v>
      </c>
      <c r="B315" t="s">
        <v>29</v>
      </c>
      <c r="C315" t="s">
        <v>25</v>
      </c>
      <c r="D315" s="24">
        <v>60854000</v>
      </c>
      <c r="E315" s="29">
        <f>'Hitung Per Bulan'!E315</f>
        <v>44348055</v>
      </c>
      <c r="F315" s="24">
        <v>60854000</v>
      </c>
      <c r="G315" s="29">
        <f>'Hitung Per Bulan'!G315</f>
        <v>112098409</v>
      </c>
    </row>
    <row r="316" spans="1:7" x14ac:dyDescent="0.45">
      <c r="A316" t="s">
        <v>11</v>
      </c>
      <c r="B316" t="s">
        <v>29</v>
      </c>
      <c r="C316" t="s">
        <v>25</v>
      </c>
      <c r="D316" s="24">
        <v>74364000</v>
      </c>
      <c r="E316" s="29">
        <f>'Hitung Per Bulan'!E316</f>
        <v>56840280</v>
      </c>
      <c r="F316" s="24">
        <v>74364000</v>
      </c>
      <c r="G316" s="29">
        <f>'Hitung Per Bulan'!G316</f>
        <v>29803000</v>
      </c>
    </row>
    <row r="317" spans="1:7" x14ac:dyDescent="0.45">
      <c r="A317" t="s">
        <v>12</v>
      </c>
      <c r="B317" t="s">
        <v>29</v>
      </c>
      <c r="C317" t="s">
        <v>25</v>
      </c>
      <c r="D317" s="24">
        <v>67364000</v>
      </c>
      <c r="E317" s="29" t="str">
        <f>'Hitung Per Bulan'!E317</f>
        <v/>
      </c>
      <c r="F317" s="24">
        <v>67364000</v>
      </c>
      <c r="G317" s="29" t="str">
        <f>'Hitung Per Bulan'!G317</f>
        <v/>
      </c>
    </row>
    <row r="318" spans="1:7" x14ac:dyDescent="0.45">
      <c r="A318" t="s">
        <v>13</v>
      </c>
      <c r="B318" t="s">
        <v>29</v>
      </c>
      <c r="C318" t="s">
        <v>25</v>
      </c>
      <c r="D318" s="24">
        <v>70354000</v>
      </c>
      <c r="E318" s="29" t="str">
        <f>'Hitung Per Bulan'!E318</f>
        <v/>
      </c>
      <c r="F318" s="24">
        <v>70354000</v>
      </c>
      <c r="G318" s="29" t="str">
        <f>'Hitung Per Bulan'!G318</f>
        <v/>
      </c>
    </row>
    <row r="319" spans="1:7" x14ac:dyDescent="0.45">
      <c r="A319" t="s">
        <v>14</v>
      </c>
      <c r="B319" t="s">
        <v>29</v>
      </c>
      <c r="C319" t="s">
        <v>25</v>
      </c>
      <c r="D319" s="24">
        <v>278064000</v>
      </c>
      <c r="E319" s="29" t="str">
        <f>'Hitung Per Bulan'!E319</f>
        <v/>
      </c>
      <c r="F319" s="24">
        <v>278064000</v>
      </c>
      <c r="G319" s="29" t="str">
        <f>'Hitung Per Bulan'!G319</f>
        <v/>
      </c>
    </row>
    <row r="320" spans="1:7" x14ac:dyDescent="0.45">
      <c r="A320" t="s">
        <v>15</v>
      </c>
      <c r="B320" t="s">
        <v>29</v>
      </c>
      <c r="C320" t="s">
        <v>25</v>
      </c>
      <c r="D320" s="24">
        <v>117864000</v>
      </c>
      <c r="E320" s="29" t="str">
        <f>'Hitung Per Bulan'!E320</f>
        <v/>
      </c>
      <c r="F320" s="24">
        <v>117864000</v>
      </c>
      <c r="G320" s="29" t="str">
        <f>'Hitung Per Bulan'!G320</f>
        <v/>
      </c>
    </row>
    <row r="321" spans="1:7" x14ac:dyDescent="0.45">
      <c r="A321" t="s">
        <v>16</v>
      </c>
      <c r="B321" t="s">
        <v>29</v>
      </c>
      <c r="C321" t="s">
        <v>25</v>
      </c>
      <c r="D321" s="24">
        <v>58994000</v>
      </c>
      <c r="E321" s="29" t="str">
        <f>'Hitung Per Bulan'!E321</f>
        <v/>
      </c>
      <c r="F321" s="24">
        <v>58994000</v>
      </c>
      <c r="G321" s="29" t="str">
        <f>'Hitung Per Bulan'!G321</f>
        <v/>
      </c>
    </row>
    <row r="322" spans="1:7" x14ac:dyDescent="0.45">
      <c r="A322" t="s">
        <v>17</v>
      </c>
      <c r="B322" t="s">
        <v>29</v>
      </c>
      <c r="C322" t="s">
        <v>25</v>
      </c>
      <c r="D322" s="24">
        <v>125004000</v>
      </c>
      <c r="E322" s="29" t="str">
        <f>'Hitung Per Bulan'!E322</f>
        <v/>
      </c>
      <c r="F322" s="24">
        <v>125004000</v>
      </c>
      <c r="G322" s="29" t="str">
        <f>'Hitung Per Bulan'!G322</f>
        <v/>
      </c>
    </row>
    <row r="323" spans="1:7" x14ac:dyDescent="0.45">
      <c r="A323" t="s">
        <v>18</v>
      </c>
      <c r="B323" t="s">
        <v>29</v>
      </c>
      <c r="C323" t="s">
        <v>25</v>
      </c>
      <c r="D323" s="24">
        <v>53004000</v>
      </c>
      <c r="E323" s="29" t="str">
        <f>'Hitung Per Bulan'!E323</f>
        <v/>
      </c>
      <c r="F323" s="24">
        <v>53004000</v>
      </c>
      <c r="G323" s="29" t="str">
        <f>'Hitung Per Bulan'!G323</f>
        <v/>
      </c>
    </row>
    <row r="324" spans="1:7" x14ac:dyDescent="0.45">
      <c r="A324" t="s">
        <v>19</v>
      </c>
      <c r="B324" t="s">
        <v>29</v>
      </c>
      <c r="C324" t="s">
        <v>25</v>
      </c>
      <c r="D324" s="24">
        <v>83004000</v>
      </c>
      <c r="E324" s="29" t="str">
        <f>'Hitung Per Bulan'!E324</f>
        <v/>
      </c>
      <c r="F324" s="24">
        <v>83004000</v>
      </c>
      <c r="G324" s="29" t="str">
        <f>'Hitung Per Bulan'!G324</f>
        <v/>
      </c>
    </row>
    <row r="325" spans="1:7" x14ac:dyDescent="0.45">
      <c r="A325" t="s">
        <v>20</v>
      </c>
      <c r="B325" t="s">
        <v>29</v>
      </c>
      <c r="C325" t="s">
        <v>25</v>
      </c>
      <c r="D325" s="24">
        <v>75015000</v>
      </c>
      <c r="E325" s="29" t="str">
        <f>'Hitung Per Bulan'!E325</f>
        <v/>
      </c>
      <c r="F325" s="24">
        <v>75015000</v>
      </c>
      <c r="G325" s="29" t="str">
        <f>'Hitung Per Bulan'!G325</f>
        <v/>
      </c>
    </row>
    <row r="326" spans="1:7" x14ac:dyDescent="0.45">
      <c r="A326" t="s">
        <v>7</v>
      </c>
      <c r="B326" t="s">
        <v>29</v>
      </c>
      <c r="C326" t="s">
        <v>26</v>
      </c>
      <c r="D326" s="24">
        <v>188333000</v>
      </c>
      <c r="E326" s="29">
        <f>'Hitung Per Bulan'!E326</f>
        <v>166384517</v>
      </c>
      <c r="F326" s="24">
        <v>188333000</v>
      </c>
      <c r="G326" s="29">
        <f>'Hitung Per Bulan'!G326</f>
        <v>166384517</v>
      </c>
    </row>
    <row r="327" spans="1:7" x14ac:dyDescent="0.45">
      <c r="A327" t="s">
        <v>10</v>
      </c>
      <c r="B327" t="s">
        <v>29</v>
      </c>
      <c r="C327" t="s">
        <v>26</v>
      </c>
      <c r="D327" s="24">
        <v>188333000</v>
      </c>
      <c r="E327" s="29">
        <f>'Hitung Per Bulan'!E327</f>
        <v>158708365</v>
      </c>
      <c r="F327" s="24">
        <v>188333000</v>
      </c>
      <c r="G327" s="29">
        <f>'Hitung Per Bulan'!G327</f>
        <v>158708365</v>
      </c>
    </row>
    <row r="328" spans="1:7" x14ac:dyDescent="0.45">
      <c r="A328" t="s">
        <v>11</v>
      </c>
      <c r="B328" t="s">
        <v>29</v>
      </c>
      <c r="C328" t="s">
        <v>26</v>
      </c>
      <c r="D328" s="24">
        <v>188333000</v>
      </c>
      <c r="E328" s="29">
        <f>'Hitung Per Bulan'!E328</f>
        <v>0</v>
      </c>
      <c r="F328" s="24">
        <v>188333000</v>
      </c>
      <c r="G328" s="29">
        <f>'Hitung Per Bulan'!G328</f>
        <v>0</v>
      </c>
    </row>
    <row r="329" spans="1:7" x14ac:dyDescent="0.45">
      <c r="A329" t="s">
        <v>12</v>
      </c>
      <c r="B329" t="s">
        <v>29</v>
      </c>
      <c r="C329" t="s">
        <v>26</v>
      </c>
      <c r="D329" s="24">
        <v>188333000</v>
      </c>
      <c r="E329" s="29" t="str">
        <f>'Hitung Per Bulan'!E329</f>
        <v/>
      </c>
      <c r="F329" s="24">
        <v>188333000</v>
      </c>
      <c r="G329" s="29" t="str">
        <f>'Hitung Per Bulan'!G329</f>
        <v/>
      </c>
    </row>
    <row r="330" spans="1:7" x14ac:dyDescent="0.45">
      <c r="A330" t="s">
        <v>13</v>
      </c>
      <c r="B330" t="s">
        <v>29</v>
      </c>
      <c r="C330" t="s">
        <v>26</v>
      </c>
      <c r="D330" s="24">
        <v>188333000</v>
      </c>
      <c r="E330" s="29" t="str">
        <f>'Hitung Per Bulan'!E330</f>
        <v/>
      </c>
      <c r="F330" s="24">
        <v>188333000</v>
      </c>
      <c r="G330" s="29" t="str">
        <f>'Hitung Per Bulan'!G330</f>
        <v/>
      </c>
    </row>
    <row r="331" spans="1:7" x14ac:dyDescent="0.45">
      <c r="A331" t="s">
        <v>14</v>
      </c>
      <c r="B331" t="s">
        <v>29</v>
      </c>
      <c r="C331" t="s">
        <v>26</v>
      </c>
      <c r="D331" s="24">
        <v>188333000</v>
      </c>
      <c r="E331" s="29" t="str">
        <f>'Hitung Per Bulan'!E331</f>
        <v/>
      </c>
      <c r="F331" s="24">
        <v>188333000</v>
      </c>
      <c r="G331" s="29" t="str">
        <f>'Hitung Per Bulan'!G331</f>
        <v/>
      </c>
    </row>
    <row r="332" spans="1:7" x14ac:dyDescent="0.45">
      <c r="A332" t="s">
        <v>15</v>
      </c>
      <c r="B332" t="s">
        <v>29</v>
      </c>
      <c r="C332" t="s">
        <v>26</v>
      </c>
      <c r="D332" s="24">
        <v>188333000</v>
      </c>
      <c r="E332" s="29" t="str">
        <f>'Hitung Per Bulan'!E332</f>
        <v/>
      </c>
      <c r="F332" s="24">
        <v>188333000</v>
      </c>
      <c r="G332" s="29" t="str">
        <f>'Hitung Per Bulan'!G332</f>
        <v/>
      </c>
    </row>
    <row r="333" spans="1:7" x14ac:dyDescent="0.45">
      <c r="A333" t="s">
        <v>16</v>
      </c>
      <c r="B333" t="s">
        <v>29</v>
      </c>
      <c r="C333" t="s">
        <v>26</v>
      </c>
      <c r="D333" s="24">
        <v>188333000</v>
      </c>
      <c r="E333" s="29" t="str">
        <f>'Hitung Per Bulan'!E333</f>
        <v/>
      </c>
      <c r="F333" s="24">
        <v>188333000</v>
      </c>
      <c r="G333" s="29" t="str">
        <f>'Hitung Per Bulan'!G333</f>
        <v/>
      </c>
    </row>
    <row r="334" spans="1:7" x14ac:dyDescent="0.45">
      <c r="A334" t="s">
        <v>17</v>
      </c>
      <c r="B334" t="s">
        <v>29</v>
      </c>
      <c r="C334" t="s">
        <v>26</v>
      </c>
      <c r="D334" s="24">
        <v>188333000</v>
      </c>
      <c r="E334" s="29" t="str">
        <f>'Hitung Per Bulan'!E334</f>
        <v/>
      </c>
      <c r="F334" s="24">
        <v>188333000</v>
      </c>
      <c r="G334" s="29" t="str">
        <f>'Hitung Per Bulan'!G334</f>
        <v/>
      </c>
    </row>
    <row r="335" spans="1:7" x14ac:dyDescent="0.45">
      <c r="A335" t="s">
        <v>18</v>
      </c>
      <c r="B335" t="s">
        <v>29</v>
      </c>
      <c r="C335" t="s">
        <v>26</v>
      </c>
      <c r="D335" s="24">
        <v>188333000</v>
      </c>
      <c r="E335" s="29" t="str">
        <f>'Hitung Per Bulan'!E335</f>
        <v/>
      </c>
      <c r="F335" s="24">
        <v>188333000</v>
      </c>
      <c r="G335" s="29" t="str">
        <f>'Hitung Per Bulan'!G335</f>
        <v/>
      </c>
    </row>
    <row r="336" spans="1:7" x14ac:dyDescent="0.45">
      <c r="A336" t="s">
        <v>19</v>
      </c>
      <c r="B336" t="s">
        <v>29</v>
      </c>
      <c r="C336" t="s">
        <v>26</v>
      </c>
      <c r="D336" s="24">
        <v>188333000</v>
      </c>
      <c r="E336" s="29" t="str">
        <f>'Hitung Per Bulan'!E336</f>
        <v/>
      </c>
      <c r="F336" s="24">
        <v>188333000</v>
      </c>
      <c r="G336" s="29" t="str">
        <f>'Hitung Per Bulan'!G336</f>
        <v/>
      </c>
    </row>
    <row r="337" spans="1:7" x14ac:dyDescent="0.45">
      <c r="A337" t="s">
        <v>20</v>
      </c>
      <c r="B337" t="s">
        <v>29</v>
      </c>
      <c r="C337" t="s">
        <v>26</v>
      </c>
      <c r="D337" s="24">
        <v>188337000</v>
      </c>
      <c r="E337" s="29" t="str">
        <f>'Hitung Per Bulan'!E337</f>
        <v/>
      </c>
      <c r="F337" s="24">
        <v>188337000</v>
      </c>
      <c r="G337" s="29" t="str">
        <f>'Hitung Per Bulan'!G337</f>
        <v/>
      </c>
    </row>
    <row r="338" spans="1:7" x14ac:dyDescent="0.45">
      <c r="A338" t="s">
        <v>7</v>
      </c>
      <c r="B338" t="s">
        <v>30</v>
      </c>
      <c r="C338" t="s">
        <v>9</v>
      </c>
      <c r="D338" s="24">
        <v>0</v>
      </c>
      <c r="E338" s="29">
        <f>'Hitung Per Bulan'!E338</f>
        <v>620219118</v>
      </c>
      <c r="F338" s="24">
        <v>0</v>
      </c>
      <c r="G338" s="29">
        <f>'Hitung Per Bulan'!G338</f>
        <v>0</v>
      </c>
    </row>
    <row r="339" spans="1:7" x14ac:dyDescent="0.45">
      <c r="A339" t="s">
        <v>10</v>
      </c>
      <c r="B339" t="s">
        <v>30</v>
      </c>
      <c r="C339" t="s">
        <v>9</v>
      </c>
      <c r="D339" s="24">
        <v>0</v>
      </c>
      <c r="E339" s="29">
        <f>'Hitung Per Bulan'!E339</f>
        <v>882186785</v>
      </c>
      <c r="F339" s="24">
        <v>0</v>
      </c>
      <c r="G339" s="29">
        <f>'Hitung Per Bulan'!G339</f>
        <v>28044916</v>
      </c>
    </row>
    <row r="340" spans="1:7" x14ac:dyDescent="0.45">
      <c r="A340" t="s">
        <v>11</v>
      </c>
      <c r="B340" t="s">
        <v>30</v>
      </c>
      <c r="C340" t="s">
        <v>9</v>
      </c>
      <c r="D340" s="24">
        <v>12183513000</v>
      </c>
      <c r="E340" s="29">
        <f>'Hitung Per Bulan'!E340</f>
        <v>1210443297</v>
      </c>
      <c r="F340" s="24">
        <v>495000000</v>
      </c>
      <c r="G340" s="29">
        <f>'Hitung Per Bulan'!G340</f>
        <v>59065000</v>
      </c>
    </row>
    <row r="341" spans="1:7" x14ac:dyDescent="0.45">
      <c r="A341" t="s">
        <v>12</v>
      </c>
      <c r="B341" t="s">
        <v>30</v>
      </c>
      <c r="C341" t="s">
        <v>9</v>
      </c>
      <c r="D341" s="24">
        <v>3290973000</v>
      </c>
      <c r="E341" s="29" t="str">
        <f>'Hitung Per Bulan'!E341</f>
        <v/>
      </c>
      <c r="F341" s="24">
        <v>335000000</v>
      </c>
      <c r="G341" s="29" t="str">
        <f>'Hitung Per Bulan'!G341</f>
        <v/>
      </c>
    </row>
    <row r="342" spans="1:7" x14ac:dyDescent="0.45">
      <c r="A342" t="s">
        <v>13</v>
      </c>
      <c r="B342" t="s">
        <v>30</v>
      </c>
      <c r="C342" t="s">
        <v>9</v>
      </c>
      <c r="D342" s="24">
        <v>4196830000</v>
      </c>
      <c r="E342" s="29" t="str">
        <f>'Hitung Per Bulan'!E342</f>
        <v/>
      </c>
      <c r="F342" s="24">
        <v>450000000</v>
      </c>
      <c r="G342" s="29" t="str">
        <f>'Hitung Per Bulan'!G342</f>
        <v/>
      </c>
    </row>
    <row r="343" spans="1:7" x14ac:dyDescent="0.45">
      <c r="A343" t="s">
        <v>14</v>
      </c>
      <c r="B343" t="s">
        <v>30</v>
      </c>
      <c r="C343" t="s">
        <v>9</v>
      </c>
      <c r="D343" s="24">
        <v>421169000</v>
      </c>
      <c r="E343" s="29" t="str">
        <f>'Hitung Per Bulan'!E343</f>
        <v/>
      </c>
      <c r="F343" s="24">
        <v>851266000</v>
      </c>
      <c r="G343" s="29" t="str">
        <f>'Hitung Per Bulan'!G343</f>
        <v/>
      </c>
    </row>
    <row r="344" spans="1:7" x14ac:dyDescent="0.45">
      <c r="A344" t="s">
        <v>15</v>
      </c>
      <c r="B344" t="s">
        <v>30</v>
      </c>
      <c r="C344" t="s">
        <v>9</v>
      </c>
      <c r="D344" s="24">
        <v>102990000</v>
      </c>
      <c r="E344" s="29" t="str">
        <f>'Hitung Per Bulan'!E344</f>
        <v/>
      </c>
      <c r="F344" s="24">
        <v>845041000</v>
      </c>
      <c r="G344" s="29" t="str">
        <f>'Hitung Per Bulan'!G344</f>
        <v/>
      </c>
    </row>
    <row r="345" spans="1:7" x14ac:dyDescent="0.45">
      <c r="A345" t="s">
        <v>16</v>
      </c>
      <c r="B345" t="s">
        <v>30</v>
      </c>
      <c r="C345" t="s">
        <v>9</v>
      </c>
      <c r="D345" s="24">
        <v>350000000</v>
      </c>
      <c r="E345" s="29" t="str">
        <f>'Hitung Per Bulan'!E345</f>
        <v/>
      </c>
      <c r="F345" s="24">
        <v>544675000</v>
      </c>
      <c r="G345" s="29" t="str">
        <f>'Hitung Per Bulan'!G345</f>
        <v/>
      </c>
    </row>
    <row r="346" spans="1:7" x14ac:dyDescent="0.45">
      <c r="A346" t="s">
        <v>17</v>
      </c>
      <c r="B346" t="s">
        <v>30</v>
      </c>
      <c r="C346" t="s">
        <v>9</v>
      </c>
      <c r="D346" s="24">
        <v>130000000</v>
      </c>
      <c r="E346" s="29" t="str">
        <f>'Hitung Per Bulan'!E346</f>
        <v/>
      </c>
      <c r="F346" s="24">
        <v>12919483000</v>
      </c>
      <c r="G346" s="29" t="str">
        <f>'Hitung Per Bulan'!G346</f>
        <v/>
      </c>
    </row>
    <row r="347" spans="1:7" x14ac:dyDescent="0.45">
      <c r="A347" t="s">
        <v>18</v>
      </c>
      <c r="B347" t="s">
        <v>30</v>
      </c>
      <c r="C347" t="s">
        <v>9</v>
      </c>
      <c r="D347" s="24">
        <v>0</v>
      </c>
      <c r="E347" s="29" t="str">
        <f>'Hitung Per Bulan'!E347</f>
        <v/>
      </c>
      <c r="F347" s="24">
        <v>2295330000</v>
      </c>
      <c r="G347" s="29" t="str">
        <f>'Hitung Per Bulan'!G347</f>
        <v/>
      </c>
    </row>
    <row r="348" spans="1:7" x14ac:dyDescent="0.45">
      <c r="A348" t="s">
        <v>19</v>
      </c>
      <c r="B348" t="s">
        <v>30</v>
      </c>
      <c r="C348" t="s">
        <v>9</v>
      </c>
      <c r="D348" s="24">
        <v>0</v>
      </c>
      <c r="E348" s="29" t="str">
        <f>'Hitung Per Bulan'!E348</f>
        <v/>
      </c>
      <c r="F348" s="24">
        <v>1939680000</v>
      </c>
      <c r="G348" s="29" t="str">
        <f>'Hitung Per Bulan'!G348</f>
        <v/>
      </c>
    </row>
    <row r="349" spans="1:7" x14ac:dyDescent="0.45">
      <c r="A349" t="s">
        <v>20</v>
      </c>
      <c r="B349" t="s">
        <v>30</v>
      </c>
      <c r="C349" t="s">
        <v>9</v>
      </c>
      <c r="D349" s="24">
        <v>130000000</v>
      </c>
      <c r="E349" s="29" t="str">
        <f>'Hitung Per Bulan'!E349</f>
        <v/>
      </c>
      <c r="F349" s="24">
        <v>130000000</v>
      </c>
      <c r="G349" s="29" t="str">
        <f>'Hitung Per Bulan'!G349</f>
        <v/>
      </c>
    </row>
    <row r="350" spans="1:7" x14ac:dyDescent="0.45">
      <c r="A350" t="s">
        <v>7</v>
      </c>
      <c r="B350" t="s">
        <v>30</v>
      </c>
      <c r="C350" t="s">
        <v>21</v>
      </c>
      <c r="D350" s="24">
        <v>0</v>
      </c>
      <c r="E350" s="29">
        <f>'Hitung Per Bulan'!E350</f>
        <v>0</v>
      </c>
      <c r="F350" s="24">
        <v>0</v>
      </c>
      <c r="G350" s="29">
        <f>'Hitung Per Bulan'!G350</f>
        <v>0</v>
      </c>
    </row>
    <row r="351" spans="1:7" x14ac:dyDescent="0.45">
      <c r="A351" t="s">
        <v>10</v>
      </c>
      <c r="B351" t="s">
        <v>30</v>
      </c>
      <c r="C351" t="s">
        <v>21</v>
      </c>
      <c r="D351" s="24">
        <v>0</v>
      </c>
      <c r="E351" s="29">
        <f>'Hitung Per Bulan'!E351</f>
        <v>28227453</v>
      </c>
      <c r="F351" s="24">
        <v>0</v>
      </c>
      <c r="G351" s="29">
        <f>'Hitung Per Bulan'!G351</f>
        <v>0</v>
      </c>
    </row>
    <row r="352" spans="1:7" x14ac:dyDescent="0.45">
      <c r="A352" t="s">
        <v>11</v>
      </c>
      <c r="B352" t="s">
        <v>30</v>
      </c>
      <c r="C352" t="s">
        <v>21</v>
      </c>
      <c r="D352" s="24">
        <v>0</v>
      </c>
      <c r="E352" s="29">
        <f>'Hitung Per Bulan'!E352</f>
        <v>18630185</v>
      </c>
      <c r="F352" s="24">
        <v>0</v>
      </c>
      <c r="G352" s="29">
        <f>'Hitung Per Bulan'!G352</f>
        <v>8775138</v>
      </c>
    </row>
    <row r="353" spans="1:7" x14ac:dyDescent="0.45">
      <c r="A353" t="s">
        <v>12</v>
      </c>
      <c r="B353" t="s">
        <v>30</v>
      </c>
      <c r="C353" t="s">
        <v>21</v>
      </c>
      <c r="D353" s="24">
        <v>128898000</v>
      </c>
      <c r="E353" s="29" t="str">
        <f>'Hitung Per Bulan'!E353</f>
        <v/>
      </c>
      <c r="F353" s="24">
        <v>128898000</v>
      </c>
      <c r="G353" s="29" t="str">
        <f>'Hitung Per Bulan'!G353</f>
        <v/>
      </c>
    </row>
    <row r="354" spans="1:7" x14ac:dyDescent="0.45">
      <c r="A354" t="s">
        <v>13</v>
      </c>
      <c r="B354" t="s">
        <v>30</v>
      </c>
      <c r="C354" t="s">
        <v>21</v>
      </c>
      <c r="D354" s="24">
        <v>532377000</v>
      </c>
      <c r="E354" s="29" t="str">
        <f>'Hitung Per Bulan'!E354</f>
        <v/>
      </c>
      <c r="F354" s="24">
        <v>50000000</v>
      </c>
      <c r="G354" s="29" t="str">
        <f>'Hitung Per Bulan'!G354</f>
        <v/>
      </c>
    </row>
    <row r="355" spans="1:7" x14ac:dyDescent="0.45">
      <c r="A355" t="s">
        <v>14</v>
      </c>
      <c r="B355" t="s">
        <v>30</v>
      </c>
      <c r="C355" t="s">
        <v>21</v>
      </c>
      <c r="D355" s="24">
        <v>435565000</v>
      </c>
      <c r="E355" s="29" t="str">
        <f>'Hitung Per Bulan'!E355</f>
        <v/>
      </c>
      <c r="F355" s="24">
        <v>50000000</v>
      </c>
      <c r="G355" s="29" t="str">
        <f>'Hitung Per Bulan'!G355</f>
        <v/>
      </c>
    </row>
    <row r="356" spans="1:7" x14ac:dyDescent="0.45">
      <c r="A356" t="s">
        <v>15</v>
      </c>
      <c r="B356" t="s">
        <v>30</v>
      </c>
      <c r="C356" t="s">
        <v>21</v>
      </c>
      <c r="D356" s="24">
        <v>50000000</v>
      </c>
      <c r="E356" s="29" t="str">
        <f>'Hitung Per Bulan'!E356</f>
        <v/>
      </c>
      <c r="F356" s="24">
        <v>50000000</v>
      </c>
      <c r="G356" s="29" t="str">
        <f>'Hitung Per Bulan'!G356</f>
        <v/>
      </c>
    </row>
    <row r="357" spans="1:7" x14ac:dyDescent="0.45">
      <c r="A357" t="s">
        <v>16</v>
      </c>
      <c r="B357" t="s">
        <v>30</v>
      </c>
      <c r="C357" t="s">
        <v>21</v>
      </c>
      <c r="D357" s="24">
        <v>50000000</v>
      </c>
      <c r="E357" s="29" t="str">
        <f>'Hitung Per Bulan'!E357</f>
        <v/>
      </c>
      <c r="F357" s="24">
        <v>532377000</v>
      </c>
      <c r="G357" s="29" t="str">
        <f>'Hitung Per Bulan'!G357</f>
        <v/>
      </c>
    </row>
    <row r="358" spans="1:7" x14ac:dyDescent="0.45">
      <c r="A358" t="s">
        <v>17</v>
      </c>
      <c r="B358" t="s">
        <v>30</v>
      </c>
      <c r="C358" t="s">
        <v>21</v>
      </c>
      <c r="D358" s="24">
        <v>50000000</v>
      </c>
      <c r="E358" s="29" t="str">
        <f>'Hitung Per Bulan'!E358</f>
        <v/>
      </c>
      <c r="F358" s="24">
        <v>435565000</v>
      </c>
      <c r="G358" s="29" t="str">
        <f>'Hitung Per Bulan'!G358</f>
        <v/>
      </c>
    </row>
    <row r="359" spans="1:7" x14ac:dyDescent="0.45">
      <c r="A359" t="s">
        <v>18</v>
      </c>
      <c r="B359" t="s">
        <v>30</v>
      </c>
      <c r="C359" t="s">
        <v>21</v>
      </c>
      <c r="D359" s="24">
        <v>100000000</v>
      </c>
      <c r="E359" s="29" t="str">
        <f>'Hitung Per Bulan'!E359</f>
        <v/>
      </c>
      <c r="F359" s="24">
        <v>100000000</v>
      </c>
      <c r="G359" s="29" t="str">
        <f>'Hitung Per Bulan'!G359</f>
        <v/>
      </c>
    </row>
    <row r="360" spans="1:7" x14ac:dyDescent="0.45">
      <c r="A360" t="s">
        <v>19</v>
      </c>
      <c r="B360" t="s">
        <v>30</v>
      </c>
      <c r="C360" t="s">
        <v>21</v>
      </c>
      <c r="D360" s="24">
        <v>100000000</v>
      </c>
      <c r="E360" s="29" t="str">
        <f>'Hitung Per Bulan'!E360</f>
        <v/>
      </c>
      <c r="F360" s="24">
        <v>100000000</v>
      </c>
      <c r="G360" s="29" t="str">
        <f>'Hitung Per Bulan'!G360</f>
        <v/>
      </c>
    </row>
    <row r="361" spans="1:7" x14ac:dyDescent="0.45">
      <c r="A361" t="s">
        <v>20</v>
      </c>
      <c r="B361" t="s">
        <v>30</v>
      </c>
      <c r="C361" t="s">
        <v>21</v>
      </c>
      <c r="D361" s="24">
        <v>0</v>
      </c>
      <c r="E361" s="29" t="str">
        <f>'Hitung Per Bulan'!E361</f>
        <v/>
      </c>
      <c r="F361" s="24">
        <v>0</v>
      </c>
      <c r="G361" s="29" t="str">
        <f>'Hitung Per Bulan'!G361</f>
        <v/>
      </c>
    </row>
    <row r="362" spans="1:7" x14ac:dyDescent="0.45">
      <c r="A362" t="s">
        <v>7</v>
      </c>
      <c r="B362" t="s">
        <v>30</v>
      </c>
      <c r="C362" t="s">
        <v>22</v>
      </c>
      <c r="D362" s="24">
        <v>0</v>
      </c>
      <c r="E362" s="29">
        <f>'Hitung Per Bulan'!E362</f>
        <v>0</v>
      </c>
      <c r="F362" s="24">
        <v>0</v>
      </c>
      <c r="G362" s="29">
        <f>'Hitung Per Bulan'!G362</f>
        <v>0</v>
      </c>
    </row>
    <row r="363" spans="1:7" x14ac:dyDescent="0.45">
      <c r="A363" t="s">
        <v>10</v>
      </c>
      <c r="B363" t="s">
        <v>30</v>
      </c>
      <c r="C363" t="s">
        <v>22</v>
      </c>
      <c r="D363" s="24">
        <v>30030000</v>
      </c>
      <c r="E363" s="29">
        <f>'Hitung Per Bulan'!E363</f>
        <v>11205000</v>
      </c>
      <c r="F363" s="24">
        <v>30030000</v>
      </c>
      <c r="G363" s="29">
        <f>'Hitung Per Bulan'!G363</f>
        <v>0</v>
      </c>
    </row>
    <row r="364" spans="1:7" x14ac:dyDescent="0.45">
      <c r="A364" t="s">
        <v>11</v>
      </c>
      <c r="B364" t="s">
        <v>30</v>
      </c>
      <c r="C364" t="s">
        <v>22</v>
      </c>
      <c r="D364" s="24">
        <v>0</v>
      </c>
      <c r="E364" s="29">
        <f>'Hitung Per Bulan'!E364</f>
        <v>0</v>
      </c>
      <c r="F364" s="24">
        <v>0</v>
      </c>
      <c r="G364" s="29">
        <f>'Hitung Per Bulan'!G364</f>
        <v>0</v>
      </c>
    </row>
    <row r="365" spans="1:7" x14ac:dyDescent="0.45">
      <c r="A365" t="s">
        <v>12</v>
      </c>
      <c r="B365" t="s">
        <v>30</v>
      </c>
      <c r="C365" t="s">
        <v>22</v>
      </c>
      <c r="D365" s="24">
        <v>0</v>
      </c>
      <c r="E365" s="29" t="str">
        <f>'Hitung Per Bulan'!E365</f>
        <v/>
      </c>
      <c r="F365" s="24">
        <v>0</v>
      </c>
      <c r="G365" s="29" t="str">
        <f>'Hitung Per Bulan'!G365</f>
        <v/>
      </c>
    </row>
    <row r="366" spans="1:7" x14ac:dyDescent="0.45">
      <c r="A366" t="s">
        <v>13</v>
      </c>
      <c r="B366" t="s">
        <v>30</v>
      </c>
      <c r="C366" t="s">
        <v>22</v>
      </c>
      <c r="D366" s="24">
        <v>0</v>
      </c>
      <c r="E366" s="29" t="str">
        <f>'Hitung Per Bulan'!E366</f>
        <v/>
      </c>
      <c r="F366" s="24">
        <v>0</v>
      </c>
      <c r="G366" s="29" t="str">
        <f>'Hitung Per Bulan'!G366</f>
        <v/>
      </c>
    </row>
    <row r="367" spans="1:7" x14ac:dyDescent="0.45">
      <c r="A367" t="s">
        <v>14</v>
      </c>
      <c r="B367" t="s">
        <v>30</v>
      </c>
      <c r="C367" t="s">
        <v>22</v>
      </c>
      <c r="D367" s="24">
        <v>30030000</v>
      </c>
      <c r="E367" s="29" t="str">
        <f>'Hitung Per Bulan'!E367</f>
        <v/>
      </c>
      <c r="F367" s="24">
        <v>30030000</v>
      </c>
      <c r="G367" s="29" t="str">
        <f>'Hitung Per Bulan'!G367</f>
        <v/>
      </c>
    </row>
    <row r="368" spans="1:7" x14ac:dyDescent="0.45">
      <c r="A368" t="s">
        <v>15</v>
      </c>
      <c r="B368" t="s">
        <v>30</v>
      </c>
      <c r="C368" t="s">
        <v>22</v>
      </c>
      <c r="D368" s="24">
        <v>0</v>
      </c>
      <c r="E368" s="29" t="str">
        <f>'Hitung Per Bulan'!E368</f>
        <v/>
      </c>
      <c r="F368" s="24">
        <v>0</v>
      </c>
      <c r="G368" s="29" t="str">
        <f>'Hitung Per Bulan'!G368</f>
        <v/>
      </c>
    </row>
    <row r="369" spans="1:7" x14ac:dyDescent="0.45">
      <c r="A369" t="s">
        <v>16</v>
      </c>
      <c r="B369" t="s">
        <v>30</v>
      </c>
      <c r="C369" t="s">
        <v>22</v>
      </c>
      <c r="D369" s="24">
        <v>0</v>
      </c>
      <c r="E369" s="29" t="str">
        <f>'Hitung Per Bulan'!E369</f>
        <v/>
      </c>
      <c r="F369" s="24">
        <v>0</v>
      </c>
      <c r="G369" s="29" t="str">
        <f>'Hitung Per Bulan'!G369</f>
        <v/>
      </c>
    </row>
    <row r="370" spans="1:7" x14ac:dyDescent="0.45">
      <c r="A370" t="s">
        <v>17</v>
      </c>
      <c r="B370" t="s">
        <v>30</v>
      </c>
      <c r="C370" t="s">
        <v>22</v>
      </c>
      <c r="D370" s="24">
        <v>0</v>
      </c>
      <c r="E370" s="29" t="str">
        <f>'Hitung Per Bulan'!E370</f>
        <v/>
      </c>
      <c r="F370" s="24">
        <v>0</v>
      </c>
      <c r="G370" s="29" t="str">
        <f>'Hitung Per Bulan'!G370</f>
        <v/>
      </c>
    </row>
    <row r="371" spans="1:7" x14ac:dyDescent="0.45">
      <c r="A371" t="s">
        <v>18</v>
      </c>
      <c r="B371" t="s">
        <v>30</v>
      </c>
      <c r="C371" t="s">
        <v>22</v>
      </c>
      <c r="D371" s="24">
        <v>0</v>
      </c>
      <c r="E371" s="29" t="str">
        <f>'Hitung Per Bulan'!E371</f>
        <v/>
      </c>
      <c r="F371" s="24">
        <v>0</v>
      </c>
      <c r="G371" s="29" t="str">
        <f>'Hitung Per Bulan'!G371</f>
        <v/>
      </c>
    </row>
    <row r="372" spans="1:7" x14ac:dyDescent="0.45">
      <c r="A372" t="s">
        <v>19</v>
      </c>
      <c r="B372" t="s">
        <v>30</v>
      </c>
      <c r="C372" t="s">
        <v>22</v>
      </c>
      <c r="D372" s="24">
        <v>30030000</v>
      </c>
      <c r="E372" s="29" t="str">
        <f>'Hitung Per Bulan'!E372</f>
        <v/>
      </c>
      <c r="F372" s="24">
        <v>30030000</v>
      </c>
      <c r="G372" s="29" t="str">
        <f>'Hitung Per Bulan'!G372</f>
        <v/>
      </c>
    </row>
    <row r="373" spans="1:7" x14ac:dyDescent="0.45">
      <c r="A373" t="s">
        <v>20</v>
      </c>
      <c r="B373" t="s">
        <v>30</v>
      </c>
      <c r="C373" t="s">
        <v>22</v>
      </c>
      <c r="D373" s="24">
        <v>0</v>
      </c>
      <c r="E373" s="29" t="str">
        <f>'Hitung Per Bulan'!E373</f>
        <v/>
      </c>
      <c r="F373" s="24">
        <v>0</v>
      </c>
      <c r="G373" s="29" t="str">
        <f>'Hitung Per Bulan'!G373</f>
        <v/>
      </c>
    </row>
    <row r="374" spans="1:7" x14ac:dyDescent="0.45">
      <c r="A374" t="s">
        <v>7</v>
      </c>
      <c r="B374" t="s">
        <v>30</v>
      </c>
      <c r="C374" t="s">
        <v>23</v>
      </c>
      <c r="D374" s="24">
        <v>0</v>
      </c>
      <c r="E374" s="29">
        <f>'Hitung Per Bulan'!E374</f>
        <v>0</v>
      </c>
      <c r="F374" s="24">
        <v>0</v>
      </c>
      <c r="G374" s="29">
        <f>'Hitung Per Bulan'!G374</f>
        <v>0</v>
      </c>
    </row>
    <row r="375" spans="1:7" x14ac:dyDescent="0.45">
      <c r="A375" t="s">
        <v>10</v>
      </c>
      <c r="B375" t="s">
        <v>30</v>
      </c>
      <c r="C375" t="s">
        <v>23</v>
      </c>
      <c r="D375" s="24">
        <v>0</v>
      </c>
      <c r="E375" s="29">
        <f>'Hitung Per Bulan'!E375</f>
        <v>0</v>
      </c>
      <c r="F375" s="24">
        <v>0</v>
      </c>
      <c r="G375" s="29">
        <f>'Hitung Per Bulan'!G375</f>
        <v>0</v>
      </c>
    </row>
    <row r="376" spans="1:7" x14ac:dyDescent="0.45">
      <c r="A376" t="s">
        <v>11</v>
      </c>
      <c r="B376" t="s">
        <v>30</v>
      </c>
      <c r="C376" t="s">
        <v>23</v>
      </c>
      <c r="D376" s="24">
        <v>0</v>
      </c>
      <c r="E376" s="29">
        <f>'Hitung Per Bulan'!E376</f>
        <v>0</v>
      </c>
      <c r="F376" s="24">
        <v>0</v>
      </c>
      <c r="G376" s="29">
        <f>'Hitung Per Bulan'!G376</f>
        <v>0</v>
      </c>
    </row>
    <row r="377" spans="1:7" x14ac:dyDescent="0.45">
      <c r="A377" t="s">
        <v>12</v>
      </c>
      <c r="B377" t="s">
        <v>30</v>
      </c>
      <c r="C377" t="s">
        <v>23</v>
      </c>
      <c r="D377" s="24">
        <v>0</v>
      </c>
      <c r="E377" s="29" t="str">
        <f>'Hitung Per Bulan'!E377</f>
        <v/>
      </c>
      <c r="F377" s="24">
        <v>0</v>
      </c>
      <c r="G377" s="29" t="str">
        <f>'Hitung Per Bulan'!G377</f>
        <v/>
      </c>
    </row>
    <row r="378" spans="1:7" x14ac:dyDescent="0.45">
      <c r="A378" t="s">
        <v>13</v>
      </c>
      <c r="B378" t="s">
        <v>30</v>
      </c>
      <c r="C378" t="s">
        <v>23</v>
      </c>
      <c r="D378" s="24">
        <v>60000000</v>
      </c>
      <c r="E378" s="29" t="str">
        <f>'Hitung Per Bulan'!E378</f>
        <v/>
      </c>
      <c r="F378" s="24">
        <v>60000000</v>
      </c>
      <c r="G378" s="29" t="str">
        <f>'Hitung Per Bulan'!G378</f>
        <v/>
      </c>
    </row>
    <row r="379" spans="1:7" x14ac:dyDescent="0.45">
      <c r="A379" t="s">
        <v>14</v>
      </c>
      <c r="B379" t="s">
        <v>30</v>
      </c>
      <c r="C379" t="s">
        <v>23</v>
      </c>
      <c r="D379" s="24">
        <v>30000000</v>
      </c>
      <c r="E379" s="29" t="str">
        <f>'Hitung Per Bulan'!E379</f>
        <v/>
      </c>
      <c r="F379" s="24">
        <v>30000000</v>
      </c>
      <c r="G379" s="29" t="str">
        <f>'Hitung Per Bulan'!G379</f>
        <v/>
      </c>
    </row>
    <row r="380" spans="1:7" x14ac:dyDescent="0.45">
      <c r="A380" t="s">
        <v>15</v>
      </c>
      <c r="B380" t="s">
        <v>30</v>
      </c>
      <c r="C380" t="s">
        <v>23</v>
      </c>
      <c r="D380" s="24">
        <v>160000000</v>
      </c>
      <c r="E380" s="29" t="str">
        <f>'Hitung Per Bulan'!E380</f>
        <v/>
      </c>
      <c r="F380" s="24">
        <v>0</v>
      </c>
      <c r="G380" s="29" t="str">
        <f>'Hitung Per Bulan'!G380</f>
        <v/>
      </c>
    </row>
    <row r="381" spans="1:7" x14ac:dyDescent="0.45">
      <c r="A381" t="s">
        <v>16</v>
      </c>
      <c r="B381" t="s">
        <v>30</v>
      </c>
      <c r="C381" t="s">
        <v>23</v>
      </c>
      <c r="D381" s="24">
        <v>0</v>
      </c>
      <c r="E381" s="29" t="str">
        <f>'Hitung Per Bulan'!E381</f>
        <v/>
      </c>
      <c r="F381" s="24">
        <v>0</v>
      </c>
      <c r="G381" s="29" t="str">
        <f>'Hitung Per Bulan'!G381</f>
        <v/>
      </c>
    </row>
    <row r="382" spans="1:7" x14ac:dyDescent="0.45">
      <c r="A382" t="s">
        <v>17</v>
      </c>
      <c r="B382" t="s">
        <v>30</v>
      </c>
      <c r="C382" t="s">
        <v>23</v>
      </c>
      <c r="D382" s="24">
        <v>0</v>
      </c>
      <c r="E382" s="29" t="str">
        <f>'Hitung Per Bulan'!E382</f>
        <v/>
      </c>
      <c r="F382" s="24">
        <v>0</v>
      </c>
      <c r="G382" s="29" t="str">
        <f>'Hitung Per Bulan'!G382</f>
        <v/>
      </c>
    </row>
    <row r="383" spans="1:7" x14ac:dyDescent="0.45">
      <c r="A383" t="s">
        <v>18</v>
      </c>
      <c r="B383" t="s">
        <v>30</v>
      </c>
      <c r="C383" t="s">
        <v>23</v>
      </c>
      <c r="D383" s="24">
        <v>0</v>
      </c>
      <c r="E383" s="29" t="str">
        <f>'Hitung Per Bulan'!E383</f>
        <v/>
      </c>
      <c r="F383" s="24">
        <v>160000000</v>
      </c>
      <c r="G383" s="29" t="str">
        <f>'Hitung Per Bulan'!G383</f>
        <v/>
      </c>
    </row>
    <row r="384" spans="1:7" x14ac:dyDescent="0.45">
      <c r="A384" t="s">
        <v>19</v>
      </c>
      <c r="B384" t="s">
        <v>30</v>
      </c>
      <c r="C384" t="s">
        <v>23</v>
      </c>
      <c r="D384" s="24">
        <v>0</v>
      </c>
      <c r="E384" s="29" t="str">
        <f>'Hitung Per Bulan'!E384</f>
        <v/>
      </c>
      <c r="F384" s="24">
        <v>0</v>
      </c>
      <c r="G384" s="29" t="str">
        <f>'Hitung Per Bulan'!G384</f>
        <v/>
      </c>
    </row>
    <row r="385" spans="1:7" x14ac:dyDescent="0.45">
      <c r="A385" t="s">
        <v>20</v>
      </c>
      <c r="B385" t="s">
        <v>30</v>
      </c>
      <c r="C385" t="s">
        <v>23</v>
      </c>
      <c r="D385" s="24">
        <v>0</v>
      </c>
      <c r="E385" s="29" t="str">
        <f>'Hitung Per Bulan'!E385</f>
        <v/>
      </c>
      <c r="F385" s="24">
        <v>0</v>
      </c>
      <c r="G385" s="29" t="str">
        <f>'Hitung Per Bulan'!G385</f>
        <v/>
      </c>
    </row>
    <row r="386" spans="1:7" x14ac:dyDescent="0.45">
      <c r="A386" t="s">
        <v>7</v>
      </c>
      <c r="B386" t="s">
        <v>30</v>
      </c>
      <c r="C386" t="s">
        <v>24</v>
      </c>
      <c r="D386" s="24">
        <v>0</v>
      </c>
      <c r="E386" s="29">
        <f>'Hitung Per Bulan'!E386</f>
        <v>0</v>
      </c>
      <c r="F386" s="24">
        <v>0</v>
      </c>
      <c r="G386" s="29">
        <f>'Hitung Per Bulan'!G386</f>
        <v>0</v>
      </c>
    </row>
    <row r="387" spans="1:7" x14ac:dyDescent="0.45">
      <c r="A387" t="s">
        <v>10</v>
      </c>
      <c r="B387" t="s">
        <v>30</v>
      </c>
      <c r="C387" t="s">
        <v>24</v>
      </c>
      <c r="D387" s="24">
        <v>0</v>
      </c>
      <c r="E387" s="29">
        <f>'Hitung Per Bulan'!E387</f>
        <v>0</v>
      </c>
      <c r="F387" s="24">
        <v>0</v>
      </c>
      <c r="G387" s="29">
        <f>'Hitung Per Bulan'!G387</f>
        <v>0</v>
      </c>
    </row>
    <row r="388" spans="1:7" x14ac:dyDescent="0.45">
      <c r="A388" t="s">
        <v>11</v>
      </c>
      <c r="B388" t="s">
        <v>30</v>
      </c>
      <c r="C388" t="s">
        <v>24</v>
      </c>
      <c r="D388" s="24">
        <v>0</v>
      </c>
      <c r="E388" s="29">
        <f>'Hitung Per Bulan'!E388</f>
        <v>0</v>
      </c>
      <c r="F388" s="24">
        <v>0</v>
      </c>
      <c r="G388" s="29">
        <f>'Hitung Per Bulan'!G388</f>
        <v>0</v>
      </c>
    </row>
    <row r="389" spans="1:7" x14ac:dyDescent="0.45">
      <c r="A389" t="s">
        <v>12</v>
      </c>
      <c r="B389" t="s">
        <v>30</v>
      </c>
      <c r="C389" t="s">
        <v>24</v>
      </c>
      <c r="D389" s="24">
        <v>0</v>
      </c>
      <c r="E389" s="29" t="str">
        <f>'Hitung Per Bulan'!E389</f>
        <v/>
      </c>
      <c r="F389" s="24">
        <v>0</v>
      </c>
      <c r="G389" s="29" t="str">
        <f>'Hitung Per Bulan'!G389</f>
        <v/>
      </c>
    </row>
    <row r="390" spans="1:7" x14ac:dyDescent="0.45">
      <c r="A390" t="s">
        <v>13</v>
      </c>
      <c r="B390" t="s">
        <v>30</v>
      </c>
      <c r="C390" t="s">
        <v>24</v>
      </c>
      <c r="D390" s="24">
        <v>0</v>
      </c>
      <c r="E390" s="29" t="str">
        <f>'Hitung Per Bulan'!E390</f>
        <v/>
      </c>
      <c r="F390" s="24">
        <v>0</v>
      </c>
      <c r="G390" s="29" t="str">
        <f>'Hitung Per Bulan'!G390</f>
        <v/>
      </c>
    </row>
    <row r="391" spans="1:7" x14ac:dyDescent="0.45">
      <c r="A391" t="s">
        <v>14</v>
      </c>
      <c r="B391" t="s">
        <v>30</v>
      </c>
      <c r="C391" t="s">
        <v>24</v>
      </c>
      <c r="D391" s="24">
        <v>0</v>
      </c>
      <c r="E391" s="29" t="str">
        <f>'Hitung Per Bulan'!E391</f>
        <v/>
      </c>
      <c r="F391" s="24">
        <v>0</v>
      </c>
      <c r="G391" s="29" t="str">
        <f>'Hitung Per Bulan'!G391</f>
        <v/>
      </c>
    </row>
    <row r="392" spans="1:7" x14ac:dyDescent="0.45">
      <c r="A392" t="s">
        <v>15</v>
      </c>
      <c r="B392" t="s">
        <v>30</v>
      </c>
      <c r="C392" t="s">
        <v>24</v>
      </c>
      <c r="D392" s="24">
        <v>0</v>
      </c>
      <c r="E392" s="29" t="str">
        <f>'Hitung Per Bulan'!E392</f>
        <v/>
      </c>
      <c r="F392" s="24">
        <v>0</v>
      </c>
      <c r="G392" s="29" t="str">
        <f>'Hitung Per Bulan'!G392</f>
        <v/>
      </c>
    </row>
    <row r="393" spans="1:7" x14ac:dyDescent="0.45">
      <c r="A393" t="s">
        <v>16</v>
      </c>
      <c r="B393" t="s">
        <v>30</v>
      </c>
      <c r="C393" t="s">
        <v>24</v>
      </c>
      <c r="D393" s="24">
        <v>0</v>
      </c>
      <c r="E393" s="29" t="str">
        <f>'Hitung Per Bulan'!E393</f>
        <v/>
      </c>
      <c r="F393" s="24">
        <v>0</v>
      </c>
      <c r="G393" s="29" t="str">
        <f>'Hitung Per Bulan'!G393</f>
        <v/>
      </c>
    </row>
    <row r="394" spans="1:7" x14ac:dyDescent="0.45">
      <c r="A394" t="s">
        <v>17</v>
      </c>
      <c r="B394" t="s">
        <v>30</v>
      </c>
      <c r="C394" t="s">
        <v>24</v>
      </c>
      <c r="D394" s="24">
        <v>0</v>
      </c>
      <c r="E394" s="29" t="str">
        <f>'Hitung Per Bulan'!E394</f>
        <v/>
      </c>
      <c r="F394" s="24">
        <v>0</v>
      </c>
      <c r="G394" s="29" t="str">
        <f>'Hitung Per Bulan'!G394</f>
        <v/>
      </c>
    </row>
    <row r="395" spans="1:7" x14ac:dyDescent="0.45">
      <c r="A395" t="s">
        <v>18</v>
      </c>
      <c r="B395" t="s">
        <v>30</v>
      </c>
      <c r="C395" t="s">
        <v>24</v>
      </c>
      <c r="D395" s="24">
        <v>0</v>
      </c>
      <c r="E395" s="29" t="str">
        <f>'Hitung Per Bulan'!E395</f>
        <v/>
      </c>
      <c r="F395" s="24">
        <v>0</v>
      </c>
      <c r="G395" s="29" t="str">
        <f>'Hitung Per Bulan'!G395</f>
        <v/>
      </c>
    </row>
    <row r="396" spans="1:7" x14ac:dyDescent="0.45">
      <c r="A396" t="s">
        <v>19</v>
      </c>
      <c r="B396" t="s">
        <v>30</v>
      </c>
      <c r="C396" t="s">
        <v>24</v>
      </c>
      <c r="D396" s="24">
        <v>0</v>
      </c>
      <c r="E396" s="29" t="str">
        <f>'Hitung Per Bulan'!E396</f>
        <v/>
      </c>
      <c r="F396" s="24">
        <v>0</v>
      </c>
      <c r="G396" s="29" t="str">
        <f>'Hitung Per Bulan'!G396</f>
        <v/>
      </c>
    </row>
    <row r="397" spans="1:7" x14ac:dyDescent="0.45">
      <c r="A397" t="s">
        <v>20</v>
      </c>
      <c r="B397" t="s">
        <v>30</v>
      </c>
      <c r="C397" t="s">
        <v>24</v>
      </c>
      <c r="D397" s="24">
        <v>0</v>
      </c>
      <c r="E397" s="29" t="str">
        <f>'Hitung Per Bulan'!E397</f>
        <v/>
      </c>
      <c r="F397" s="24">
        <v>0</v>
      </c>
      <c r="G397" s="29" t="str">
        <f>'Hitung Per Bulan'!G397</f>
        <v/>
      </c>
    </row>
    <row r="398" spans="1:7" x14ac:dyDescent="0.45">
      <c r="A398" t="s">
        <v>7</v>
      </c>
      <c r="B398" t="s">
        <v>30</v>
      </c>
      <c r="C398" t="s">
        <v>25</v>
      </c>
      <c r="D398" s="24">
        <v>50834000</v>
      </c>
      <c r="E398" s="29">
        <f>'Hitung Per Bulan'!E398</f>
        <v>107373135</v>
      </c>
      <c r="F398" s="24">
        <v>50834000</v>
      </c>
      <c r="G398" s="29">
        <f>'Hitung Per Bulan'!G398</f>
        <v>29120235</v>
      </c>
    </row>
    <row r="399" spans="1:7" x14ac:dyDescent="0.45">
      <c r="A399" t="s">
        <v>10</v>
      </c>
      <c r="B399" t="s">
        <v>30</v>
      </c>
      <c r="C399" t="s">
        <v>25</v>
      </c>
      <c r="D399" s="24">
        <v>70834000</v>
      </c>
      <c r="E399" s="29">
        <f>'Hitung Per Bulan'!E399</f>
        <v>132788748</v>
      </c>
      <c r="F399" s="24">
        <v>70834000</v>
      </c>
      <c r="G399" s="29">
        <f>'Hitung Per Bulan'!G399</f>
        <v>60489500</v>
      </c>
    </row>
    <row r="400" spans="1:7" x14ac:dyDescent="0.45">
      <c r="A400" t="s">
        <v>11</v>
      </c>
      <c r="B400" t="s">
        <v>30</v>
      </c>
      <c r="C400" t="s">
        <v>25</v>
      </c>
      <c r="D400" s="24">
        <v>302184000</v>
      </c>
      <c r="E400" s="29">
        <f>'Hitung Per Bulan'!E400</f>
        <v>18195000</v>
      </c>
      <c r="F400" s="24">
        <v>302184000</v>
      </c>
      <c r="G400" s="29">
        <f>'Hitung Per Bulan'!G400</f>
        <v>28151400</v>
      </c>
    </row>
    <row r="401" spans="1:7" x14ac:dyDescent="0.45">
      <c r="A401" t="s">
        <v>12</v>
      </c>
      <c r="B401" t="s">
        <v>30</v>
      </c>
      <c r="C401" t="s">
        <v>25</v>
      </c>
      <c r="D401" s="24">
        <v>313833000</v>
      </c>
      <c r="E401" s="29" t="str">
        <f>'Hitung Per Bulan'!E401</f>
        <v/>
      </c>
      <c r="F401" s="24">
        <v>313833000</v>
      </c>
      <c r="G401" s="29" t="str">
        <f>'Hitung Per Bulan'!G401</f>
        <v/>
      </c>
    </row>
    <row r="402" spans="1:7" x14ac:dyDescent="0.45">
      <c r="A402" t="s">
        <v>13</v>
      </c>
      <c r="B402" t="s">
        <v>30</v>
      </c>
      <c r="C402" t="s">
        <v>25</v>
      </c>
      <c r="D402" s="24">
        <v>187833000</v>
      </c>
      <c r="E402" s="29" t="str">
        <f>'Hitung Per Bulan'!E402</f>
        <v/>
      </c>
      <c r="F402" s="24">
        <v>187833000</v>
      </c>
      <c r="G402" s="29" t="str">
        <f>'Hitung Per Bulan'!G402</f>
        <v/>
      </c>
    </row>
    <row r="403" spans="1:7" x14ac:dyDescent="0.45">
      <c r="A403" t="s">
        <v>14</v>
      </c>
      <c r="B403" t="s">
        <v>30</v>
      </c>
      <c r="C403" t="s">
        <v>25</v>
      </c>
      <c r="D403" s="24">
        <v>274383000</v>
      </c>
      <c r="E403" s="29" t="str">
        <f>'Hitung Per Bulan'!E403</f>
        <v/>
      </c>
      <c r="F403" s="24">
        <v>274383000</v>
      </c>
      <c r="G403" s="29" t="str">
        <f>'Hitung Per Bulan'!G403</f>
        <v/>
      </c>
    </row>
    <row r="404" spans="1:7" x14ac:dyDescent="0.45">
      <c r="A404" t="s">
        <v>15</v>
      </c>
      <c r="B404" t="s">
        <v>30</v>
      </c>
      <c r="C404" t="s">
        <v>25</v>
      </c>
      <c r="D404" s="24">
        <v>53833000</v>
      </c>
      <c r="E404" s="29" t="str">
        <f>'Hitung Per Bulan'!E404</f>
        <v/>
      </c>
      <c r="F404" s="24">
        <v>53833000</v>
      </c>
      <c r="G404" s="29" t="str">
        <f>'Hitung Per Bulan'!G404</f>
        <v/>
      </c>
    </row>
    <row r="405" spans="1:7" x14ac:dyDescent="0.45">
      <c r="A405" t="s">
        <v>16</v>
      </c>
      <c r="B405" t="s">
        <v>30</v>
      </c>
      <c r="C405" t="s">
        <v>25</v>
      </c>
      <c r="D405" s="24">
        <v>90833000</v>
      </c>
      <c r="E405" s="29" t="str">
        <f>'Hitung Per Bulan'!E405</f>
        <v/>
      </c>
      <c r="F405" s="24">
        <v>90833000</v>
      </c>
      <c r="G405" s="29" t="str">
        <f>'Hitung Per Bulan'!G405</f>
        <v/>
      </c>
    </row>
    <row r="406" spans="1:7" x14ac:dyDescent="0.45">
      <c r="A406" t="s">
        <v>17</v>
      </c>
      <c r="B406" t="s">
        <v>30</v>
      </c>
      <c r="C406" t="s">
        <v>25</v>
      </c>
      <c r="D406" s="24">
        <v>97183000</v>
      </c>
      <c r="E406" s="29" t="str">
        <f>'Hitung Per Bulan'!E406</f>
        <v/>
      </c>
      <c r="F406" s="24">
        <v>97183000</v>
      </c>
      <c r="G406" s="29" t="str">
        <f>'Hitung Per Bulan'!G406</f>
        <v/>
      </c>
    </row>
    <row r="407" spans="1:7" x14ac:dyDescent="0.45">
      <c r="A407" t="s">
        <v>18</v>
      </c>
      <c r="B407" t="s">
        <v>30</v>
      </c>
      <c r="C407" t="s">
        <v>25</v>
      </c>
      <c r="D407" s="24">
        <v>65834000</v>
      </c>
      <c r="E407" s="29" t="str">
        <f>'Hitung Per Bulan'!E407</f>
        <v/>
      </c>
      <c r="F407" s="24">
        <v>65834000</v>
      </c>
      <c r="G407" s="29" t="str">
        <f>'Hitung Per Bulan'!G407</f>
        <v/>
      </c>
    </row>
    <row r="408" spans="1:7" x14ac:dyDescent="0.45">
      <c r="A408" t="s">
        <v>19</v>
      </c>
      <c r="B408" t="s">
        <v>30</v>
      </c>
      <c r="C408" t="s">
        <v>25</v>
      </c>
      <c r="D408" s="24">
        <v>62834000</v>
      </c>
      <c r="E408" s="29" t="str">
        <f>'Hitung Per Bulan'!E408</f>
        <v/>
      </c>
      <c r="F408" s="24">
        <v>62834000</v>
      </c>
      <c r="G408" s="29" t="str">
        <f>'Hitung Per Bulan'!G408</f>
        <v/>
      </c>
    </row>
    <row r="409" spans="1:7" x14ac:dyDescent="0.45">
      <c r="A409" t="s">
        <v>20</v>
      </c>
      <c r="B409" t="s">
        <v>30</v>
      </c>
      <c r="C409" t="s">
        <v>25</v>
      </c>
      <c r="D409" s="24">
        <v>112184000</v>
      </c>
      <c r="E409" s="29" t="str">
        <f>'Hitung Per Bulan'!E409</f>
        <v/>
      </c>
      <c r="F409" s="24">
        <v>112184000</v>
      </c>
      <c r="G409" s="29" t="str">
        <f>'Hitung Per Bulan'!G409</f>
        <v/>
      </c>
    </row>
    <row r="410" spans="1:7" x14ac:dyDescent="0.45">
      <c r="A410" t="s">
        <v>7</v>
      </c>
      <c r="B410" t="s">
        <v>30</v>
      </c>
      <c r="C410" t="s">
        <v>26</v>
      </c>
      <c r="D410" s="24">
        <v>208442000</v>
      </c>
      <c r="E410" s="29">
        <f>'Hitung Per Bulan'!E410</f>
        <v>180318716</v>
      </c>
      <c r="F410" s="24">
        <v>208442000</v>
      </c>
      <c r="G410" s="29">
        <f>'Hitung Per Bulan'!G410</f>
        <v>180294464</v>
      </c>
    </row>
    <row r="411" spans="1:7" x14ac:dyDescent="0.45">
      <c r="A411" t="s">
        <v>10</v>
      </c>
      <c r="B411" t="s">
        <v>30</v>
      </c>
      <c r="C411" t="s">
        <v>26</v>
      </c>
      <c r="D411" s="24">
        <v>208442000</v>
      </c>
      <c r="E411" s="29">
        <f>'Hitung Per Bulan'!E411</f>
        <v>165926590</v>
      </c>
      <c r="F411" s="24">
        <v>208442000</v>
      </c>
      <c r="G411" s="29">
        <f>'Hitung Per Bulan'!G411</f>
        <v>165950842</v>
      </c>
    </row>
    <row r="412" spans="1:7" x14ac:dyDescent="0.45">
      <c r="A412" t="s">
        <v>11</v>
      </c>
      <c r="B412" t="s">
        <v>30</v>
      </c>
      <c r="C412" t="s">
        <v>26</v>
      </c>
      <c r="D412" s="24">
        <v>208442000</v>
      </c>
      <c r="E412" s="29">
        <f>'Hitung Per Bulan'!E412</f>
        <v>0</v>
      </c>
      <c r="F412" s="24">
        <v>208442000</v>
      </c>
      <c r="G412" s="29">
        <f>'Hitung Per Bulan'!G412</f>
        <v>0</v>
      </c>
    </row>
    <row r="413" spans="1:7" x14ac:dyDescent="0.45">
      <c r="A413" t="s">
        <v>12</v>
      </c>
      <c r="B413" t="s">
        <v>30</v>
      </c>
      <c r="C413" t="s">
        <v>26</v>
      </c>
      <c r="D413" s="24">
        <v>208442000</v>
      </c>
      <c r="E413" s="29" t="str">
        <f>'Hitung Per Bulan'!E413</f>
        <v/>
      </c>
      <c r="F413" s="24">
        <v>208442000</v>
      </c>
      <c r="G413" s="29" t="str">
        <f>'Hitung Per Bulan'!G413</f>
        <v/>
      </c>
    </row>
    <row r="414" spans="1:7" x14ac:dyDescent="0.45">
      <c r="A414" t="s">
        <v>13</v>
      </c>
      <c r="B414" t="s">
        <v>30</v>
      </c>
      <c r="C414" t="s">
        <v>26</v>
      </c>
      <c r="D414" s="24">
        <v>208442000</v>
      </c>
      <c r="E414" s="29" t="str">
        <f>'Hitung Per Bulan'!E414</f>
        <v/>
      </c>
      <c r="F414" s="24">
        <v>208442000</v>
      </c>
      <c r="G414" s="29" t="str">
        <f>'Hitung Per Bulan'!G414</f>
        <v/>
      </c>
    </row>
    <row r="415" spans="1:7" x14ac:dyDescent="0.45">
      <c r="A415" t="s">
        <v>14</v>
      </c>
      <c r="B415" t="s">
        <v>30</v>
      </c>
      <c r="C415" t="s">
        <v>26</v>
      </c>
      <c r="D415" s="24">
        <v>208442000</v>
      </c>
      <c r="E415" s="29" t="str">
        <f>'Hitung Per Bulan'!E415</f>
        <v/>
      </c>
      <c r="F415" s="24">
        <v>208442000</v>
      </c>
      <c r="G415" s="29" t="str">
        <f>'Hitung Per Bulan'!G415</f>
        <v/>
      </c>
    </row>
    <row r="416" spans="1:7" x14ac:dyDescent="0.45">
      <c r="A416" t="s">
        <v>15</v>
      </c>
      <c r="B416" t="s">
        <v>30</v>
      </c>
      <c r="C416" t="s">
        <v>26</v>
      </c>
      <c r="D416" s="24">
        <v>208442000</v>
      </c>
      <c r="E416" s="29" t="str">
        <f>'Hitung Per Bulan'!E416</f>
        <v/>
      </c>
      <c r="F416" s="24">
        <v>208442000</v>
      </c>
      <c r="G416" s="29" t="str">
        <f>'Hitung Per Bulan'!G416</f>
        <v/>
      </c>
    </row>
    <row r="417" spans="1:7" x14ac:dyDescent="0.45">
      <c r="A417" t="s">
        <v>16</v>
      </c>
      <c r="B417" t="s">
        <v>30</v>
      </c>
      <c r="C417" t="s">
        <v>26</v>
      </c>
      <c r="D417" s="24">
        <v>208442000</v>
      </c>
      <c r="E417" s="29" t="str">
        <f>'Hitung Per Bulan'!E417</f>
        <v/>
      </c>
      <c r="F417" s="24">
        <v>208442000</v>
      </c>
      <c r="G417" s="29" t="str">
        <f>'Hitung Per Bulan'!G417</f>
        <v/>
      </c>
    </row>
    <row r="418" spans="1:7" x14ac:dyDescent="0.45">
      <c r="A418" t="s">
        <v>17</v>
      </c>
      <c r="B418" t="s">
        <v>30</v>
      </c>
      <c r="C418" t="s">
        <v>26</v>
      </c>
      <c r="D418" s="24">
        <v>208441000</v>
      </c>
      <c r="E418" s="29" t="str">
        <f>'Hitung Per Bulan'!E418</f>
        <v/>
      </c>
      <c r="F418" s="24">
        <v>208441000</v>
      </c>
      <c r="G418" s="29" t="str">
        <f>'Hitung Per Bulan'!G418</f>
        <v/>
      </c>
    </row>
    <row r="419" spans="1:7" x14ac:dyDescent="0.45">
      <c r="A419" t="s">
        <v>18</v>
      </c>
      <c r="B419" t="s">
        <v>30</v>
      </c>
      <c r="C419" t="s">
        <v>26</v>
      </c>
      <c r="D419" s="24">
        <v>208441000</v>
      </c>
      <c r="E419" s="29" t="str">
        <f>'Hitung Per Bulan'!E419</f>
        <v/>
      </c>
      <c r="F419" s="24">
        <v>208441000</v>
      </c>
      <c r="G419" s="29" t="str">
        <f>'Hitung Per Bulan'!G419</f>
        <v/>
      </c>
    </row>
    <row r="420" spans="1:7" x14ac:dyDescent="0.45">
      <c r="A420" t="s">
        <v>19</v>
      </c>
      <c r="B420" t="s">
        <v>30</v>
      </c>
      <c r="C420" t="s">
        <v>26</v>
      </c>
      <c r="D420" s="24">
        <v>208441000</v>
      </c>
      <c r="E420" s="29" t="str">
        <f>'Hitung Per Bulan'!E420</f>
        <v/>
      </c>
      <c r="F420" s="24">
        <v>208441000</v>
      </c>
      <c r="G420" s="29" t="str">
        <f>'Hitung Per Bulan'!G420</f>
        <v/>
      </c>
    </row>
    <row r="421" spans="1:7" x14ac:dyDescent="0.45">
      <c r="A421" t="s">
        <v>20</v>
      </c>
      <c r="B421" t="s">
        <v>30</v>
      </c>
      <c r="C421" t="s">
        <v>26</v>
      </c>
      <c r="D421" s="24">
        <v>208441000</v>
      </c>
      <c r="E421" s="29" t="str">
        <f>'Hitung Per Bulan'!E421</f>
        <v/>
      </c>
      <c r="F421" s="24">
        <v>208441000</v>
      </c>
      <c r="G421" s="29" t="str">
        <f>'Hitung Per Bulan'!G421</f>
        <v/>
      </c>
    </row>
    <row r="422" spans="1:7" x14ac:dyDescent="0.45">
      <c r="A422" t="s">
        <v>7</v>
      </c>
      <c r="B422" t="s">
        <v>31</v>
      </c>
      <c r="C422" t="s">
        <v>9</v>
      </c>
      <c r="D422" s="24">
        <v>100000000</v>
      </c>
      <c r="E422" s="29">
        <f>'Hitung Per Bulan'!E422</f>
        <v>656537346</v>
      </c>
      <c r="F422" s="24">
        <v>0</v>
      </c>
      <c r="G422" s="29">
        <f>'Hitung Per Bulan'!G422</f>
        <v>0</v>
      </c>
    </row>
    <row r="423" spans="1:7" x14ac:dyDescent="0.45">
      <c r="A423" t="s">
        <v>10</v>
      </c>
      <c r="B423" t="s">
        <v>31</v>
      </c>
      <c r="C423" t="s">
        <v>9</v>
      </c>
      <c r="D423" s="24">
        <v>235000000</v>
      </c>
      <c r="E423" s="29">
        <f>'Hitung Per Bulan'!E423</f>
        <v>683351141</v>
      </c>
      <c r="F423" s="24">
        <v>185000000</v>
      </c>
      <c r="G423" s="29">
        <f>'Hitung Per Bulan'!G423</f>
        <v>93332500</v>
      </c>
    </row>
    <row r="424" spans="1:7" x14ac:dyDescent="0.45">
      <c r="A424" t="s">
        <v>11</v>
      </c>
      <c r="B424" t="s">
        <v>31</v>
      </c>
      <c r="C424" t="s">
        <v>9</v>
      </c>
      <c r="D424" s="24">
        <v>9354173000</v>
      </c>
      <c r="E424" s="29">
        <f>'Hitung Per Bulan'!E424</f>
        <v>3192088872</v>
      </c>
      <c r="F424" s="24">
        <v>500000000</v>
      </c>
      <c r="G424" s="29">
        <f>'Hitung Per Bulan'!G424</f>
        <v>80204846</v>
      </c>
    </row>
    <row r="425" spans="1:7" x14ac:dyDescent="0.45">
      <c r="A425" t="s">
        <v>12</v>
      </c>
      <c r="B425" t="s">
        <v>31</v>
      </c>
      <c r="C425" t="s">
        <v>9</v>
      </c>
      <c r="D425" s="24">
        <v>459550000</v>
      </c>
      <c r="E425" s="29" t="str">
        <f>'Hitung Per Bulan'!E425</f>
        <v/>
      </c>
      <c r="F425" s="24">
        <v>521650000</v>
      </c>
      <c r="G425" s="29" t="str">
        <f>'Hitung Per Bulan'!G425</f>
        <v/>
      </c>
    </row>
    <row r="426" spans="1:7" x14ac:dyDescent="0.45">
      <c r="A426" t="s">
        <v>13</v>
      </c>
      <c r="B426" t="s">
        <v>31</v>
      </c>
      <c r="C426" t="s">
        <v>9</v>
      </c>
      <c r="D426" s="24">
        <v>4070366975</v>
      </c>
      <c r="E426" s="29" t="str">
        <f>'Hitung Per Bulan'!E426</f>
        <v/>
      </c>
      <c r="F426" s="24">
        <v>190000000</v>
      </c>
      <c r="G426" s="29" t="str">
        <f>'Hitung Per Bulan'!G426</f>
        <v/>
      </c>
    </row>
    <row r="427" spans="1:7" x14ac:dyDescent="0.45">
      <c r="A427" t="s">
        <v>14</v>
      </c>
      <c r="B427" t="s">
        <v>31</v>
      </c>
      <c r="C427" t="s">
        <v>9</v>
      </c>
      <c r="D427" s="24">
        <v>1051500000</v>
      </c>
      <c r="E427" s="29" t="str">
        <f>'Hitung Per Bulan'!E427</f>
        <v/>
      </c>
      <c r="F427" s="24">
        <v>419000000</v>
      </c>
      <c r="G427" s="29" t="str">
        <f>'Hitung Per Bulan'!G427</f>
        <v/>
      </c>
    </row>
    <row r="428" spans="1:7" x14ac:dyDescent="0.45">
      <c r="A428" t="s">
        <v>15</v>
      </c>
      <c r="B428" t="s">
        <v>31</v>
      </c>
      <c r="C428" t="s">
        <v>9</v>
      </c>
      <c r="D428" s="24">
        <v>925000000</v>
      </c>
      <c r="E428" s="29" t="str">
        <f>'Hitung Per Bulan'!E428</f>
        <v/>
      </c>
      <c r="F428" s="24">
        <v>1383295000</v>
      </c>
      <c r="G428" s="29" t="str">
        <f>'Hitung Per Bulan'!G428</f>
        <v/>
      </c>
    </row>
    <row r="429" spans="1:7" x14ac:dyDescent="0.45">
      <c r="A429" t="s">
        <v>16</v>
      </c>
      <c r="B429" t="s">
        <v>31</v>
      </c>
      <c r="C429" t="s">
        <v>9</v>
      </c>
      <c r="D429" s="24">
        <v>391246320</v>
      </c>
      <c r="E429" s="29" t="str">
        <f>'Hitung Per Bulan'!E429</f>
        <v/>
      </c>
      <c r="F429" s="24">
        <v>882913000</v>
      </c>
      <c r="G429" s="29" t="str">
        <f>'Hitung Per Bulan'!G429</f>
        <v/>
      </c>
    </row>
    <row r="430" spans="1:7" x14ac:dyDescent="0.45">
      <c r="A430" t="s">
        <v>17</v>
      </c>
      <c r="B430" t="s">
        <v>31</v>
      </c>
      <c r="C430" t="s">
        <v>9</v>
      </c>
      <c r="D430" s="24">
        <v>447666665.99999994</v>
      </c>
      <c r="E430" s="29" t="str">
        <f>'Hitung Per Bulan'!E430</f>
        <v/>
      </c>
      <c r="F430" s="24">
        <v>3610437000</v>
      </c>
      <c r="G430" s="29" t="str">
        <f>'Hitung Per Bulan'!G430</f>
        <v/>
      </c>
    </row>
    <row r="431" spans="1:7" x14ac:dyDescent="0.45">
      <c r="A431" t="s">
        <v>18</v>
      </c>
      <c r="B431" t="s">
        <v>31</v>
      </c>
      <c r="C431" t="s">
        <v>9</v>
      </c>
      <c r="D431" s="24">
        <v>197666660</v>
      </c>
      <c r="E431" s="29" t="str">
        <f>'Hitung Per Bulan'!E431</f>
        <v/>
      </c>
      <c r="F431" s="24">
        <v>943622000</v>
      </c>
      <c r="G431" s="29" t="str">
        <f>'Hitung Per Bulan'!G431</f>
        <v/>
      </c>
    </row>
    <row r="432" spans="1:7" x14ac:dyDescent="0.45">
      <c r="A432" t="s">
        <v>19</v>
      </c>
      <c r="B432" t="s">
        <v>31</v>
      </c>
      <c r="C432" t="s">
        <v>9</v>
      </c>
      <c r="D432" s="24">
        <v>66666660</v>
      </c>
      <c r="E432" s="29" t="str">
        <f>'Hitung Per Bulan'!E432</f>
        <v/>
      </c>
      <c r="F432" s="24">
        <v>4123624560</v>
      </c>
      <c r="G432" s="29" t="str">
        <f>'Hitung Per Bulan'!G432</f>
        <v/>
      </c>
    </row>
    <row r="433" spans="1:7" x14ac:dyDescent="0.45">
      <c r="A433" t="s">
        <v>20</v>
      </c>
      <c r="B433" t="s">
        <v>31</v>
      </c>
      <c r="C433" t="s">
        <v>9</v>
      </c>
      <c r="D433" s="24">
        <v>66666660</v>
      </c>
      <c r="E433" s="29" t="str">
        <f>'Hitung Per Bulan'!E433</f>
        <v/>
      </c>
      <c r="F433" s="24">
        <v>4605962307</v>
      </c>
      <c r="G433" s="29" t="str">
        <f>'Hitung Per Bulan'!G433</f>
        <v/>
      </c>
    </row>
    <row r="434" spans="1:7" x14ac:dyDescent="0.45">
      <c r="A434" t="s">
        <v>7</v>
      </c>
      <c r="B434" t="s">
        <v>31</v>
      </c>
      <c r="C434" t="s">
        <v>21</v>
      </c>
      <c r="D434" s="24">
        <v>0</v>
      </c>
      <c r="E434" s="29">
        <f>'Hitung Per Bulan'!E434</f>
        <v>0</v>
      </c>
      <c r="F434" s="24">
        <v>0</v>
      </c>
      <c r="G434" s="29">
        <f>'Hitung Per Bulan'!G434</f>
        <v>0</v>
      </c>
    </row>
    <row r="435" spans="1:7" x14ac:dyDescent="0.45">
      <c r="A435" t="s">
        <v>10</v>
      </c>
      <c r="B435" t="s">
        <v>31</v>
      </c>
      <c r="C435" t="s">
        <v>21</v>
      </c>
      <c r="D435" s="24">
        <v>10000000</v>
      </c>
      <c r="E435" s="29">
        <f>'Hitung Per Bulan'!E435</f>
        <v>0</v>
      </c>
      <c r="F435" s="24">
        <v>0</v>
      </c>
      <c r="G435" s="29">
        <f>'Hitung Per Bulan'!G435</f>
        <v>0</v>
      </c>
    </row>
    <row r="436" spans="1:7" x14ac:dyDescent="0.45">
      <c r="A436" t="s">
        <v>11</v>
      </c>
      <c r="B436" t="s">
        <v>31</v>
      </c>
      <c r="C436" t="s">
        <v>21</v>
      </c>
      <c r="D436" s="24">
        <v>0</v>
      </c>
      <c r="E436" s="29">
        <f>'Hitung Per Bulan'!E436</f>
        <v>24707600</v>
      </c>
      <c r="F436" s="24">
        <v>10000000</v>
      </c>
      <c r="G436" s="29">
        <f>'Hitung Per Bulan'!G436</f>
        <v>0</v>
      </c>
    </row>
    <row r="437" spans="1:7" x14ac:dyDescent="0.45">
      <c r="A437" t="s">
        <v>12</v>
      </c>
      <c r="B437" t="s">
        <v>31</v>
      </c>
      <c r="C437" t="s">
        <v>21</v>
      </c>
      <c r="D437" s="24">
        <v>0</v>
      </c>
      <c r="E437" s="29" t="str">
        <f>'Hitung Per Bulan'!E437</f>
        <v/>
      </c>
      <c r="F437" s="24">
        <v>0</v>
      </c>
      <c r="G437" s="29" t="str">
        <f>'Hitung Per Bulan'!G437</f>
        <v/>
      </c>
    </row>
    <row r="438" spans="1:7" x14ac:dyDescent="0.45">
      <c r="A438" t="s">
        <v>13</v>
      </c>
      <c r="B438" t="s">
        <v>31</v>
      </c>
      <c r="C438" t="s">
        <v>21</v>
      </c>
      <c r="D438" s="24">
        <v>10000000</v>
      </c>
      <c r="E438" s="29" t="str">
        <f>'Hitung Per Bulan'!E438</f>
        <v/>
      </c>
      <c r="F438" s="24">
        <v>0</v>
      </c>
      <c r="G438" s="29" t="str">
        <f>'Hitung Per Bulan'!G438</f>
        <v/>
      </c>
    </row>
    <row r="439" spans="1:7" x14ac:dyDescent="0.45">
      <c r="A439" t="s">
        <v>14</v>
      </c>
      <c r="B439" t="s">
        <v>31</v>
      </c>
      <c r="C439" t="s">
        <v>21</v>
      </c>
      <c r="D439" s="24">
        <v>50000000</v>
      </c>
      <c r="E439" s="29" t="str">
        <f>'Hitung Per Bulan'!E439</f>
        <v/>
      </c>
      <c r="F439" s="24">
        <v>10000000</v>
      </c>
      <c r="G439" s="29" t="str">
        <f>'Hitung Per Bulan'!G439</f>
        <v/>
      </c>
    </row>
    <row r="440" spans="1:7" x14ac:dyDescent="0.45">
      <c r="A440" t="s">
        <v>15</v>
      </c>
      <c r="B440" t="s">
        <v>31</v>
      </c>
      <c r="C440" t="s">
        <v>21</v>
      </c>
      <c r="D440" s="24">
        <v>509000000</v>
      </c>
      <c r="E440" s="29" t="str">
        <f>'Hitung Per Bulan'!E440</f>
        <v/>
      </c>
      <c r="F440" s="24">
        <v>50000000</v>
      </c>
      <c r="G440" s="29" t="str">
        <f>'Hitung Per Bulan'!G440</f>
        <v/>
      </c>
    </row>
    <row r="441" spans="1:7" x14ac:dyDescent="0.45">
      <c r="A441" t="s">
        <v>16</v>
      </c>
      <c r="B441" t="s">
        <v>31</v>
      </c>
      <c r="C441" t="s">
        <v>21</v>
      </c>
      <c r="D441" s="24">
        <v>10000000</v>
      </c>
      <c r="E441" s="29" t="str">
        <f>'Hitung Per Bulan'!E441</f>
        <v/>
      </c>
      <c r="F441" s="24">
        <v>0</v>
      </c>
      <c r="G441" s="29" t="str">
        <f>'Hitung Per Bulan'!G441</f>
        <v/>
      </c>
    </row>
    <row r="442" spans="1:7" x14ac:dyDescent="0.45">
      <c r="A442" t="s">
        <v>17</v>
      </c>
      <c r="B442" t="s">
        <v>31</v>
      </c>
      <c r="C442" t="s">
        <v>21</v>
      </c>
      <c r="D442" s="24">
        <v>50000000</v>
      </c>
      <c r="E442" s="29" t="str">
        <f>'Hitung Per Bulan'!E442</f>
        <v/>
      </c>
      <c r="F442" s="24">
        <v>10000000</v>
      </c>
      <c r="G442" s="29" t="str">
        <f>'Hitung Per Bulan'!G442</f>
        <v/>
      </c>
    </row>
    <row r="443" spans="1:7" x14ac:dyDescent="0.45">
      <c r="A443" t="s">
        <v>18</v>
      </c>
      <c r="B443" t="s">
        <v>31</v>
      </c>
      <c r="C443" t="s">
        <v>21</v>
      </c>
      <c r="D443" s="24">
        <v>0</v>
      </c>
      <c r="E443" s="29" t="str">
        <f>'Hitung Per Bulan'!E443</f>
        <v/>
      </c>
      <c r="F443" s="24">
        <v>50000000</v>
      </c>
      <c r="G443" s="29" t="str">
        <f>'Hitung Per Bulan'!G443</f>
        <v/>
      </c>
    </row>
    <row r="444" spans="1:7" x14ac:dyDescent="0.45">
      <c r="A444" t="s">
        <v>19</v>
      </c>
      <c r="B444" t="s">
        <v>31</v>
      </c>
      <c r="C444" t="s">
        <v>21</v>
      </c>
      <c r="D444" s="24">
        <v>10000000</v>
      </c>
      <c r="E444" s="29" t="str">
        <f>'Hitung Per Bulan'!E444</f>
        <v/>
      </c>
      <c r="F444" s="24">
        <v>0</v>
      </c>
      <c r="G444" s="29" t="str">
        <f>'Hitung Per Bulan'!G444</f>
        <v/>
      </c>
    </row>
    <row r="445" spans="1:7" x14ac:dyDescent="0.45">
      <c r="A445" t="s">
        <v>20</v>
      </c>
      <c r="B445" t="s">
        <v>31</v>
      </c>
      <c r="C445" t="s">
        <v>21</v>
      </c>
      <c r="D445" s="24">
        <v>0</v>
      </c>
      <c r="E445" s="29" t="str">
        <f>'Hitung Per Bulan'!E445</f>
        <v/>
      </c>
      <c r="F445" s="24">
        <v>519000000</v>
      </c>
      <c r="G445" s="29" t="str">
        <f>'Hitung Per Bulan'!G445</f>
        <v/>
      </c>
    </row>
    <row r="446" spans="1:7" x14ac:dyDescent="0.45">
      <c r="A446" t="s">
        <v>7</v>
      </c>
      <c r="B446" t="s">
        <v>31</v>
      </c>
      <c r="C446" t="s">
        <v>22</v>
      </c>
      <c r="D446" s="24">
        <v>0</v>
      </c>
      <c r="E446" s="29">
        <f>'Hitung Per Bulan'!E446</f>
        <v>0</v>
      </c>
      <c r="F446" s="24">
        <v>0</v>
      </c>
      <c r="G446" s="29">
        <f>'Hitung Per Bulan'!G446</f>
        <v>0</v>
      </c>
    </row>
    <row r="447" spans="1:7" x14ac:dyDescent="0.45">
      <c r="A447" t="s">
        <v>10</v>
      </c>
      <c r="B447" t="s">
        <v>31</v>
      </c>
      <c r="C447" t="s">
        <v>22</v>
      </c>
      <c r="D447" s="24">
        <v>80025000</v>
      </c>
      <c r="E447" s="29">
        <f>'Hitung Per Bulan'!E447</f>
        <v>71775000</v>
      </c>
      <c r="F447" s="24">
        <v>0</v>
      </c>
      <c r="G447" s="29">
        <f>'Hitung Per Bulan'!G447</f>
        <v>0</v>
      </c>
    </row>
    <row r="448" spans="1:7" x14ac:dyDescent="0.45">
      <c r="A448" t="s">
        <v>11</v>
      </c>
      <c r="B448" t="s">
        <v>31</v>
      </c>
      <c r="C448" t="s">
        <v>22</v>
      </c>
      <c r="D448" s="24">
        <v>0</v>
      </c>
      <c r="E448" s="29">
        <f>'Hitung Per Bulan'!E448</f>
        <v>0</v>
      </c>
      <c r="F448" s="24">
        <v>80025000</v>
      </c>
      <c r="G448" s="29">
        <f>'Hitung Per Bulan'!G448</f>
        <v>0</v>
      </c>
    </row>
    <row r="449" spans="1:7" x14ac:dyDescent="0.45">
      <c r="A449" t="s">
        <v>12</v>
      </c>
      <c r="B449" t="s">
        <v>31</v>
      </c>
      <c r="C449" t="s">
        <v>22</v>
      </c>
      <c r="D449" s="24">
        <v>0</v>
      </c>
      <c r="E449" s="29" t="str">
        <f>'Hitung Per Bulan'!E449</f>
        <v/>
      </c>
      <c r="F449" s="24">
        <v>0</v>
      </c>
      <c r="G449" s="29" t="str">
        <f>'Hitung Per Bulan'!G449</f>
        <v/>
      </c>
    </row>
    <row r="450" spans="1:7" x14ac:dyDescent="0.45">
      <c r="A450" t="s">
        <v>13</v>
      </c>
      <c r="B450" t="s">
        <v>31</v>
      </c>
      <c r="C450" t="s">
        <v>22</v>
      </c>
      <c r="D450" s="24">
        <v>80025000</v>
      </c>
      <c r="E450" s="29" t="str">
        <f>'Hitung Per Bulan'!E450</f>
        <v/>
      </c>
      <c r="F450" s="24">
        <v>0</v>
      </c>
      <c r="G450" s="29" t="str">
        <f>'Hitung Per Bulan'!G450</f>
        <v/>
      </c>
    </row>
    <row r="451" spans="1:7" x14ac:dyDescent="0.45">
      <c r="A451" t="s">
        <v>14</v>
      </c>
      <c r="B451" t="s">
        <v>31</v>
      </c>
      <c r="C451" t="s">
        <v>22</v>
      </c>
      <c r="D451" s="24">
        <v>0</v>
      </c>
      <c r="E451" s="29" t="str">
        <f>'Hitung Per Bulan'!E451</f>
        <v/>
      </c>
      <c r="F451" s="24">
        <v>80025000</v>
      </c>
      <c r="G451" s="29" t="str">
        <f>'Hitung Per Bulan'!G451</f>
        <v/>
      </c>
    </row>
    <row r="452" spans="1:7" x14ac:dyDescent="0.45">
      <c r="A452" t="s">
        <v>15</v>
      </c>
      <c r="B452" t="s">
        <v>31</v>
      </c>
      <c r="C452" t="s">
        <v>22</v>
      </c>
      <c r="D452" s="24">
        <v>0</v>
      </c>
      <c r="E452" s="29" t="str">
        <f>'Hitung Per Bulan'!E452</f>
        <v/>
      </c>
      <c r="F452" s="24">
        <v>0</v>
      </c>
      <c r="G452" s="29" t="str">
        <f>'Hitung Per Bulan'!G452</f>
        <v/>
      </c>
    </row>
    <row r="453" spans="1:7" x14ac:dyDescent="0.45">
      <c r="A453" t="s">
        <v>16</v>
      </c>
      <c r="B453" t="s">
        <v>31</v>
      </c>
      <c r="C453" t="s">
        <v>22</v>
      </c>
      <c r="D453" s="24">
        <v>80025000</v>
      </c>
      <c r="E453" s="29" t="str">
        <f>'Hitung Per Bulan'!E453</f>
        <v/>
      </c>
      <c r="F453" s="24">
        <v>0</v>
      </c>
      <c r="G453" s="29" t="str">
        <f>'Hitung Per Bulan'!G453</f>
        <v/>
      </c>
    </row>
    <row r="454" spans="1:7" x14ac:dyDescent="0.45">
      <c r="A454" t="s">
        <v>17</v>
      </c>
      <c r="B454" t="s">
        <v>31</v>
      </c>
      <c r="C454" t="s">
        <v>22</v>
      </c>
      <c r="D454" s="24">
        <v>0</v>
      </c>
      <c r="E454" s="29" t="str">
        <f>'Hitung Per Bulan'!E454</f>
        <v/>
      </c>
      <c r="F454" s="24">
        <v>80025000</v>
      </c>
      <c r="G454" s="29" t="str">
        <f>'Hitung Per Bulan'!G454</f>
        <v/>
      </c>
    </row>
    <row r="455" spans="1:7" x14ac:dyDescent="0.45">
      <c r="A455" t="s">
        <v>18</v>
      </c>
      <c r="B455" t="s">
        <v>31</v>
      </c>
      <c r="C455" t="s">
        <v>22</v>
      </c>
      <c r="D455" s="24">
        <v>0</v>
      </c>
      <c r="E455" s="29" t="str">
        <f>'Hitung Per Bulan'!E455</f>
        <v/>
      </c>
      <c r="F455" s="24">
        <v>0</v>
      </c>
      <c r="G455" s="29" t="str">
        <f>'Hitung Per Bulan'!G455</f>
        <v/>
      </c>
    </row>
    <row r="456" spans="1:7" x14ac:dyDescent="0.45">
      <c r="A456" t="s">
        <v>19</v>
      </c>
      <c r="B456" t="s">
        <v>31</v>
      </c>
      <c r="C456" t="s">
        <v>22</v>
      </c>
      <c r="D456" s="24">
        <v>80025000</v>
      </c>
      <c r="E456" s="29" t="str">
        <f>'Hitung Per Bulan'!E456</f>
        <v/>
      </c>
      <c r="F456" s="24">
        <v>0</v>
      </c>
      <c r="G456" s="29" t="str">
        <f>'Hitung Per Bulan'!G456</f>
        <v/>
      </c>
    </row>
    <row r="457" spans="1:7" x14ac:dyDescent="0.45">
      <c r="A457" t="s">
        <v>20</v>
      </c>
      <c r="B457" t="s">
        <v>31</v>
      </c>
      <c r="C457" t="s">
        <v>22</v>
      </c>
      <c r="D457" s="24">
        <v>0</v>
      </c>
      <c r="E457" s="29" t="str">
        <f>'Hitung Per Bulan'!E457</f>
        <v/>
      </c>
      <c r="F457" s="24">
        <v>80025000</v>
      </c>
      <c r="G457" s="29" t="str">
        <f>'Hitung Per Bulan'!G457</f>
        <v/>
      </c>
    </row>
    <row r="458" spans="1:7" x14ac:dyDescent="0.45">
      <c r="A458" t="s">
        <v>7</v>
      </c>
      <c r="B458" t="s">
        <v>31</v>
      </c>
      <c r="C458" t="s">
        <v>23</v>
      </c>
      <c r="D458" s="24">
        <v>0</v>
      </c>
      <c r="E458" s="29">
        <f>'Hitung Per Bulan'!E458</f>
        <v>46460160</v>
      </c>
      <c r="F458" s="24">
        <v>0</v>
      </c>
      <c r="G458" s="29">
        <f>'Hitung Per Bulan'!G458</f>
        <v>0</v>
      </c>
    </row>
    <row r="459" spans="1:7" x14ac:dyDescent="0.45">
      <c r="A459" t="s">
        <v>10</v>
      </c>
      <c r="B459" t="s">
        <v>31</v>
      </c>
      <c r="C459" t="s">
        <v>23</v>
      </c>
      <c r="D459" s="24">
        <v>50000000</v>
      </c>
      <c r="E459" s="29">
        <f>'Hitung Per Bulan'!E459</f>
        <v>0</v>
      </c>
      <c r="F459" s="24">
        <v>0</v>
      </c>
      <c r="G459" s="29">
        <f>'Hitung Per Bulan'!G459</f>
        <v>0</v>
      </c>
    </row>
    <row r="460" spans="1:7" x14ac:dyDescent="0.45">
      <c r="A460" t="s">
        <v>11</v>
      </c>
      <c r="B460" t="s">
        <v>31</v>
      </c>
      <c r="C460" t="s">
        <v>23</v>
      </c>
      <c r="D460" s="24">
        <v>0</v>
      </c>
      <c r="E460" s="29">
        <f>'Hitung Per Bulan'!E460</f>
        <v>-4604160</v>
      </c>
      <c r="F460" s="24">
        <v>50000000</v>
      </c>
      <c r="G460" s="29">
        <f>'Hitung Per Bulan'!G460</f>
        <v>41856000</v>
      </c>
    </row>
    <row r="461" spans="1:7" x14ac:dyDescent="0.45">
      <c r="A461" t="s">
        <v>12</v>
      </c>
      <c r="B461" t="s">
        <v>31</v>
      </c>
      <c r="C461" t="s">
        <v>23</v>
      </c>
      <c r="D461" s="24">
        <v>0</v>
      </c>
      <c r="E461" s="29" t="str">
        <f>'Hitung Per Bulan'!E461</f>
        <v/>
      </c>
      <c r="F461" s="24">
        <v>0</v>
      </c>
      <c r="G461" s="29" t="str">
        <f>'Hitung Per Bulan'!G461</f>
        <v/>
      </c>
    </row>
    <row r="462" spans="1:7" x14ac:dyDescent="0.45">
      <c r="A462" t="s">
        <v>13</v>
      </c>
      <c r="B462" t="s">
        <v>31</v>
      </c>
      <c r="C462" t="s">
        <v>23</v>
      </c>
      <c r="D462" s="24">
        <v>0</v>
      </c>
      <c r="E462" s="29" t="str">
        <f>'Hitung Per Bulan'!E462</f>
        <v/>
      </c>
      <c r="F462" s="24">
        <v>0</v>
      </c>
      <c r="G462" s="29" t="str">
        <f>'Hitung Per Bulan'!G462</f>
        <v/>
      </c>
    </row>
    <row r="463" spans="1:7" x14ac:dyDescent="0.45">
      <c r="A463" t="s">
        <v>14</v>
      </c>
      <c r="B463" t="s">
        <v>31</v>
      </c>
      <c r="C463" t="s">
        <v>23</v>
      </c>
      <c r="D463" s="24">
        <v>0</v>
      </c>
      <c r="E463" s="29" t="str">
        <f>'Hitung Per Bulan'!E463</f>
        <v/>
      </c>
      <c r="F463" s="24">
        <v>0</v>
      </c>
      <c r="G463" s="29" t="str">
        <f>'Hitung Per Bulan'!G463</f>
        <v/>
      </c>
    </row>
    <row r="464" spans="1:7" x14ac:dyDescent="0.45">
      <c r="A464" t="s">
        <v>15</v>
      </c>
      <c r="B464" t="s">
        <v>31</v>
      </c>
      <c r="C464" t="s">
        <v>23</v>
      </c>
      <c r="D464" s="24">
        <v>50000000</v>
      </c>
      <c r="E464" s="29" t="str">
        <f>'Hitung Per Bulan'!E464</f>
        <v/>
      </c>
      <c r="F464" s="24">
        <v>0</v>
      </c>
      <c r="G464" s="29" t="str">
        <f>'Hitung Per Bulan'!G464</f>
        <v/>
      </c>
    </row>
    <row r="465" spans="1:7" x14ac:dyDescent="0.45">
      <c r="A465" t="s">
        <v>16</v>
      </c>
      <c r="B465" t="s">
        <v>31</v>
      </c>
      <c r="C465" t="s">
        <v>23</v>
      </c>
      <c r="D465" s="24">
        <v>0</v>
      </c>
      <c r="E465" s="29" t="str">
        <f>'Hitung Per Bulan'!E465</f>
        <v/>
      </c>
      <c r="F465" s="24">
        <v>50000000</v>
      </c>
      <c r="G465" s="29" t="str">
        <f>'Hitung Per Bulan'!G465</f>
        <v/>
      </c>
    </row>
    <row r="466" spans="1:7" x14ac:dyDescent="0.45">
      <c r="A466" t="s">
        <v>17</v>
      </c>
      <c r="B466" t="s">
        <v>31</v>
      </c>
      <c r="C466" t="s">
        <v>23</v>
      </c>
      <c r="D466" s="24">
        <v>0</v>
      </c>
      <c r="E466" s="29" t="str">
        <f>'Hitung Per Bulan'!E466</f>
        <v/>
      </c>
      <c r="F466" s="24">
        <v>0</v>
      </c>
      <c r="G466" s="29" t="str">
        <f>'Hitung Per Bulan'!G466</f>
        <v/>
      </c>
    </row>
    <row r="467" spans="1:7" x14ac:dyDescent="0.45">
      <c r="A467" t="s">
        <v>18</v>
      </c>
      <c r="B467" t="s">
        <v>31</v>
      </c>
      <c r="C467" t="s">
        <v>23</v>
      </c>
      <c r="D467" s="24">
        <v>50000000</v>
      </c>
      <c r="E467" s="29" t="str">
        <f>'Hitung Per Bulan'!E467</f>
        <v/>
      </c>
      <c r="F467" s="24">
        <v>0</v>
      </c>
      <c r="G467" s="29" t="str">
        <f>'Hitung Per Bulan'!G467</f>
        <v/>
      </c>
    </row>
    <row r="468" spans="1:7" x14ac:dyDescent="0.45">
      <c r="A468" t="s">
        <v>19</v>
      </c>
      <c r="B468" t="s">
        <v>31</v>
      </c>
      <c r="C468" t="s">
        <v>23</v>
      </c>
      <c r="D468" s="24">
        <v>0</v>
      </c>
      <c r="E468" s="29" t="str">
        <f>'Hitung Per Bulan'!E468</f>
        <v/>
      </c>
      <c r="F468" s="24">
        <v>50000000</v>
      </c>
      <c r="G468" s="29" t="str">
        <f>'Hitung Per Bulan'!G468</f>
        <v/>
      </c>
    </row>
    <row r="469" spans="1:7" x14ac:dyDescent="0.45">
      <c r="A469" t="s">
        <v>20</v>
      </c>
      <c r="B469" t="s">
        <v>31</v>
      </c>
      <c r="C469" t="s">
        <v>23</v>
      </c>
      <c r="D469" s="24">
        <v>0</v>
      </c>
      <c r="E469" s="29" t="str">
        <f>'Hitung Per Bulan'!E469</f>
        <v/>
      </c>
      <c r="F469" s="24">
        <v>0</v>
      </c>
      <c r="G469" s="29" t="str">
        <f>'Hitung Per Bulan'!G469</f>
        <v/>
      </c>
    </row>
    <row r="470" spans="1:7" x14ac:dyDescent="0.45">
      <c r="A470" t="s">
        <v>7</v>
      </c>
      <c r="B470" t="s">
        <v>31</v>
      </c>
      <c r="C470" t="s">
        <v>24</v>
      </c>
      <c r="D470" s="24">
        <v>0</v>
      </c>
      <c r="E470" s="29">
        <f>'Hitung Per Bulan'!E470</f>
        <v>0</v>
      </c>
      <c r="F470" s="24">
        <v>0</v>
      </c>
      <c r="G470" s="29">
        <f>'Hitung Per Bulan'!G470</f>
        <v>0</v>
      </c>
    </row>
    <row r="471" spans="1:7" x14ac:dyDescent="0.45">
      <c r="A471" t="s">
        <v>10</v>
      </c>
      <c r="B471" t="s">
        <v>31</v>
      </c>
      <c r="C471" t="s">
        <v>24</v>
      </c>
      <c r="D471" s="24">
        <v>0</v>
      </c>
      <c r="E471" s="29">
        <f>'Hitung Per Bulan'!E471</f>
        <v>0</v>
      </c>
      <c r="F471" s="24">
        <v>0</v>
      </c>
      <c r="G471" s="29">
        <f>'Hitung Per Bulan'!G471</f>
        <v>0</v>
      </c>
    </row>
    <row r="472" spans="1:7" x14ac:dyDescent="0.45">
      <c r="A472" t="s">
        <v>11</v>
      </c>
      <c r="B472" t="s">
        <v>31</v>
      </c>
      <c r="C472" t="s">
        <v>24</v>
      </c>
      <c r="D472" s="24">
        <v>0</v>
      </c>
      <c r="E472" s="29">
        <f>'Hitung Per Bulan'!E472</f>
        <v>0</v>
      </c>
      <c r="F472" s="24">
        <v>0</v>
      </c>
      <c r="G472" s="29">
        <f>'Hitung Per Bulan'!G472</f>
        <v>0</v>
      </c>
    </row>
    <row r="473" spans="1:7" x14ac:dyDescent="0.45">
      <c r="A473" t="s">
        <v>12</v>
      </c>
      <c r="B473" t="s">
        <v>31</v>
      </c>
      <c r="C473" t="s">
        <v>24</v>
      </c>
      <c r="D473" s="24">
        <v>0</v>
      </c>
      <c r="E473" s="29" t="str">
        <f>'Hitung Per Bulan'!E473</f>
        <v/>
      </c>
      <c r="F473" s="24">
        <v>0</v>
      </c>
      <c r="G473" s="29" t="str">
        <f>'Hitung Per Bulan'!G473</f>
        <v/>
      </c>
    </row>
    <row r="474" spans="1:7" x14ac:dyDescent="0.45">
      <c r="A474" t="s">
        <v>13</v>
      </c>
      <c r="B474" t="s">
        <v>31</v>
      </c>
      <c r="C474" t="s">
        <v>24</v>
      </c>
      <c r="D474" s="24">
        <v>0</v>
      </c>
      <c r="E474" s="29" t="str">
        <f>'Hitung Per Bulan'!E474</f>
        <v/>
      </c>
      <c r="F474" s="24">
        <v>0</v>
      </c>
      <c r="G474" s="29" t="str">
        <f>'Hitung Per Bulan'!G474</f>
        <v/>
      </c>
    </row>
    <row r="475" spans="1:7" x14ac:dyDescent="0.45">
      <c r="A475" t="s">
        <v>14</v>
      </c>
      <c r="B475" t="s">
        <v>31</v>
      </c>
      <c r="C475" t="s">
        <v>24</v>
      </c>
      <c r="D475" s="24">
        <v>0</v>
      </c>
      <c r="E475" s="29" t="str">
        <f>'Hitung Per Bulan'!E475</f>
        <v/>
      </c>
      <c r="F475" s="24">
        <v>0</v>
      </c>
      <c r="G475" s="29" t="str">
        <f>'Hitung Per Bulan'!G475</f>
        <v/>
      </c>
    </row>
    <row r="476" spans="1:7" x14ac:dyDescent="0.45">
      <c r="A476" t="s">
        <v>15</v>
      </c>
      <c r="B476" t="s">
        <v>31</v>
      </c>
      <c r="C476" t="s">
        <v>24</v>
      </c>
      <c r="D476" s="24">
        <v>0</v>
      </c>
      <c r="E476" s="29" t="str">
        <f>'Hitung Per Bulan'!E476</f>
        <v/>
      </c>
      <c r="F476" s="24">
        <v>0</v>
      </c>
      <c r="G476" s="29" t="str">
        <f>'Hitung Per Bulan'!G476</f>
        <v/>
      </c>
    </row>
    <row r="477" spans="1:7" x14ac:dyDescent="0.45">
      <c r="A477" t="s">
        <v>16</v>
      </c>
      <c r="B477" t="s">
        <v>31</v>
      </c>
      <c r="C477" t="s">
        <v>24</v>
      </c>
      <c r="D477" s="24">
        <v>0</v>
      </c>
      <c r="E477" s="29" t="str">
        <f>'Hitung Per Bulan'!E477</f>
        <v/>
      </c>
      <c r="F477" s="24">
        <v>0</v>
      </c>
      <c r="G477" s="29" t="str">
        <f>'Hitung Per Bulan'!G477</f>
        <v/>
      </c>
    </row>
    <row r="478" spans="1:7" x14ac:dyDescent="0.45">
      <c r="A478" t="s">
        <v>17</v>
      </c>
      <c r="B478" t="s">
        <v>31</v>
      </c>
      <c r="C478" t="s">
        <v>24</v>
      </c>
      <c r="D478" s="24">
        <v>0</v>
      </c>
      <c r="E478" s="29" t="str">
        <f>'Hitung Per Bulan'!E478</f>
        <v/>
      </c>
      <c r="F478" s="24">
        <v>0</v>
      </c>
      <c r="G478" s="29" t="str">
        <f>'Hitung Per Bulan'!G478</f>
        <v/>
      </c>
    </row>
    <row r="479" spans="1:7" x14ac:dyDescent="0.45">
      <c r="A479" t="s">
        <v>18</v>
      </c>
      <c r="B479" t="s">
        <v>31</v>
      </c>
      <c r="C479" t="s">
        <v>24</v>
      </c>
      <c r="D479" s="24">
        <v>0</v>
      </c>
      <c r="E479" s="29" t="str">
        <f>'Hitung Per Bulan'!E479</f>
        <v/>
      </c>
      <c r="F479" s="24">
        <v>0</v>
      </c>
      <c r="G479" s="29" t="str">
        <f>'Hitung Per Bulan'!G479</f>
        <v/>
      </c>
    </row>
    <row r="480" spans="1:7" x14ac:dyDescent="0.45">
      <c r="A480" t="s">
        <v>19</v>
      </c>
      <c r="B480" t="s">
        <v>31</v>
      </c>
      <c r="C480" t="s">
        <v>24</v>
      </c>
      <c r="D480" s="24">
        <v>0</v>
      </c>
      <c r="E480" s="29" t="str">
        <f>'Hitung Per Bulan'!E480</f>
        <v/>
      </c>
      <c r="F480" s="24">
        <v>0</v>
      </c>
      <c r="G480" s="29" t="str">
        <f>'Hitung Per Bulan'!G480</f>
        <v/>
      </c>
    </row>
    <row r="481" spans="1:7" x14ac:dyDescent="0.45">
      <c r="A481" t="s">
        <v>20</v>
      </c>
      <c r="B481" t="s">
        <v>31</v>
      </c>
      <c r="C481" t="s">
        <v>24</v>
      </c>
      <c r="D481" s="24">
        <v>0</v>
      </c>
      <c r="E481" s="29" t="str">
        <f>'Hitung Per Bulan'!E481</f>
        <v/>
      </c>
      <c r="F481" s="24">
        <v>0</v>
      </c>
      <c r="G481" s="29" t="str">
        <f>'Hitung Per Bulan'!G481</f>
        <v/>
      </c>
    </row>
    <row r="482" spans="1:7" x14ac:dyDescent="0.45">
      <c r="A482" t="s">
        <v>7</v>
      </c>
      <c r="B482" t="s">
        <v>31</v>
      </c>
      <c r="C482" t="s">
        <v>25</v>
      </c>
      <c r="D482" s="24">
        <v>142200000</v>
      </c>
      <c r="E482" s="29">
        <f>'Hitung Per Bulan'!E482</f>
        <v>125678941</v>
      </c>
      <c r="F482" s="24">
        <v>8750000</v>
      </c>
      <c r="G482" s="29">
        <f>'Hitung Per Bulan'!G482</f>
        <v>17499750</v>
      </c>
    </row>
    <row r="483" spans="1:7" x14ac:dyDescent="0.45">
      <c r="A483" t="s">
        <v>10</v>
      </c>
      <c r="B483" t="s">
        <v>31</v>
      </c>
      <c r="C483" t="s">
        <v>25</v>
      </c>
      <c r="D483" s="24">
        <v>268250000</v>
      </c>
      <c r="E483" s="29">
        <f>'Hitung Per Bulan'!E483</f>
        <v>82708000</v>
      </c>
      <c r="F483" s="24">
        <v>142200000</v>
      </c>
      <c r="G483" s="29">
        <f>'Hitung Per Bulan'!G483</f>
        <v>92994741</v>
      </c>
    </row>
    <row r="484" spans="1:7" x14ac:dyDescent="0.45">
      <c r="A484" t="s">
        <v>11</v>
      </c>
      <c r="B484" t="s">
        <v>31</v>
      </c>
      <c r="C484" t="s">
        <v>25</v>
      </c>
      <c r="D484" s="24">
        <v>143250000</v>
      </c>
      <c r="E484" s="29">
        <f>'Hitung Per Bulan'!E484</f>
        <v>16817230</v>
      </c>
      <c r="F484" s="24">
        <v>268250000</v>
      </c>
      <c r="G484" s="29">
        <f>'Hitung Per Bulan'!G484</f>
        <v>55068680</v>
      </c>
    </row>
    <row r="485" spans="1:7" x14ac:dyDescent="0.45">
      <c r="A485" t="s">
        <v>12</v>
      </c>
      <c r="B485" t="s">
        <v>31</v>
      </c>
      <c r="C485" t="s">
        <v>25</v>
      </c>
      <c r="D485" s="24">
        <v>319346000</v>
      </c>
      <c r="E485" s="29" t="str">
        <f>'Hitung Per Bulan'!E485</f>
        <v/>
      </c>
      <c r="F485" s="24">
        <v>143250000</v>
      </c>
      <c r="G485" s="29" t="str">
        <f>'Hitung Per Bulan'!G485</f>
        <v/>
      </c>
    </row>
    <row r="486" spans="1:7" x14ac:dyDescent="0.45">
      <c r="A486" t="s">
        <v>13</v>
      </c>
      <c r="B486" t="s">
        <v>31</v>
      </c>
      <c r="C486" t="s">
        <v>25</v>
      </c>
      <c r="D486" s="24">
        <v>58250000</v>
      </c>
      <c r="E486" s="29" t="str">
        <f>'Hitung Per Bulan'!E486</f>
        <v/>
      </c>
      <c r="F486" s="24">
        <v>319346000</v>
      </c>
      <c r="G486" s="29" t="str">
        <f>'Hitung Per Bulan'!G486</f>
        <v/>
      </c>
    </row>
    <row r="487" spans="1:7" x14ac:dyDescent="0.45">
      <c r="A487" t="s">
        <v>14</v>
      </c>
      <c r="B487" t="s">
        <v>31</v>
      </c>
      <c r="C487" t="s">
        <v>25</v>
      </c>
      <c r="D487" s="24">
        <v>108250000</v>
      </c>
      <c r="E487" s="29" t="str">
        <f>'Hitung Per Bulan'!E487</f>
        <v/>
      </c>
      <c r="F487" s="24">
        <v>58250000</v>
      </c>
      <c r="G487" s="29" t="str">
        <f>'Hitung Per Bulan'!G487</f>
        <v/>
      </c>
    </row>
    <row r="488" spans="1:7" x14ac:dyDescent="0.45">
      <c r="A488" t="s">
        <v>15</v>
      </c>
      <c r="B488" t="s">
        <v>31</v>
      </c>
      <c r="C488" t="s">
        <v>25</v>
      </c>
      <c r="D488" s="24">
        <v>313250000</v>
      </c>
      <c r="E488" s="29" t="str">
        <f>'Hitung Per Bulan'!E488</f>
        <v/>
      </c>
      <c r="F488" s="24">
        <v>108250000</v>
      </c>
      <c r="G488" s="29" t="str">
        <f>'Hitung Per Bulan'!G488</f>
        <v/>
      </c>
    </row>
    <row r="489" spans="1:7" x14ac:dyDescent="0.45">
      <c r="A489" t="s">
        <v>16</v>
      </c>
      <c r="B489" t="s">
        <v>31</v>
      </c>
      <c r="C489" t="s">
        <v>25</v>
      </c>
      <c r="D489" s="24">
        <v>98250000</v>
      </c>
      <c r="E489" s="29" t="str">
        <f>'Hitung Per Bulan'!E489</f>
        <v/>
      </c>
      <c r="F489" s="24">
        <v>313250000</v>
      </c>
      <c r="G489" s="29" t="str">
        <f>'Hitung Per Bulan'!G489</f>
        <v/>
      </c>
    </row>
    <row r="490" spans="1:7" x14ac:dyDescent="0.45">
      <c r="A490" t="s">
        <v>17</v>
      </c>
      <c r="B490" t="s">
        <v>31</v>
      </c>
      <c r="C490" t="s">
        <v>25</v>
      </c>
      <c r="D490" s="24">
        <v>58250000</v>
      </c>
      <c r="E490" s="29" t="str">
        <f>'Hitung Per Bulan'!E490</f>
        <v/>
      </c>
      <c r="F490" s="24">
        <v>98250000</v>
      </c>
      <c r="G490" s="29" t="str">
        <f>'Hitung Per Bulan'!G490</f>
        <v/>
      </c>
    </row>
    <row r="491" spans="1:7" x14ac:dyDescent="0.45">
      <c r="A491" t="s">
        <v>18</v>
      </c>
      <c r="B491" t="s">
        <v>31</v>
      </c>
      <c r="C491" t="s">
        <v>25</v>
      </c>
      <c r="D491" s="24">
        <v>58250000</v>
      </c>
      <c r="E491" s="29" t="str">
        <f>'Hitung Per Bulan'!E491</f>
        <v/>
      </c>
      <c r="F491" s="24">
        <v>58250000</v>
      </c>
      <c r="G491" s="29" t="str">
        <f>'Hitung Per Bulan'!G491</f>
        <v/>
      </c>
    </row>
    <row r="492" spans="1:7" x14ac:dyDescent="0.45">
      <c r="A492" t="s">
        <v>19</v>
      </c>
      <c r="B492" t="s">
        <v>31</v>
      </c>
      <c r="C492" t="s">
        <v>25</v>
      </c>
      <c r="D492" s="24">
        <v>58250000</v>
      </c>
      <c r="E492" s="29" t="str">
        <f>'Hitung Per Bulan'!E492</f>
        <v/>
      </c>
      <c r="F492" s="24">
        <v>58250000</v>
      </c>
      <c r="G492" s="29" t="str">
        <f>'Hitung Per Bulan'!G492</f>
        <v/>
      </c>
    </row>
    <row r="493" spans="1:7" x14ac:dyDescent="0.45">
      <c r="A493" t="s">
        <v>20</v>
      </c>
      <c r="B493" t="s">
        <v>31</v>
      </c>
      <c r="C493" t="s">
        <v>25</v>
      </c>
      <c r="D493" s="24">
        <v>58250000</v>
      </c>
      <c r="E493" s="29" t="str">
        <f>'Hitung Per Bulan'!E493</f>
        <v/>
      </c>
      <c r="F493" s="24">
        <v>107750000</v>
      </c>
      <c r="G493" s="29" t="str">
        <f>'Hitung Per Bulan'!G493</f>
        <v/>
      </c>
    </row>
    <row r="494" spans="1:7" x14ac:dyDescent="0.45">
      <c r="A494" t="s">
        <v>7</v>
      </c>
      <c r="B494" t="s">
        <v>31</v>
      </c>
      <c r="C494" t="s">
        <v>26</v>
      </c>
      <c r="D494" s="24">
        <f>214166666+0.666666666666667</f>
        <v>214166666.66666666</v>
      </c>
      <c r="E494" s="29">
        <f>'Hitung Per Bulan'!E494</f>
        <v>201478069</v>
      </c>
      <c r="F494" s="24">
        <f>214166660+6.66666666666667</f>
        <v>214166666.66666666</v>
      </c>
      <c r="G494" s="29">
        <f>'Hitung Per Bulan'!G494</f>
        <v>201478069</v>
      </c>
    </row>
    <row r="495" spans="1:7" x14ac:dyDescent="0.45">
      <c r="A495" t="s">
        <v>10</v>
      </c>
      <c r="B495" t="s">
        <v>31</v>
      </c>
      <c r="C495" t="s">
        <v>26</v>
      </c>
      <c r="D495" s="24">
        <f t="shared" ref="D495:D505" si="0">214166666+0.666666666666667</f>
        <v>214166666.66666666</v>
      </c>
      <c r="E495" s="29">
        <f>'Hitung Per Bulan'!E495</f>
        <v>193379527</v>
      </c>
      <c r="F495" s="24">
        <f t="shared" ref="F495:F505" si="1">214166660+6.66666666666667</f>
        <v>214166666.66666666</v>
      </c>
      <c r="G495" s="29">
        <f>'Hitung Per Bulan'!G495</f>
        <v>193379527</v>
      </c>
    </row>
    <row r="496" spans="1:7" x14ac:dyDescent="0.45">
      <c r="A496" t="s">
        <v>11</v>
      </c>
      <c r="B496" t="s">
        <v>31</v>
      </c>
      <c r="C496" t="s">
        <v>26</v>
      </c>
      <c r="D496" s="24">
        <f t="shared" si="0"/>
        <v>214166666.66666666</v>
      </c>
      <c r="E496" s="29">
        <f>'Hitung Per Bulan'!E496</f>
        <v>0</v>
      </c>
      <c r="F496" s="24">
        <f t="shared" si="1"/>
        <v>214166666.66666666</v>
      </c>
      <c r="G496" s="29">
        <f>'Hitung Per Bulan'!G496</f>
        <v>0</v>
      </c>
    </row>
    <row r="497" spans="1:7" x14ac:dyDescent="0.45">
      <c r="A497" t="s">
        <v>12</v>
      </c>
      <c r="B497" t="s">
        <v>31</v>
      </c>
      <c r="C497" t="s">
        <v>26</v>
      </c>
      <c r="D497" s="24">
        <f t="shared" si="0"/>
        <v>214166666.66666666</v>
      </c>
      <c r="E497" s="29" t="str">
        <f>'Hitung Per Bulan'!E497</f>
        <v/>
      </c>
      <c r="F497" s="24">
        <f t="shared" si="1"/>
        <v>214166666.66666666</v>
      </c>
      <c r="G497" s="29" t="str">
        <f>'Hitung Per Bulan'!G497</f>
        <v/>
      </c>
    </row>
    <row r="498" spans="1:7" x14ac:dyDescent="0.45">
      <c r="A498" t="s">
        <v>13</v>
      </c>
      <c r="B498" t="s">
        <v>31</v>
      </c>
      <c r="C498" t="s">
        <v>26</v>
      </c>
      <c r="D498" s="24">
        <f t="shared" si="0"/>
        <v>214166666.66666666</v>
      </c>
      <c r="E498" s="29" t="str">
        <f>'Hitung Per Bulan'!E498</f>
        <v/>
      </c>
      <c r="F498" s="24">
        <f t="shared" si="1"/>
        <v>214166666.66666666</v>
      </c>
      <c r="G498" s="29" t="str">
        <f>'Hitung Per Bulan'!G498</f>
        <v/>
      </c>
    </row>
    <row r="499" spans="1:7" x14ac:dyDescent="0.45">
      <c r="A499" t="s">
        <v>14</v>
      </c>
      <c r="B499" t="s">
        <v>31</v>
      </c>
      <c r="C499" t="s">
        <v>26</v>
      </c>
      <c r="D499" s="24">
        <f t="shared" si="0"/>
        <v>214166666.66666666</v>
      </c>
      <c r="E499" s="29" t="str">
        <f>'Hitung Per Bulan'!E499</f>
        <v/>
      </c>
      <c r="F499" s="24">
        <f t="shared" si="1"/>
        <v>214166666.66666666</v>
      </c>
      <c r="G499" s="29" t="str">
        <f>'Hitung Per Bulan'!G499</f>
        <v/>
      </c>
    </row>
    <row r="500" spans="1:7" x14ac:dyDescent="0.45">
      <c r="A500" t="s">
        <v>15</v>
      </c>
      <c r="B500" t="s">
        <v>31</v>
      </c>
      <c r="C500" t="s">
        <v>26</v>
      </c>
      <c r="D500" s="24">
        <f t="shared" si="0"/>
        <v>214166666.66666666</v>
      </c>
      <c r="E500" s="29" t="str">
        <f>'Hitung Per Bulan'!E500</f>
        <v/>
      </c>
      <c r="F500" s="24">
        <f t="shared" si="1"/>
        <v>214166666.66666666</v>
      </c>
      <c r="G500" s="29" t="str">
        <f>'Hitung Per Bulan'!G500</f>
        <v/>
      </c>
    </row>
    <row r="501" spans="1:7" x14ac:dyDescent="0.45">
      <c r="A501" t="s">
        <v>16</v>
      </c>
      <c r="B501" t="s">
        <v>31</v>
      </c>
      <c r="C501" t="s">
        <v>26</v>
      </c>
      <c r="D501" s="24">
        <f t="shared" si="0"/>
        <v>214166666.66666666</v>
      </c>
      <c r="E501" s="29" t="str">
        <f>'Hitung Per Bulan'!E501</f>
        <v/>
      </c>
      <c r="F501" s="24">
        <f t="shared" si="1"/>
        <v>214166666.66666666</v>
      </c>
      <c r="G501" s="29" t="str">
        <f>'Hitung Per Bulan'!G501</f>
        <v/>
      </c>
    </row>
    <row r="502" spans="1:7" x14ac:dyDescent="0.45">
      <c r="A502" t="s">
        <v>17</v>
      </c>
      <c r="B502" t="s">
        <v>31</v>
      </c>
      <c r="C502" t="s">
        <v>26</v>
      </c>
      <c r="D502" s="24">
        <f t="shared" si="0"/>
        <v>214166666.66666666</v>
      </c>
      <c r="E502" s="29" t="str">
        <f>'Hitung Per Bulan'!E502</f>
        <v/>
      </c>
      <c r="F502" s="24">
        <f t="shared" si="1"/>
        <v>214166666.66666666</v>
      </c>
      <c r="G502" s="29" t="str">
        <f>'Hitung Per Bulan'!G502</f>
        <v/>
      </c>
    </row>
    <row r="503" spans="1:7" x14ac:dyDescent="0.45">
      <c r="A503" t="s">
        <v>18</v>
      </c>
      <c r="B503" t="s">
        <v>31</v>
      </c>
      <c r="C503" t="s">
        <v>26</v>
      </c>
      <c r="D503" s="24">
        <f t="shared" si="0"/>
        <v>214166666.66666666</v>
      </c>
      <c r="E503" s="29" t="str">
        <f>'Hitung Per Bulan'!E503</f>
        <v/>
      </c>
      <c r="F503" s="24">
        <f t="shared" si="1"/>
        <v>214166666.66666666</v>
      </c>
      <c r="G503" s="29" t="str">
        <f>'Hitung Per Bulan'!G503</f>
        <v/>
      </c>
    </row>
    <row r="504" spans="1:7" x14ac:dyDescent="0.45">
      <c r="A504" t="s">
        <v>19</v>
      </c>
      <c r="B504" t="s">
        <v>31</v>
      </c>
      <c r="C504" t="s">
        <v>26</v>
      </c>
      <c r="D504" s="24">
        <f t="shared" si="0"/>
        <v>214166666.66666666</v>
      </c>
      <c r="E504" s="29" t="str">
        <f>'Hitung Per Bulan'!E504</f>
        <v/>
      </c>
      <c r="F504" s="24">
        <f t="shared" si="1"/>
        <v>214166666.66666666</v>
      </c>
      <c r="G504" s="29" t="str">
        <f>'Hitung Per Bulan'!G504</f>
        <v/>
      </c>
    </row>
    <row r="505" spans="1:7" x14ac:dyDescent="0.45">
      <c r="A505" t="s">
        <v>20</v>
      </c>
      <c r="B505" t="s">
        <v>31</v>
      </c>
      <c r="C505" t="s">
        <v>26</v>
      </c>
      <c r="D505" s="24">
        <f t="shared" si="0"/>
        <v>214166666.66666666</v>
      </c>
      <c r="E505" s="29" t="str">
        <f>'Hitung Per Bulan'!E505</f>
        <v/>
      </c>
      <c r="F505" s="24">
        <f t="shared" si="1"/>
        <v>214166666.66666666</v>
      </c>
      <c r="G505" s="29" t="str">
        <f>'Hitung Per Bulan'!G505</f>
        <v/>
      </c>
    </row>
    <row r="506" spans="1:7" x14ac:dyDescent="0.45">
      <c r="A506" t="s">
        <v>7</v>
      </c>
      <c r="B506" t="s">
        <v>32</v>
      </c>
      <c r="C506" t="s">
        <v>9</v>
      </c>
      <c r="D506" s="24">
        <v>90000000</v>
      </c>
      <c r="E506" s="29">
        <f>'Hitung Per Bulan'!E506</f>
        <v>218226790</v>
      </c>
      <c r="F506" s="24">
        <v>0</v>
      </c>
      <c r="G506" s="29">
        <f>'Hitung Per Bulan'!G506</f>
        <v>0</v>
      </c>
    </row>
    <row r="507" spans="1:7" x14ac:dyDescent="0.45">
      <c r="A507" t="s">
        <v>10</v>
      </c>
      <c r="B507" t="s">
        <v>32</v>
      </c>
      <c r="C507" t="s">
        <v>9</v>
      </c>
      <c r="D507" s="24">
        <v>2756633000</v>
      </c>
      <c r="E507" s="29">
        <f>'Hitung Per Bulan'!E507</f>
        <v>2975215110</v>
      </c>
      <c r="F507" s="24">
        <v>90000000</v>
      </c>
      <c r="G507" s="29">
        <f>'Hitung Per Bulan'!G507</f>
        <v>258244550</v>
      </c>
    </row>
    <row r="508" spans="1:7" x14ac:dyDescent="0.45">
      <c r="A508" t="s">
        <v>11</v>
      </c>
      <c r="B508" t="s">
        <v>32</v>
      </c>
      <c r="C508" t="s">
        <v>9</v>
      </c>
      <c r="D508" s="24">
        <v>10272212000</v>
      </c>
      <c r="E508" s="29">
        <f>'Hitung Per Bulan'!E508</f>
        <v>488863038</v>
      </c>
      <c r="F508" s="24">
        <v>66667000</v>
      </c>
      <c r="G508" s="29">
        <f>'Hitung Per Bulan'!G508</f>
        <v>43181000</v>
      </c>
    </row>
    <row r="509" spans="1:7" x14ac:dyDescent="0.45">
      <c r="A509" t="s">
        <v>12</v>
      </c>
      <c r="B509" t="s">
        <v>32</v>
      </c>
      <c r="C509" t="s">
        <v>9</v>
      </c>
      <c r="D509" s="24">
        <v>1843977000</v>
      </c>
      <c r="E509" s="29" t="str">
        <f>'Hitung Per Bulan'!E509</f>
        <v/>
      </c>
      <c r="F509" s="24">
        <v>687000000</v>
      </c>
      <c r="G509" s="29" t="str">
        <f>'Hitung Per Bulan'!G509</f>
        <v/>
      </c>
    </row>
    <row r="510" spans="1:7" x14ac:dyDescent="0.45">
      <c r="A510" t="s">
        <v>13</v>
      </c>
      <c r="B510" t="s">
        <v>32</v>
      </c>
      <c r="C510" t="s">
        <v>9</v>
      </c>
      <c r="D510" s="24">
        <v>635000000</v>
      </c>
      <c r="E510" s="29" t="str">
        <f>'Hitung Per Bulan'!E510</f>
        <v/>
      </c>
      <c r="F510" s="24">
        <v>1127667000</v>
      </c>
      <c r="G510" s="29" t="str">
        <f>'Hitung Per Bulan'!G510</f>
        <v/>
      </c>
    </row>
    <row r="511" spans="1:7" x14ac:dyDescent="0.45">
      <c r="A511" t="s">
        <v>14</v>
      </c>
      <c r="B511" t="s">
        <v>32</v>
      </c>
      <c r="C511" t="s">
        <v>9</v>
      </c>
      <c r="D511" s="24">
        <v>1030408000</v>
      </c>
      <c r="E511" s="29" t="str">
        <f>'Hitung Per Bulan'!E511</f>
        <v/>
      </c>
      <c r="F511" s="24">
        <v>2050710000</v>
      </c>
      <c r="G511" s="29" t="str">
        <f>'Hitung Per Bulan'!G511</f>
        <v/>
      </c>
    </row>
    <row r="512" spans="1:7" x14ac:dyDescent="0.45">
      <c r="A512" t="s">
        <v>15</v>
      </c>
      <c r="B512" t="s">
        <v>32</v>
      </c>
      <c r="C512" t="s">
        <v>9</v>
      </c>
      <c r="D512" s="24">
        <v>621650000</v>
      </c>
      <c r="E512" s="29" t="str">
        <f>'Hitung Per Bulan'!E512</f>
        <v/>
      </c>
      <c r="F512" s="24">
        <v>3754636000</v>
      </c>
      <c r="G512" s="29" t="str">
        <f>'Hitung Per Bulan'!G512</f>
        <v/>
      </c>
    </row>
    <row r="513" spans="1:7" x14ac:dyDescent="0.45">
      <c r="A513" t="s">
        <v>16</v>
      </c>
      <c r="B513" t="s">
        <v>32</v>
      </c>
      <c r="C513" t="s">
        <v>9</v>
      </c>
      <c r="D513" s="24">
        <v>2136262000</v>
      </c>
      <c r="E513" s="29" t="str">
        <f>'Hitung Per Bulan'!E513</f>
        <v/>
      </c>
      <c r="F513" s="24">
        <v>1016136000</v>
      </c>
      <c r="G513" s="29" t="str">
        <f>'Hitung Per Bulan'!G513</f>
        <v/>
      </c>
    </row>
    <row r="514" spans="1:7" x14ac:dyDescent="0.45">
      <c r="A514" t="s">
        <v>17</v>
      </c>
      <c r="B514" t="s">
        <v>32</v>
      </c>
      <c r="C514" t="s">
        <v>9</v>
      </c>
      <c r="D514" s="24">
        <v>275000000</v>
      </c>
      <c r="E514" s="29" t="str">
        <f>'Hitung Per Bulan'!E514</f>
        <v/>
      </c>
      <c r="F514" s="24">
        <v>3410123000</v>
      </c>
      <c r="G514" s="29" t="str">
        <f>'Hitung Per Bulan'!G514</f>
        <v/>
      </c>
    </row>
    <row r="515" spans="1:7" x14ac:dyDescent="0.45">
      <c r="A515" t="s">
        <v>18</v>
      </c>
      <c r="B515" t="s">
        <v>32</v>
      </c>
      <c r="C515" t="s">
        <v>9</v>
      </c>
      <c r="D515" s="24">
        <v>134561000</v>
      </c>
      <c r="E515" s="29" t="str">
        <f>'Hitung Per Bulan'!E515</f>
        <v/>
      </c>
      <c r="F515" s="24">
        <v>1952489000</v>
      </c>
      <c r="G515" s="29" t="str">
        <f>'Hitung Per Bulan'!G515</f>
        <v/>
      </c>
    </row>
    <row r="516" spans="1:7" x14ac:dyDescent="0.45">
      <c r="A516" t="s">
        <v>19</v>
      </c>
      <c r="B516" t="s">
        <v>32</v>
      </c>
      <c r="C516" t="s">
        <v>9</v>
      </c>
      <c r="D516" s="24">
        <v>224998000</v>
      </c>
      <c r="E516" s="29" t="str">
        <f>'Hitung Per Bulan'!E516</f>
        <v/>
      </c>
      <c r="F516" s="24">
        <v>5640275000</v>
      </c>
      <c r="G516" s="29" t="str">
        <f>'Hitung Per Bulan'!G516</f>
        <v/>
      </c>
    </row>
    <row r="517" spans="1:7" x14ac:dyDescent="0.45">
      <c r="A517" t="s">
        <v>20</v>
      </c>
      <c r="B517" t="s">
        <v>32</v>
      </c>
      <c r="C517" t="s">
        <v>9</v>
      </c>
      <c r="D517" s="24">
        <v>66667000</v>
      </c>
      <c r="E517" s="29" t="str">
        <f>'Hitung Per Bulan'!E517</f>
        <v/>
      </c>
      <c r="F517" s="24">
        <v>291665000</v>
      </c>
      <c r="G517" s="29" t="str">
        <f>'Hitung Per Bulan'!G517</f>
        <v/>
      </c>
    </row>
    <row r="518" spans="1:7" x14ac:dyDescent="0.45">
      <c r="A518" t="s">
        <v>7</v>
      </c>
      <c r="B518" t="s">
        <v>32</v>
      </c>
      <c r="C518" t="s">
        <v>21</v>
      </c>
      <c r="D518" s="24">
        <v>0</v>
      </c>
      <c r="E518" s="29">
        <f>'Hitung Per Bulan'!E518</f>
        <v>0</v>
      </c>
      <c r="F518" s="24">
        <v>0</v>
      </c>
      <c r="G518" s="29">
        <f>'Hitung Per Bulan'!G518</f>
        <v>0</v>
      </c>
    </row>
    <row r="519" spans="1:7" x14ac:dyDescent="0.45">
      <c r="A519" t="s">
        <v>10</v>
      </c>
      <c r="B519" t="s">
        <v>32</v>
      </c>
      <c r="C519" t="s">
        <v>21</v>
      </c>
      <c r="D519" s="24">
        <v>0</v>
      </c>
      <c r="E519" s="29">
        <f>'Hitung Per Bulan'!E519</f>
        <v>0</v>
      </c>
      <c r="F519" s="24">
        <v>0</v>
      </c>
      <c r="G519" s="29">
        <f>'Hitung Per Bulan'!G519</f>
        <v>0</v>
      </c>
    </row>
    <row r="520" spans="1:7" x14ac:dyDescent="0.45">
      <c r="A520" t="s">
        <v>11</v>
      </c>
      <c r="B520" t="s">
        <v>32</v>
      </c>
      <c r="C520" t="s">
        <v>21</v>
      </c>
      <c r="D520" s="24">
        <v>0</v>
      </c>
      <c r="E520" s="29">
        <f>'Hitung Per Bulan'!E520</f>
        <v>495830000</v>
      </c>
      <c r="F520" s="24">
        <v>0</v>
      </c>
      <c r="G520" s="29">
        <f>'Hitung Per Bulan'!G520</f>
        <v>0</v>
      </c>
    </row>
    <row r="521" spans="1:7" x14ac:dyDescent="0.45">
      <c r="A521" t="s">
        <v>12</v>
      </c>
      <c r="B521" t="s">
        <v>32</v>
      </c>
      <c r="C521" t="s">
        <v>21</v>
      </c>
      <c r="D521" s="24">
        <v>0</v>
      </c>
      <c r="E521" s="29" t="str">
        <f>'Hitung Per Bulan'!E521</f>
        <v/>
      </c>
      <c r="F521" s="24">
        <v>0</v>
      </c>
      <c r="G521" s="29" t="str">
        <f>'Hitung Per Bulan'!G521</f>
        <v/>
      </c>
    </row>
    <row r="522" spans="1:7" x14ac:dyDescent="0.45">
      <c r="A522" t="s">
        <v>13</v>
      </c>
      <c r="B522" t="s">
        <v>32</v>
      </c>
      <c r="C522" t="s">
        <v>21</v>
      </c>
      <c r="D522" s="24">
        <v>1155000000</v>
      </c>
      <c r="E522" s="29" t="str">
        <f>'Hitung Per Bulan'!E522</f>
        <v/>
      </c>
      <c r="F522" s="24">
        <v>0</v>
      </c>
      <c r="G522" s="29" t="str">
        <f>'Hitung Per Bulan'!G522</f>
        <v/>
      </c>
    </row>
    <row r="523" spans="1:7" x14ac:dyDescent="0.45">
      <c r="A523" t="s">
        <v>14</v>
      </c>
      <c r="B523" t="s">
        <v>32</v>
      </c>
      <c r="C523" t="s">
        <v>21</v>
      </c>
      <c r="D523" s="24">
        <v>30000000</v>
      </c>
      <c r="E523" s="29" t="str">
        <f>'Hitung Per Bulan'!E523</f>
        <v/>
      </c>
      <c r="F523" s="24">
        <v>0</v>
      </c>
      <c r="G523" s="29" t="str">
        <f>'Hitung Per Bulan'!G523</f>
        <v/>
      </c>
    </row>
    <row r="524" spans="1:7" x14ac:dyDescent="0.45">
      <c r="A524" t="s">
        <v>15</v>
      </c>
      <c r="B524" t="s">
        <v>32</v>
      </c>
      <c r="C524" t="s">
        <v>21</v>
      </c>
      <c r="D524" s="24">
        <v>0</v>
      </c>
      <c r="E524" s="29" t="str">
        <f>'Hitung Per Bulan'!E524</f>
        <v/>
      </c>
      <c r="F524" s="24">
        <v>30000000</v>
      </c>
      <c r="G524" s="29" t="str">
        <f>'Hitung Per Bulan'!G524</f>
        <v/>
      </c>
    </row>
    <row r="525" spans="1:7" x14ac:dyDescent="0.45">
      <c r="A525" t="s">
        <v>16</v>
      </c>
      <c r="B525" t="s">
        <v>32</v>
      </c>
      <c r="C525" t="s">
        <v>21</v>
      </c>
      <c r="D525" s="24">
        <v>0</v>
      </c>
      <c r="E525" s="29" t="str">
        <f>'Hitung Per Bulan'!E525</f>
        <v/>
      </c>
      <c r="F525" s="24">
        <v>1155000000</v>
      </c>
      <c r="G525" s="29" t="str">
        <f>'Hitung Per Bulan'!G525</f>
        <v/>
      </c>
    </row>
    <row r="526" spans="1:7" x14ac:dyDescent="0.45">
      <c r="A526" t="s">
        <v>17</v>
      </c>
      <c r="B526" t="s">
        <v>32</v>
      </c>
      <c r="C526" t="s">
        <v>21</v>
      </c>
      <c r="D526" s="24">
        <v>0</v>
      </c>
      <c r="E526" s="29" t="str">
        <f>'Hitung Per Bulan'!E526</f>
        <v/>
      </c>
      <c r="F526" s="24">
        <v>0</v>
      </c>
      <c r="G526" s="29" t="str">
        <f>'Hitung Per Bulan'!G526</f>
        <v/>
      </c>
    </row>
    <row r="527" spans="1:7" x14ac:dyDescent="0.45">
      <c r="A527" t="s">
        <v>18</v>
      </c>
      <c r="B527" t="s">
        <v>32</v>
      </c>
      <c r="C527" t="s">
        <v>21</v>
      </c>
      <c r="D527" s="24">
        <v>0</v>
      </c>
      <c r="E527" s="29" t="str">
        <f>'Hitung Per Bulan'!E527</f>
        <v/>
      </c>
      <c r="F527" s="24">
        <v>0</v>
      </c>
      <c r="G527" s="29" t="str">
        <f>'Hitung Per Bulan'!G527</f>
        <v/>
      </c>
    </row>
    <row r="528" spans="1:7" x14ac:dyDescent="0.45">
      <c r="A528" t="s">
        <v>19</v>
      </c>
      <c r="B528" t="s">
        <v>32</v>
      </c>
      <c r="C528" t="s">
        <v>21</v>
      </c>
      <c r="D528" s="24">
        <v>0</v>
      </c>
      <c r="E528" s="29" t="str">
        <f>'Hitung Per Bulan'!E528</f>
        <v/>
      </c>
      <c r="F528" s="24">
        <v>0</v>
      </c>
      <c r="G528" s="29" t="str">
        <f>'Hitung Per Bulan'!G528</f>
        <v/>
      </c>
    </row>
    <row r="529" spans="1:7" x14ac:dyDescent="0.45">
      <c r="A529" t="s">
        <v>20</v>
      </c>
      <c r="B529" t="s">
        <v>32</v>
      </c>
      <c r="C529" t="s">
        <v>21</v>
      </c>
      <c r="D529" s="24">
        <v>0</v>
      </c>
      <c r="E529" s="29" t="str">
        <f>'Hitung Per Bulan'!E529</f>
        <v/>
      </c>
      <c r="F529" s="24">
        <v>0</v>
      </c>
      <c r="G529" s="29" t="str">
        <f>'Hitung Per Bulan'!G529</f>
        <v/>
      </c>
    </row>
    <row r="530" spans="1:7" x14ac:dyDescent="0.45">
      <c r="A530" t="s">
        <v>7</v>
      </c>
      <c r="B530" t="s">
        <v>32</v>
      </c>
      <c r="C530" t="s">
        <v>22</v>
      </c>
      <c r="D530" s="24">
        <v>0</v>
      </c>
      <c r="E530" s="29">
        <f>'Hitung Per Bulan'!E530</f>
        <v>0</v>
      </c>
      <c r="F530" s="24">
        <v>0</v>
      </c>
      <c r="G530" s="29">
        <f>'Hitung Per Bulan'!G530</f>
        <v>0</v>
      </c>
    </row>
    <row r="531" spans="1:7" x14ac:dyDescent="0.45">
      <c r="A531" t="s">
        <v>10</v>
      </c>
      <c r="B531" t="s">
        <v>32</v>
      </c>
      <c r="C531" t="s">
        <v>22</v>
      </c>
      <c r="D531" s="24">
        <v>50000000</v>
      </c>
      <c r="E531" s="29">
        <f>'Hitung Per Bulan'!E531</f>
        <v>32848750</v>
      </c>
      <c r="F531" s="24">
        <v>0</v>
      </c>
      <c r="G531" s="29">
        <f>'Hitung Per Bulan'!G531</f>
        <v>0</v>
      </c>
    </row>
    <row r="532" spans="1:7" x14ac:dyDescent="0.45">
      <c r="A532" t="s">
        <v>11</v>
      </c>
      <c r="B532" t="s">
        <v>32</v>
      </c>
      <c r="C532" t="s">
        <v>22</v>
      </c>
      <c r="D532" s="24">
        <v>0</v>
      </c>
      <c r="E532" s="29">
        <f>'Hitung Per Bulan'!E532</f>
        <v>0</v>
      </c>
      <c r="F532" s="24">
        <v>50000000</v>
      </c>
      <c r="G532" s="29">
        <f>'Hitung Per Bulan'!G532</f>
        <v>0</v>
      </c>
    </row>
    <row r="533" spans="1:7" x14ac:dyDescent="0.45">
      <c r="A533" t="s">
        <v>12</v>
      </c>
      <c r="B533" t="s">
        <v>32</v>
      </c>
      <c r="C533" t="s">
        <v>22</v>
      </c>
      <c r="D533" s="24">
        <v>0</v>
      </c>
      <c r="E533" s="29" t="str">
        <f>'Hitung Per Bulan'!E533</f>
        <v/>
      </c>
      <c r="F533" s="24">
        <v>0</v>
      </c>
      <c r="G533" s="29" t="str">
        <f>'Hitung Per Bulan'!G533</f>
        <v/>
      </c>
    </row>
    <row r="534" spans="1:7" x14ac:dyDescent="0.45">
      <c r="A534" t="s">
        <v>13</v>
      </c>
      <c r="B534" t="s">
        <v>32</v>
      </c>
      <c r="C534" t="s">
        <v>22</v>
      </c>
      <c r="D534" s="24">
        <v>50000000</v>
      </c>
      <c r="E534" s="29" t="str">
        <f>'Hitung Per Bulan'!E534</f>
        <v/>
      </c>
      <c r="F534" s="24">
        <v>0</v>
      </c>
      <c r="G534" s="29" t="str">
        <f>'Hitung Per Bulan'!G534</f>
        <v/>
      </c>
    </row>
    <row r="535" spans="1:7" x14ac:dyDescent="0.45">
      <c r="A535" t="s">
        <v>14</v>
      </c>
      <c r="B535" t="s">
        <v>32</v>
      </c>
      <c r="C535" t="s">
        <v>22</v>
      </c>
      <c r="D535" s="24">
        <v>0</v>
      </c>
      <c r="E535" s="29" t="str">
        <f>'Hitung Per Bulan'!E535</f>
        <v/>
      </c>
      <c r="F535" s="24">
        <v>50000000</v>
      </c>
      <c r="G535" s="29" t="str">
        <f>'Hitung Per Bulan'!G535</f>
        <v/>
      </c>
    </row>
    <row r="536" spans="1:7" x14ac:dyDescent="0.45">
      <c r="A536" t="s">
        <v>15</v>
      </c>
      <c r="B536" t="s">
        <v>32</v>
      </c>
      <c r="C536" t="s">
        <v>22</v>
      </c>
      <c r="D536" s="24">
        <v>0</v>
      </c>
      <c r="E536" s="29" t="str">
        <f>'Hitung Per Bulan'!E536</f>
        <v/>
      </c>
      <c r="F536" s="24">
        <v>0</v>
      </c>
      <c r="G536" s="29" t="str">
        <f>'Hitung Per Bulan'!G536</f>
        <v/>
      </c>
    </row>
    <row r="537" spans="1:7" x14ac:dyDescent="0.45">
      <c r="A537" t="s">
        <v>16</v>
      </c>
      <c r="B537" t="s">
        <v>32</v>
      </c>
      <c r="C537" t="s">
        <v>22</v>
      </c>
      <c r="D537" s="24">
        <v>50000000</v>
      </c>
      <c r="E537" s="29" t="str">
        <f>'Hitung Per Bulan'!E537</f>
        <v/>
      </c>
      <c r="F537" s="24">
        <v>0</v>
      </c>
      <c r="G537" s="29" t="str">
        <f>'Hitung Per Bulan'!G537</f>
        <v/>
      </c>
    </row>
    <row r="538" spans="1:7" x14ac:dyDescent="0.45">
      <c r="A538" t="s">
        <v>17</v>
      </c>
      <c r="B538" t="s">
        <v>32</v>
      </c>
      <c r="C538" t="s">
        <v>22</v>
      </c>
      <c r="D538" s="24">
        <v>0</v>
      </c>
      <c r="E538" s="29" t="str">
        <f>'Hitung Per Bulan'!E538</f>
        <v/>
      </c>
      <c r="F538" s="24">
        <v>50000000</v>
      </c>
      <c r="G538" s="29" t="str">
        <f>'Hitung Per Bulan'!G538</f>
        <v/>
      </c>
    </row>
    <row r="539" spans="1:7" x14ac:dyDescent="0.45">
      <c r="A539" t="s">
        <v>18</v>
      </c>
      <c r="B539" t="s">
        <v>32</v>
      </c>
      <c r="C539" t="s">
        <v>22</v>
      </c>
      <c r="D539" s="24">
        <v>50000000</v>
      </c>
      <c r="E539" s="29" t="str">
        <f>'Hitung Per Bulan'!E539</f>
        <v/>
      </c>
      <c r="F539" s="24">
        <v>0</v>
      </c>
      <c r="G539" s="29" t="str">
        <f>'Hitung Per Bulan'!G539</f>
        <v/>
      </c>
    </row>
    <row r="540" spans="1:7" x14ac:dyDescent="0.45">
      <c r="A540" t="s">
        <v>19</v>
      </c>
      <c r="B540" t="s">
        <v>32</v>
      </c>
      <c r="C540" t="s">
        <v>22</v>
      </c>
      <c r="D540" s="24">
        <v>0</v>
      </c>
      <c r="E540" s="29" t="str">
        <f>'Hitung Per Bulan'!E540</f>
        <v/>
      </c>
      <c r="F540" s="24">
        <v>50000000</v>
      </c>
      <c r="G540" s="29" t="str">
        <f>'Hitung Per Bulan'!G540</f>
        <v/>
      </c>
    </row>
    <row r="541" spans="1:7" x14ac:dyDescent="0.45">
      <c r="A541" t="s">
        <v>20</v>
      </c>
      <c r="B541" t="s">
        <v>32</v>
      </c>
      <c r="C541" t="s">
        <v>22</v>
      </c>
      <c r="D541" s="24">
        <v>50000000</v>
      </c>
      <c r="E541" s="29" t="str">
        <f>'Hitung Per Bulan'!E541</f>
        <v/>
      </c>
      <c r="F541" s="24">
        <v>50000000</v>
      </c>
      <c r="G541" s="29" t="str">
        <f>'Hitung Per Bulan'!G541</f>
        <v/>
      </c>
    </row>
    <row r="542" spans="1:7" x14ac:dyDescent="0.45">
      <c r="A542" t="s">
        <v>7</v>
      </c>
      <c r="B542" t="s">
        <v>32</v>
      </c>
      <c r="C542" t="s">
        <v>23</v>
      </c>
      <c r="D542" s="24">
        <v>0</v>
      </c>
      <c r="E542" s="29">
        <f>'Hitung Per Bulan'!E542</f>
        <v>0</v>
      </c>
      <c r="F542" s="24">
        <v>0</v>
      </c>
      <c r="G542" s="29">
        <f>'Hitung Per Bulan'!G542</f>
        <v>0</v>
      </c>
    </row>
    <row r="543" spans="1:7" x14ac:dyDescent="0.45">
      <c r="A543" t="s">
        <v>10</v>
      </c>
      <c r="B543" t="s">
        <v>32</v>
      </c>
      <c r="C543" t="s">
        <v>23</v>
      </c>
      <c r="D543" s="24">
        <v>0</v>
      </c>
      <c r="E543" s="29">
        <f>'Hitung Per Bulan'!E543</f>
        <v>0</v>
      </c>
      <c r="F543" s="24">
        <v>0</v>
      </c>
      <c r="G543" s="29">
        <f>'Hitung Per Bulan'!G543</f>
        <v>0</v>
      </c>
    </row>
    <row r="544" spans="1:7" x14ac:dyDescent="0.45">
      <c r="A544" t="s">
        <v>11</v>
      </c>
      <c r="B544" t="s">
        <v>32</v>
      </c>
      <c r="C544" t="s">
        <v>23</v>
      </c>
      <c r="D544" s="24">
        <v>200000000</v>
      </c>
      <c r="E544" s="29">
        <f>'Hitung Per Bulan'!E544</f>
        <v>0</v>
      </c>
      <c r="F544" s="24">
        <v>0</v>
      </c>
      <c r="G544" s="29">
        <f>'Hitung Per Bulan'!G544</f>
        <v>0</v>
      </c>
    </row>
    <row r="545" spans="1:7" x14ac:dyDescent="0.45">
      <c r="A545" t="s">
        <v>12</v>
      </c>
      <c r="B545" t="s">
        <v>32</v>
      </c>
      <c r="C545" t="s">
        <v>23</v>
      </c>
      <c r="D545" s="24">
        <v>0</v>
      </c>
      <c r="E545" s="29" t="str">
        <f>'Hitung Per Bulan'!E545</f>
        <v/>
      </c>
      <c r="F545" s="24">
        <v>0</v>
      </c>
      <c r="G545" s="29" t="str">
        <f>'Hitung Per Bulan'!G545</f>
        <v/>
      </c>
    </row>
    <row r="546" spans="1:7" x14ac:dyDescent="0.45">
      <c r="A546" t="s">
        <v>13</v>
      </c>
      <c r="B546" t="s">
        <v>32</v>
      </c>
      <c r="C546" t="s">
        <v>23</v>
      </c>
      <c r="D546" s="24">
        <v>340000000</v>
      </c>
      <c r="E546" s="29" t="str">
        <f>'Hitung Per Bulan'!E546</f>
        <v/>
      </c>
      <c r="F546" s="24">
        <v>200000000</v>
      </c>
      <c r="G546" s="29" t="str">
        <f>'Hitung Per Bulan'!G546</f>
        <v/>
      </c>
    </row>
    <row r="547" spans="1:7" x14ac:dyDescent="0.45">
      <c r="A547" t="s">
        <v>14</v>
      </c>
      <c r="B547" t="s">
        <v>32</v>
      </c>
      <c r="C547" t="s">
        <v>23</v>
      </c>
      <c r="D547" s="24">
        <v>0</v>
      </c>
      <c r="E547" s="29" t="str">
        <f>'Hitung Per Bulan'!E547</f>
        <v/>
      </c>
      <c r="F547" s="24">
        <v>0</v>
      </c>
      <c r="G547" s="29" t="str">
        <f>'Hitung Per Bulan'!G547</f>
        <v/>
      </c>
    </row>
    <row r="548" spans="1:7" x14ac:dyDescent="0.45">
      <c r="A548" t="s">
        <v>15</v>
      </c>
      <c r="B548" t="s">
        <v>32</v>
      </c>
      <c r="C548" t="s">
        <v>23</v>
      </c>
      <c r="D548" s="24">
        <v>0</v>
      </c>
      <c r="E548" s="29" t="str">
        <f>'Hitung Per Bulan'!E548</f>
        <v/>
      </c>
      <c r="F548" s="24">
        <v>340000000</v>
      </c>
      <c r="G548" s="29" t="str">
        <f>'Hitung Per Bulan'!G548</f>
        <v/>
      </c>
    </row>
    <row r="549" spans="1:7" x14ac:dyDescent="0.45">
      <c r="A549" t="s">
        <v>16</v>
      </c>
      <c r="B549" t="s">
        <v>32</v>
      </c>
      <c r="C549" t="s">
        <v>23</v>
      </c>
      <c r="D549" s="24">
        <v>500000000</v>
      </c>
      <c r="E549" s="29" t="str">
        <f>'Hitung Per Bulan'!E549</f>
        <v/>
      </c>
      <c r="F549" s="24">
        <v>0</v>
      </c>
      <c r="G549" s="29" t="str">
        <f>'Hitung Per Bulan'!G549</f>
        <v/>
      </c>
    </row>
    <row r="550" spans="1:7" x14ac:dyDescent="0.45">
      <c r="A550" t="s">
        <v>17</v>
      </c>
      <c r="B550" t="s">
        <v>32</v>
      </c>
      <c r="C550" t="s">
        <v>23</v>
      </c>
      <c r="D550" s="24">
        <v>0</v>
      </c>
      <c r="E550" s="29" t="str">
        <f>'Hitung Per Bulan'!E550</f>
        <v/>
      </c>
      <c r="F550" s="24">
        <v>0</v>
      </c>
      <c r="G550" s="29" t="str">
        <f>'Hitung Per Bulan'!G550</f>
        <v/>
      </c>
    </row>
    <row r="551" spans="1:7" x14ac:dyDescent="0.45">
      <c r="A551" t="s">
        <v>18</v>
      </c>
      <c r="B551" t="s">
        <v>32</v>
      </c>
      <c r="C551" t="s">
        <v>23</v>
      </c>
      <c r="D551" s="24">
        <v>0</v>
      </c>
      <c r="E551" s="29" t="str">
        <f>'Hitung Per Bulan'!E551</f>
        <v/>
      </c>
      <c r="F551" s="24">
        <v>500000000</v>
      </c>
      <c r="G551" s="29" t="str">
        <f>'Hitung Per Bulan'!G551</f>
        <v/>
      </c>
    </row>
    <row r="552" spans="1:7" x14ac:dyDescent="0.45">
      <c r="A552" t="s">
        <v>19</v>
      </c>
      <c r="B552" t="s">
        <v>32</v>
      </c>
      <c r="C552" t="s">
        <v>23</v>
      </c>
      <c r="D552" s="24">
        <v>0</v>
      </c>
      <c r="E552" s="29" t="str">
        <f>'Hitung Per Bulan'!E552</f>
        <v/>
      </c>
      <c r="F552" s="24">
        <v>0</v>
      </c>
      <c r="G552" s="29" t="str">
        <f>'Hitung Per Bulan'!G552</f>
        <v/>
      </c>
    </row>
    <row r="553" spans="1:7" x14ac:dyDescent="0.45">
      <c r="A553" t="s">
        <v>20</v>
      </c>
      <c r="B553" t="s">
        <v>32</v>
      </c>
      <c r="C553" t="s">
        <v>23</v>
      </c>
      <c r="D553" s="24">
        <v>0</v>
      </c>
      <c r="E553" s="29" t="str">
        <f>'Hitung Per Bulan'!E553</f>
        <v/>
      </c>
      <c r="F553" s="24">
        <v>0</v>
      </c>
      <c r="G553" s="29" t="str">
        <f>'Hitung Per Bulan'!G553</f>
        <v/>
      </c>
    </row>
    <row r="554" spans="1:7" x14ac:dyDescent="0.45">
      <c r="A554" t="s">
        <v>7</v>
      </c>
      <c r="B554" t="s">
        <v>32</v>
      </c>
      <c r="C554" t="s">
        <v>24</v>
      </c>
      <c r="D554" s="24">
        <v>0</v>
      </c>
      <c r="E554" s="29">
        <f>'Hitung Per Bulan'!E554</f>
        <v>0</v>
      </c>
      <c r="F554" s="24">
        <v>0</v>
      </c>
      <c r="G554" s="29">
        <f>'Hitung Per Bulan'!G554</f>
        <v>0</v>
      </c>
    </row>
    <row r="555" spans="1:7" x14ac:dyDescent="0.45">
      <c r="A555" t="s">
        <v>10</v>
      </c>
      <c r="B555" t="s">
        <v>32</v>
      </c>
      <c r="C555" t="s">
        <v>24</v>
      </c>
      <c r="D555" s="24">
        <v>0</v>
      </c>
      <c r="E555" s="29">
        <f>'Hitung Per Bulan'!E555</f>
        <v>0</v>
      </c>
      <c r="F555" s="24">
        <v>0</v>
      </c>
      <c r="G555" s="29">
        <f>'Hitung Per Bulan'!G555</f>
        <v>0</v>
      </c>
    </row>
    <row r="556" spans="1:7" x14ac:dyDescent="0.45">
      <c r="A556" t="s">
        <v>11</v>
      </c>
      <c r="B556" t="s">
        <v>32</v>
      </c>
      <c r="C556" t="s">
        <v>24</v>
      </c>
      <c r="D556" s="24">
        <v>0</v>
      </c>
      <c r="E556" s="29">
        <f>'Hitung Per Bulan'!E556</f>
        <v>0</v>
      </c>
      <c r="F556" s="24">
        <v>0</v>
      </c>
      <c r="G556" s="29">
        <f>'Hitung Per Bulan'!G556</f>
        <v>0</v>
      </c>
    </row>
    <row r="557" spans="1:7" x14ac:dyDescent="0.45">
      <c r="A557" t="s">
        <v>12</v>
      </c>
      <c r="B557" t="s">
        <v>32</v>
      </c>
      <c r="C557" t="s">
        <v>24</v>
      </c>
      <c r="D557" s="24">
        <v>0</v>
      </c>
      <c r="E557" s="29" t="str">
        <f>'Hitung Per Bulan'!E557</f>
        <v/>
      </c>
      <c r="F557" s="24">
        <v>0</v>
      </c>
      <c r="G557" s="29" t="str">
        <f>'Hitung Per Bulan'!G557</f>
        <v/>
      </c>
    </row>
    <row r="558" spans="1:7" x14ac:dyDescent="0.45">
      <c r="A558" t="s">
        <v>13</v>
      </c>
      <c r="B558" t="s">
        <v>32</v>
      </c>
      <c r="C558" t="s">
        <v>24</v>
      </c>
      <c r="D558" s="24">
        <v>0</v>
      </c>
      <c r="E558" s="29" t="str">
        <f>'Hitung Per Bulan'!E558</f>
        <v/>
      </c>
      <c r="F558" s="24">
        <v>0</v>
      </c>
      <c r="G558" s="29" t="str">
        <f>'Hitung Per Bulan'!G558</f>
        <v/>
      </c>
    </row>
    <row r="559" spans="1:7" x14ac:dyDescent="0.45">
      <c r="A559" t="s">
        <v>14</v>
      </c>
      <c r="B559" t="s">
        <v>32</v>
      </c>
      <c r="C559" t="s">
        <v>24</v>
      </c>
      <c r="D559" s="24">
        <v>0</v>
      </c>
      <c r="E559" s="29" t="str">
        <f>'Hitung Per Bulan'!E559</f>
        <v/>
      </c>
      <c r="F559" s="24">
        <v>0</v>
      </c>
      <c r="G559" s="29" t="str">
        <f>'Hitung Per Bulan'!G559</f>
        <v/>
      </c>
    </row>
    <row r="560" spans="1:7" x14ac:dyDescent="0.45">
      <c r="A560" t="s">
        <v>15</v>
      </c>
      <c r="B560" t="s">
        <v>32</v>
      </c>
      <c r="C560" t="s">
        <v>24</v>
      </c>
      <c r="D560" s="24">
        <v>0</v>
      </c>
      <c r="E560" s="29" t="str">
        <f>'Hitung Per Bulan'!E560</f>
        <v/>
      </c>
      <c r="F560" s="24">
        <v>0</v>
      </c>
      <c r="G560" s="29" t="str">
        <f>'Hitung Per Bulan'!G560</f>
        <v/>
      </c>
    </row>
    <row r="561" spans="1:7" x14ac:dyDescent="0.45">
      <c r="A561" t="s">
        <v>16</v>
      </c>
      <c r="B561" t="s">
        <v>32</v>
      </c>
      <c r="C561" t="s">
        <v>24</v>
      </c>
      <c r="D561" s="24">
        <v>0</v>
      </c>
      <c r="E561" s="29" t="str">
        <f>'Hitung Per Bulan'!E561</f>
        <v/>
      </c>
      <c r="F561" s="24">
        <v>0</v>
      </c>
      <c r="G561" s="29" t="str">
        <f>'Hitung Per Bulan'!G561</f>
        <v/>
      </c>
    </row>
    <row r="562" spans="1:7" x14ac:dyDescent="0.45">
      <c r="A562" t="s">
        <v>17</v>
      </c>
      <c r="B562" t="s">
        <v>32</v>
      </c>
      <c r="C562" t="s">
        <v>24</v>
      </c>
      <c r="D562" s="24">
        <v>0</v>
      </c>
      <c r="E562" s="29" t="str">
        <f>'Hitung Per Bulan'!E562</f>
        <v/>
      </c>
      <c r="F562" s="24">
        <v>0</v>
      </c>
      <c r="G562" s="29" t="str">
        <f>'Hitung Per Bulan'!G562</f>
        <v/>
      </c>
    </row>
    <row r="563" spans="1:7" x14ac:dyDescent="0.45">
      <c r="A563" t="s">
        <v>18</v>
      </c>
      <c r="B563" t="s">
        <v>32</v>
      </c>
      <c r="C563" t="s">
        <v>24</v>
      </c>
      <c r="D563" s="24">
        <v>0</v>
      </c>
      <c r="E563" s="29" t="str">
        <f>'Hitung Per Bulan'!E563</f>
        <v/>
      </c>
      <c r="F563" s="24">
        <v>0</v>
      </c>
      <c r="G563" s="29" t="str">
        <f>'Hitung Per Bulan'!G563</f>
        <v/>
      </c>
    </row>
    <row r="564" spans="1:7" x14ac:dyDescent="0.45">
      <c r="A564" t="s">
        <v>19</v>
      </c>
      <c r="B564" t="s">
        <v>32</v>
      </c>
      <c r="C564" t="s">
        <v>24</v>
      </c>
      <c r="D564" s="24">
        <v>0</v>
      </c>
      <c r="E564" s="29" t="str">
        <f>'Hitung Per Bulan'!E564</f>
        <v/>
      </c>
      <c r="F564" s="24">
        <v>0</v>
      </c>
      <c r="G564" s="29" t="str">
        <f>'Hitung Per Bulan'!G564</f>
        <v/>
      </c>
    </row>
    <row r="565" spans="1:7" x14ac:dyDescent="0.45">
      <c r="A565" t="s">
        <v>20</v>
      </c>
      <c r="B565" t="s">
        <v>32</v>
      </c>
      <c r="C565" t="s">
        <v>24</v>
      </c>
      <c r="D565" s="24">
        <v>0</v>
      </c>
      <c r="E565" s="29" t="str">
        <f>'Hitung Per Bulan'!E565</f>
        <v/>
      </c>
      <c r="F565" s="24">
        <v>0</v>
      </c>
      <c r="G565" s="29" t="str">
        <f>'Hitung Per Bulan'!G565</f>
        <v/>
      </c>
    </row>
    <row r="566" spans="1:7" x14ac:dyDescent="0.45">
      <c r="A566" t="s">
        <v>7</v>
      </c>
      <c r="B566" t="s">
        <v>32</v>
      </c>
      <c r="C566" t="s">
        <v>25</v>
      </c>
      <c r="D566" s="24">
        <v>62259333.333333336</v>
      </c>
      <c r="E566" s="29">
        <f>'Hitung Per Bulan'!E566</f>
        <v>106646150</v>
      </c>
      <c r="F566" s="24">
        <v>0</v>
      </c>
      <c r="G566" s="29">
        <f>'Hitung Per Bulan'!G566</f>
        <v>19578750</v>
      </c>
    </row>
    <row r="567" spans="1:7" x14ac:dyDescent="0.45">
      <c r="A567" t="s">
        <v>10</v>
      </c>
      <c r="B567" t="s">
        <v>32</v>
      </c>
      <c r="C567" t="s">
        <v>25</v>
      </c>
      <c r="D567" s="24">
        <v>81686766.666666657</v>
      </c>
      <c r="E567" s="29">
        <f>'Hitung Per Bulan'!E567</f>
        <v>124319935</v>
      </c>
      <c r="F567" s="24">
        <v>62259333.333333328</v>
      </c>
      <c r="G567" s="29">
        <f>'Hitung Per Bulan'!G567</f>
        <v>94911900</v>
      </c>
    </row>
    <row r="568" spans="1:7" x14ac:dyDescent="0.45">
      <c r="A568" t="s">
        <v>11</v>
      </c>
      <c r="B568" t="s">
        <v>32</v>
      </c>
      <c r="C568" t="s">
        <v>25</v>
      </c>
      <c r="D568" s="24">
        <v>89759333.333333343</v>
      </c>
      <c r="E568" s="29">
        <f>'Hitung Per Bulan'!E568</f>
        <v>22471000</v>
      </c>
      <c r="F568" s="24">
        <v>81686766.666666597</v>
      </c>
      <c r="G568" s="29">
        <f>'Hitung Per Bulan'!G568</f>
        <v>22471000</v>
      </c>
    </row>
    <row r="569" spans="1:7" x14ac:dyDescent="0.45">
      <c r="A569" t="s">
        <v>12</v>
      </c>
      <c r="B569" t="s">
        <v>32</v>
      </c>
      <c r="C569" t="s">
        <v>25</v>
      </c>
      <c r="D569" s="24">
        <v>64603433.333333336</v>
      </c>
      <c r="E569" s="29" t="str">
        <f>'Hitung Per Bulan'!E569</f>
        <v/>
      </c>
      <c r="F569" s="24">
        <v>89759333.333333328</v>
      </c>
      <c r="G569" s="29" t="str">
        <f>'Hitung Per Bulan'!G569</f>
        <v/>
      </c>
    </row>
    <row r="570" spans="1:7" x14ac:dyDescent="0.45">
      <c r="A570" t="s">
        <v>13</v>
      </c>
      <c r="B570" t="s">
        <v>32</v>
      </c>
      <c r="C570" t="s">
        <v>25</v>
      </c>
      <c r="D570" s="24">
        <v>301686766.66666669</v>
      </c>
      <c r="E570" s="29" t="str">
        <f>'Hitung Per Bulan'!E570</f>
        <v/>
      </c>
      <c r="F570" s="24">
        <v>784603433.33333337</v>
      </c>
      <c r="G570" s="29" t="str">
        <f>'Hitung Per Bulan'!G570</f>
        <v/>
      </c>
    </row>
    <row r="571" spans="1:7" x14ac:dyDescent="0.45">
      <c r="A571" t="s">
        <v>14</v>
      </c>
      <c r="B571" t="s">
        <v>32</v>
      </c>
      <c r="C571" t="s">
        <v>25</v>
      </c>
      <c r="D571" s="24">
        <v>599917433.33333337</v>
      </c>
      <c r="E571" s="29" t="str">
        <f>'Hitung Per Bulan'!E571</f>
        <v/>
      </c>
      <c r="F571" s="24">
        <v>81686766.666666597</v>
      </c>
      <c r="G571" s="29" t="str">
        <f>'Hitung Per Bulan'!G571</f>
        <v/>
      </c>
    </row>
    <row r="572" spans="1:7" x14ac:dyDescent="0.45">
      <c r="A572" t="s">
        <v>15</v>
      </c>
      <c r="B572" t="s">
        <v>32</v>
      </c>
      <c r="C572" t="s">
        <v>25</v>
      </c>
      <c r="D572" s="24">
        <v>64603433.333333336</v>
      </c>
      <c r="E572" s="29" t="str">
        <f>'Hitung Per Bulan'!E572</f>
        <v/>
      </c>
      <c r="F572" s="24">
        <v>99917433.333333299</v>
      </c>
      <c r="G572" s="29" t="str">
        <f>'Hitung Per Bulan'!G572</f>
        <v/>
      </c>
    </row>
    <row r="573" spans="1:7" x14ac:dyDescent="0.45">
      <c r="A573" t="s">
        <v>16</v>
      </c>
      <c r="B573" t="s">
        <v>32</v>
      </c>
      <c r="C573" t="s">
        <v>25</v>
      </c>
      <c r="D573" s="24">
        <v>81686766.666666657</v>
      </c>
      <c r="E573" s="29" t="str">
        <f>'Hitung Per Bulan'!E573</f>
        <v/>
      </c>
      <c r="F573" s="24">
        <v>64603433.333333299</v>
      </c>
      <c r="G573" s="29" t="str">
        <f>'Hitung Per Bulan'!G573</f>
        <v/>
      </c>
    </row>
    <row r="574" spans="1:7" x14ac:dyDescent="0.45">
      <c r="A574" t="s">
        <v>17</v>
      </c>
      <c r="B574" t="s">
        <v>32</v>
      </c>
      <c r="C574" t="s">
        <v>25</v>
      </c>
      <c r="D574" s="24">
        <v>233835433.33333334</v>
      </c>
      <c r="E574" s="29" t="str">
        <f>'Hitung Per Bulan'!E574</f>
        <v/>
      </c>
      <c r="F574" s="24">
        <v>81686766.666666597</v>
      </c>
      <c r="G574" s="29" t="str">
        <f>'Hitung Per Bulan'!G574</f>
        <v/>
      </c>
    </row>
    <row r="575" spans="1:7" x14ac:dyDescent="0.45">
      <c r="A575" t="s">
        <v>18</v>
      </c>
      <c r="B575" t="s">
        <v>32</v>
      </c>
      <c r="C575" t="s">
        <v>25</v>
      </c>
      <c r="D575" s="24">
        <v>64603433.333333336</v>
      </c>
      <c r="E575" s="29" t="str">
        <f>'Hitung Per Bulan'!E575</f>
        <v/>
      </c>
      <c r="F575" s="24">
        <v>233835433.33333328</v>
      </c>
      <c r="G575" s="29" t="str">
        <f>'Hitung Per Bulan'!G575</f>
        <v/>
      </c>
    </row>
    <row r="576" spans="1:7" x14ac:dyDescent="0.45">
      <c r="A576" t="s">
        <v>19</v>
      </c>
      <c r="B576" t="s">
        <v>32</v>
      </c>
      <c r="C576" t="s">
        <v>25</v>
      </c>
      <c r="D576" s="24">
        <v>78353433.333333328</v>
      </c>
      <c r="E576" s="29" t="str">
        <f>'Hitung Per Bulan'!E576</f>
        <v/>
      </c>
      <c r="F576" s="24">
        <v>64603433.333333299</v>
      </c>
      <c r="G576" s="29" t="str">
        <f>'Hitung Per Bulan'!G576</f>
        <v/>
      </c>
    </row>
    <row r="577" spans="1:7" x14ac:dyDescent="0.45">
      <c r="A577" t="s">
        <v>20</v>
      </c>
      <c r="B577" t="s">
        <v>32</v>
      </c>
      <c r="C577" t="s">
        <v>25</v>
      </c>
      <c r="D577" s="24">
        <v>99917433.333333328</v>
      </c>
      <c r="E577" s="29" t="str">
        <f>'Hitung Per Bulan'!E577</f>
        <v/>
      </c>
      <c r="F577" s="24">
        <v>178270866.66666669</v>
      </c>
      <c r="G577" s="29" t="str">
        <f>'Hitung Per Bulan'!G577</f>
        <v/>
      </c>
    </row>
    <row r="578" spans="1:7" x14ac:dyDescent="0.45">
      <c r="A578" t="s">
        <v>7</v>
      </c>
      <c r="B578" t="s">
        <v>32</v>
      </c>
      <c r="C578" t="s">
        <v>26</v>
      </c>
      <c r="D578" s="24">
        <v>255298000</v>
      </c>
      <c r="E578" s="29">
        <f>'Hitung Per Bulan'!E578</f>
        <v>199624421</v>
      </c>
      <c r="F578" s="24">
        <v>255298000</v>
      </c>
      <c r="G578" s="29">
        <f>'Hitung Per Bulan'!G578</f>
        <v>199624421</v>
      </c>
    </row>
    <row r="579" spans="1:7" x14ac:dyDescent="0.45">
      <c r="A579" t="s">
        <v>10</v>
      </c>
      <c r="B579" t="s">
        <v>32</v>
      </c>
      <c r="C579" t="s">
        <v>26</v>
      </c>
      <c r="D579" s="24">
        <v>255298000</v>
      </c>
      <c r="E579" s="29">
        <f>'Hitung Per Bulan'!E579</f>
        <v>197235478</v>
      </c>
      <c r="F579" s="24">
        <v>255298000</v>
      </c>
      <c r="G579" s="29">
        <f>'Hitung Per Bulan'!G579</f>
        <v>197235478</v>
      </c>
    </row>
    <row r="580" spans="1:7" x14ac:dyDescent="0.45">
      <c r="A580" t="s">
        <v>11</v>
      </c>
      <c r="B580" t="s">
        <v>32</v>
      </c>
      <c r="C580" t="s">
        <v>26</v>
      </c>
      <c r="D580" s="24">
        <v>255298000</v>
      </c>
      <c r="E580" s="29">
        <f>'Hitung Per Bulan'!E580</f>
        <v>0</v>
      </c>
      <c r="F580" s="24">
        <v>255298000</v>
      </c>
      <c r="G580" s="29">
        <f>'Hitung Per Bulan'!G580</f>
        <v>0</v>
      </c>
    </row>
    <row r="581" spans="1:7" x14ac:dyDescent="0.45">
      <c r="A581" t="s">
        <v>12</v>
      </c>
      <c r="B581" t="s">
        <v>32</v>
      </c>
      <c r="C581" t="s">
        <v>26</v>
      </c>
      <c r="D581" s="24">
        <v>255298000</v>
      </c>
      <c r="E581" s="29" t="str">
        <f>'Hitung Per Bulan'!E581</f>
        <v/>
      </c>
      <c r="F581" s="24">
        <v>255298000</v>
      </c>
      <c r="G581" s="29" t="str">
        <f>'Hitung Per Bulan'!G581</f>
        <v/>
      </c>
    </row>
    <row r="582" spans="1:7" x14ac:dyDescent="0.45">
      <c r="A582" t="s">
        <v>13</v>
      </c>
      <c r="B582" t="s">
        <v>32</v>
      </c>
      <c r="C582" t="s">
        <v>26</v>
      </c>
      <c r="D582" s="24">
        <v>255298000</v>
      </c>
      <c r="E582" s="29" t="str">
        <f>'Hitung Per Bulan'!E582</f>
        <v/>
      </c>
      <c r="F582" s="24">
        <v>255298000</v>
      </c>
      <c r="G582" s="29" t="str">
        <f>'Hitung Per Bulan'!G582</f>
        <v/>
      </c>
    </row>
    <row r="583" spans="1:7" x14ac:dyDescent="0.45">
      <c r="A583" t="s">
        <v>14</v>
      </c>
      <c r="B583" t="s">
        <v>32</v>
      </c>
      <c r="C583" t="s">
        <v>26</v>
      </c>
      <c r="D583" s="24">
        <v>255298000</v>
      </c>
      <c r="E583" s="29" t="str">
        <f>'Hitung Per Bulan'!E583</f>
        <v/>
      </c>
      <c r="F583" s="24">
        <v>255298000</v>
      </c>
      <c r="G583" s="29" t="str">
        <f>'Hitung Per Bulan'!G583</f>
        <v/>
      </c>
    </row>
    <row r="584" spans="1:7" x14ac:dyDescent="0.45">
      <c r="A584" t="s">
        <v>15</v>
      </c>
      <c r="B584" t="s">
        <v>32</v>
      </c>
      <c r="C584" t="s">
        <v>26</v>
      </c>
      <c r="D584" s="24">
        <v>255298000</v>
      </c>
      <c r="E584" s="29" t="str">
        <f>'Hitung Per Bulan'!E584</f>
        <v/>
      </c>
      <c r="F584" s="24">
        <v>255298000</v>
      </c>
      <c r="G584" s="29" t="str">
        <f>'Hitung Per Bulan'!G584</f>
        <v/>
      </c>
    </row>
    <row r="585" spans="1:7" x14ac:dyDescent="0.45">
      <c r="A585" t="s">
        <v>16</v>
      </c>
      <c r="B585" t="s">
        <v>32</v>
      </c>
      <c r="C585" t="s">
        <v>26</v>
      </c>
      <c r="D585" s="24">
        <v>255298000</v>
      </c>
      <c r="E585" s="29" t="str">
        <f>'Hitung Per Bulan'!E585</f>
        <v/>
      </c>
      <c r="F585" s="24">
        <v>255298000</v>
      </c>
      <c r="G585" s="29" t="str">
        <f>'Hitung Per Bulan'!G585</f>
        <v/>
      </c>
    </row>
    <row r="586" spans="1:7" x14ac:dyDescent="0.45">
      <c r="A586" t="s">
        <v>17</v>
      </c>
      <c r="B586" t="s">
        <v>32</v>
      </c>
      <c r="C586" t="s">
        <v>26</v>
      </c>
      <c r="D586" s="24">
        <v>255298000</v>
      </c>
      <c r="E586" s="29" t="str">
        <f>'Hitung Per Bulan'!E586</f>
        <v/>
      </c>
      <c r="F586" s="24">
        <v>255298000</v>
      </c>
      <c r="G586" s="29" t="str">
        <f>'Hitung Per Bulan'!G586</f>
        <v/>
      </c>
    </row>
    <row r="587" spans="1:7" x14ac:dyDescent="0.45">
      <c r="A587" t="s">
        <v>18</v>
      </c>
      <c r="B587" t="s">
        <v>32</v>
      </c>
      <c r="C587" t="s">
        <v>26</v>
      </c>
      <c r="D587" s="24">
        <v>255298000</v>
      </c>
      <c r="E587" s="29" t="str">
        <f>'Hitung Per Bulan'!E587</f>
        <v/>
      </c>
      <c r="F587" s="24">
        <v>255298000</v>
      </c>
      <c r="G587" s="29" t="str">
        <f>'Hitung Per Bulan'!G587</f>
        <v/>
      </c>
    </row>
    <row r="588" spans="1:7" x14ac:dyDescent="0.45">
      <c r="A588" t="s">
        <v>19</v>
      </c>
      <c r="B588" t="s">
        <v>32</v>
      </c>
      <c r="C588" t="s">
        <v>26</v>
      </c>
      <c r="D588" s="24">
        <v>255298000</v>
      </c>
      <c r="E588" s="29" t="str">
        <f>'Hitung Per Bulan'!E588</f>
        <v/>
      </c>
      <c r="F588" s="24">
        <v>255298000</v>
      </c>
      <c r="G588" s="29" t="str">
        <f>'Hitung Per Bulan'!G588</f>
        <v/>
      </c>
    </row>
    <row r="589" spans="1:7" x14ac:dyDescent="0.45">
      <c r="A589" t="s">
        <v>20</v>
      </c>
      <c r="B589" t="s">
        <v>32</v>
      </c>
      <c r="C589" t="s">
        <v>26</v>
      </c>
      <c r="D589" s="24">
        <v>255298000</v>
      </c>
      <c r="E589" s="29" t="str">
        <f>'Hitung Per Bulan'!E589</f>
        <v/>
      </c>
      <c r="F589" s="24">
        <v>255298000</v>
      </c>
      <c r="G589" s="29" t="str">
        <f>'Hitung Per Bulan'!G589</f>
        <v/>
      </c>
    </row>
    <row r="590" spans="1:7" x14ac:dyDescent="0.45">
      <c r="A590" t="s">
        <v>7</v>
      </c>
      <c r="B590" t="s">
        <v>33</v>
      </c>
      <c r="C590" t="s">
        <v>9</v>
      </c>
      <c r="D590" s="24">
        <v>0</v>
      </c>
      <c r="E590" s="29">
        <f>'Hitung Per Bulan'!E590</f>
        <v>31467000</v>
      </c>
      <c r="F590" s="24">
        <v>0</v>
      </c>
      <c r="G590" s="29">
        <f>'Hitung Per Bulan'!G590</f>
        <v>0</v>
      </c>
    </row>
    <row r="591" spans="1:7" x14ac:dyDescent="0.45">
      <c r="A591" t="s">
        <v>10</v>
      </c>
      <c r="B591" t="s">
        <v>33</v>
      </c>
      <c r="C591" t="s">
        <v>9</v>
      </c>
      <c r="D591" s="24">
        <v>0</v>
      </c>
      <c r="E591" s="29">
        <f>'Hitung Per Bulan'!E591</f>
        <v>4701283132</v>
      </c>
      <c r="F591" s="24">
        <v>0</v>
      </c>
      <c r="G591" s="29">
        <f>'Hitung Per Bulan'!G591</f>
        <v>24650000</v>
      </c>
    </row>
    <row r="592" spans="1:7" x14ac:dyDescent="0.45">
      <c r="A592" t="s">
        <v>11</v>
      </c>
      <c r="B592" t="s">
        <v>33</v>
      </c>
      <c r="C592" t="s">
        <v>9</v>
      </c>
      <c r="D592" s="24">
        <v>1399586000</v>
      </c>
      <c r="E592" s="29">
        <f>'Hitung Per Bulan'!E592</f>
        <v>1988511744</v>
      </c>
      <c r="F592" s="24">
        <v>1199586000</v>
      </c>
      <c r="G592" s="29">
        <f>'Hitung Per Bulan'!G592</f>
        <v>105142000</v>
      </c>
    </row>
    <row r="593" spans="1:7" x14ac:dyDescent="0.45">
      <c r="A593" t="s">
        <v>12</v>
      </c>
      <c r="B593" t="s">
        <v>33</v>
      </c>
      <c r="C593" t="s">
        <v>9</v>
      </c>
      <c r="D593" s="24">
        <v>5262021000</v>
      </c>
      <c r="E593" s="29" t="str">
        <f>'Hitung Per Bulan'!E593</f>
        <v/>
      </c>
      <c r="F593" s="24">
        <v>2256407000</v>
      </c>
      <c r="G593" s="29" t="str">
        <f>'Hitung Per Bulan'!G593</f>
        <v/>
      </c>
    </row>
    <row r="594" spans="1:7" x14ac:dyDescent="0.45">
      <c r="A594" t="s">
        <v>13</v>
      </c>
      <c r="B594" t="s">
        <v>33</v>
      </c>
      <c r="C594" t="s">
        <v>9</v>
      </c>
      <c r="D594" s="24">
        <v>6315352000</v>
      </c>
      <c r="E594" s="29" t="str">
        <f>'Hitung Per Bulan'!E594</f>
        <v/>
      </c>
      <c r="F594" s="24">
        <v>2554922000</v>
      </c>
      <c r="G594" s="29" t="str">
        <f>'Hitung Per Bulan'!G594</f>
        <v/>
      </c>
    </row>
    <row r="595" spans="1:7" x14ac:dyDescent="0.45">
      <c r="A595" t="s">
        <v>14</v>
      </c>
      <c r="B595" t="s">
        <v>33</v>
      </c>
      <c r="C595" t="s">
        <v>9</v>
      </c>
      <c r="D595" s="24">
        <v>3401417000</v>
      </c>
      <c r="E595" s="29" t="str">
        <f>'Hitung Per Bulan'!E595</f>
        <v/>
      </c>
      <c r="F595" s="24">
        <v>3401417000</v>
      </c>
      <c r="G595" s="29" t="str">
        <f>'Hitung Per Bulan'!G595</f>
        <v/>
      </c>
    </row>
    <row r="596" spans="1:7" x14ac:dyDescent="0.45">
      <c r="A596" t="s">
        <v>15</v>
      </c>
      <c r="B596" t="s">
        <v>33</v>
      </c>
      <c r="C596" t="s">
        <v>9</v>
      </c>
      <c r="D596" s="24">
        <v>3315327000</v>
      </c>
      <c r="E596" s="29" t="str">
        <f>'Hitung Per Bulan'!E596</f>
        <v/>
      </c>
      <c r="F596" s="24">
        <v>4549327000</v>
      </c>
      <c r="G596" s="29" t="str">
        <f>'Hitung Per Bulan'!G596</f>
        <v/>
      </c>
    </row>
    <row r="597" spans="1:7" x14ac:dyDescent="0.45">
      <c r="A597" t="s">
        <v>16</v>
      </c>
      <c r="B597" t="s">
        <v>33</v>
      </c>
      <c r="C597" t="s">
        <v>9</v>
      </c>
      <c r="D597" s="24">
        <v>3890302000</v>
      </c>
      <c r="E597" s="29" t="str">
        <f>'Hitung Per Bulan'!E597</f>
        <v/>
      </c>
      <c r="F597" s="24">
        <v>5420302000</v>
      </c>
      <c r="G597" s="29" t="str">
        <f>'Hitung Per Bulan'!G597</f>
        <v/>
      </c>
    </row>
    <row r="598" spans="1:7" x14ac:dyDescent="0.45">
      <c r="A598" t="s">
        <v>17</v>
      </c>
      <c r="B598" t="s">
        <v>33</v>
      </c>
      <c r="C598" t="s">
        <v>9</v>
      </c>
      <c r="D598" s="24">
        <v>3131133000</v>
      </c>
      <c r="E598" s="29" t="str">
        <f>'Hitung Per Bulan'!E598</f>
        <v/>
      </c>
      <c r="F598" s="24">
        <v>4606747000</v>
      </c>
      <c r="G598" s="29" t="str">
        <f>'Hitung Per Bulan'!G598</f>
        <v/>
      </c>
    </row>
    <row r="599" spans="1:7" x14ac:dyDescent="0.45">
      <c r="A599" t="s">
        <v>18</v>
      </c>
      <c r="B599" t="s">
        <v>33</v>
      </c>
      <c r="C599" t="s">
        <v>9</v>
      </c>
      <c r="D599" s="24">
        <v>1448551000</v>
      </c>
      <c r="E599" s="29" t="str">
        <f>'Hitung Per Bulan'!E599</f>
        <v/>
      </c>
      <c r="F599" s="24">
        <v>3974981000</v>
      </c>
      <c r="G599" s="29" t="str">
        <f>'Hitung Per Bulan'!G599</f>
        <v/>
      </c>
    </row>
    <row r="600" spans="1:7" x14ac:dyDescent="0.45">
      <c r="A600" t="s">
        <v>19</v>
      </c>
      <c r="B600" t="s">
        <v>33</v>
      </c>
      <c r="C600" t="s">
        <v>9</v>
      </c>
      <c r="D600" s="24">
        <v>375000000</v>
      </c>
      <c r="E600" s="29" t="str">
        <f>'Hitung Per Bulan'!E600</f>
        <v/>
      </c>
      <c r="F600" s="24">
        <v>375000000</v>
      </c>
      <c r="G600" s="29" t="str">
        <f>'Hitung Per Bulan'!G600</f>
        <v/>
      </c>
    </row>
    <row r="601" spans="1:7" x14ac:dyDescent="0.45">
      <c r="A601" t="s">
        <v>20</v>
      </c>
      <c r="B601" t="s">
        <v>33</v>
      </c>
      <c r="C601" t="s">
        <v>9</v>
      </c>
      <c r="D601" s="24">
        <v>0</v>
      </c>
      <c r="E601" s="29" t="str">
        <f>'Hitung Per Bulan'!E601</f>
        <v/>
      </c>
      <c r="F601" s="24">
        <v>200000000</v>
      </c>
      <c r="G601" s="29" t="str">
        <f>'Hitung Per Bulan'!G601</f>
        <v/>
      </c>
    </row>
    <row r="602" spans="1:7" x14ac:dyDescent="0.45">
      <c r="A602" t="s">
        <v>7</v>
      </c>
      <c r="B602" t="s">
        <v>33</v>
      </c>
      <c r="C602" t="s">
        <v>21</v>
      </c>
      <c r="D602" s="24">
        <v>0</v>
      </c>
      <c r="E602" s="29">
        <f>'Hitung Per Bulan'!E602</f>
        <v>36500000</v>
      </c>
      <c r="F602" s="24">
        <v>0</v>
      </c>
      <c r="G602" s="29">
        <f>'Hitung Per Bulan'!G602</f>
        <v>0</v>
      </c>
    </row>
    <row r="603" spans="1:7" x14ac:dyDescent="0.45">
      <c r="A603" t="s">
        <v>10</v>
      </c>
      <c r="B603" t="s">
        <v>33</v>
      </c>
      <c r="C603" t="s">
        <v>21</v>
      </c>
      <c r="D603" s="24">
        <v>0</v>
      </c>
      <c r="E603" s="29">
        <f>'Hitung Per Bulan'!E603</f>
        <v>0</v>
      </c>
      <c r="F603" s="24">
        <v>0</v>
      </c>
      <c r="G603" s="29">
        <f>'Hitung Per Bulan'!G603</f>
        <v>36500000</v>
      </c>
    </row>
    <row r="604" spans="1:7" x14ac:dyDescent="0.45">
      <c r="A604" t="s">
        <v>11</v>
      </c>
      <c r="B604" t="s">
        <v>33</v>
      </c>
      <c r="C604" t="s">
        <v>21</v>
      </c>
      <c r="D604" s="24">
        <v>0</v>
      </c>
      <c r="E604" s="29">
        <f>'Hitung Per Bulan'!E604</f>
        <v>0</v>
      </c>
      <c r="F604" s="24">
        <v>0</v>
      </c>
      <c r="G604" s="29">
        <f>'Hitung Per Bulan'!G604</f>
        <v>0</v>
      </c>
    </row>
    <row r="605" spans="1:7" x14ac:dyDescent="0.45">
      <c r="A605" t="s">
        <v>12</v>
      </c>
      <c r="B605" t="s">
        <v>33</v>
      </c>
      <c r="C605" t="s">
        <v>21</v>
      </c>
      <c r="D605" s="24">
        <v>300000000</v>
      </c>
      <c r="E605" s="29" t="str">
        <f>'Hitung Per Bulan'!E605</f>
        <v/>
      </c>
      <c r="F605" s="24">
        <v>300000000</v>
      </c>
      <c r="G605" s="29" t="str">
        <f>'Hitung Per Bulan'!G605</f>
        <v/>
      </c>
    </row>
    <row r="606" spans="1:7" x14ac:dyDescent="0.45">
      <c r="A606" t="s">
        <v>13</v>
      </c>
      <c r="B606" t="s">
        <v>33</v>
      </c>
      <c r="C606" t="s">
        <v>21</v>
      </c>
      <c r="D606" s="24">
        <v>772000000</v>
      </c>
      <c r="E606" s="29" t="str">
        <f>'Hitung Per Bulan'!E606</f>
        <v/>
      </c>
      <c r="F606" s="24">
        <v>772000000</v>
      </c>
      <c r="G606" s="29" t="str">
        <f>'Hitung Per Bulan'!G606</f>
        <v/>
      </c>
    </row>
    <row r="607" spans="1:7" x14ac:dyDescent="0.45">
      <c r="A607" t="s">
        <v>14</v>
      </c>
      <c r="B607" t="s">
        <v>33</v>
      </c>
      <c r="C607" t="s">
        <v>21</v>
      </c>
      <c r="D607" s="24">
        <v>360000000</v>
      </c>
      <c r="E607" s="29" t="str">
        <f>'Hitung Per Bulan'!E607</f>
        <v/>
      </c>
      <c r="F607" s="24">
        <v>360000000</v>
      </c>
      <c r="G607" s="29" t="str">
        <f>'Hitung Per Bulan'!G607</f>
        <v/>
      </c>
    </row>
    <row r="608" spans="1:7" x14ac:dyDescent="0.45">
      <c r="A608" t="s">
        <v>15</v>
      </c>
      <c r="B608" t="s">
        <v>33</v>
      </c>
      <c r="C608" t="s">
        <v>21</v>
      </c>
      <c r="D608" s="24">
        <v>360000000</v>
      </c>
      <c r="E608" s="29" t="str">
        <f>'Hitung Per Bulan'!E608</f>
        <v/>
      </c>
      <c r="F608" s="24">
        <v>360000000</v>
      </c>
      <c r="G608" s="29" t="str">
        <f>'Hitung Per Bulan'!G608</f>
        <v/>
      </c>
    </row>
    <row r="609" spans="1:7" x14ac:dyDescent="0.45">
      <c r="A609" t="s">
        <v>16</v>
      </c>
      <c r="B609" t="s">
        <v>33</v>
      </c>
      <c r="C609" t="s">
        <v>21</v>
      </c>
      <c r="D609" s="24">
        <v>450000000</v>
      </c>
      <c r="E609" s="29" t="str">
        <f>'Hitung Per Bulan'!E609</f>
        <v/>
      </c>
      <c r="F609" s="24">
        <v>450000000</v>
      </c>
      <c r="G609" s="29" t="str">
        <f>'Hitung Per Bulan'!G609</f>
        <v/>
      </c>
    </row>
    <row r="610" spans="1:7" x14ac:dyDescent="0.45">
      <c r="A610" t="s">
        <v>17</v>
      </c>
      <c r="B610" t="s">
        <v>33</v>
      </c>
      <c r="C610" t="s">
        <v>21</v>
      </c>
      <c r="D610" s="24">
        <v>0</v>
      </c>
      <c r="E610" s="29" t="str">
        <f>'Hitung Per Bulan'!E610</f>
        <v/>
      </c>
      <c r="F610" s="24">
        <v>0</v>
      </c>
      <c r="G610" s="29" t="str">
        <f>'Hitung Per Bulan'!G610</f>
        <v/>
      </c>
    </row>
    <row r="611" spans="1:7" x14ac:dyDescent="0.45">
      <c r="A611" t="s">
        <v>18</v>
      </c>
      <c r="B611" t="s">
        <v>33</v>
      </c>
      <c r="C611" t="s">
        <v>21</v>
      </c>
      <c r="D611" s="24">
        <v>0</v>
      </c>
      <c r="E611" s="29" t="str">
        <f>'Hitung Per Bulan'!E611</f>
        <v/>
      </c>
      <c r="F611" s="24">
        <v>0</v>
      </c>
      <c r="G611" s="29" t="str">
        <f>'Hitung Per Bulan'!G611</f>
        <v/>
      </c>
    </row>
    <row r="612" spans="1:7" x14ac:dyDescent="0.45">
      <c r="A612" t="s">
        <v>19</v>
      </c>
      <c r="B612" t="s">
        <v>33</v>
      </c>
      <c r="C612" t="s">
        <v>21</v>
      </c>
      <c r="D612" s="24">
        <v>0</v>
      </c>
      <c r="E612" s="29" t="str">
        <f>'Hitung Per Bulan'!E612</f>
        <v/>
      </c>
      <c r="F612" s="24">
        <v>0</v>
      </c>
      <c r="G612" s="29" t="str">
        <f>'Hitung Per Bulan'!G612</f>
        <v/>
      </c>
    </row>
    <row r="613" spans="1:7" x14ac:dyDescent="0.45">
      <c r="A613" t="s">
        <v>20</v>
      </c>
      <c r="B613" t="s">
        <v>33</v>
      </c>
      <c r="C613" t="s">
        <v>21</v>
      </c>
      <c r="D613" s="24">
        <v>0</v>
      </c>
      <c r="E613" s="29" t="str">
        <f>'Hitung Per Bulan'!E613</f>
        <v/>
      </c>
      <c r="F613" s="24">
        <v>0</v>
      </c>
      <c r="G613" s="29" t="str">
        <f>'Hitung Per Bulan'!G613</f>
        <v/>
      </c>
    </row>
    <row r="614" spans="1:7" x14ac:dyDescent="0.45">
      <c r="A614" t="s">
        <v>7</v>
      </c>
      <c r="B614" t="s">
        <v>33</v>
      </c>
      <c r="C614" t="s">
        <v>22</v>
      </c>
      <c r="D614" s="24">
        <v>0</v>
      </c>
      <c r="E614" s="29">
        <f>'Hitung Per Bulan'!E614</f>
        <v>62100000</v>
      </c>
      <c r="F614" s="24">
        <v>0</v>
      </c>
      <c r="G614" s="29">
        <f>'Hitung Per Bulan'!G614</f>
        <v>0</v>
      </c>
    </row>
    <row r="615" spans="1:7" x14ac:dyDescent="0.45">
      <c r="A615" t="s">
        <v>10</v>
      </c>
      <c r="B615" t="s">
        <v>33</v>
      </c>
      <c r="C615" t="s">
        <v>22</v>
      </c>
      <c r="D615" s="24">
        <v>0</v>
      </c>
      <c r="E615" s="29">
        <f>'Hitung Per Bulan'!E615</f>
        <v>0</v>
      </c>
      <c r="F615" s="24">
        <v>0</v>
      </c>
      <c r="G615" s="29">
        <f>'Hitung Per Bulan'!G615</f>
        <v>62100000</v>
      </c>
    </row>
    <row r="616" spans="1:7" x14ac:dyDescent="0.45">
      <c r="A616" t="s">
        <v>11</v>
      </c>
      <c r="B616" t="s">
        <v>33</v>
      </c>
      <c r="C616" t="s">
        <v>22</v>
      </c>
      <c r="D616" s="24">
        <v>86594000</v>
      </c>
      <c r="E616" s="29">
        <f>'Hitung Per Bulan'!E616</f>
        <v>0</v>
      </c>
      <c r="F616" s="24">
        <v>86594000</v>
      </c>
      <c r="G616" s="29">
        <f>'Hitung Per Bulan'!G616</f>
        <v>0</v>
      </c>
    </row>
    <row r="617" spans="1:7" x14ac:dyDescent="0.45">
      <c r="A617" t="s">
        <v>12</v>
      </c>
      <c r="B617" t="s">
        <v>33</v>
      </c>
      <c r="C617" t="s">
        <v>22</v>
      </c>
      <c r="D617" s="24">
        <v>0</v>
      </c>
      <c r="E617" s="29" t="str">
        <f>'Hitung Per Bulan'!E617</f>
        <v/>
      </c>
      <c r="F617" s="24">
        <v>0</v>
      </c>
      <c r="G617" s="29" t="str">
        <f>'Hitung Per Bulan'!G617</f>
        <v/>
      </c>
    </row>
    <row r="618" spans="1:7" x14ac:dyDescent="0.45">
      <c r="A618" t="s">
        <v>13</v>
      </c>
      <c r="B618" t="s">
        <v>33</v>
      </c>
      <c r="C618" t="s">
        <v>22</v>
      </c>
      <c r="D618" s="24">
        <v>86594000</v>
      </c>
      <c r="E618" s="29" t="str">
        <f>'Hitung Per Bulan'!E618</f>
        <v/>
      </c>
      <c r="F618" s="24">
        <v>86594000</v>
      </c>
      <c r="G618" s="29" t="str">
        <f>'Hitung Per Bulan'!G618</f>
        <v/>
      </c>
    </row>
    <row r="619" spans="1:7" x14ac:dyDescent="0.45">
      <c r="A619" t="s">
        <v>14</v>
      </c>
      <c r="B619" t="s">
        <v>33</v>
      </c>
      <c r="C619" t="s">
        <v>22</v>
      </c>
      <c r="D619" s="24">
        <v>0</v>
      </c>
      <c r="E619" s="29" t="str">
        <f>'Hitung Per Bulan'!E619</f>
        <v/>
      </c>
      <c r="F619" s="24">
        <v>0</v>
      </c>
      <c r="G619" s="29" t="str">
        <f>'Hitung Per Bulan'!G619</f>
        <v/>
      </c>
    </row>
    <row r="620" spans="1:7" x14ac:dyDescent="0.45">
      <c r="A620" t="s">
        <v>15</v>
      </c>
      <c r="B620" t="s">
        <v>33</v>
      </c>
      <c r="C620" t="s">
        <v>22</v>
      </c>
      <c r="D620" s="24">
        <v>86594000</v>
      </c>
      <c r="E620" s="29" t="str">
        <f>'Hitung Per Bulan'!E620</f>
        <v/>
      </c>
      <c r="F620" s="24">
        <v>86594000</v>
      </c>
      <c r="G620" s="29" t="str">
        <f>'Hitung Per Bulan'!G620</f>
        <v/>
      </c>
    </row>
    <row r="621" spans="1:7" x14ac:dyDescent="0.45">
      <c r="A621" t="s">
        <v>16</v>
      </c>
      <c r="B621" t="s">
        <v>33</v>
      </c>
      <c r="C621" t="s">
        <v>22</v>
      </c>
      <c r="D621" s="24">
        <v>0</v>
      </c>
      <c r="E621" s="29" t="str">
        <f>'Hitung Per Bulan'!E621</f>
        <v/>
      </c>
      <c r="F621" s="24">
        <v>0</v>
      </c>
      <c r="G621" s="29" t="str">
        <f>'Hitung Per Bulan'!G621</f>
        <v/>
      </c>
    </row>
    <row r="622" spans="1:7" x14ac:dyDescent="0.45">
      <c r="A622" t="s">
        <v>17</v>
      </c>
      <c r="B622" t="s">
        <v>33</v>
      </c>
      <c r="C622" t="s">
        <v>22</v>
      </c>
      <c r="D622" s="24">
        <v>86596000</v>
      </c>
      <c r="E622" s="29" t="str">
        <f>'Hitung Per Bulan'!E622</f>
        <v/>
      </c>
      <c r="F622" s="24">
        <v>86596000</v>
      </c>
      <c r="G622" s="29" t="str">
        <f>'Hitung Per Bulan'!G622</f>
        <v/>
      </c>
    </row>
    <row r="623" spans="1:7" x14ac:dyDescent="0.45">
      <c r="A623" t="s">
        <v>18</v>
      </c>
      <c r="B623" t="s">
        <v>33</v>
      </c>
      <c r="C623" t="s">
        <v>22</v>
      </c>
      <c r="D623" s="24">
        <v>0</v>
      </c>
      <c r="E623" s="29" t="str">
        <f>'Hitung Per Bulan'!E623</f>
        <v/>
      </c>
      <c r="F623" s="24">
        <v>0</v>
      </c>
      <c r="G623" s="29" t="str">
        <f>'Hitung Per Bulan'!G623</f>
        <v/>
      </c>
    </row>
    <row r="624" spans="1:7" x14ac:dyDescent="0.45">
      <c r="A624" t="s">
        <v>19</v>
      </c>
      <c r="B624" t="s">
        <v>33</v>
      </c>
      <c r="C624" t="s">
        <v>22</v>
      </c>
      <c r="D624" s="24">
        <v>0</v>
      </c>
      <c r="E624" s="29" t="str">
        <f>'Hitung Per Bulan'!E624</f>
        <v/>
      </c>
      <c r="F624" s="24">
        <v>0</v>
      </c>
      <c r="G624" s="29" t="str">
        <f>'Hitung Per Bulan'!G624</f>
        <v/>
      </c>
    </row>
    <row r="625" spans="1:7" x14ac:dyDescent="0.45">
      <c r="A625" t="s">
        <v>20</v>
      </c>
      <c r="B625" t="s">
        <v>33</v>
      </c>
      <c r="C625" t="s">
        <v>22</v>
      </c>
      <c r="D625" s="24">
        <v>0</v>
      </c>
      <c r="E625" s="29" t="str">
        <f>'Hitung Per Bulan'!E625</f>
        <v/>
      </c>
      <c r="F625" s="24">
        <v>0</v>
      </c>
      <c r="G625" s="29" t="str">
        <f>'Hitung Per Bulan'!G625</f>
        <v/>
      </c>
    </row>
    <row r="626" spans="1:7" x14ac:dyDescent="0.45">
      <c r="A626" t="s">
        <v>7</v>
      </c>
      <c r="B626" t="s">
        <v>33</v>
      </c>
      <c r="C626" t="s">
        <v>23</v>
      </c>
      <c r="D626" s="24">
        <v>0</v>
      </c>
      <c r="E626" s="29">
        <f>'Hitung Per Bulan'!E626</f>
        <v>0</v>
      </c>
      <c r="F626" s="24">
        <v>0</v>
      </c>
      <c r="G626" s="29">
        <f>'Hitung Per Bulan'!G626</f>
        <v>0</v>
      </c>
    </row>
    <row r="627" spans="1:7" x14ac:dyDescent="0.45">
      <c r="A627" t="s">
        <v>10</v>
      </c>
      <c r="B627" t="s">
        <v>33</v>
      </c>
      <c r="C627" t="s">
        <v>23</v>
      </c>
      <c r="D627" s="24">
        <v>0</v>
      </c>
      <c r="E627" s="29">
        <f>'Hitung Per Bulan'!E627</f>
        <v>0</v>
      </c>
      <c r="F627" s="24">
        <v>0</v>
      </c>
      <c r="G627" s="29">
        <f>'Hitung Per Bulan'!G627</f>
        <v>0</v>
      </c>
    </row>
    <row r="628" spans="1:7" x14ac:dyDescent="0.45">
      <c r="A628" t="s">
        <v>11</v>
      </c>
      <c r="B628" t="s">
        <v>33</v>
      </c>
      <c r="C628" t="s">
        <v>23</v>
      </c>
      <c r="D628" s="24">
        <v>0</v>
      </c>
      <c r="E628" s="29">
        <f>'Hitung Per Bulan'!E628</f>
        <v>0</v>
      </c>
      <c r="F628" s="24">
        <v>0</v>
      </c>
      <c r="G628" s="29">
        <f>'Hitung Per Bulan'!G628</f>
        <v>0</v>
      </c>
    </row>
    <row r="629" spans="1:7" x14ac:dyDescent="0.45">
      <c r="A629" t="s">
        <v>12</v>
      </c>
      <c r="B629" t="s">
        <v>33</v>
      </c>
      <c r="C629" t="s">
        <v>23</v>
      </c>
      <c r="D629" s="24">
        <v>50000000</v>
      </c>
      <c r="E629" s="29" t="str">
        <f>'Hitung Per Bulan'!E629</f>
        <v/>
      </c>
      <c r="F629" s="24">
        <v>50000000</v>
      </c>
      <c r="G629" s="29" t="str">
        <f>'Hitung Per Bulan'!G629</f>
        <v/>
      </c>
    </row>
    <row r="630" spans="1:7" x14ac:dyDescent="0.45">
      <c r="A630" t="s">
        <v>13</v>
      </c>
      <c r="B630" t="s">
        <v>33</v>
      </c>
      <c r="C630" t="s">
        <v>23</v>
      </c>
      <c r="D630" s="24">
        <v>0</v>
      </c>
      <c r="E630" s="29" t="str">
        <f>'Hitung Per Bulan'!E630</f>
        <v/>
      </c>
      <c r="F630" s="24">
        <v>0</v>
      </c>
      <c r="G630" s="29" t="str">
        <f>'Hitung Per Bulan'!G630</f>
        <v/>
      </c>
    </row>
    <row r="631" spans="1:7" x14ac:dyDescent="0.45">
      <c r="A631" t="s">
        <v>14</v>
      </c>
      <c r="B631" t="s">
        <v>33</v>
      </c>
      <c r="C631" t="s">
        <v>23</v>
      </c>
      <c r="D631" s="24">
        <v>50000000</v>
      </c>
      <c r="E631" s="29" t="str">
        <f>'Hitung Per Bulan'!E631</f>
        <v/>
      </c>
      <c r="F631" s="24">
        <v>50000000</v>
      </c>
      <c r="G631" s="29" t="str">
        <f>'Hitung Per Bulan'!G631</f>
        <v/>
      </c>
    </row>
    <row r="632" spans="1:7" x14ac:dyDescent="0.45">
      <c r="A632" t="s">
        <v>15</v>
      </c>
      <c r="B632" t="s">
        <v>33</v>
      </c>
      <c r="C632" t="s">
        <v>23</v>
      </c>
      <c r="D632" s="24">
        <v>0</v>
      </c>
      <c r="E632" s="29" t="str">
        <f>'Hitung Per Bulan'!E632</f>
        <v/>
      </c>
      <c r="F632" s="24">
        <v>0</v>
      </c>
      <c r="G632" s="29" t="str">
        <f>'Hitung Per Bulan'!G632</f>
        <v/>
      </c>
    </row>
    <row r="633" spans="1:7" x14ac:dyDescent="0.45">
      <c r="A633" t="s">
        <v>16</v>
      </c>
      <c r="B633" t="s">
        <v>33</v>
      </c>
      <c r="C633" t="s">
        <v>23</v>
      </c>
      <c r="D633" s="24">
        <v>50000000</v>
      </c>
      <c r="E633" s="29" t="str">
        <f>'Hitung Per Bulan'!E633</f>
        <v/>
      </c>
      <c r="F633" s="24">
        <v>50000000</v>
      </c>
      <c r="G633" s="29" t="str">
        <f>'Hitung Per Bulan'!G633</f>
        <v/>
      </c>
    </row>
    <row r="634" spans="1:7" x14ac:dyDescent="0.45">
      <c r="A634" t="s">
        <v>17</v>
      </c>
      <c r="B634" t="s">
        <v>33</v>
      </c>
      <c r="C634" t="s">
        <v>23</v>
      </c>
      <c r="D634" s="24">
        <v>0</v>
      </c>
      <c r="E634" s="29" t="str">
        <f>'Hitung Per Bulan'!E634</f>
        <v/>
      </c>
      <c r="F634" s="24">
        <v>0</v>
      </c>
      <c r="G634" s="29" t="str">
        <f>'Hitung Per Bulan'!G634</f>
        <v/>
      </c>
    </row>
    <row r="635" spans="1:7" x14ac:dyDescent="0.45">
      <c r="A635" t="s">
        <v>18</v>
      </c>
      <c r="B635" t="s">
        <v>33</v>
      </c>
      <c r="C635" t="s">
        <v>23</v>
      </c>
      <c r="D635" s="24">
        <v>50000000</v>
      </c>
      <c r="E635" s="29" t="str">
        <f>'Hitung Per Bulan'!E635</f>
        <v/>
      </c>
      <c r="F635" s="24">
        <v>50000000</v>
      </c>
      <c r="G635" s="29" t="str">
        <f>'Hitung Per Bulan'!G635</f>
        <v/>
      </c>
    </row>
    <row r="636" spans="1:7" x14ac:dyDescent="0.45">
      <c r="A636" t="s">
        <v>19</v>
      </c>
      <c r="B636" t="s">
        <v>33</v>
      </c>
      <c r="C636" t="s">
        <v>23</v>
      </c>
      <c r="D636" s="24">
        <v>0</v>
      </c>
      <c r="E636" s="29" t="str">
        <f>'Hitung Per Bulan'!E636</f>
        <v/>
      </c>
      <c r="F636" s="24">
        <v>0</v>
      </c>
      <c r="G636" s="29" t="str">
        <f>'Hitung Per Bulan'!G636</f>
        <v/>
      </c>
    </row>
    <row r="637" spans="1:7" x14ac:dyDescent="0.45">
      <c r="A637" t="s">
        <v>20</v>
      </c>
      <c r="B637" t="s">
        <v>33</v>
      </c>
      <c r="C637" t="s">
        <v>23</v>
      </c>
      <c r="D637" s="24">
        <v>0</v>
      </c>
      <c r="E637" s="29" t="str">
        <f>'Hitung Per Bulan'!E637</f>
        <v/>
      </c>
      <c r="F637" s="24">
        <v>0</v>
      </c>
      <c r="G637" s="29" t="str">
        <f>'Hitung Per Bulan'!G637</f>
        <v/>
      </c>
    </row>
    <row r="638" spans="1:7" x14ac:dyDescent="0.45">
      <c r="A638" t="s">
        <v>7</v>
      </c>
      <c r="B638" t="s">
        <v>33</v>
      </c>
      <c r="C638" t="s">
        <v>24</v>
      </c>
      <c r="D638" s="24">
        <v>0</v>
      </c>
      <c r="E638" s="29">
        <f>'Hitung Per Bulan'!E638</f>
        <v>0</v>
      </c>
      <c r="F638" s="24">
        <v>0</v>
      </c>
      <c r="G638" s="29">
        <f>'Hitung Per Bulan'!G638</f>
        <v>0</v>
      </c>
    </row>
    <row r="639" spans="1:7" x14ac:dyDescent="0.45">
      <c r="A639" t="s">
        <v>10</v>
      </c>
      <c r="B639" t="s">
        <v>33</v>
      </c>
      <c r="C639" t="s">
        <v>24</v>
      </c>
      <c r="D639" s="24">
        <v>0</v>
      </c>
      <c r="E639" s="29">
        <f>'Hitung Per Bulan'!E639</f>
        <v>0</v>
      </c>
      <c r="F639" s="24">
        <v>0</v>
      </c>
      <c r="G639" s="29">
        <f>'Hitung Per Bulan'!G639</f>
        <v>0</v>
      </c>
    </row>
    <row r="640" spans="1:7" x14ac:dyDescent="0.45">
      <c r="A640" t="s">
        <v>11</v>
      </c>
      <c r="B640" t="s">
        <v>33</v>
      </c>
      <c r="C640" t="s">
        <v>24</v>
      </c>
      <c r="D640" s="24">
        <v>0</v>
      </c>
      <c r="E640" s="29">
        <f>'Hitung Per Bulan'!E640</f>
        <v>0</v>
      </c>
      <c r="F640" s="24">
        <v>0</v>
      </c>
      <c r="G640" s="29">
        <f>'Hitung Per Bulan'!G640</f>
        <v>0</v>
      </c>
    </row>
    <row r="641" spans="1:7" x14ac:dyDescent="0.45">
      <c r="A641" t="s">
        <v>12</v>
      </c>
      <c r="B641" t="s">
        <v>33</v>
      </c>
      <c r="C641" t="s">
        <v>24</v>
      </c>
      <c r="D641" s="24">
        <v>0</v>
      </c>
      <c r="E641" s="29" t="str">
        <f>'Hitung Per Bulan'!E641</f>
        <v/>
      </c>
      <c r="F641" s="24">
        <v>0</v>
      </c>
      <c r="G641" s="29" t="str">
        <f>'Hitung Per Bulan'!G641</f>
        <v/>
      </c>
    </row>
    <row r="642" spans="1:7" x14ac:dyDescent="0.45">
      <c r="A642" t="s">
        <v>13</v>
      </c>
      <c r="B642" t="s">
        <v>33</v>
      </c>
      <c r="C642" t="s">
        <v>24</v>
      </c>
      <c r="D642" s="24">
        <v>0</v>
      </c>
      <c r="E642" s="29" t="str">
        <f>'Hitung Per Bulan'!E642</f>
        <v/>
      </c>
      <c r="F642" s="24">
        <v>0</v>
      </c>
      <c r="G642" s="29" t="str">
        <f>'Hitung Per Bulan'!G642</f>
        <v/>
      </c>
    </row>
    <row r="643" spans="1:7" x14ac:dyDescent="0.45">
      <c r="A643" t="s">
        <v>14</v>
      </c>
      <c r="B643" t="s">
        <v>33</v>
      </c>
      <c r="C643" t="s">
        <v>24</v>
      </c>
      <c r="D643" s="24">
        <v>0</v>
      </c>
      <c r="E643" s="29" t="str">
        <f>'Hitung Per Bulan'!E643</f>
        <v/>
      </c>
      <c r="F643" s="24">
        <v>0</v>
      </c>
      <c r="G643" s="29" t="str">
        <f>'Hitung Per Bulan'!G643</f>
        <v/>
      </c>
    </row>
    <row r="644" spans="1:7" x14ac:dyDescent="0.45">
      <c r="A644" t="s">
        <v>15</v>
      </c>
      <c r="B644" t="s">
        <v>33</v>
      </c>
      <c r="C644" t="s">
        <v>24</v>
      </c>
      <c r="D644" s="24">
        <v>0</v>
      </c>
      <c r="E644" s="29" t="str">
        <f>'Hitung Per Bulan'!E644</f>
        <v/>
      </c>
      <c r="F644" s="24">
        <v>0</v>
      </c>
      <c r="G644" s="29" t="str">
        <f>'Hitung Per Bulan'!G644</f>
        <v/>
      </c>
    </row>
    <row r="645" spans="1:7" x14ac:dyDescent="0.45">
      <c r="A645" t="s">
        <v>16</v>
      </c>
      <c r="B645" t="s">
        <v>33</v>
      </c>
      <c r="C645" t="s">
        <v>24</v>
      </c>
      <c r="D645" s="24">
        <v>0</v>
      </c>
      <c r="E645" s="29" t="str">
        <f>'Hitung Per Bulan'!E645</f>
        <v/>
      </c>
      <c r="F645" s="24">
        <v>0</v>
      </c>
      <c r="G645" s="29" t="str">
        <f>'Hitung Per Bulan'!G645</f>
        <v/>
      </c>
    </row>
    <row r="646" spans="1:7" x14ac:dyDescent="0.45">
      <c r="A646" t="s">
        <v>17</v>
      </c>
      <c r="B646" t="s">
        <v>33</v>
      </c>
      <c r="C646" t="s">
        <v>24</v>
      </c>
      <c r="D646" s="24">
        <v>0</v>
      </c>
      <c r="E646" s="29" t="str">
        <f>'Hitung Per Bulan'!E646</f>
        <v/>
      </c>
      <c r="F646" s="24">
        <v>0</v>
      </c>
      <c r="G646" s="29" t="str">
        <f>'Hitung Per Bulan'!G646</f>
        <v/>
      </c>
    </row>
    <row r="647" spans="1:7" x14ac:dyDescent="0.45">
      <c r="A647" t="s">
        <v>18</v>
      </c>
      <c r="B647" t="s">
        <v>33</v>
      </c>
      <c r="C647" t="s">
        <v>24</v>
      </c>
      <c r="D647" s="24">
        <v>0</v>
      </c>
      <c r="E647" s="29" t="str">
        <f>'Hitung Per Bulan'!E647</f>
        <v/>
      </c>
      <c r="F647" s="24">
        <v>0</v>
      </c>
      <c r="G647" s="29" t="str">
        <f>'Hitung Per Bulan'!G647</f>
        <v/>
      </c>
    </row>
    <row r="648" spans="1:7" x14ac:dyDescent="0.45">
      <c r="A648" t="s">
        <v>19</v>
      </c>
      <c r="B648" t="s">
        <v>33</v>
      </c>
      <c r="C648" t="s">
        <v>24</v>
      </c>
      <c r="D648" s="24">
        <v>0</v>
      </c>
      <c r="E648" s="29" t="str">
        <f>'Hitung Per Bulan'!E648</f>
        <v/>
      </c>
      <c r="F648" s="24">
        <v>0</v>
      </c>
      <c r="G648" s="29" t="str">
        <f>'Hitung Per Bulan'!G648</f>
        <v/>
      </c>
    </row>
    <row r="649" spans="1:7" x14ac:dyDescent="0.45">
      <c r="A649" t="s">
        <v>20</v>
      </c>
      <c r="B649" t="s">
        <v>33</v>
      </c>
      <c r="C649" t="s">
        <v>24</v>
      </c>
      <c r="D649" s="24">
        <v>0</v>
      </c>
      <c r="E649" s="29" t="str">
        <f>'Hitung Per Bulan'!E649</f>
        <v/>
      </c>
      <c r="F649" s="24">
        <v>0</v>
      </c>
      <c r="G649" s="29" t="str">
        <f>'Hitung Per Bulan'!G649</f>
        <v/>
      </c>
    </row>
    <row r="650" spans="1:7" x14ac:dyDescent="0.45">
      <c r="A650" t="s">
        <v>7</v>
      </c>
      <c r="B650" t="s">
        <v>33</v>
      </c>
      <c r="C650" t="s">
        <v>25</v>
      </c>
      <c r="D650" s="24">
        <v>103716000</v>
      </c>
      <c r="E650" s="29">
        <f>'Hitung Per Bulan'!E650</f>
        <v>120480816</v>
      </c>
      <c r="F650" s="24">
        <v>103716000</v>
      </c>
      <c r="G650" s="29">
        <f>'Hitung Per Bulan'!G650</f>
        <v>16907009</v>
      </c>
    </row>
    <row r="651" spans="1:7" x14ac:dyDescent="0.45">
      <c r="A651" t="s">
        <v>10</v>
      </c>
      <c r="B651" t="s">
        <v>33</v>
      </c>
      <c r="C651" t="s">
        <v>25</v>
      </c>
      <c r="D651" s="24">
        <v>92092000</v>
      </c>
      <c r="E651" s="29">
        <f>'Hitung Per Bulan'!E651</f>
        <v>80820599</v>
      </c>
      <c r="F651" s="24">
        <v>92092000</v>
      </c>
      <c r="G651" s="29">
        <f>'Hitung Per Bulan'!G651</f>
        <v>137491406</v>
      </c>
    </row>
    <row r="652" spans="1:7" x14ac:dyDescent="0.45">
      <c r="A652" t="s">
        <v>11</v>
      </c>
      <c r="B652" t="s">
        <v>33</v>
      </c>
      <c r="C652" t="s">
        <v>25</v>
      </c>
      <c r="D652" s="24">
        <v>92092000</v>
      </c>
      <c r="E652" s="29">
        <f>'Hitung Per Bulan'!E652</f>
        <v>10986500</v>
      </c>
      <c r="F652" s="24">
        <v>92092000</v>
      </c>
      <c r="G652" s="29">
        <f>'Hitung Per Bulan'!G652</f>
        <v>10986500</v>
      </c>
    </row>
    <row r="653" spans="1:7" x14ac:dyDescent="0.45">
      <c r="A653" t="s">
        <v>12</v>
      </c>
      <c r="B653" t="s">
        <v>33</v>
      </c>
      <c r="C653" t="s">
        <v>25</v>
      </c>
      <c r="D653" s="24">
        <v>103716000</v>
      </c>
      <c r="E653" s="29" t="str">
        <f>'Hitung Per Bulan'!E653</f>
        <v/>
      </c>
      <c r="F653" s="24">
        <v>103716000</v>
      </c>
      <c r="G653" s="29" t="str">
        <f>'Hitung Per Bulan'!G653</f>
        <v/>
      </c>
    </row>
    <row r="654" spans="1:7" x14ac:dyDescent="0.45">
      <c r="A654" t="s">
        <v>13</v>
      </c>
      <c r="B654" t="s">
        <v>33</v>
      </c>
      <c r="C654" t="s">
        <v>25</v>
      </c>
      <c r="D654" s="24">
        <v>92092000</v>
      </c>
      <c r="E654" s="29" t="str">
        <f>'Hitung Per Bulan'!E654</f>
        <v/>
      </c>
      <c r="F654" s="24">
        <v>92092000</v>
      </c>
      <c r="G654" s="29" t="str">
        <f>'Hitung Per Bulan'!G654</f>
        <v/>
      </c>
    </row>
    <row r="655" spans="1:7" x14ac:dyDescent="0.45">
      <c r="A655" t="s">
        <v>14</v>
      </c>
      <c r="B655" t="s">
        <v>33</v>
      </c>
      <c r="C655" t="s">
        <v>25</v>
      </c>
      <c r="D655" s="24">
        <v>92092000</v>
      </c>
      <c r="E655" s="29" t="str">
        <f>'Hitung Per Bulan'!E655</f>
        <v/>
      </c>
      <c r="F655" s="24">
        <v>92092000</v>
      </c>
      <c r="G655" s="29" t="str">
        <f>'Hitung Per Bulan'!G655</f>
        <v/>
      </c>
    </row>
    <row r="656" spans="1:7" x14ac:dyDescent="0.45">
      <c r="A656" t="s">
        <v>15</v>
      </c>
      <c r="B656" t="s">
        <v>33</v>
      </c>
      <c r="C656" t="s">
        <v>25</v>
      </c>
      <c r="D656" s="24">
        <v>469238000</v>
      </c>
      <c r="E656" s="29" t="str">
        <f>'Hitung Per Bulan'!E656</f>
        <v/>
      </c>
      <c r="F656" s="24">
        <v>469238000</v>
      </c>
      <c r="G656" s="29" t="str">
        <f>'Hitung Per Bulan'!G656</f>
        <v/>
      </c>
    </row>
    <row r="657" spans="1:7" x14ac:dyDescent="0.45">
      <c r="A657" t="s">
        <v>16</v>
      </c>
      <c r="B657" t="s">
        <v>33</v>
      </c>
      <c r="C657" t="s">
        <v>25</v>
      </c>
      <c r="D657" s="24">
        <v>142092000</v>
      </c>
      <c r="E657" s="29" t="str">
        <f>'Hitung Per Bulan'!E657</f>
        <v/>
      </c>
      <c r="F657" s="24">
        <v>142092000</v>
      </c>
      <c r="G657" s="29" t="str">
        <f>'Hitung Per Bulan'!G657</f>
        <v/>
      </c>
    </row>
    <row r="658" spans="1:7" x14ac:dyDescent="0.45">
      <c r="A658" t="s">
        <v>17</v>
      </c>
      <c r="B658" t="s">
        <v>33</v>
      </c>
      <c r="C658" t="s">
        <v>25</v>
      </c>
      <c r="D658" s="24">
        <v>407092000</v>
      </c>
      <c r="E658" s="29" t="str">
        <f>'Hitung Per Bulan'!E658</f>
        <v/>
      </c>
      <c r="F658" s="24">
        <v>407092000</v>
      </c>
      <c r="G658" s="29" t="str">
        <f>'Hitung Per Bulan'!G658</f>
        <v/>
      </c>
    </row>
    <row r="659" spans="1:7" x14ac:dyDescent="0.45">
      <c r="A659" t="s">
        <v>18</v>
      </c>
      <c r="B659" t="s">
        <v>33</v>
      </c>
      <c r="C659" t="s">
        <v>25</v>
      </c>
      <c r="D659" s="24">
        <v>103717000</v>
      </c>
      <c r="E659" s="29" t="str">
        <f>'Hitung Per Bulan'!E659</f>
        <v/>
      </c>
      <c r="F659" s="24">
        <v>103717000</v>
      </c>
      <c r="G659" s="29" t="str">
        <f>'Hitung Per Bulan'!G659</f>
        <v/>
      </c>
    </row>
    <row r="660" spans="1:7" x14ac:dyDescent="0.45">
      <c r="A660" t="s">
        <v>19</v>
      </c>
      <c r="B660" t="s">
        <v>33</v>
      </c>
      <c r="C660" t="s">
        <v>25</v>
      </c>
      <c r="D660" s="24">
        <v>92092000</v>
      </c>
      <c r="E660" s="29" t="str">
        <f>'Hitung Per Bulan'!E660</f>
        <v/>
      </c>
      <c r="F660" s="24">
        <v>92092000</v>
      </c>
      <c r="G660" s="29" t="str">
        <f>'Hitung Per Bulan'!G660</f>
        <v/>
      </c>
    </row>
    <row r="661" spans="1:7" x14ac:dyDescent="0.45">
      <c r="A661" t="s">
        <v>20</v>
      </c>
      <c r="B661" t="s">
        <v>33</v>
      </c>
      <c r="C661" t="s">
        <v>25</v>
      </c>
      <c r="D661" s="24">
        <v>92097000</v>
      </c>
      <c r="E661" s="29" t="str">
        <f>'Hitung Per Bulan'!E661</f>
        <v/>
      </c>
      <c r="F661" s="24">
        <v>92097000</v>
      </c>
      <c r="G661" s="29" t="str">
        <f>'Hitung Per Bulan'!G661</f>
        <v/>
      </c>
    </row>
    <row r="662" spans="1:7" x14ac:dyDescent="0.45">
      <c r="A662" t="s">
        <v>7</v>
      </c>
      <c r="B662" t="s">
        <v>33</v>
      </c>
      <c r="C662" t="s">
        <v>26</v>
      </c>
      <c r="D662" s="24">
        <v>182113333.33333334</v>
      </c>
      <c r="E662" s="29">
        <f>'Hitung Per Bulan'!E662</f>
        <v>162001884</v>
      </c>
      <c r="F662" s="24">
        <v>182113333.33333334</v>
      </c>
      <c r="G662" s="29">
        <f>'Hitung Per Bulan'!G662</f>
        <v>162001884</v>
      </c>
    </row>
    <row r="663" spans="1:7" x14ac:dyDescent="0.45">
      <c r="A663" t="s">
        <v>10</v>
      </c>
      <c r="B663" t="s">
        <v>33</v>
      </c>
      <c r="C663" t="s">
        <v>26</v>
      </c>
      <c r="D663" s="24">
        <v>182113000</v>
      </c>
      <c r="E663" s="29">
        <f>'Hitung Per Bulan'!E663</f>
        <v>158370071</v>
      </c>
      <c r="F663" s="24">
        <v>182113000</v>
      </c>
      <c r="G663" s="29">
        <f>'Hitung Per Bulan'!G663</f>
        <v>158370071</v>
      </c>
    </row>
    <row r="664" spans="1:7" x14ac:dyDescent="0.45">
      <c r="A664" t="s">
        <v>11</v>
      </c>
      <c r="B664" t="s">
        <v>33</v>
      </c>
      <c r="C664" t="s">
        <v>26</v>
      </c>
      <c r="D664" s="24">
        <v>182113000</v>
      </c>
      <c r="E664" s="29">
        <f>'Hitung Per Bulan'!E664</f>
        <v>0</v>
      </c>
      <c r="F664" s="24">
        <v>182113000</v>
      </c>
      <c r="G664" s="29">
        <f>'Hitung Per Bulan'!G664</f>
        <v>0</v>
      </c>
    </row>
    <row r="665" spans="1:7" x14ac:dyDescent="0.45">
      <c r="A665" t="s">
        <v>12</v>
      </c>
      <c r="B665" t="s">
        <v>33</v>
      </c>
      <c r="C665" t="s">
        <v>26</v>
      </c>
      <c r="D665" s="24">
        <v>182113000</v>
      </c>
      <c r="E665" s="29" t="str">
        <f>'Hitung Per Bulan'!E665</f>
        <v/>
      </c>
      <c r="F665" s="24">
        <v>182113000</v>
      </c>
      <c r="G665" s="29" t="str">
        <f>'Hitung Per Bulan'!G665</f>
        <v/>
      </c>
    </row>
    <row r="666" spans="1:7" x14ac:dyDescent="0.45">
      <c r="A666" t="s">
        <v>13</v>
      </c>
      <c r="B666" t="s">
        <v>33</v>
      </c>
      <c r="C666" t="s">
        <v>26</v>
      </c>
      <c r="D666" s="24">
        <v>182113000</v>
      </c>
      <c r="E666" s="29" t="str">
        <f>'Hitung Per Bulan'!E666</f>
        <v/>
      </c>
      <c r="F666" s="24">
        <v>182113000</v>
      </c>
      <c r="G666" s="29" t="str">
        <f>'Hitung Per Bulan'!G666</f>
        <v/>
      </c>
    </row>
    <row r="667" spans="1:7" x14ac:dyDescent="0.45">
      <c r="A667" t="s">
        <v>14</v>
      </c>
      <c r="B667" t="s">
        <v>33</v>
      </c>
      <c r="C667" t="s">
        <v>26</v>
      </c>
      <c r="D667" s="24">
        <v>182113000</v>
      </c>
      <c r="E667" s="29" t="str">
        <f>'Hitung Per Bulan'!E667</f>
        <v/>
      </c>
      <c r="F667" s="24">
        <v>182113000</v>
      </c>
      <c r="G667" s="29" t="str">
        <f>'Hitung Per Bulan'!G667</f>
        <v/>
      </c>
    </row>
    <row r="668" spans="1:7" x14ac:dyDescent="0.45">
      <c r="A668" t="s">
        <v>15</v>
      </c>
      <c r="B668" t="s">
        <v>33</v>
      </c>
      <c r="C668" t="s">
        <v>26</v>
      </c>
      <c r="D668" s="24">
        <v>182113000</v>
      </c>
      <c r="E668" s="29" t="str">
        <f>'Hitung Per Bulan'!E668</f>
        <v/>
      </c>
      <c r="F668" s="24">
        <v>182113000</v>
      </c>
      <c r="G668" s="29" t="str">
        <f>'Hitung Per Bulan'!G668</f>
        <v/>
      </c>
    </row>
    <row r="669" spans="1:7" x14ac:dyDescent="0.45">
      <c r="A669" t="s">
        <v>16</v>
      </c>
      <c r="B669" t="s">
        <v>33</v>
      </c>
      <c r="C669" t="s">
        <v>26</v>
      </c>
      <c r="D669" s="24">
        <v>182113000</v>
      </c>
      <c r="E669" s="29" t="str">
        <f>'Hitung Per Bulan'!E669</f>
        <v/>
      </c>
      <c r="F669" s="24">
        <v>182113000</v>
      </c>
      <c r="G669" s="29" t="str">
        <f>'Hitung Per Bulan'!G669</f>
        <v/>
      </c>
    </row>
    <row r="670" spans="1:7" x14ac:dyDescent="0.45">
      <c r="A670" t="s">
        <v>17</v>
      </c>
      <c r="B670" t="s">
        <v>33</v>
      </c>
      <c r="C670" t="s">
        <v>26</v>
      </c>
      <c r="D670" s="24">
        <v>182113000</v>
      </c>
      <c r="E670" s="29" t="str">
        <f>'Hitung Per Bulan'!E670</f>
        <v/>
      </c>
      <c r="F670" s="24">
        <v>182113000</v>
      </c>
      <c r="G670" s="29" t="str">
        <f>'Hitung Per Bulan'!G670</f>
        <v/>
      </c>
    </row>
    <row r="671" spans="1:7" x14ac:dyDescent="0.45">
      <c r="A671" t="s">
        <v>18</v>
      </c>
      <c r="B671" t="s">
        <v>33</v>
      </c>
      <c r="C671" t="s">
        <v>26</v>
      </c>
      <c r="D671" s="24">
        <v>182113000</v>
      </c>
      <c r="E671" s="29" t="str">
        <f>'Hitung Per Bulan'!E671</f>
        <v/>
      </c>
      <c r="F671" s="24">
        <v>182113000</v>
      </c>
      <c r="G671" s="29" t="str">
        <f>'Hitung Per Bulan'!G671</f>
        <v/>
      </c>
    </row>
    <row r="672" spans="1:7" x14ac:dyDescent="0.45">
      <c r="A672" t="s">
        <v>19</v>
      </c>
      <c r="B672" t="s">
        <v>33</v>
      </c>
      <c r="C672" t="s">
        <v>26</v>
      </c>
      <c r="D672" s="24">
        <v>182113000</v>
      </c>
      <c r="E672" s="29" t="str">
        <f>'Hitung Per Bulan'!E672</f>
        <v/>
      </c>
      <c r="F672" s="24">
        <v>182113000</v>
      </c>
      <c r="G672" s="29" t="str">
        <f>'Hitung Per Bulan'!G672</f>
        <v/>
      </c>
    </row>
    <row r="673" spans="1:7" x14ac:dyDescent="0.45">
      <c r="A673" t="s">
        <v>20</v>
      </c>
      <c r="B673" t="s">
        <v>33</v>
      </c>
      <c r="C673" t="s">
        <v>26</v>
      </c>
      <c r="D673" s="24">
        <v>182117000</v>
      </c>
      <c r="E673" s="29" t="str">
        <f>'Hitung Per Bulan'!E673</f>
        <v/>
      </c>
      <c r="F673" s="24">
        <v>182117000</v>
      </c>
      <c r="G673" s="29" t="str">
        <f>'Hitung Per Bulan'!G673</f>
        <v/>
      </c>
    </row>
    <row r="674" spans="1:7" x14ac:dyDescent="0.45">
      <c r="A674" t="s">
        <v>7</v>
      </c>
      <c r="B674" t="s">
        <v>34</v>
      </c>
      <c r="C674" t="s">
        <v>9</v>
      </c>
      <c r="D674" s="24">
        <v>85000000</v>
      </c>
      <c r="E674" s="29">
        <f>'Hitung Per Bulan'!E674</f>
        <v>2021637708</v>
      </c>
      <c r="F674" s="24">
        <v>0</v>
      </c>
      <c r="G674" s="29">
        <f>'Hitung Per Bulan'!G674</f>
        <v>0</v>
      </c>
    </row>
    <row r="675" spans="1:7" x14ac:dyDescent="0.45">
      <c r="A675" t="s">
        <v>10</v>
      </c>
      <c r="B675" t="s">
        <v>34</v>
      </c>
      <c r="C675" t="s">
        <v>9</v>
      </c>
      <c r="D675" s="24">
        <v>272450000</v>
      </c>
      <c r="E675" s="29">
        <f>'Hitung Per Bulan'!E675</f>
        <v>165605895</v>
      </c>
      <c r="F675" s="24">
        <v>85000000</v>
      </c>
      <c r="G675" s="29">
        <f>'Hitung Per Bulan'!G675</f>
        <v>86559328</v>
      </c>
    </row>
    <row r="676" spans="1:7" x14ac:dyDescent="0.45">
      <c r="A676" t="s">
        <v>11</v>
      </c>
      <c r="B676" t="s">
        <v>34</v>
      </c>
      <c r="C676" t="s">
        <v>9</v>
      </c>
      <c r="D676" s="24">
        <v>4416599000</v>
      </c>
      <c r="E676" s="29">
        <f>'Hitung Per Bulan'!E676</f>
        <v>-14599000</v>
      </c>
      <c r="F676" s="24">
        <v>25000000</v>
      </c>
      <c r="G676" s="29">
        <f>'Hitung Per Bulan'!G676</f>
        <v>0</v>
      </c>
    </row>
    <row r="677" spans="1:7" x14ac:dyDescent="0.45">
      <c r="A677" t="s">
        <v>12</v>
      </c>
      <c r="B677" t="s">
        <v>34</v>
      </c>
      <c r="C677" t="s">
        <v>9</v>
      </c>
      <c r="D677" s="24">
        <v>2915231000</v>
      </c>
      <c r="E677" s="29" t="str">
        <f>'Hitung Per Bulan'!E677</f>
        <v/>
      </c>
      <c r="F677" s="24">
        <v>11100000</v>
      </c>
      <c r="G677" s="29" t="str">
        <f>'Hitung Per Bulan'!G677</f>
        <v/>
      </c>
    </row>
    <row r="678" spans="1:7" x14ac:dyDescent="0.45">
      <c r="A678" t="s">
        <v>13</v>
      </c>
      <c r="B678" t="s">
        <v>34</v>
      </c>
      <c r="C678" t="s">
        <v>9</v>
      </c>
      <c r="D678" s="24">
        <v>506375000</v>
      </c>
      <c r="E678" s="29" t="str">
        <f>'Hitung Per Bulan'!E678</f>
        <v/>
      </c>
      <c r="F678" s="24">
        <v>1489733000</v>
      </c>
      <c r="G678" s="29" t="str">
        <f>'Hitung Per Bulan'!G678</f>
        <v/>
      </c>
    </row>
    <row r="679" spans="1:7" x14ac:dyDescent="0.45">
      <c r="A679" t="s">
        <v>14</v>
      </c>
      <c r="B679" t="s">
        <v>34</v>
      </c>
      <c r="C679" t="s">
        <v>9</v>
      </c>
      <c r="D679" s="24">
        <v>483400000</v>
      </c>
      <c r="E679" s="29" t="str">
        <f>'Hitung Per Bulan'!E679</f>
        <v/>
      </c>
      <c r="F679" s="24">
        <v>753875000</v>
      </c>
      <c r="G679" s="29" t="str">
        <f>'Hitung Per Bulan'!G679</f>
        <v/>
      </c>
    </row>
    <row r="680" spans="1:7" x14ac:dyDescent="0.45">
      <c r="A680" t="s">
        <v>15</v>
      </c>
      <c r="B680" t="s">
        <v>34</v>
      </c>
      <c r="C680" t="s">
        <v>9</v>
      </c>
      <c r="D680" s="24">
        <v>314700000</v>
      </c>
      <c r="E680" s="29" t="str">
        <f>'Hitung Per Bulan'!E680</f>
        <v/>
      </c>
      <c r="F680" s="24">
        <v>2381757000</v>
      </c>
      <c r="G680" s="29" t="str">
        <f>'Hitung Per Bulan'!G680</f>
        <v/>
      </c>
    </row>
    <row r="681" spans="1:7" x14ac:dyDescent="0.45">
      <c r="A681" t="s">
        <v>16</v>
      </c>
      <c r="B681" t="s">
        <v>34</v>
      </c>
      <c r="C681" t="s">
        <v>9</v>
      </c>
      <c r="D681" s="24">
        <v>0</v>
      </c>
      <c r="E681" s="29" t="str">
        <f>'Hitung Per Bulan'!E681</f>
        <v/>
      </c>
      <c r="F681" s="24">
        <v>2406929000</v>
      </c>
      <c r="G681" s="29" t="str">
        <f>'Hitung Per Bulan'!G681</f>
        <v/>
      </c>
    </row>
    <row r="682" spans="1:7" x14ac:dyDescent="0.45">
      <c r="A682" t="s">
        <v>17</v>
      </c>
      <c r="B682" t="s">
        <v>34</v>
      </c>
      <c r="C682" t="s">
        <v>9</v>
      </c>
      <c r="D682" s="24">
        <v>149300000</v>
      </c>
      <c r="E682" s="29" t="str">
        <f>'Hitung Per Bulan'!E682</f>
        <v/>
      </c>
      <c r="F682" s="24">
        <v>1396861000</v>
      </c>
      <c r="G682" s="29" t="str">
        <f>'Hitung Per Bulan'!G682</f>
        <v/>
      </c>
    </row>
    <row r="683" spans="1:7" x14ac:dyDescent="0.45">
      <c r="A683" t="s">
        <v>18</v>
      </c>
      <c r="B683" t="s">
        <v>34</v>
      </c>
      <c r="C683" t="s">
        <v>9</v>
      </c>
      <c r="D683" s="24">
        <v>0</v>
      </c>
      <c r="E683" s="29" t="str">
        <f>'Hitung Per Bulan'!E683</f>
        <v/>
      </c>
      <c r="F683" s="24">
        <v>592800000</v>
      </c>
      <c r="G683" s="29" t="str">
        <f>'Hitung Per Bulan'!G683</f>
        <v/>
      </c>
    </row>
    <row r="684" spans="1:7" x14ac:dyDescent="0.45">
      <c r="A684" t="s">
        <v>19</v>
      </c>
      <c r="B684" t="s">
        <v>34</v>
      </c>
      <c r="C684" t="s">
        <v>9</v>
      </c>
      <c r="D684" s="24">
        <v>100000000</v>
      </c>
      <c r="E684" s="29" t="str">
        <f>'Hitung Per Bulan'!E684</f>
        <v/>
      </c>
      <c r="F684" s="24">
        <v>0</v>
      </c>
      <c r="G684" s="29" t="str">
        <f>'Hitung Per Bulan'!G684</f>
        <v/>
      </c>
    </row>
    <row r="685" spans="1:7" x14ac:dyDescent="0.45">
      <c r="A685" t="s">
        <v>20</v>
      </c>
      <c r="B685" t="s">
        <v>34</v>
      </c>
      <c r="C685" t="s">
        <v>9</v>
      </c>
      <c r="D685" s="24">
        <v>0</v>
      </c>
      <c r="E685" s="29" t="str">
        <f>'Hitung Per Bulan'!E685</f>
        <v/>
      </c>
      <c r="F685" s="24">
        <v>100000000</v>
      </c>
      <c r="G685" s="29" t="str">
        <f>'Hitung Per Bulan'!G685</f>
        <v/>
      </c>
    </row>
    <row r="686" spans="1:7" x14ac:dyDescent="0.45">
      <c r="A686" t="s">
        <v>7</v>
      </c>
      <c r="B686" t="s">
        <v>34</v>
      </c>
      <c r="C686" t="s">
        <v>21</v>
      </c>
      <c r="D686" s="24">
        <v>0</v>
      </c>
      <c r="E686" s="29">
        <f>'Hitung Per Bulan'!E686</f>
        <v>0</v>
      </c>
      <c r="F686" s="24">
        <v>0</v>
      </c>
      <c r="G686" s="29">
        <f>'Hitung Per Bulan'!G686</f>
        <v>0</v>
      </c>
    </row>
    <row r="687" spans="1:7" x14ac:dyDescent="0.45">
      <c r="A687" t="s">
        <v>10</v>
      </c>
      <c r="B687" t="s">
        <v>34</v>
      </c>
      <c r="C687" t="s">
        <v>21</v>
      </c>
      <c r="D687" s="24">
        <v>0</v>
      </c>
      <c r="E687" s="29">
        <f>'Hitung Per Bulan'!E687</f>
        <v>1944000</v>
      </c>
      <c r="F687" s="24">
        <v>0</v>
      </c>
      <c r="G687" s="29">
        <f>'Hitung Per Bulan'!G687</f>
        <v>0</v>
      </c>
    </row>
    <row r="688" spans="1:7" x14ac:dyDescent="0.45">
      <c r="A688" t="s">
        <v>11</v>
      </c>
      <c r="B688" t="s">
        <v>34</v>
      </c>
      <c r="C688" t="s">
        <v>21</v>
      </c>
      <c r="D688" s="24">
        <v>0</v>
      </c>
      <c r="E688" s="29">
        <f>'Hitung Per Bulan'!E688</f>
        <v>0</v>
      </c>
      <c r="F688" s="24">
        <v>0</v>
      </c>
      <c r="G688" s="29">
        <f>'Hitung Per Bulan'!G688</f>
        <v>0</v>
      </c>
    </row>
    <row r="689" spans="1:7" x14ac:dyDescent="0.45">
      <c r="A689" t="s">
        <v>12</v>
      </c>
      <c r="B689" t="s">
        <v>34</v>
      </c>
      <c r="C689" t="s">
        <v>21</v>
      </c>
      <c r="D689" s="24">
        <v>0</v>
      </c>
      <c r="E689" s="29" t="str">
        <f>'Hitung Per Bulan'!E689</f>
        <v/>
      </c>
      <c r="F689" s="24">
        <v>0</v>
      </c>
      <c r="G689" s="29" t="str">
        <f>'Hitung Per Bulan'!G689</f>
        <v/>
      </c>
    </row>
    <row r="690" spans="1:7" x14ac:dyDescent="0.45">
      <c r="A690" t="s">
        <v>13</v>
      </c>
      <c r="B690" t="s">
        <v>34</v>
      </c>
      <c r="C690" t="s">
        <v>21</v>
      </c>
      <c r="D690" s="24">
        <v>613000000</v>
      </c>
      <c r="E690" s="29" t="str">
        <f>'Hitung Per Bulan'!E690</f>
        <v/>
      </c>
      <c r="F690" s="24">
        <v>0</v>
      </c>
      <c r="G690" s="29" t="str">
        <f>'Hitung Per Bulan'!G690</f>
        <v/>
      </c>
    </row>
    <row r="691" spans="1:7" x14ac:dyDescent="0.45">
      <c r="A691" t="s">
        <v>14</v>
      </c>
      <c r="B691" t="s">
        <v>34</v>
      </c>
      <c r="C691" t="s">
        <v>21</v>
      </c>
      <c r="D691" s="24">
        <v>15000000</v>
      </c>
      <c r="E691" s="29" t="str">
        <f>'Hitung Per Bulan'!E691</f>
        <v/>
      </c>
      <c r="F691" s="24">
        <v>0</v>
      </c>
      <c r="G691" s="29" t="str">
        <f>'Hitung Per Bulan'!G691</f>
        <v/>
      </c>
    </row>
    <row r="692" spans="1:7" x14ac:dyDescent="0.45">
      <c r="A692" t="s">
        <v>15</v>
      </c>
      <c r="B692" t="s">
        <v>34</v>
      </c>
      <c r="C692" t="s">
        <v>21</v>
      </c>
      <c r="D692" s="24">
        <v>0</v>
      </c>
      <c r="E692" s="29" t="str">
        <f>'Hitung Per Bulan'!E692</f>
        <v/>
      </c>
      <c r="F692" s="24">
        <v>15000000</v>
      </c>
      <c r="G692" s="29" t="str">
        <f>'Hitung Per Bulan'!G692</f>
        <v/>
      </c>
    </row>
    <row r="693" spans="1:7" x14ac:dyDescent="0.45">
      <c r="A693" t="s">
        <v>16</v>
      </c>
      <c r="B693" t="s">
        <v>34</v>
      </c>
      <c r="C693" t="s">
        <v>21</v>
      </c>
      <c r="D693" s="24">
        <v>150000000</v>
      </c>
      <c r="E693" s="29" t="str">
        <f>'Hitung Per Bulan'!E693</f>
        <v/>
      </c>
      <c r="F693" s="24">
        <v>613000000</v>
      </c>
      <c r="G693" s="29" t="str">
        <f>'Hitung Per Bulan'!G693</f>
        <v/>
      </c>
    </row>
    <row r="694" spans="1:7" x14ac:dyDescent="0.45">
      <c r="A694" t="s">
        <v>17</v>
      </c>
      <c r="B694" t="s">
        <v>34</v>
      </c>
      <c r="C694" t="s">
        <v>21</v>
      </c>
      <c r="D694" s="24">
        <v>0</v>
      </c>
      <c r="E694" s="29" t="str">
        <f>'Hitung Per Bulan'!E694</f>
        <v/>
      </c>
      <c r="F694" s="24">
        <v>0</v>
      </c>
      <c r="G694" s="29" t="str">
        <f>'Hitung Per Bulan'!G694</f>
        <v/>
      </c>
    </row>
    <row r="695" spans="1:7" x14ac:dyDescent="0.45">
      <c r="A695" t="s">
        <v>18</v>
      </c>
      <c r="B695" t="s">
        <v>34</v>
      </c>
      <c r="C695" t="s">
        <v>21</v>
      </c>
      <c r="D695" s="24">
        <v>0</v>
      </c>
      <c r="E695" s="29" t="str">
        <f>'Hitung Per Bulan'!E695</f>
        <v/>
      </c>
      <c r="F695" s="24">
        <v>0</v>
      </c>
      <c r="G695" s="29" t="str">
        <f>'Hitung Per Bulan'!G695</f>
        <v/>
      </c>
    </row>
    <row r="696" spans="1:7" x14ac:dyDescent="0.45">
      <c r="A696" t="s">
        <v>19</v>
      </c>
      <c r="B696" t="s">
        <v>34</v>
      </c>
      <c r="C696" t="s">
        <v>21</v>
      </c>
      <c r="D696" s="24">
        <v>0</v>
      </c>
      <c r="E696" s="29" t="str">
        <f>'Hitung Per Bulan'!E696</f>
        <v/>
      </c>
      <c r="F696" s="24">
        <v>150000000</v>
      </c>
      <c r="G696" s="29" t="str">
        <f>'Hitung Per Bulan'!G696</f>
        <v/>
      </c>
    </row>
    <row r="697" spans="1:7" x14ac:dyDescent="0.45">
      <c r="A697" t="s">
        <v>20</v>
      </c>
      <c r="B697" t="s">
        <v>34</v>
      </c>
      <c r="C697" t="s">
        <v>21</v>
      </c>
      <c r="D697" s="24">
        <v>0</v>
      </c>
      <c r="E697" s="29" t="str">
        <f>'Hitung Per Bulan'!E697</f>
        <v/>
      </c>
      <c r="F697" s="24">
        <v>0</v>
      </c>
      <c r="G697" s="29" t="str">
        <f>'Hitung Per Bulan'!G697</f>
        <v/>
      </c>
    </row>
    <row r="698" spans="1:7" x14ac:dyDescent="0.45">
      <c r="A698" t="s">
        <v>7</v>
      </c>
      <c r="B698" t="s">
        <v>34</v>
      </c>
      <c r="C698" t="s">
        <v>22</v>
      </c>
      <c r="D698" s="24">
        <v>0</v>
      </c>
      <c r="E698" s="29">
        <f>'Hitung Per Bulan'!E698</f>
        <v>21262500</v>
      </c>
      <c r="F698" s="24">
        <v>0</v>
      </c>
      <c r="G698" s="29">
        <f>'Hitung Per Bulan'!G698</f>
        <v>0</v>
      </c>
    </row>
    <row r="699" spans="1:7" x14ac:dyDescent="0.45">
      <c r="A699" t="s">
        <v>10</v>
      </c>
      <c r="B699" t="s">
        <v>34</v>
      </c>
      <c r="C699" t="s">
        <v>22</v>
      </c>
      <c r="D699" s="24">
        <v>0</v>
      </c>
      <c r="E699" s="29">
        <f>'Hitung Per Bulan'!E699</f>
        <v>0</v>
      </c>
      <c r="F699" s="24">
        <v>0</v>
      </c>
      <c r="G699" s="29">
        <f>'Hitung Per Bulan'!G699</f>
        <v>0</v>
      </c>
    </row>
    <row r="700" spans="1:7" x14ac:dyDescent="0.45">
      <c r="A700" t="s">
        <v>11</v>
      </c>
      <c r="B700" t="s">
        <v>34</v>
      </c>
      <c r="C700" t="s">
        <v>22</v>
      </c>
      <c r="D700" s="24">
        <v>27800000</v>
      </c>
      <c r="E700" s="29">
        <f>'Hitung Per Bulan'!E700</f>
        <v>0</v>
      </c>
      <c r="F700" s="24">
        <v>0</v>
      </c>
      <c r="G700" s="29">
        <f>'Hitung Per Bulan'!G700</f>
        <v>21262500</v>
      </c>
    </row>
    <row r="701" spans="1:7" x14ac:dyDescent="0.45">
      <c r="A701" t="s">
        <v>12</v>
      </c>
      <c r="B701" t="s">
        <v>34</v>
      </c>
      <c r="C701" t="s">
        <v>22</v>
      </c>
      <c r="D701" s="24">
        <v>12500000</v>
      </c>
      <c r="E701" s="29" t="str">
        <f>'Hitung Per Bulan'!E701</f>
        <v/>
      </c>
      <c r="F701" s="24">
        <v>27800000</v>
      </c>
      <c r="G701" s="29" t="str">
        <f>'Hitung Per Bulan'!G701</f>
        <v/>
      </c>
    </row>
    <row r="702" spans="1:7" x14ac:dyDescent="0.45">
      <c r="A702" t="s">
        <v>13</v>
      </c>
      <c r="B702" t="s">
        <v>34</v>
      </c>
      <c r="C702" t="s">
        <v>22</v>
      </c>
      <c r="D702" s="24">
        <v>0</v>
      </c>
      <c r="E702" s="29" t="str">
        <f>'Hitung Per Bulan'!E702</f>
        <v/>
      </c>
      <c r="F702" s="24">
        <v>12500000</v>
      </c>
      <c r="G702" s="29" t="str">
        <f>'Hitung Per Bulan'!G702</f>
        <v/>
      </c>
    </row>
    <row r="703" spans="1:7" x14ac:dyDescent="0.45">
      <c r="A703" t="s">
        <v>14</v>
      </c>
      <c r="B703" t="s">
        <v>34</v>
      </c>
      <c r="C703" t="s">
        <v>22</v>
      </c>
      <c r="D703" s="24">
        <v>0</v>
      </c>
      <c r="E703" s="29" t="str">
        <f>'Hitung Per Bulan'!E703</f>
        <v/>
      </c>
      <c r="F703" s="24">
        <v>0</v>
      </c>
      <c r="G703" s="29" t="str">
        <f>'Hitung Per Bulan'!G703</f>
        <v/>
      </c>
    </row>
    <row r="704" spans="1:7" x14ac:dyDescent="0.45">
      <c r="A704" t="s">
        <v>15</v>
      </c>
      <c r="B704" t="s">
        <v>34</v>
      </c>
      <c r="C704" t="s">
        <v>22</v>
      </c>
      <c r="D704" s="24">
        <v>0</v>
      </c>
      <c r="E704" s="29" t="str">
        <f>'Hitung Per Bulan'!E704</f>
        <v/>
      </c>
      <c r="F704" s="24">
        <v>0</v>
      </c>
      <c r="G704" s="29" t="str">
        <f>'Hitung Per Bulan'!G704</f>
        <v/>
      </c>
    </row>
    <row r="705" spans="1:7" x14ac:dyDescent="0.45">
      <c r="A705" t="s">
        <v>16</v>
      </c>
      <c r="B705" t="s">
        <v>34</v>
      </c>
      <c r="C705" t="s">
        <v>22</v>
      </c>
      <c r="D705" s="24">
        <v>31010000</v>
      </c>
      <c r="E705" s="29" t="str">
        <f>'Hitung Per Bulan'!E705</f>
        <v/>
      </c>
      <c r="F705" s="24">
        <v>0</v>
      </c>
      <c r="G705" s="29" t="str">
        <f>'Hitung Per Bulan'!G705</f>
        <v/>
      </c>
    </row>
    <row r="706" spans="1:7" x14ac:dyDescent="0.45">
      <c r="A706" t="s">
        <v>17</v>
      </c>
      <c r="B706" t="s">
        <v>34</v>
      </c>
      <c r="C706" t="s">
        <v>22</v>
      </c>
      <c r="D706" s="24">
        <v>0</v>
      </c>
      <c r="E706" s="29" t="str">
        <f>'Hitung Per Bulan'!E706</f>
        <v/>
      </c>
      <c r="F706" s="24">
        <v>31010000</v>
      </c>
      <c r="G706" s="29" t="str">
        <f>'Hitung Per Bulan'!G706</f>
        <v/>
      </c>
    </row>
    <row r="707" spans="1:7" x14ac:dyDescent="0.45">
      <c r="A707" t="s">
        <v>18</v>
      </c>
      <c r="B707" t="s">
        <v>34</v>
      </c>
      <c r="C707" t="s">
        <v>22</v>
      </c>
      <c r="D707" s="24">
        <v>0</v>
      </c>
      <c r="E707" s="29" t="str">
        <f>'Hitung Per Bulan'!E707</f>
        <v/>
      </c>
      <c r="F707" s="24">
        <v>0</v>
      </c>
      <c r="G707" s="29" t="str">
        <f>'Hitung Per Bulan'!G707</f>
        <v/>
      </c>
    </row>
    <row r="708" spans="1:7" x14ac:dyDescent="0.45">
      <c r="A708" t="s">
        <v>19</v>
      </c>
      <c r="B708" t="s">
        <v>34</v>
      </c>
      <c r="C708" t="s">
        <v>22</v>
      </c>
      <c r="D708" s="24">
        <v>40000000</v>
      </c>
      <c r="E708" s="29" t="str">
        <f>'Hitung Per Bulan'!E708</f>
        <v/>
      </c>
      <c r="F708" s="24">
        <v>0</v>
      </c>
      <c r="G708" s="29" t="str">
        <f>'Hitung Per Bulan'!G708</f>
        <v/>
      </c>
    </row>
    <row r="709" spans="1:7" x14ac:dyDescent="0.45">
      <c r="A709" t="s">
        <v>20</v>
      </c>
      <c r="B709" t="s">
        <v>34</v>
      </c>
      <c r="C709" t="s">
        <v>22</v>
      </c>
      <c r="D709" s="24">
        <v>0</v>
      </c>
      <c r="E709" s="29" t="str">
        <f>'Hitung Per Bulan'!E709</f>
        <v/>
      </c>
      <c r="F709" s="24">
        <v>40000000</v>
      </c>
      <c r="G709" s="29" t="str">
        <f>'Hitung Per Bulan'!G709</f>
        <v/>
      </c>
    </row>
    <row r="710" spans="1:7" x14ac:dyDescent="0.45">
      <c r="A710" t="s">
        <v>7</v>
      </c>
      <c r="B710" t="s">
        <v>34</v>
      </c>
      <c r="C710" t="s">
        <v>23</v>
      </c>
      <c r="D710" s="24">
        <v>0</v>
      </c>
      <c r="E710" s="29">
        <f>'Hitung Per Bulan'!E710</f>
        <v>2159300</v>
      </c>
      <c r="F710" s="24">
        <v>0</v>
      </c>
      <c r="G710" s="29">
        <f>'Hitung Per Bulan'!G710</f>
        <v>2159300</v>
      </c>
    </row>
    <row r="711" spans="1:7" x14ac:dyDescent="0.45">
      <c r="A711" t="s">
        <v>10</v>
      </c>
      <c r="B711" t="s">
        <v>34</v>
      </c>
      <c r="C711" t="s">
        <v>23</v>
      </c>
      <c r="D711" s="24">
        <v>0</v>
      </c>
      <c r="E711" s="29">
        <f>'Hitung Per Bulan'!E711</f>
        <v>0</v>
      </c>
      <c r="F711" s="24">
        <v>0</v>
      </c>
      <c r="G711" s="29">
        <f>'Hitung Per Bulan'!G711</f>
        <v>0</v>
      </c>
    </row>
    <row r="712" spans="1:7" x14ac:dyDescent="0.45">
      <c r="A712" t="s">
        <v>11</v>
      </c>
      <c r="B712" t="s">
        <v>34</v>
      </c>
      <c r="C712" t="s">
        <v>23</v>
      </c>
      <c r="D712" s="24">
        <v>0</v>
      </c>
      <c r="E712" s="29">
        <f>'Hitung Per Bulan'!E712</f>
        <v>0</v>
      </c>
      <c r="F712" s="24">
        <v>0</v>
      </c>
      <c r="G712" s="29">
        <f>'Hitung Per Bulan'!G712</f>
        <v>0</v>
      </c>
    </row>
    <row r="713" spans="1:7" x14ac:dyDescent="0.45">
      <c r="A713" t="s">
        <v>12</v>
      </c>
      <c r="B713" t="s">
        <v>34</v>
      </c>
      <c r="C713" t="s">
        <v>23</v>
      </c>
      <c r="D713" s="24">
        <v>15000000</v>
      </c>
      <c r="E713" s="29" t="str">
        <f>'Hitung Per Bulan'!E713</f>
        <v/>
      </c>
      <c r="F713" s="24">
        <v>0</v>
      </c>
      <c r="G713" s="29" t="str">
        <f>'Hitung Per Bulan'!G713</f>
        <v/>
      </c>
    </row>
    <row r="714" spans="1:7" x14ac:dyDescent="0.45">
      <c r="A714" t="s">
        <v>13</v>
      </c>
      <c r="B714" t="s">
        <v>34</v>
      </c>
      <c r="C714" t="s">
        <v>23</v>
      </c>
      <c r="D714" s="24">
        <v>40000000</v>
      </c>
      <c r="E714" s="29" t="str">
        <f>'Hitung Per Bulan'!E714</f>
        <v/>
      </c>
      <c r="F714" s="24">
        <v>0</v>
      </c>
      <c r="G714" s="29" t="str">
        <f>'Hitung Per Bulan'!G714</f>
        <v/>
      </c>
    </row>
    <row r="715" spans="1:7" x14ac:dyDescent="0.45">
      <c r="A715" t="s">
        <v>14</v>
      </c>
      <c r="B715" t="s">
        <v>34</v>
      </c>
      <c r="C715" t="s">
        <v>23</v>
      </c>
      <c r="D715" s="24">
        <v>45000000</v>
      </c>
      <c r="E715" s="29" t="str">
        <f>'Hitung Per Bulan'!E715</f>
        <v/>
      </c>
      <c r="F715" s="24">
        <v>40000000</v>
      </c>
      <c r="G715" s="29" t="str">
        <f>'Hitung Per Bulan'!G715</f>
        <v/>
      </c>
    </row>
    <row r="716" spans="1:7" x14ac:dyDescent="0.45">
      <c r="A716" t="s">
        <v>15</v>
      </c>
      <c r="B716" t="s">
        <v>34</v>
      </c>
      <c r="C716" t="s">
        <v>23</v>
      </c>
      <c r="D716" s="24">
        <v>0</v>
      </c>
      <c r="E716" s="29" t="str">
        <f>'Hitung Per Bulan'!E716</f>
        <v/>
      </c>
      <c r="F716" s="24">
        <v>0</v>
      </c>
      <c r="G716" s="29" t="str">
        <f>'Hitung Per Bulan'!G716</f>
        <v/>
      </c>
    </row>
    <row r="717" spans="1:7" x14ac:dyDescent="0.45">
      <c r="A717" t="s">
        <v>16</v>
      </c>
      <c r="B717" t="s">
        <v>34</v>
      </c>
      <c r="C717" t="s">
        <v>23</v>
      </c>
      <c r="D717" s="24">
        <v>0</v>
      </c>
      <c r="E717" s="29" t="str">
        <f>'Hitung Per Bulan'!E717</f>
        <v/>
      </c>
      <c r="F717" s="24">
        <v>30000000</v>
      </c>
      <c r="G717" s="29" t="str">
        <f>'Hitung Per Bulan'!G717</f>
        <v/>
      </c>
    </row>
    <row r="718" spans="1:7" x14ac:dyDescent="0.45">
      <c r="A718" t="s">
        <v>17</v>
      </c>
      <c r="B718" t="s">
        <v>34</v>
      </c>
      <c r="C718" t="s">
        <v>23</v>
      </c>
      <c r="D718" s="24">
        <v>0</v>
      </c>
      <c r="E718" s="29" t="str">
        <f>'Hitung Per Bulan'!E718</f>
        <v/>
      </c>
      <c r="F718" s="24">
        <v>0</v>
      </c>
      <c r="G718" s="29" t="str">
        <f>'Hitung Per Bulan'!G718</f>
        <v/>
      </c>
    </row>
    <row r="719" spans="1:7" x14ac:dyDescent="0.45">
      <c r="A719" t="s">
        <v>18</v>
      </c>
      <c r="B719" t="s">
        <v>34</v>
      </c>
      <c r="C719" t="s">
        <v>23</v>
      </c>
      <c r="D719" s="24">
        <v>0</v>
      </c>
      <c r="E719" s="29" t="str">
        <f>'Hitung Per Bulan'!E719</f>
        <v/>
      </c>
      <c r="F719" s="24">
        <v>0</v>
      </c>
      <c r="G719" s="29" t="str">
        <f>'Hitung Per Bulan'!G719</f>
        <v/>
      </c>
    </row>
    <row r="720" spans="1:7" x14ac:dyDescent="0.45">
      <c r="A720" t="s">
        <v>19</v>
      </c>
      <c r="B720" t="s">
        <v>34</v>
      </c>
      <c r="C720" t="s">
        <v>23</v>
      </c>
      <c r="D720" s="24">
        <v>0</v>
      </c>
      <c r="E720" s="29" t="str">
        <f>'Hitung Per Bulan'!E720</f>
        <v/>
      </c>
      <c r="F720" s="24">
        <v>30000000</v>
      </c>
      <c r="G720" s="29" t="str">
        <f>'Hitung Per Bulan'!G720</f>
        <v/>
      </c>
    </row>
    <row r="721" spans="1:7" x14ac:dyDescent="0.45">
      <c r="A721" t="s">
        <v>20</v>
      </c>
      <c r="B721" t="s">
        <v>34</v>
      </c>
      <c r="C721" t="s">
        <v>23</v>
      </c>
      <c r="D721" s="24">
        <v>0</v>
      </c>
      <c r="E721" s="29" t="str">
        <f>'Hitung Per Bulan'!E721</f>
        <v/>
      </c>
      <c r="F721" s="24">
        <v>0</v>
      </c>
      <c r="G721" s="29" t="str">
        <f>'Hitung Per Bulan'!G721</f>
        <v/>
      </c>
    </row>
    <row r="722" spans="1:7" x14ac:dyDescent="0.45">
      <c r="A722" t="s">
        <v>7</v>
      </c>
      <c r="B722" t="s">
        <v>34</v>
      </c>
      <c r="C722" t="s">
        <v>24</v>
      </c>
      <c r="D722" s="24">
        <v>0</v>
      </c>
      <c r="E722" s="29">
        <f>'Hitung Per Bulan'!E722</f>
        <v>0</v>
      </c>
      <c r="F722" s="24">
        <v>0</v>
      </c>
      <c r="G722" s="29">
        <f>'Hitung Per Bulan'!G722</f>
        <v>0</v>
      </c>
    </row>
    <row r="723" spans="1:7" x14ac:dyDescent="0.45">
      <c r="A723" t="s">
        <v>10</v>
      </c>
      <c r="B723" t="s">
        <v>34</v>
      </c>
      <c r="C723" t="s">
        <v>24</v>
      </c>
      <c r="D723" s="24">
        <v>0</v>
      </c>
      <c r="E723" s="29">
        <f>'Hitung Per Bulan'!E723</f>
        <v>0</v>
      </c>
      <c r="F723" s="24">
        <v>0</v>
      </c>
      <c r="G723" s="29">
        <f>'Hitung Per Bulan'!G723</f>
        <v>0</v>
      </c>
    </row>
    <row r="724" spans="1:7" x14ac:dyDescent="0.45">
      <c r="A724" t="s">
        <v>11</v>
      </c>
      <c r="B724" t="s">
        <v>34</v>
      </c>
      <c r="C724" t="s">
        <v>24</v>
      </c>
      <c r="D724" s="24">
        <v>0</v>
      </c>
      <c r="E724" s="29">
        <f>'Hitung Per Bulan'!E724</f>
        <v>0</v>
      </c>
      <c r="F724" s="24">
        <v>0</v>
      </c>
      <c r="G724" s="29">
        <f>'Hitung Per Bulan'!G724</f>
        <v>0</v>
      </c>
    </row>
    <row r="725" spans="1:7" x14ac:dyDescent="0.45">
      <c r="A725" t="s">
        <v>12</v>
      </c>
      <c r="B725" t="s">
        <v>34</v>
      </c>
      <c r="C725" t="s">
        <v>24</v>
      </c>
      <c r="D725" s="24">
        <v>0</v>
      </c>
      <c r="E725" s="29" t="str">
        <f>'Hitung Per Bulan'!E725</f>
        <v/>
      </c>
      <c r="F725" s="24">
        <v>0</v>
      </c>
      <c r="G725" s="29" t="str">
        <f>'Hitung Per Bulan'!G725</f>
        <v/>
      </c>
    </row>
    <row r="726" spans="1:7" x14ac:dyDescent="0.45">
      <c r="A726" t="s">
        <v>13</v>
      </c>
      <c r="B726" t="s">
        <v>34</v>
      </c>
      <c r="C726" t="s">
        <v>24</v>
      </c>
      <c r="D726" s="24">
        <v>0</v>
      </c>
      <c r="E726" s="29" t="str">
        <f>'Hitung Per Bulan'!E726</f>
        <v/>
      </c>
      <c r="F726" s="24">
        <v>0</v>
      </c>
      <c r="G726" s="29" t="str">
        <f>'Hitung Per Bulan'!G726</f>
        <v/>
      </c>
    </row>
    <row r="727" spans="1:7" x14ac:dyDescent="0.45">
      <c r="A727" t="s">
        <v>14</v>
      </c>
      <c r="B727" t="s">
        <v>34</v>
      </c>
      <c r="C727" t="s">
        <v>24</v>
      </c>
      <c r="D727" s="24">
        <v>0</v>
      </c>
      <c r="E727" s="29" t="str">
        <f>'Hitung Per Bulan'!E727</f>
        <v/>
      </c>
      <c r="F727" s="24">
        <v>0</v>
      </c>
      <c r="G727" s="29" t="str">
        <f>'Hitung Per Bulan'!G727</f>
        <v/>
      </c>
    </row>
    <row r="728" spans="1:7" x14ac:dyDescent="0.45">
      <c r="A728" t="s">
        <v>15</v>
      </c>
      <c r="B728" t="s">
        <v>34</v>
      </c>
      <c r="C728" t="s">
        <v>24</v>
      </c>
      <c r="D728" s="24">
        <v>0</v>
      </c>
      <c r="E728" s="29" t="str">
        <f>'Hitung Per Bulan'!E728</f>
        <v/>
      </c>
      <c r="F728" s="24">
        <v>0</v>
      </c>
      <c r="G728" s="29" t="str">
        <f>'Hitung Per Bulan'!G728</f>
        <v/>
      </c>
    </row>
    <row r="729" spans="1:7" x14ac:dyDescent="0.45">
      <c r="A729" t="s">
        <v>16</v>
      </c>
      <c r="B729" t="s">
        <v>34</v>
      </c>
      <c r="C729" t="s">
        <v>24</v>
      </c>
      <c r="D729" s="24">
        <v>0</v>
      </c>
      <c r="E729" s="29" t="str">
        <f>'Hitung Per Bulan'!E729</f>
        <v/>
      </c>
      <c r="F729" s="24">
        <v>0</v>
      </c>
      <c r="G729" s="29" t="str">
        <f>'Hitung Per Bulan'!G729</f>
        <v/>
      </c>
    </row>
    <row r="730" spans="1:7" x14ac:dyDescent="0.45">
      <c r="A730" t="s">
        <v>17</v>
      </c>
      <c r="B730" t="s">
        <v>34</v>
      </c>
      <c r="C730" t="s">
        <v>24</v>
      </c>
      <c r="D730" s="24">
        <v>0</v>
      </c>
      <c r="E730" s="29" t="str">
        <f>'Hitung Per Bulan'!E730</f>
        <v/>
      </c>
      <c r="F730" s="24">
        <v>0</v>
      </c>
      <c r="G730" s="29" t="str">
        <f>'Hitung Per Bulan'!G730</f>
        <v/>
      </c>
    </row>
    <row r="731" spans="1:7" x14ac:dyDescent="0.45">
      <c r="A731" t="s">
        <v>18</v>
      </c>
      <c r="B731" t="s">
        <v>34</v>
      </c>
      <c r="C731" t="s">
        <v>24</v>
      </c>
      <c r="D731" s="24">
        <v>0</v>
      </c>
      <c r="E731" s="29" t="str">
        <f>'Hitung Per Bulan'!E731</f>
        <v/>
      </c>
      <c r="F731" s="24">
        <v>0</v>
      </c>
      <c r="G731" s="29" t="str">
        <f>'Hitung Per Bulan'!G731</f>
        <v/>
      </c>
    </row>
    <row r="732" spans="1:7" x14ac:dyDescent="0.45">
      <c r="A732" t="s">
        <v>19</v>
      </c>
      <c r="B732" t="s">
        <v>34</v>
      </c>
      <c r="C732" t="s">
        <v>24</v>
      </c>
      <c r="D732" s="24">
        <v>0</v>
      </c>
      <c r="E732" s="29" t="str">
        <f>'Hitung Per Bulan'!E732</f>
        <v/>
      </c>
      <c r="F732" s="24">
        <v>0</v>
      </c>
      <c r="G732" s="29" t="str">
        <f>'Hitung Per Bulan'!G732</f>
        <v/>
      </c>
    </row>
    <row r="733" spans="1:7" x14ac:dyDescent="0.45">
      <c r="A733" t="s">
        <v>20</v>
      </c>
      <c r="B733" t="s">
        <v>34</v>
      </c>
      <c r="C733" t="s">
        <v>24</v>
      </c>
      <c r="D733" s="24">
        <v>0</v>
      </c>
      <c r="E733" s="29" t="str">
        <f>'Hitung Per Bulan'!E733</f>
        <v/>
      </c>
      <c r="F733" s="24">
        <v>0</v>
      </c>
      <c r="G733" s="29" t="str">
        <f>'Hitung Per Bulan'!G733</f>
        <v/>
      </c>
    </row>
    <row r="734" spans="1:7" x14ac:dyDescent="0.45">
      <c r="A734" t="s">
        <v>7</v>
      </c>
      <c r="B734" t="s">
        <v>34</v>
      </c>
      <c r="C734" t="s">
        <v>25</v>
      </c>
      <c r="D734" s="24">
        <v>33367000</v>
      </c>
      <c r="E734" s="29">
        <f>'Hitung Per Bulan'!E734</f>
        <v>69661093</v>
      </c>
      <c r="F734" s="24">
        <v>33367000</v>
      </c>
      <c r="G734" s="29">
        <f>'Hitung Per Bulan'!G734</f>
        <v>13701000</v>
      </c>
    </row>
    <row r="735" spans="1:7" x14ac:dyDescent="0.45">
      <c r="A735" t="s">
        <v>10</v>
      </c>
      <c r="B735" t="s">
        <v>34</v>
      </c>
      <c r="C735" t="s">
        <v>25</v>
      </c>
      <c r="D735" s="24">
        <v>41156000</v>
      </c>
      <c r="E735" s="29">
        <f>'Hitung Per Bulan'!E735</f>
        <v>43215908</v>
      </c>
      <c r="F735" s="24">
        <v>41156000</v>
      </c>
      <c r="G735" s="29">
        <f>'Hitung Per Bulan'!G735</f>
        <v>32679201</v>
      </c>
    </row>
    <row r="736" spans="1:7" x14ac:dyDescent="0.45">
      <c r="A736" t="s">
        <v>11</v>
      </c>
      <c r="B736" t="s">
        <v>34</v>
      </c>
      <c r="C736" t="s">
        <v>25</v>
      </c>
      <c r="D736" s="24">
        <v>177499000</v>
      </c>
      <c r="E736" s="29">
        <f>'Hitung Per Bulan'!E736</f>
        <v>7637500</v>
      </c>
      <c r="F736" s="24">
        <v>42499000</v>
      </c>
      <c r="G736" s="29">
        <f>'Hitung Per Bulan'!G736</f>
        <v>17972500</v>
      </c>
    </row>
    <row r="737" spans="1:7" x14ac:dyDescent="0.45">
      <c r="A737" t="s">
        <v>12</v>
      </c>
      <c r="B737" t="s">
        <v>34</v>
      </c>
      <c r="C737" t="s">
        <v>25</v>
      </c>
      <c r="D737" s="24">
        <v>110151000</v>
      </c>
      <c r="E737" s="29" t="str">
        <f>'Hitung Per Bulan'!E737</f>
        <v/>
      </c>
      <c r="F737" s="24">
        <v>110151000</v>
      </c>
      <c r="G737" s="29" t="str">
        <f>'Hitung Per Bulan'!G737</f>
        <v/>
      </c>
    </row>
    <row r="738" spans="1:7" x14ac:dyDescent="0.45">
      <c r="A738" t="s">
        <v>13</v>
      </c>
      <c r="B738" t="s">
        <v>34</v>
      </c>
      <c r="C738" t="s">
        <v>25</v>
      </c>
      <c r="D738" s="24">
        <v>111156000</v>
      </c>
      <c r="E738" s="29" t="str">
        <f>'Hitung Per Bulan'!E738</f>
        <v/>
      </c>
      <c r="F738" s="24">
        <v>111156000</v>
      </c>
      <c r="G738" s="29" t="str">
        <f>'Hitung Per Bulan'!G738</f>
        <v/>
      </c>
    </row>
    <row r="739" spans="1:7" x14ac:dyDescent="0.45">
      <c r="A739" t="s">
        <v>14</v>
      </c>
      <c r="B739" t="s">
        <v>34</v>
      </c>
      <c r="C739" t="s">
        <v>25</v>
      </c>
      <c r="D739" s="24">
        <v>277041000</v>
      </c>
      <c r="E739" s="29" t="str">
        <f>'Hitung Per Bulan'!E739</f>
        <v/>
      </c>
      <c r="F739" s="24">
        <v>277041000</v>
      </c>
      <c r="G739" s="29" t="str">
        <f>'Hitung Per Bulan'!G739</f>
        <v/>
      </c>
    </row>
    <row r="740" spans="1:7" x14ac:dyDescent="0.45">
      <c r="A740" t="s">
        <v>15</v>
      </c>
      <c r="B740" t="s">
        <v>34</v>
      </c>
      <c r="C740" t="s">
        <v>25</v>
      </c>
      <c r="D740" s="24">
        <v>100908000</v>
      </c>
      <c r="E740" s="29" t="str">
        <f>'Hitung Per Bulan'!E740</f>
        <v/>
      </c>
      <c r="F740" s="24">
        <v>100908000</v>
      </c>
      <c r="G740" s="29" t="str">
        <f>'Hitung Per Bulan'!G740</f>
        <v/>
      </c>
    </row>
    <row r="741" spans="1:7" x14ac:dyDescent="0.45">
      <c r="A741" t="s">
        <v>16</v>
      </c>
      <c r="B741" t="s">
        <v>34</v>
      </c>
      <c r="C741" t="s">
        <v>25</v>
      </c>
      <c r="D741" s="24">
        <v>45146000</v>
      </c>
      <c r="E741" s="29" t="str">
        <f>'Hitung Per Bulan'!E741</f>
        <v/>
      </c>
      <c r="F741" s="24">
        <v>180146000</v>
      </c>
      <c r="G741" s="29" t="str">
        <f>'Hitung Per Bulan'!G741</f>
        <v/>
      </c>
    </row>
    <row r="742" spans="1:7" x14ac:dyDescent="0.45">
      <c r="A742" t="s">
        <v>17</v>
      </c>
      <c r="B742" t="s">
        <v>34</v>
      </c>
      <c r="C742" t="s">
        <v>25</v>
      </c>
      <c r="D742" s="24">
        <v>121144000</v>
      </c>
      <c r="E742" s="29" t="str">
        <f>'Hitung Per Bulan'!E742</f>
        <v/>
      </c>
      <c r="F742" s="24">
        <v>34744000</v>
      </c>
      <c r="G742" s="29" t="str">
        <f>'Hitung Per Bulan'!G742</f>
        <v/>
      </c>
    </row>
    <row r="743" spans="1:7" x14ac:dyDescent="0.45">
      <c r="A743" t="s">
        <v>18</v>
      </c>
      <c r="B743" t="s">
        <v>34</v>
      </c>
      <c r="C743" t="s">
        <v>25</v>
      </c>
      <c r="D743" s="24">
        <v>62392000</v>
      </c>
      <c r="E743" s="29" t="str">
        <f>'Hitung Per Bulan'!E743</f>
        <v/>
      </c>
      <c r="F743" s="24">
        <v>62392000</v>
      </c>
      <c r="G743" s="29" t="str">
        <f>'Hitung Per Bulan'!G743</f>
        <v/>
      </c>
    </row>
    <row r="744" spans="1:7" x14ac:dyDescent="0.45">
      <c r="A744" t="s">
        <v>19</v>
      </c>
      <c r="B744" t="s">
        <v>34</v>
      </c>
      <c r="C744" t="s">
        <v>25</v>
      </c>
      <c r="D744" s="24">
        <v>101346000</v>
      </c>
      <c r="E744" s="29" t="str">
        <f>'Hitung Per Bulan'!E744</f>
        <v/>
      </c>
      <c r="F744" s="24">
        <v>101346000</v>
      </c>
      <c r="G744" s="29" t="str">
        <f>'Hitung Per Bulan'!G744</f>
        <v/>
      </c>
    </row>
    <row r="745" spans="1:7" x14ac:dyDescent="0.45">
      <c r="A745" t="s">
        <v>20</v>
      </c>
      <c r="B745" t="s">
        <v>34</v>
      </c>
      <c r="C745" t="s">
        <v>25</v>
      </c>
      <c r="D745" s="24">
        <v>35552000</v>
      </c>
      <c r="E745" s="29" t="str">
        <f>'Hitung Per Bulan'!E745</f>
        <v/>
      </c>
      <c r="F745" s="24">
        <v>121952000</v>
      </c>
      <c r="G745" s="29" t="str">
        <f>'Hitung Per Bulan'!G745</f>
        <v/>
      </c>
    </row>
    <row r="746" spans="1:7" x14ac:dyDescent="0.45">
      <c r="A746" t="s">
        <v>7</v>
      </c>
      <c r="B746" t="s">
        <v>34</v>
      </c>
      <c r="C746" t="s">
        <v>26</v>
      </c>
      <c r="D746" s="24">
        <v>192500000</v>
      </c>
      <c r="E746" s="29">
        <f>'Hitung Per Bulan'!E746</f>
        <v>143058335</v>
      </c>
      <c r="F746" s="24">
        <v>192500000</v>
      </c>
      <c r="G746" s="29">
        <f>'Hitung Per Bulan'!G746</f>
        <v>143058335</v>
      </c>
    </row>
    <row r="747" spans="1:7" x14ac:dyDescent="0.45">
      <c r="A747" t="s">
        <v>10</v>
      </c>
      <c r="B747" t="s">
        <v>34</v>
      </c>
      <c r="C747" t="s">
        <v>26</v>
      </c>
      <c r="D747" s="24">
        <v>192500000</v>
      </c>
      <c r="E747" s="29">
        <f>'Hitung Per Bulan'!E747</f>
        <v>141087260</v>
      </c>
      <c r="F747" s="24">
        <v>192500000</v>
      </c>
      <c r="G747" s="29">
        <f>'Hitung Per Bulan'!G747</f>
        <v>141087260</v>
      </c>
    </row>
    <row r="748" spans="1:7" x14ac:dyDescent="0.45">
      <c r="A748" t="s">
        <v>11</v>
      </c>
      <c r="B748" t="s">
        <v>34</v>
      </c>
      <c r="C748" t="s">
        <v>26</v>
      </c>
      <c r="D748" s="24">
        <v>192500000</v>
      </c>
      <c r="E748" s="29">
        <f>'Hitung Per Bulan'!E748</f>
        <v>0</v>
      </c>
      <c r="F748" s="24">
        <v>192500000</v>
      </c>
      <c r="G748" s="29">
        <f>'Hitung Per Bulan'!G748</f>
        <v>0</v>
      </c>
    </row>
    <row r="749" spans="1:7" x14ac:dyDescent="0.45">
      <c r="A749" t="s">
        <v>12</v>
      </c>
      <c r="B749" t="s">
        <v>34</v>
      </c>
      <c r="C749" t="s">
        <v>26</v>
      </c>
      <c r="D749" s="24">
        <v>192500000</v>
      </c>
      <c r="E749" s="29" t="str">
        <f>'Hitung Per Bulan'!E749</f>
        <v/>
      </c>
      <c r="F749" s="24">
        <v>192500000</v>
      </c>
      <c r="G749" s="29" t="str">
        <f>'Hitung Per Bulan'!G749</f>
        <v/>
      </c>
    </row>
    <row r="750" spans="1:7" x14ac:dyDescent="0.45">
      <c r="A750" t="s">
        <v>13</v>
      </c>
      <c r="B750" t="s">
        <v>34</v>
      </c>
      <c r="C750" t="s">
        <v>26</v>
      </c>
      <c r="D750" s="24">
        <v>192500000</v>
      </c>
      <c r="E750" s="29" t="str">
        <f>'Hitung Per Bulan'!E750</f>
        <v/>
      </c>
      <c r="F750" s="24">
        <v>192500000</v>
      </c>
      <c r="G750" s="29" t="str">
        <f>'Hitung Per Bulan'!G750</f>
        <v/>
      </c>
    </row>
    <row r="751" spans="1:7" x14ac:dyDescent="0.45">
      <c r="A751" t="s">
        <v>14</v>
      </c>
      <c r="B751" t="s">
        <v>34</v>
      </c>
      <c r="C751" t="s">
        <v>26</v>
      </c>
      <c r="D751" s="24">
        <v>192500000</v>
      </c>
      <c r="E751" s="29" t="str">
        <f>'Hitung Per Bulan'!E751</f>
        <v/>
      </c>
      <c r="F751" s="24">
        <v>192500000</v>
      </c>
      <c r="G751" s="29" t="str">
        <f>'Hitung Per Bulan'!G751</f>
        <v/>
      </c>
    </row>
    <row r="752" spans="1:7" x14ac:dyDescent="0.45">
      <c r="A752" t="s">
        <v>15</v>
      </c>
      <c r="B752" t="s">
        <v>34</v>
      </c>
      <c r="C752" t="s">
        <v>26</v>
      </c>
      <c r="D752" s="24">
        <v>192500000</v>
      </c>
      <c r="E752" s="29" t="str">
        <f>'Hitung Per Bulan'!E752</f>
        <v/>
      </c>
      <c r="F752" s="24">
        <v>192500000</v>
      </c>
      <c r="G752" s="29" t="str">
        <f>'Hitung Per Bulan'!G752</f>
        <v/>
      </c>
    </row>
    <row r="753" spans="1:7" x14ac:dyDescent="0.45">
      <c r="A753" t="s">
        <v>16</v>
      </c>
      <c r="B753" t="s">
        <v>34</v>
      </c>
      <c r="C753" t="s">
        <v>26</v>
      </c>
      <c r="D753" s="24">
        <v>192500000</v>
      </c>
      <c r="E753" s="29" t="str">
        <f>'Hitung Per Bulan'!E753</f>
        <v/>
      </c>
      <c r="F753" s="24">
        <v>192500000</v>
      </c>
      <c r="G753" s="29" t="str">
        <f>'Hitung Per Bulan'!G753</f>
        <v/>
      </c>
    </row>
    <row r="754" spans="1:7" x14ac:dyDescent="0.45">
      <c r="A754" t="s">
        <v>17</v>
      </c>
      <c r="B754" t="s">
        <v>34</v>
      </c>
      <c r="C754" t="s">
        <v>26</v>
      </c>
      <c r="D754" s="24">
        <v>192500000</v>
      </c>
      <c r="E754" s="29" t="str">
        <f>'Hitung Per Bulan'!E754</f>
        <v/>
      </c>
      <c r="F754" s="24">
        <v>192500000</v>
      </c>
      <c r="G754" s="29" t="str">
        <f>'Hitung Per Bulan'!G754</f>
        <v/>
      </c>
    </row>
    <row r="755" spans="1:7" x14ac:dyDescent="0.45">
      <c r="A755" t="s">
        <v>18</v>
      </c>
      <c r="B755" t="s">
        <v>34</v>
      </c>
      <c r="C755" t="s">
        <v>26</v>
      </c>
      <c r="D755" s="24">
        <v>192500000</v>
      </c>
      <c r="E755" s="29" t="str">
        <f>'Hitung Per Bulan'!E755</f>
        <v/>
      </c>
      <c r="F755" s="24">
        <v>192500000</v>
      </c>
      <c r="G755" s="29" t="str">
        <f>'Hitung Per Bulan'!G755</f>
        <v/>
      </c>
    </row>
    <row r="756" spans="1:7" x14ac:dyDescent="0.45">
      <c r="A756" t="s">
        <v>19</v>
      </c>
      <c r="B756" t="s">
        <v>34</v>
      </c>
      <c r="C756" t="s">
        <v>26</v>
      </c>
      <c r="D756" s="24">
        <v>192500000</v>
      </c>
      <c r="E756" s="29" t="str">
        <f>'Hitung Per Bulan'!E756</f>
        <v/>
      </c>
      <c r="F756" s="24">
        <v>192500000</v>
      </c>
      <c r="G756" s="29" t="str">
        <f>'Hitung Per Bulan'!G756</f>
        <v/>
      </c>
    </row>
    <row r="757" spans="1:7" x14ac:dyDescent="0.45">
      <c r="A757" t="s">
        <v>20</v>
      </c>
      <c r="B757" t="s">
        <v>34</v>
      </c>
      <c r="C757" t="s">
        <v>26</v>
      </c>
      <c r="D757" s="24">
        <v>192500000</v>
      </c>
      <c r="E757" s="29" t="str">
        <f>'Hitung Per Bulan'!E757</f>
        <v/>
      </c>
      <c r="F757" s="24">
        <v>192500000</v>
      </c>
      <c r="G757" s="29" t="str">
        <f>'Hitung Per Bulan'!G757</f>
        <v/>
      </c>
    </row>
    <row r="758" spans="1:7" x14ac:dyDescent="0.45">
      <c r="A758" t="s">
        <v>7</v>
      </c>
      <c r="B758" t="s">
        <v>35</v>
      </c>
      <c r="C758" t="s">
        <v>9</v>
      </c>
      <c r="D758" s="24">
        <v>138362000</v>
      </c>
      <c r="E758" s="29">
        <f>'Hitung Per Bulan'!E758</f>
        <v>2817500752</v>
      </c>
      <c r="F758" s="24">
        <v>138362000</v>
      </c>
      <c r="G758" s="29">
        <f>'Hitung Per Bulan'!G758</f>
        <v>0</v>
      </c>
    </row>
    <row r="759" spans="1:7" x14ac:dyDescent="0.45">
      <c r="A759" t="s">
        <v>10</v>
      </c>
      <c r="B759" t="s">
        <v>35</v>
      </c>
      <c r="C759" t="s">
        <v>9</v>
      </c>
      <c r="D759" s="24">
        <v>138362000</v>
      </c>
      <c r="E759" s="29">
        <f>'Hitung Per Bulan'!E759</f>
        <v>14723328892</v>
      </c>
      <c r="F759" s="24">
        <v>138362000</v>
      </c>
      <c r="G759" s="29">
        <f>'Hitung Per Bulan'!G759</f>
        <v>426154218</v>
      </c>
    </row>
    <row r="760" spans="1:7" x14ac:dyDescent="0.45">
      <c r="A760" t="s">
        <v>11</v>
      </c>
      <c r="B760" t="s">
        <v>35</v>
      </c>
      <c r="C760" t="s">
        <v>9</v>
      </c>
      <c r="D760" s="24">
        <v>15317250000</v>
      </c>
      <c r="E760" s="29">
        <f>'Hitung Per Bulan'!E760</f>
        <v>3333257469</v>
      </c>
      <c r="F760" s="24">
        <v>138362000</v>
      </c>
      <c r="G760" s="29">
        <f>'Hitung Per Bulan'!G760</f>
        <v>728579700</v>
      </c>
    </row>
    <row r="761" spans="1:7" x14ac:dyDescent="0.45">
      <c r="A761" t="s">
        <v>12</v>
      </c>
      <c r="B761" t="s">
        <v>35</v>
      </c>
      <c r="C761" t="s">
        <v>9</v>
      </c>
      <c r="D761" s="24">
        <v>515005000</v>
      </c>
      <c r="E761" s="29" t="str">
        <f>'Hitung Per Bulan'!E761</f>
        <v/>
      </c>
      <c r="F761" s="24">
        <v>138362000</v>
      </c>
      <c r="G761" s="29" t="str">
        <f>'Hitung Per Bulan'!G761</f>
        <v/>
      </c>
    </row>
    <row r="762" spans="1:7" x14ac:dyDescent="0.45">
      <c r="A762" t="s">
        <v>13</v>
      </c>
      <c r="B762" t="s">
        <v>35</v>
      </c>
      <c r="C762" t="s">
        <v>9</v>
      </c>
      <c r="D762" s="24">
        <v>1979048000</v>
      </c>
      <c r="E762" s="29" t="str">
        <f>'Hitung Per Bulan'!E762</f>
        <v/>
      </c>
      <c r="F762" s="24">
        <v>1790524000</v>
      </c>
      <c r="G762" s="29" t="str">
        <f>'Hitung Per Bulan'!G762</f>
        <v/>
      </c>
    </row>
    <row r="763" spans="1:7" x14ac:dyDescent="0.45">
      <c r="A763" t="s">
        <v>14</v>
      </c>
      <c r="B763" t="s">
        <v>35</v>
      </c>
      <c r="C763" t="s">
        <v>9</v>
      </c>
      <c r="D763" s="24">
        <v>4818772000</v>
      </c>
      <c r="E763" s="29" t="str">
        <f>'Hitung Per Bulan'!E763</f>
        <v/>
      </c>
      <c r="F763" s="24">
        <v>1231565000</v>
      </c>
      <c r="G763" s="29" t="str">
        <f>'Hitung Per Bulan'!G763</f>
        <v/>
      </c>
    </row>
    <row r="764" spans="1:7" x14ac:dyDescent="0.45">
      <c r="A764" t="s">
        <v>15</v>
      </c>
      <c r="B764" t="s">
        <v>35</v>
      </c>
      <c r="C764" t="s">
        <v>9</v>
      </c>
      <c r="D764" s="24">
        <v>138362000</v>
      </c>
      <c r="E764" s="29" t="str">
        <f>'Hitung Per Bulan'!E764</f>
        <v/>
      </c>
      <c r="F764" s="24">
        <v>542174000</v>
      </c>
      <c r="G764" s="29" t="str">
        <f>'Hitung Per Bulan'!G764</f>
        <v/>
      </c>
    </row>
    <row r="765" spans="1:7" x14ac:dyDescent="0.45">
      <c r="A765" t="s">
        <v>16</v>
      </c>
      <c r="B765" t="s">
        <v>35</v>
      </c>
      <c r="C765" t="s">
        <v>9</v>
      </c>
      <c r="D765" s="24">
        <v>2657670000</v>
      </c>
      <c r="E765" s="29" t="str">
        <f>'Hitung Per Bulan'!E765</f>
        <v/>
      </c>
      <c r="F765" s="24">
        <v>1575236000</v>
      </c>
      <c r="G765" s="29" t="str">
        <f>'Hitung Per Bulan'!G765</f>
        <v/>
      </c>
    </row>
    <row r="766" spans="1:7" x14ac:dyDescent="0.45">
      <c r="A766" t="s">
        <v>17</v>
      </c>
      <c r="B766" t="s">
        <v>35</v>
      </c>
      <c r="C766" t="s">
        <v>9</v>
      </c>
      <c r="D766" s="24">
        <v>465517000</v>
      </c>
      <c r="E766" s="29" t="str">
        <f>'Hitung Per Bulan'!E766</f>
        <v/>
      </c>
      <c r="F766" s="24">
        <v>1365573000</v>
      </c>
      <c r="G766" s="29" t="str">
        <f>'Hitung Per Bulan'!G766</f>
        <v/>
      </c>
    </row>
    <row r="767" spans="1:7" x14ac:dyDescent="0.45">
      <c r="A767" t="s">
        <v>18</v>
      </c>
      <c r="B767" t="s">
        <v>35</v>
      </c>
      <c r="C767" t="s">
        <v>9</v>
      </c>
      <c r="D767" s="24">
        <v>138362000</v>
      </c>
      <c r="E767" s="29" t="str">
        <f>'Hitung Per Bulan'!E767</f>
        <v/>
      </c>
      <c r="F767" s="24">
        <v>13779904000</v>
      </c>
      <c r="G767" s="29" t="str">
        <f>'Hitung Per Bulan'!G767</f>
        <v/>
      </c>
    </row>
    <row r="768" spans="1:7" x14ac:dyDescent="0.45">
      <c r="A768" t="s">
        <v>19</v>
      </c>
      <c r="B768" t="s">
        <v>35</v>
      </c>
      <c r="C768" t="s">
        <v>9</v>
      </c>
      <c r="D768" s="24">
        <v>138362000</v>
      </c>
      <c r="E768" s="29" t="str">
        <f>'Hitung Per Bulan'!E768</f>
        <v/>
      </c>
      <c r="F768" s="24">
        <v>3087340000</v>
      </c>
      <c r="G768" s="29" t="str">
        <f>'Hitung Per Bulan'!G768</f>
        <v/>
      </c>
    </row>
    <row r="769" spans="1:7" x14ac:dyDescent="0.45">
      <c r="A769" t="s">
        <v>20</v>
      </c>
      <c r="B769" t="s">
        <v>35</v>
      </c>
      <c r="C769" t="s">
        <v>9</v>
      </c>
      <c r="D769" s="24">
        <v>138362000</v>
      </c>
      <c r="E769" s="29" t="str">
        <f>'Hitung Per Bulan'!E769</f>
        <v/>
      </c>
      <c r="F769" s="24">
        <v>2657670000</v>
      </c>
      <c r="G769" s="29" t="str">
        <f>'Hitung Per Bulan'!G769</f>
        <v/>
      </c>
    </row>
    <row r="770" spans="1:7" x14ac:dyDescent="0.45">
      <c r="A770" t="s">
        <v>7</v>
      </c>
      <c r="B770" t="s">
        <v>35</v>
      </c>
      <c r="C770" t="s">
        <v>21</v>
      </c>
      <c r="D770" s="24">
        <v>0</v>
      </c>
      <c r="E770" s="29">
        <f>'Hitung Per Bulan'!E770</f>
        <v>0</v>
      </c>
      <c r="F770" s="24">
        <v>0</v>
      </c>
      <c r="G770" s="29">
        <f>'Hitung Per Bulan'!G770</f>
        <v>0</v>
      </c>
    </row>
    <row r="771" spans="1:7" x14ac:dyDescent="0.45">
      <c r="A771" t="s">
        <v>10</v>
      </c>
      <c r="B771" t="s">
        <v>35</v>
      </c>
      <c r="C771" t="s">
        <v>21</v>
      </c>
      <c r="D771" s="24">
        <v>0</v>
      </c>
      <c r="E771" s="29">
        <f>'Hitung Per Bulan'!E771</f>
        <v>0</v>
      </c>
      <c r="F771" s="24">
        <v>0</v>
      </c>
      <c r="G771" s="29">
        <f>'Hitung Per Bulan'!G771</f>
        <v>0</v>
      </c>
    </row>
    <row r="772" spans="1:7" x14ac:dyDescent="0.45">
      <c r="A772" t="s">
        <v>11</v>
      </c>
      <c r="B772" t="s">
        <v>35</v>
      </c>
      <c r="C772" t="s">
        <v>21</v>
      </c>
      <c r="D772" s="24">
        <v>200000000</v>
      </c>
      <c r="E772" s="29">
        <f>'Hitung Per Bulan'!E772</f>
        <v>0</v>
      </c>
      <c r="F772" s="24">
        <v>200000000</v>
      </c>
      <c r="G772" s="29">
        <f>'Hitung Per Bulan'!G772</f>
        <v>0</v>
      </c>
    </row>
    <row r="773" spans="1:7" x14ac:dyDescent="0.45">
      <c r="A773" t="s">
        <v>12</v>
      </c>
      <c r="B773" t="s">
        <v>35</v>
      </c>
      <c r="C773" t="s">
        <v>21</v>
      </c>
      <c r="D773" s="24">
        <v>500000000</v>
      </c>
      <c r="E773" s="29" t="str">
        <f>'Hitung Per Bulan'!E773</f>
        <v/>
      </c>
      <c r="F773" s="24">
        <v>500000000</v>
      </c>
      <c r="G773" s="29" t="str">
        <f>'Hitung Per Bulan'!G773</f>
        <v/>
      </c>
    </row>
    <row r="774" spans="1:7" x14ac:dyDescent="0.45">
      <c r="A774" t="s">
        <v>13</v>
      </c>
      <c r="B774" t="s">
        <v>35</v>
      </c>
      <c r="C774" t="s">
        <v>21</v>
      </c>
      <c r="D774" s="24">
        <v>0</v>
      </c>
      <c r="E774" s="29" t="str">
        <f>'Hitung Per Bulan'!E774</f>
        <v/>
      </c>
      <c r="F774" s="24">
        <v>0</v>
      </c>
      <c r="G774" s="29" t="str">
        <f>'Hitung Per Bulan'!G774</f>
        <v/>
      </c>
    </row>
    <row r="775" spans="1:7" x14ac:dyDescent="0.45">
      <c r="A775" t="s">
        <v>14</v>
      </c>
      <c r="B775" t="s">
        <v>35</v>
      </c>
      <c r="C775" t="s">
        <v>21</v>
      </c>
      <c r="D775" s="24">
        <v>0</v>
      </c>
      <c r="E775" s="29" t="str">
        <f>'Hitung Per Bulan'!E775</f>
        <v/>
      </c>
      <c r="F775" s="24">
        <v>0</v>
      </c>
      <c r="G775" s="29" t="str">
        <f>'Hitung Per Bulan'!G775</f>
        <v/>
      </c>
    </row>
    <row r="776" spans="1:7" x14ac:dyDescent="0.45">
      <c r="A776" t="s">
        <v>15</v>
      </c>
      <c r="B776" t="s">
        <v>35</v>
      </c>
      <c r="C776" t="s">
        <v>21</v>
      </c>
      <c r="D776" s="24">
        <v>200000000</v>
      </c>
      <c r="E776" s="29" t="str">
        <f>'Hitung Per Bulan'!E776</f>
        <v/>
      </c>
      <c r="F776" s="24">
        <v>200000000</v>
      </c>
      <c r="G776" s="29" t="str">
        <f>'Hitung Per Bulan'!G776</f>
        <v/>
      </c>
    </row>
    <row r="777" spans="1:7" x14ac:dyDescent="0.45">
      <c r="A777" t="s">
        <v>16</v>
      </c>
      <c r="B777" t="s">
        <v>35</v>
      </c>
      <c r="C777" t="s">
        <v>21</v>
      </c>
      <c r="D777" s="24">
        <v>0</v>
      </c>
      <c r="E777" s="29" t="str">
        <f>'Hitung Per Bulan'!E777</f>
        <v/>
      </c>
      <c r="F777" s="24">
        <v>0</v>
      </c>
      <c r="G777" s="29" t="str">
        <f>'Hitung Per Bulan'!G777</f>
        <v/>
      </c>
    </row>
    <row r="778" spans="1:7" x14ac:dyDescent="0.45">
      <c r="A778" t="s">
        <v>17</v>
      </c>
      <c r="B778" t="s">
        <v>35</v>
      </c>
      <c r="C778" t="s">
        <v>21</v>
      </c>
      <c r="D778" s="24">
        <v>500000000</v>
      </c>
      <c r="E778" s="29" t="str">
        <f>'Hitung Per Bulan'!E778</f>
        <v/>
      </c>
      <c r="F778" s="24">
        <v>500000000</v>
      </c>
      <c r="G778" s="29" t="str">
        <f>'Hitung Per Bulan'!G778</f>
        <v/>
      </c>
    </row>
    <row r="779" spans="1:7" x14ac:dyDescent="0.45">
      <c r="A779" t="s">
        <v>18</v>
      </c>
      <c r="B779" t="s">
        <v>35</v>
      </c>
      <c r="C779" t="s">
        <v>21</v>
      </c>
      <c r="D779" s="24">
        <v>200000000</v>
      </c>
      <c r="E779" s="29" t="str">
        <f>'Hitung Per Bulan'!E779</f>
        <v/>
      </c>
      <c r="F779" s="24">
        <v>200000000</v>
      </c>
      <c r="G779" s="29" t="str">
        <f>'Hitung Per Bulan'!G779</f>
        <v/>
      </c>
    </row>
    <row r="780" spans="1:7" x14ac:dyDescent="0.45">
      <c r="A780" t="s">
        <v>19</v>
      </c>
      <c r="B780" t="s">
        <v>35</v>
      </c>
      <c r="C780" t="s">
        <v>21</v>
      </c>
      <c r="D780" s="24">
        <v>0</v>
      </c>
      <c r="E780" s="29" t="str">
        <f>'Hitung Per Bulan'!E780</f>
        <v/>
      </c>
      <c r="F780" s="24">
        <v>0</v>
      </c>
      <c r="G780" s="29" t="str">
        <f>'Hitung Per Bulan'!G780</f>
        <v/>
      </c>
    </row>
    <row r="781" spans="1:7" x14ac:dyDescent="0.45">
      <c r="A781" t="s">
        <v>20</v>
      </c>
      <c r="B781" t="s">
        <v>35</v>
      </c>
      <c r="C781" t="s">
        <v>21</v>
      </c>
      <c r="D781" s="24">
        <v>0</v>
      </c>
      <c r="E781" s="29" t="str">
        <f>'Hitung Per Bulan'!E781</f>
        <v/>
      </c>
      <c r="F781" s="24">
        <v>0</v>
      </c>
      <c r="G781" s="29" t="str">
        <f>'Hitung Per Bulan'!G781</f>
        <v/>
      </c>
    </row>
    <row r="782" spans="1:7" x14ac:dyDescent="0.45">
      <c r="A782" t="s">
        <v>7</v>
      </c>
      <c r="B782" t="s">
        <v>35</v>
      </c>
      <c r="C782" t="s">
        <v>22</v>
      </c>
      <c r="D782" s="24">
        <v>0</v>
      </c>
      <c r="E782" s="29">
        <f>'Hitung Per Bulan'!E782</f>
        <v>3970000</v>
      </c>
      <c r="F782" s="24">
        <v>0</v>
      </c>
      <c r="G782" s="29">
        <f>'Hitung Per Bulan'!G782</f>
        <v>0</v>
      </c>
    </row>
    <row r="783" spans="1:7" x14ac:dyDescent="0.45">
      <c r="A783" t="s">
        <v>10</v>
      </c>
      <c r="B783" t="s">
        <v>35</v>
      </c>
      <c r="C783" t="s">
        <v>22</v>
      </c>
      <c r="D783" s="24">
        <v>35387500</v>
      </c>
      <c r="E783" s="29">
        <f>'Hitung Per Bulan'!E783</f>
        <v>24082000</v>
      </c>
      <c r="F783" s="24">
        <v>0</v>
      </c>
      <c r="G783" s="29">
        <f>'Hitung Per Bulan'!G783</f>
        <v>3970000</v>
      </c>
    </row>
    <row r="784" spans="1:7" x14ac:dyDescent="0.45">
      <c r="A784" t="s">
        <v>11</v>
      </c>
      <c r="B784" t="s">
        <v>35</v>
      </c>
      <c r="C784" t="s">
        <v>22</v>
      </c>
      <c r="D784" s="24">
        <v>0</v>
      </c>
      <c r="E784" s="29">
        <f>'Hitung Per Bulan'!E784</f>
        <v>0</v>
      </c>
      <c r="F784" s="24">
        <v>35388000</v>
      </c>
      <c r="G784" s="29">
        <f>'Hitung Per Bulan'!G784</f>
        <v>0</v>
      </c>
    </row>
    <row r="785" spans="1:7" x14ac:dyDescent="0.45">
      <c r="A785" t="s">
        <v>12</v>
      </c>
      <c r="B785" t="s">
        <v>35</v>
      </c>
      <c r="C785" t="s">
        <v>22</v>
      </c>
      <c r="D785" s="24">
        <v>0</v>
      </c>
      <c r="E785" s="29" t="str">
        <f>'Hitung Per Bulan'!E785</f>
        <v/>
      </c>
      <c r="F785" s="24">
        <v>0</v>
      </c>
      <c r="G785" s="29" t="str">
        <f>'Hitung Per Bulan'!G785</f>
        <v/>
      </c>
    </row>
    <row r="786" spans="1:7" x14ac:dyDescent="0.45">
      <c r="A786" t="s">
        <v>13</v>
      </c>
      <c r="B786" t="s">
        <v>35</v>
      </c>
      <c r="C786" t="s">
        <v>22</v>
      </c>
      <c r="D786" s="24">
        <v>35387500</v>
      </c>
      <c r="E786" s="29" t="str">
        <f>'Hitung Per Bulan'!E786</f>
        <v/>
      </c>
      <c r="F786" s="24">
        <v>0</v>
      </c>
      <c r="G786" s="29" t="str">
        <f>'Hitung Per Bulan'!G786</f>
        <v/>
      </c>
    </row>
    <row r="787" spans="1:7" x14ac:dyDescent="0.45">
      <c r="A787" t="s">
        <v>14</v>
      </c>
      <c r="B787" t="s">
        <v>35</v>
      </c>
      <c r="C787" t="s">
        <v>22</v>
      </c>
      <c r="D787" s="24">
        <v>0</v>
      </c>
      <c r="E787" s="29" t="str">
        <f>'Hitung Per Bulan'!E787</f>
        <v/>
      </c>
      <c r="F787" s="24">
        <v>35388000</v>
      </c>
      <c r="G787" s="29" t="str">
        <f>'Hitung Per Bulan'!G787</f>
        <v/>
      </c>
    </row>
    <row r="788" spans="1:7" x14ac:dyDescent="0.45">
      <c r="A788" t="s">
        <v>15</v>
      </c>
      <c r="B788" t="s">
        <v>35</v>
      </c>
      <c r="C788" t="s">
        <v>22</v>
      </c>
      <c r="D788" s="24">
        <v>0</v>
      </c>
      <c r="E788" s="29" t="str">
        <f>'Hitung Per Bulan'!E788</f>
        <v/>
      </c>
      <c r="F788" s="24">
        <v>0</v>
      </c>
      <c r="G788" s="29" t="str">
        <f>'Hitung Per Bulan'!G788</f>
        <v/>
      </c>
    </row>
    <row r="789" spans="1:7" x14ac:dyDescent="0.45">
      <c r="A789" t="s">
        <v>16</v>
      </c>
      <c r="B789" t="s">
        <v>35</v>
      </c>
      <c r="C789" t="s">
        <v>22</v>
      </c>
      <c r="D789" s="24">
        <v>35387500</v>
      </c>
      <c r="E789" s="29" t="str">
        <f>'Hitung Per Bulan'!E789</f>
        <v/>
      </c>
      <c r="F789" s="24">
        <v>0</v>
      </c>
      <c r="G789" s="29" t="str">
        <f>'Hitung Per Bulan'!G789</f>
        <v/>
      </c>
    </row>
    <row r="790" spans="1:7" x14ac:dyDescent="0.45">
      <c r="A790" t="s">
        <v>17</v>
      </c>
      <c r="B790" t="s">
        <v>35</v>
      </c>
      <c r="C790" t="s">
        <v>22</v>
      </c>
      <c r="D790" s="24">
        <v>0</v>
      </c>
      <c r="E790" s="29" t="str">
        <f>'Hitung Per Bulan'!E790</f>
        <v/>
      </c>
      <c r="F790" s="24">
        <v>35387000</v>
      </c>
      <c r="G790" s="29" t="str">
        <f>'Hitung Per Bulan'!G790</f>
        <v/>
      </c>
    </row>
    <row r="791" spans="1:7" x14ac:dyDescent="0.45">
      <c r="A791" t="s">
        <v>18</v>
      </c>
      <c r="B791" t="s">
        <v>35</v>
      </c>
      <c r="C791" t="s">
        <v>22</v>
      </c>
      <c r="D791" s="24">
        <v>0</v>
      </c>
      <c r="E791" s="29" t="str">
        <f>'Hitung Per Bulan'!E791</f>
        <v/>
      </c>
      <c r="F791" s="24">
        <v>0</v>
      </c>
      <c r="G791" s="29" t="str">
        <f>'Hitung Per Bulan'!G791</f>
        <v/>
      </c>
    </row>
    <row r="792" spans="1:7" x14ac:dyDescent="0.45">
      <c r="A792" t="s">
        <v>19</v>
      </c>
      <c r="B792" t="s">
        <v>35</v>
      </c>
      <c r="C792" t="s">
        <v>22</v>
      </c>
      <c r="D792" s="24">
        <v>35387500</v>
      </c>
      <c r="E792" s="29" t="str">
        <f>'Hitung Per Bulan'!E792</f>
        <v/>
      </c>
      <c r="F792" s="24">
        <v>0</v>
      </c>
      <c r="G792" s="29" t="str">
        <f>'Hitung Per Bulan'!G792</f>
        <v/>
      </c>
    </row>
    <row r="793" spans="1:7" x14ac:dyDescent="0.45">
      <c r="A793" t="s">
        <v>20</v>
      </c>
      <c r="B793" t="s">
        <v>35</v>
      </c>
      <c r="C793" t="s">
        <v>22</v>
      </c>
      <c r="D793" s="24">
        <v>0</v>
      </c>
      <c r="E793" s="29" t="str">
        <f>'Hitung Per Bulan'!E793</f>
        <v/>
      </c>
      <c r="F793" s="24">
        <v>35387000</v>
      </c>
      <c r="G793" s="29" t="str">
        <f>'Hitung Per Bulan'!G793</f>
        <v/>
      </c>
    </row>
    <row r="794" spans="1:7" x14ac:dyDescent="0.45">
      <c r="A794" t="s">
        <v>7</v>
      </c>
      <c r="B794" t="s">
        <v>35</v>
      </c>
      <c r="C794" t="s">
        <v>23</v>
      </c>
      <c r="D794" s="24">
        <v>0</v>
      </c>
      <c r="E794" s="29">
        <f>'Hitung Per Bulan'!E794</f>
        <v>0</v>
      </c>
      <c r="F794" s="24">
        <v>0</v>
      </c>
      <c r="G794" s="29">
        <f>'Hitung Per Bulan'!G794</f>
        <v>0</v>
      </c>
    </row>
    <row r="795" spans="1:7" x14ac:dyDescent="0.45">
      <c r="A795" t="s">
        <v>10</v>
      </c>
      <c r="B795" t="s">
        <v>35</v>
      </c>
      <c r="C795" t="s">
        <v>23</v>
      </c>
      <c r="D795" s="24">
        <v>0</v>
      </c>
      <c r="E795" s="29">
        <f>'Hitung Per Bulan'!E795</f>
        <v>0</v>
      </c>
      <c r="F795" s="24">
        <v>0</v>
      </c>
      <c r="G795" s="29">
        <f>'Hitung Per Bulan'!G795</f>
        <v>0</v>
      </c>
    </row>
    <row r="796" spans="1:7" x14ac:dyDescent="0.45">
      <c r="A796" t="s">
        <v>11</v>
      </c>
      <c r="B796" t="s">
        <v>35</v>
      </c>
      <c r="C796" t="s">
        <v>23</v>
      </c>
      <c r="D796" s="24">
        <v>50000000</v>
      </c>
      <c r="E796" s="29">
        <f>'Hitung Per Bulan'!E796</f>
        <v>0</v>
      </c>
      <c r="F796" s="24">
        <v>50000000</v>
      </c>
      <c r="G796" s="29">
        <f>'Hitung Per Bulan'!G796</f>
        <v>0</v>
      </c>
    </row>
    <row r="797" spans="1:7" x14ac:dyDescent="0.45">
      <c r="A797" t="s">
        <v>12</v>
      </c>
      <c r="B797" t="s">
        <v>35</v>
      </c>
      <c r="C797" t="s">
        <v>23</v>
      </c>
      <c r="D797" s="24">
        <v>0</v>
      </c>
      <c r="E797" s="29" t="str">
        <f>'Hitung Per Bulan'!E797</f>
        <v/>
      </c>
      <c r="F797" s="24">
        <v>0</v>
      </c>
      <c r="G797" s="29" t="str">
        <f>'Hitung Per Bulan'!G797</f>
        <v/>
      </c>
    </row>
    <row r="798" spans="1:7" x14ac:dyDescent="0.45">
      <c r="A798" t="s">
        <v>13</v>
      </c>
      <c r="B798" t="s">
        <v>35</v>
      </c>
      <c r="C798" t="s">
        <v>23</v>
      </c>
      <c r="D798" s="24">
        <v>0</v>
      </c>
      <c r="E798" s="29" t="str">
        <f>'Hitung Per Bulan'!E798</f>
        <v/>
      </c>
      <c r="F798" s="24">
        <v>0</v>
      </c>
      <c r="G798" s="29" t="str">
        <f>'Hitung Per Bulan'!G798</f>
        <v/>
      </c>
    </row>
    <row r="799" spans="1:7" x14ac:dyDescent="0.45">
      <c r="A799" t="s">
        <v>14</v>
      </c>
      <c r="B799" t="s">
        <v>35</v>
      </c>
      <c r="C799" t="s">
        <v>23</v>
      </c>
      <c r="D799" s="24">
        <v>100000000</v>
      </c>
      <c r="E799" s="29" t="str">
        <f>'Hitung Per Bulan'!E799</f>
        <v/>
      </c>
      <c r="F799" s="24">
        <v>100000000</v>
      </c>
      <c r="G799" s="29" t="str">
        <f>'Hitung Per Bulan'!G799</f>
        <v/>
      </c>
    </row>
    <row r="800" spans="1:7" x14ac:dyDescent="0.45">
      <c r="A800" t="s">
        <v>15</v>
      </c>
      <c r="B800" t="s">
        <v>35</v>
      </c>
      <c r="C800" t="s">
        <v>23</v>
      </c>
      <c r="D800" s="24">
        <v>0</v>
      </c>
      <c r="E800" s="29" t="str">
        <f>'Hitung Per Bulan'!E800</f>
        <v/>
      </c>
      <c r="F800" s="24">
        <v>0</v>
      </c>
      <c r="G800" s="29" t="str">
        <f>'Hitung Per Bulan'!G800</f>
        <v/>
      </c>
    </row>
    <row r="801" spans="1:7" x14ac:dyDescent="0.45">
      <c r="A801" t="s">
        <v>16</v>
      </c>
      <c r="B801" t="s">
        <v>35</v>
      </c>
      <c r="C801" t="s">
        <v>23</v>
      </c>
      <c r="D801" s="24">
        <v>0</v>
      </c>
      <c r="E801" s="29" t="str">
        <f>'Hitung Per Bulan'!E801</f>
        <v/>
      </c>
      <c r="F801" s="24">
        <v>0</v>
      </c>
      <c r="G801" s="29" t="str">
        <f>'Hitung Per Bulan'!G801</f>
        <v/>
      </c>
    </row>
    <row r="802" spans="1:7" x14ac:dyDescent="0.45">
      <c r="A802" t="s">
        <v>17</v>
      </c>
      <c r="B802" t="s">
        <v>35</v>
      </c>
      <c r="C802" t="s">
        <v>23</v>
      </c>
      <c r="D802" s="24">
        <v>50000000</v>
      </c>
      <c r="E802" s="29" t="str">
        <f>'Hitung Per Bulan'!E802</f>
        <v/>
      </c>
      <c r="F802" s="24">
        <v>50000000</v>
      </c>
      <c r="G802" s="29" t="str">
        <f>'Hitung Per Bulan'!G802</f>
        <v/>
      </c>
    </row>
    <row r="803" spans="1:7" x14ac:dyDescent="0.45">
      <c r="A803" t="s">
        <v>18</v>
      </c>
      <c r="B803" t="s">
        <v>35</v>
      </c>
      <c r="C803" t="s">
        <v>23</v>
      </c>
      <c r="D803" s="24">
        <v>0</v>
      </c>
      <c r="E803" s="29" t="str">
        <f>'Hitung Per Bulan'!E803</f>
        <v/>
      </c>
      <c r="F803" s="24">
        <v>0</v>
      </c>
      <c r="G803" s="29" t="str">
        <f>'Hitung Per Bulan'!G803</f>
        <v/>
      </c>
    </row>
    <row r="804" spans="1:7" x14ac:dyDescent="0.45">
      <c r="A804" t="s">
        <v>19</v>
      </c>
      <c r="B804" t="s">
        <v>35</v>
      </c>
      <c r="C804" t="s">
        <v>23</v>
      </c>
      <c r="D804" s="24">
        <v>0</v>
      </c>
      <c r="E804" s="29" t="str">
        <f>'Hitung Per Bulan'!E804</f>
        <v/>
      </c>
      <c r="F804" s="24">
        <v>0</v>
      </c>
      <c r="G804" s="29" t="str">
        <f>'Hitung Per Bulan'!G804</f>
        <v/>
      </c>
    </row>
    <row r="805" spans="1:7" x14ac:dyDescent="0.45">
      <c r="A805" t="s">
        <v>20</v>
      </c>
      <c r="B805" t="s">
        <v>35</v>
      </c>
      <c r="C805" t="s">
        <v>23</v>
      </c>
      <c r="D805" s="24">
        <v>0</v>
      </c>
      <c r="E805" s="29" t="str">
        <f>'Hitung Per Bulan'!E805</f>
        <v/>
      </c>
      <c r="F805" s="24">
        <v>0</v>
      </c>
      <c r="G805" s="29" t="str">
        <f>'Hitung Per Bulan'!G805</f>
        <v/>
      </c>
    </row>
    <row r="806" spans="1:7" x14ac:dyDescent="0.45">
      <c r="A806" t="s">
        <v>7</v>
      </c>
      <c r="B806" t="s">
        <v>35</v>
      </c>
      <c r="C806" t="s">
        <v>24</v>
      </c>
      <c r="D806" s="24">
        <v>0</v>
      </c>
      <c r="E806" s="29">
        <f>'Hitung Per Bulan'!E806</f>
        <v>0</v>
      </c>
      <c r="F806" s="24">
        <v>0</v>
      </c>
      <c r="G806" s="29">
        <f>'Hitung Per Bulan'!G806</f>
        <v>0</v>
      </c>
    </row>
    <row r="807" spans="1:7" x14ac:dyDescent="0.45">
      <c r="A807" t="s">
        <v>10</v>
      </c>
      <c r="B807" t="s">
        <v>35</v>
      </c>
      <c r="C807" t="s">
        <v>24</v>
      </c>
      <c r="D807" s="24">
        <v>0</v>
      </c>
      <c r="E807" s="29">
        <f>'Hitung Per Bulan'!E807</f>
        <v>0</v>
      </c>
      <c r="F807" s="24">
        <v>0</v>
      </c>
      <c r="G807" s="29">
        <f>'Hitung Per Bulan'!G807</f>
        <v>0</v>
      </c>
    </row>
    <row r="808" spans="1:7" x14ac:dyDescent="0.45">
      <c r="A808" t="s">
        <v>11</v>
      </c>
      <c r="B808" t="s">
        <v>35</v>
      </c>
      <c r="C808" t="s">
        <v>24</v>
      </c>
      <c r="D808" s="24">
        <v>0</v>
      </c>
      <c r="E808" s="29">
        <f>'Hitung Per Bulan'!E808</f>
        <v>0</v>
      </c>
      <c r="F808" s="24">
        <v>0</v>
      </c>
      <c r="G808" s="29">
        <f>'Hitung Per Bulan'!G808</f>
        <v>0</v>
      </c>
    </row>
    <row r="809" spans="1:7" x14ac:dyDescent="0.45">
      <c r="A809" t="s">
        <v>12</v>
      </c>
      <c r="B809" t="s">
        <v>35</v>
      </c>
      <c r="C809" t="s">
        <v>24</v>
      </c>
      <c r="D809" s="24">
        <v>0</v>
      </c>
      <c r="E809" s="29" t="str">
        <f>'Hitung Per Bulan'!E809</f>
        <v/>
      </c>
      <c r="F809" s="24">
        <v>0</v>
      </c>
      <c r="G809" s="29" t="str">
        <f>'Hitung Per Bulan'!G809</f>
        <v/>
      </c>
    </row>
    <row r="810" spans="1:7" x14ac:dyDescent="0.45">
      <c r="A810" t="s">
        <v>13</v>
      </c>
      <c r="B810" t="s">
        <v>35</v>
      </c>
      <c r="C810" t="s">
        <v>24</v>
      </c>
      <c r="D810" s="24">
        <v>0</v>
      </c>
      <c r="E810" s="29" t="str">
        <f>'Hitung Per Bulan'!E810</f>
        <v/>
      </c>
      <c r="F810" s="24">
        <v>0</v>
      </c>
      <c r="G810" s="29" t="str">
        <f>'Hitung Per Bulan'!G810</f>
        <v/>
      </c>
    </row>
    <row r="811" spans="1:7" x14ac:dyDescent="0.45">
      <c r="A811" t="s">
        <v>14</v>
      </c>
      <c r="B811" t="s">
        <v>35</v>
      </c>
      <c r="C811" t="s">
        <v>24</v>
      </c>
      <c r="D811" s="24">
        <v>0</v>
      </c>
      <c r="E811" s="29" t="str">
        <f>'Hitung Per Bulan'!E811</f>
        <v/>
      </c>
      <c r="F811" s="24">
        <v>0</v>
      </c>
      <c r="G811" s="29" t="str">
        <f>'Hitung Per Bulan'!G811</f>
        <v/>
      </c>
    </row>
    <row r="812" spans="1:7" x14ac:dyDescent="0.45">
      <c r="A812" t="s">
        <v>15</v>
      </c>
      <c r="B812" t="s">
        <v>35</v>
      </c>
      <c r="C812" t="s">
        <v>24</v>
      </c>
      <c r="D812" s="24">
        <v>0</v>
      </c>
      <c r="E812" s="29" t="str">
        <f>'Hitung Per Bulan'!E812</f>
        <v/>
      </c>
      <c r="F812" s="24">
        <v>0</v>
      </c>
      <c r="G812" s="29" t="str">
        <f>'Hitung Per Bulan'!G812</f>
        <v/>
      </c>
    </row>
    <row r="813" spans="1:7" x14ac:dyDescent="0.45">
      <c r="A813" t="s">
        <v>16</v>
      </c>
      <c r="B813" t="s">
        <v>35</v>
      </c>
      <c r="C813" t="s">
        <v>24</v>
      </c>
      <c r="D813" s="24">
        <v>0</v>
      </c>
      <c r="E813" s="29" t="str">
        <f>'Hitung Per Bulan'!E813</f>
        <v/>
      </c>
      <c r="F813" s="24">
        <v>0</v>
      </c>
      <c r="G813" s="29" t="str">
        <f>'Hitung Per Bulan'!G813</f>
        <v/>
      </c>
    </row>
    <row r="814" spans="1:7" x14ac:dyDescent="0.45">
      <c r="A814" t="s">
        <v>17</v>
      </c>
      <c r="B814" t="s">
        <v>35</v>
      </c>
      <c r="C814" t="s">
        <v>24</v>
      </c>
      <c r="D814" s="24">
        <v>0</v>
      </c>
      <c r="E814" s="29" t="str">
        <f>'Hitung Per Bulan'!E814</f>
        <v/>
      </c>
      <c r="F814" s="24">
        <v>0</v>
      </c>
      <c r="G814" s="29" t="str">
        <f>'Hitung Per Bulan'!G814</f>
        <v/>
      </c>
    </row>
    <row r="815" spans="1:7" x14ac:dyDescent="0.45">
      <c r="A815" t="s">
        <v>18</v>
      </c>
      <c r="B815" t="s">
        <v>35</v>
      </c>
      <c r="C815" t="s">
        <v>24</v>
      </c>
      <c r="D815" s="24">
        <v>0</v>
      </c>
      <c r="E815" s="29" t="str">
        <f>'Hitung Per Bulan'!E815</f>
        <v/>
      </c>
      <c r="F815" s="24">
        <v>0</v>
      </c>
      <c r="G815" s="29" t="str">
        <f>'Hitung Per Bulan'!G815</f>
        <v/>
      </c>
    </row>
    <row r="816" spans="1:7" x14ac:dyDescent="0.45">
      <c r="A816" t="s">
        <v>19</v>
      </c>
      <c r="B816" t="s">
        <v>35</v>
      </c>
      <c r="C816" t="s">
        <v>24</v>
      </c>
      <c r="D816" s="24">
        <v>0</v>
      </c>
      <c r="E816" s="29" t="str">
        <f>'Hitung Per Bulan'!E816</f>
        <v/>
      </c>
      <c r="F816" s="24">
        <v>0</v>
      </c>
      <c r="G816" s="29" t="str">
        <f>'Hitung Per Bulan'!G816</f>
        <v/>
      </c>
    </row>
    <row r="817" spans="1:7" x14ac:dyDescent="0.45">
      <c r="A817" t="s">
        <v>20</v>
      </c>
      <c r="B817" t="s">
        <v>35</v>
      </c>
      <c r="C817" t="s">
        <v>24</v>
      </c>
      <c r="D817" s="24">
        <v>0</v>
      </c>
      <c r="E817" s="29" t="str">
        <f>'Hitung Per Bulan'!E817</f>
        <v/>
      </c>
      <c r="F817" s="24">
        <v>0</v>
      </c>
      <c r="G817" s="29" t="str">
        <f>'Hitung Per Bulan'!G817</f>
        <v/>
      </c>
    </row>
    <row r="818" spans="1:7" x14ac:dyDescent="0.45">
      <c r="A818" t="s">
        <v>7</v>
      </c>
      <c r="B818" t="s">
        <v>35</v>
      </c>
      <c r="C818" t="s">
        <v>25</v>
      </c>
      <c r="D818" s="24">
        <v>82700000</v>
      </c>
      <c r="E818" s="29">
        <f>'Hitung Per Bulan'!E818</f>
        <v>57340750</v>
      </c>
      <c r="F818" s="24">
        <v>82700000</v>
      </c>
      <c r="G818" s="29">
        <f>'Hitung Per Bulan'!G818</f>
        <v>16205500</v>
      </c>
    </row>
    <row r="819" spans="1:7" x14ac:dyDescent="0.45">
      <c r="A819" t="s">
        <v>10</v>
      </c>
      <c r="B819" t="s">
        <v>35</v>
      </c>
      <c r="C819" t="s">
        <v>25</v>
      </c>
      <c r="D819" s="24">
        <v>141200000</v>
      </c>
      <c r="E819" s="29">
        <f>'Hitung Per Bulan'!E819</f>
        <v>82038470</v>
      </c>
      <c r="F819" s="24">
        <v>141200000</v>
      </c>
      <c r="G819" s="29">
        <f>'Hitung Per Bulan'!G819</f>
        <v>70154750</v>
      </c>
    </row>
    <row r="820" spans="1:7" x14ac:dyDescent="0.45">
      <c r="A820" t="s">
        <v>11</v>
      </c>
      <c r="B820" t="s">
        <v>35</v>
      </c>
      <c r="C820" t="s">
        <v>25</v>
      </c>
      <c r="D820" s="24">
        <v>397700000</v>
      </c>
      <c r="E820" s="29">
        <f>'Hitung Per Bulan'!E820</f>
        <v>69713445</v>
      </c>
      <c r="F820" s="24">
        <v>397700000</v>
      </c>
      <c r="G820" s="29">
        <f>'Hitung Per Bulan'!G820</f>
        <v>38177100</v>
      </c>
    </row>
    <row r="821" spans="1:7" x14ac:dyDescent="0.45">
      <c r="A821" t="s">
        <v>12</v>
      </c>
      <c r="B821" t="s">
        <v>35</v>
      </c>
      <c r="C821" t="s">
        <v>25</v>
      </c>
      <c r="D821" s="24">
        <v>142700000</v>
      </c>
      <c r="E821" s="29" t="str">
        <f>'Hitung Per Bulan'!E821</f>
        <v/>
      </c>
      <c r="F821" s="24">
        <v>142700000</v>
      </c>
      <c r="G821" s="29" t="str">
        <f>'Hitung Per Bulan'!G821</f>
        <v/>
      </c>
    </row>
    <row r="822" spans="1:7" x14ac:dyDescent="0.45">
      <c r="A822" t="s">
        <v>13</v>
      </c>
      <c r="B822" t="s">
        <v>35</v>
      </c>
      <c r="C822" t="s">
        <v>25</v>
      </c>
      <c r="D822" s="24">
        <v>121200000</v>
      </c>
      <c r="E822" s="29" t="str">
        <f>'Hitung Per Bulan'!E822</f>
        <v/>
      </c>
      <c r="F822" s="24">
        <v>121200000</v>
      </c>
      <c r="G822" s="29" t="str">
        <f>'Hitung Per Bulan'!G822</f>
        <v/>
      </c>
    </row>
    <row r="823" spans="1:7" x14ac:dyDescent="0.45">
      <c r="A823" t="s">
        <v>14</v>
      </c>
      <c r="B823" t="s">
        <v>35</v>
      </c>
      <c r="C823" t="s">
        <v>25</v>
      </c>
      <c r="D823" s="24">
        <v>167700000</v>
      </c>
      <c r="E823" s="29" t="str">
        <f>'Hitung Per Bulan'!E823</f>
        <v/>
      </c>
      <c r="F823" s="24">
        <v>167700000</v>
      </c>
      <c r="G823" s="29" t="str">
        <f>'Hitung Per Bulan'!G823</f>
        <v/>
      </c>
    </row>
    <row r="824" spans="1:7" x14ac:dyDescent="0.45">
      <c r="A824" t="s">
        <v>15</v>
      </c>
      <c r="B824" t="s">
        <v>35</v>
      </c>
      <c r="C824" t="s">
        <v>25</v>
      </c>
      <c r="D824" s="24">
        <v>165700000</v>
      </c>
      <c r="E824" s="29" t="str">
        <f>'Hitung Per Bulan'!E824</f>
        <v/>
      </c>
      <c r="F824" s="24">
        <v>165700000</v>
      </c>
      <c r="G824" s="29" t="str">
        <f>'Hitung Per Bulan'!G824</f>
        <v/>
      </c>
    </row>
    <row r="825" spans="1:7" x14ac:dyDescent="0.45">
      <c r="A825" t="s">
        <v>16</v>
      </c>
      <c r="B825" t="s">
        <v>35</v>
      </c>
      <c r="C825" t="s">
        <v>25</v>
      </c>
      <c r="D825" s="24">
        <v>134000000</v>
      </c>
      <c r="E825" s="29" t="str">
        <f>'Hitung Per Bulan'!E825</f>
        <v/>
      </c>
      <c r="F825" s="24">
        <v>134000000</v>
      </c>
      <c r="G825" s="29" t="str">
        <f>'Hitung Per Bulan'!G825</f>
        <v/>
      </c>
    </row>
    <row r="826" spans="1:7" x14ac:dyDescent="0.45">
      <c r="A826" t="s">
        <v>17</v>
      </c>
      <c r="B826" t="s">
        <v>35</v>
      </c>
      <c r="C826" t="s">
        <v>25</v>
      </c>
      <c r="D826" s="24">
        <v>142757000</v>
      </c>
      <c r="E826" s="29" t="str">
        <f>'Hitung Per Bulan'!E826</f>
        <v/>
      </c>
      <c r="F826" s="24">
        <v>142757000</v>
      </c>
      <c r="G826" s="29" t="str">
        <f>'Hitung Per Bulan'!G826</f>
        <v/>
      </c>
    </row>
    <row r="827" spans="1:7" x14ac:dyDescent="0.45">
      <c r="A827" t="s">
        <v>18</v>
      </c>
      <c r="B827" t="s">
        <v>35</v>
      </c>
      <c r="C827" t="s">
        <v>25</v>
      </c>
      <c r="D827" s="24">
        <v>102700000</v>
      </c>
      <c r="E827" s="29" t="str">
        <f>'Hitung Per Bulan'!E827</f>
        <v/>
      </c>
      <c r="F827" s="24">
        <v>102700000</v>
      </c>
      <c r="G827" s="29" t="str">
        <f>'Hitung Per Bulan'!G827</f>
        <v/>
      </c>
    </row>
    <row r="828" spans="1:7" x14ac:dyDescent="0.45">
      <c r="A828" t="s">
        <v>19</v>
      </c>
      <c r="B828" t="s">
        <v>35</v>
      </c>
      <c r="C828" t="s">
        <v>25</v>
      </c>
      <c r="D828" s="24">
        <v>185200000</v>
      </c>
      <c r="E828" s="29" t="str">
        <f>'Hitung Per Bulan'!E828</f>
        <v/>
      </c>
      <c r="F828" s="24">
        <v>185200000</v>
      </c>
      <c r="G828" s="29" t="str">
        <f>'Hitung Per Bulan'!G828</f>
        <v/>
      </c>
    </row>
    <row r="829" spans="1:7" x14ac:dyDescent="0.45">
      <c r="A829" t="s">
        <v>20</v>
      </c>
      <c r="B829" t="s">
        <v>35</v>
      </c>
      <c r="C829" t="s">
        <v>25</v>
      </c>
      <c r="D829" s="24">
        <v>77700000</v>
      </c>
      <c r="E829" s="29" t="str">
        <f>'Hitung Per Bulan'!E829</f>
        <v/>
      </c>
      <c r="F829" s="24">
        <v>77700000</v>
      </c>
      <c r="G829" s="29" t="str">
        <f>'Hitung Per Bulan'!G829</f>
        <v/>
      </c>
    </row>
    <row r="830" spans="1:7" x14ac:dyDescent="0.45">
      <c r="A830" t="s">
        <v>7</v>
      </c>
      <c r="B830" t="s">
        <v>35</v>
      </c>
      <c r="C830" t="s">
        <v>26</v>
      </c>
      <c r="D830" s="24">
        <v>242647000</v>
      </c>
      <c r="E830" s="29">
        <f>'Hitung Per Bulan'!E830</f>
        <v>209525890</v>
      </c>
      <c r="F830" s="24">
        <v>242647000</v>
      </c>
      <c r="G830" s="29">
        <f>'Hitung Per Bulan'!G830</f>
        <v>203746495</v>
      </c>
    </row>
    <row r="831" spans="1:7" x14ac:dyDescent="0.45">
      <c r="A831" t="s">
        <v>10</v>
      </c>
      <c r="B831" t="s">
        <v>35</v>
      </c>
      <c r="C831" t="s">
        <v>26</v>
      </c>
      <c r="D831" s="24">
        <v>242647000</v>
      </c>
      <c r="E831" s="29">
        <f>'Hitung Per Bulan'!E831</f>
        <v>202611220</v>
      </c>
      <c r="F831" s="24">
        <v>242647000</v>
      </c>
      <c r="G831" s="29">
        <f>'Hitung Per Bulan'!G831</f>
        <v>207808845</v>
      </c>
    </row>
    <row r="832" spans="1:7" x14ac:dyDescent="0.45">
      <c r="A832" t="s">
        <v>11</v>
      </c>
      <c r="B832" t="s">
        <v>35</v>
      </c>
      <c r="C832" t="s">
        <v>26</v>
      </c>
      <c r="D832" s="24">
        <v>242647000</v>
      </c>
      <c r="E832" s="29">
        <f>'Hitung Per Bulan'!E832</f>
        <v>0</v>
      </c>
      <c r="F832" s="24">
        <v>242647000</v>
      </c>
      <c r="G832" s="29">
        <f>'Hitung Per Bulan'!G832</f>
        <v>0</v>
      </c>
    </row>
    <row r="833" spans="1:7" x14ac:dyDescent="0.45">
      <c r="A833" t="s">
        <v>12</v>
      </c>
      <c r="B833" t="s">
        <v>35</v>
      </c>
      <c r="C833" t="s">
        <v>26</v>
      </c>
      <c r="D833" s="24">
        <v>242647000</v>
      </c>
      <c r="E833" s="29" t="str">
        <f>'Hitung Per Bulan'!E833</f>
        <v/>
      </c>
      <c r="F833" s="24">
        <v>242647000</v>
      </c>
      <c r="G833" s="29" t="str">
        <f>'Hitung Per Bulan'!G833</f>
        <v/>
      </c>
    </row>
    <row r="834" spans="1:7" x14ac:dyDescent="0.45">
      <c r="A834" t="s">
        <v>13</v>
      </c>
      <c r="B834" t="s">
        <v>35</v>
      </c>
      <c r="C834" t="s">
        <v>26</v>
      </c>
      <c r="D834" s="24">
        <v>242647000</v>
      </c>
      <c r="E834" s="29" t="str">
        <f>'Hitung Per Bulan'!E834</f>
        <v/>
      </c>
      <c r="F834" s="24">
        <v>242647000</v>
      </c>
      <c r="G834" s="29" t="str">
        <f>'Hitung Per Bulan'!G834</f>
        <v/>
      </c>
    </row>
    <row r="835" spans="1:7" x14ac:dyDescent="0.45">
      <c r="A835" t="s">
        <v>14</v>
      </c>
      <c r="B835" t="s">
        <v>35</v>
      </c>
      <c r="C835" t="s">
        <v>26</v>
      </c>
      <c r="D835" s="24">
        <v>242647000</v>
      </c>
      <c r="E835" s="29" t="str">
        <f>'Hitung Per Bulan'!E835</f>
        <v/>
      </c>
      <c r="F835" s="24">
        <v>242647000</v>
      </c>
      <c r="G835" s="29" t="str">
        <f>'Hitung Per Bulan'!G835</f>
        <v/>
      </c>
    </row>
    <row r="836" spans="1:7" x14ac:dyDescent="0.45">
      <c r="A836" t="s">
        <v>15</v>
      </c>
      <c r="B836" t="s">
        <v>35</v>
      </c>
      <c r="C836" t="s">
        <v>26</v>
      </c>
      <c r="D836" s="24">
        <v>242647000</v>
      </c>
      <c r="E836" s="29" t="str">
        <f>'Hitung Per Bulan'!E836</f>
        <v/>
      </c>
      <c r="F836" s="24">
        <v>242647000</v>
      </c>
      <c r="G836" s="29" t="str">
        <f>'Hitung Per Bulan'!G836</f>
        <v/>
      </c>
    </row>
    <row r="837" spans="1:7" x14ac:dyDescent="0.45">
      <c r="A837" t="s">
        <v>16</v>
      </c>
      <c r="B837" t="s">
        <v>35</v>
      </c>
      <c r="C837" t="s">
        <v>26</v>
      </c>
      <c r="D837" s="24">
        <v>242647000</v>
      </c>
      <c r="E837" s="29" t="str">
        <f>'Hitung Per Bulan'!E837</f>
        <v/>
      </c>
      <c r="F837" s="24">
        <v>242647000</v>
      </c>
      <c r="G837" s="29" t="str">
        <f>'Hitung Per Bulan'!G837</f>
        <v/>
      </c>
    </row>
    <row r="838" spans="1:7" x14ac:dyDescent="0.45">
      <c r="A838" t="s">
        <v>17</v>
      </c>
      <c r="B838" t="s">
        <v>35</v>
      </c>
      <c r="C838" t="s">
        <v>26</v>
      </c>
      <c r="D838" s="24">
        <v>242647000</v>
      </c>
      <c r="E838" s="29" t="str">
        <f>'Hitung Per Bulan'!E838</f>
        <v/>
      </c>
      <c r="F838" s="24">
        <v>242647000</v>
      </c>
      <c r="G838" s="29" t="str">
        <f>'Hitung Per Bulan'!G838</f>
        <v/>
      </c>
    </row>
    <row r="839" spans="1:7" x14ac:dyDescent="0.45">
      <c r="A839" t="s">
        <v>18</v>
      </c>
      <c r="B839" t="s">
        <v>35</v>
      </c>
      <c r="C839" t="s">
        <v>26</v>
      </c>
      <c r="D839" s="24">
        <v>242647000</v>
      </c>
      <c r="E839" s="29" t="str">
        <f>'Hitung Per Bulan'!E839</f>
        <v/>
      </c>
      <c r="F839" s="24">
        <v>242647000</v>
      </c>
      <c r="G839" s="29" t="str">
        <f>'Hitung Per Bulan'!G839</f>
        <v/>
      </c>
    </row>
    <row r="840" spans="1:7" x14ac:dyDescent="0.45">
      <c r="A840" t="s">
        <v>19</v>
      </c>
      <c r="B840" t="s">
        <v>35</v>
      </c>
      <c r="C840" t="s">
        <v>26</v>
      </c>
      <c r="D840" s="24">
        <v>242647000</v>
      </c>
      <c r="E840" s="29" t="str">
        <f>'Hitung Per Bulan'!E840</f>
        <v/>
      </c>
      <c r="F840" s="24">
        <v>242647000</v>
      </c>
      <c r="G840" s="29" t="str">
        <f>'Hitung Per Bulan'!G840</f>
        <v/>
      </c>
    </row>
    <row r="841" spans="1:7" x14ac:dyDescent="0.45">
      <c r="A841" t="s">
        <v>20</v>
      </c>
      <c r="B841" t="s">
        <v>35</v>
      </c>
      <c r="C841" t="s">
        <v>26</v>
      </c>
      <c r="D841" s="24">
        <v>242647000</v>
      </c>
      <c r="E841" s="29" t="str">
        <f>'Hitung Per Bulan'!E841</f>
        <v/>
      </c>
      <c r="F841" s="24">
        <v>242647000</v>
      </c>
      <c r="G841" s="29" t="str">
        <f>'Hitung Per Bulan'!G841</f>
        <v/>
      </c>
    </row>
    <row r="842" spans="1:7" x14ac:dyDescent="0.45">
      <c r="A842" t="s">
        <v>7</v>
      </c>
      <c r="B842" t="s">
        <v>36</v>
      </c>
      <c r="C842" t="s">
        <v>9</v>
      </c>
      <c r="D842" s="24">
        <v>256149000</v>
      </c>
      <c r="E842" s="29">
        <f>'Hitung Per Bulan'!E842</f>
        <v>261345961</v>
      </c>
      <c r="F842" s="24">
        <v>0</v>
      </c>
      <c r="G842" s="29">
        <f>'Hitung Per Bulan'!G842</f>
        <v>0</v>
      </c>
    </row>
    <row r="843" spans="1:7" x14ac:dyDescent="0.45">
      <c r="A843" t="s">
        <v>10</v>
      </c>
      <c r="B843" t="s">
        <v>36</v>
      </c>
      <c r="C843" t="s">
        <v>9</v>
      </c>
      <c r="D843" s="24">
        <v>232029000</v>
      </c>
      <c r="E843" s="29">
        <f>'Hitung Per Bulan'!E843</f>
        <v>316431833</v>
      </c>
      <c r="F843" s="24">
        <v>256149000</v>
      </c>
      <c r="G843" s="29">
        <f>'Hitung Per Bulan'!G843</f>
        <v>187448104</v>
      </c>
    </row>
    <row r="844" spans="1:7" x14ac:dyDescent="0.45">
      <c r="A844" t="s">
        <v>11</v>
      </c>
      <c r="B844" t="s">
        <v>36</v>
      </c>
      <c r="C844" t="s">
        <v>9</v>
      </c>
      <c r="D844" s="24">
        <v>320000000</v>
      </c>
      <c r="E844" s="29">
        <f>'Hitung Per Bulan'!E844</f>
        <v>81029084</v>
      </c>
      <c r="F844" s="24">
        <v>232029000</v>
      </c>
      <c r="G844" s="29">
        <f>'Hitung Per Bulan'!G844</f>
        <v>47099500</v>
      </c>
    </row>
    <row r="845" spans="1:7" x14ac:dyDescent="0.45">
      <c r="A845" t="s">
        <v>12</v>
      </c>
      <c r="B845" t="s">
        <v>36</v>
      </c>
      <c r="C845" t="s">
        <v>9</v>
      </c>
      <c r="D845" s="24">
        <v>1567132000</v>
      </c>
      <c r="E845" s="29" t="str">
        <f>'Hitung Per Bulan'!E845</f>
        <v/>
      </c>
      <c r="F845" s="24">
        <v>320000000</v>
      </c>
      <c r="G845" s="29" t="str">
        <f>'Hitung Per Bulan'!G845</f>
        <v/>
      </c>
    </row>
    <row r="846" spans="1:7" x14ac:dyDescent="0.45">
      <c r="A846" t="s">
        <v>13</v>
      </c>
      <c r="B846" t="s">
        <v>36</v>
      </c>
      <c r="C846" t="s">
        <v>9</v>
      </c>
      <c r="D846" s="24">
        <v>3199778000</v>
      </c>
      <c r="E846" s="29" t="str">
        <f>'Hitung Per Bulan'!E846</f>
        <v/>
      </c>
      <c r="F846" s="24">
        <v>346353000</v>
      </c>
      <c r="G846" s="29" t="str">
        <f>'Hitung Per Bulan'!G846</f>
        <v/>
      </c>
    </row>
    <row r="847" spans="1:7" x14ac:dyDescent="0.45">
      <c r="A847" t="s">
        <v>14</v>
      </c>
      <c r="B847" t="s">
        <v>36</v>
      </c>
      <c r="C847" t="s">
        <v>9</v>
      </c>
      <c r="D847" s="24">
        <v>1289274000</v>
      </c>
      <c r="E847" s="29" t="str">
        <f>'Hitung Per Bulan'!E847</f>
        <v/>
      </c>
      <c r="F847" s="24">
        <v>1574794000</v>
      </c>
      <c r="G847" s="29" t="str">
        <f>'Hitung Per Bulan'!G847</f>
        <v/>
      </c>
    </row>
    <row r="848" spans="1:7" x14ac:dyDescent="0.45">
      <c r="A848" t="s">
        <v>15</v>
      </c>
      <c r="B848" t="s">
        <v>36</v>
      </c>
      <c r="C848" t="s">
        <v>9</v>
      </c>
      <c r="D848" s="24">
        <v>1665312000</v>
      </c>
      <c r="E848" s="29" t="str">
        <f>'Hitung Per Bulan'!E848</f>
        <v/>
      </c>
      <c r="F848" s="24">
        <v>1850699000</v>
      </c>
      <c r="G848" s="29" t="str">
        <f>'Hitung Per Bulan'!G848</f>
        <v/>
      </c>
    </row>
    <row r="849" spans="1:7" x14ac:dyDescent="0.45">
      <c r="A849" t="s">
        <v>16</v>
      </c>
      <c r="B849" t="s">
        <v>36</v>
      </c>
      <c r="C849" t="s">
        <v>9</v>
      </c>
      <c r="D849" s="24">
        <v>1072588000</v>
      </c>
      <c r="E849" s="29" t="str">
        <f>'Hitung Per Bulan'!E849</f>
        <v/>
      </c>
      <c r="F849" s="24">
        <v>2404338000</v>
      </c>
      <c r="G849" s="29" t="str">
        <f>'Hitung Per Bulan'!G849</f>
        <v/>
      </c>
    </row>
    <row r="850" spans="1:7" x14ac:dyDescent="0.45">
      <c r="A850" t="s">
        <v>17</v>
      </c>
      <c r="B850" t="s">
        <v>36</v>
      </c>
      <c r="C850" t="s">
        <v>9</v>
      </c>
      <c r="D850" s="24">
        <v>1131003000</v>
      </c>
      <c r="E850" s="29" t="str">
        <f>'Hitung Per Bulan'!E850</f>
        <v/>
      </c>
      <c r="F850" s="24">
        <v>871823000</v>
      </c>
      <c r="G850" s="29" t="str">
        <f>'Hitung Per Bulan'!G850</f>
        <v/>
      </c>
    </row>
    <row r="851" spans="1:7" x14ac:dyDescent="0.45">
      <c r="A851" t="s">
        <v>18</v>
      </c>
      <c r="B851" t="s">
        <v>36</v>
      </c>
      <c r="C851" t="s">
        <v>9</v>
      </c>
      <c r="D851" s="24">
        <v>170000000</v>
      </c>
      <c r="E851" s="29" t="str">
        <f>'Hitung Per Bulan'!E851</f>
        <v/>
      </c>
      <c r="F851" s="24">
        <v>1131003000</v>
      </c>
      <c r="G851" s="29" t="str">
        <f>'Hitung Per Bulan'!G851</f>
        <v/>
      </c>
    </row>
    <row r="852" spans="1:7" x14ac:dyDescent="0.45">
      <c r="A852" t="s">
        <v>19</v>
      </c>
      <c r="B852" t="s">
        <v>36</v>
      </c>
      <c r="C852" t="s">
        <v>9</v>
      </c>
      <c r="D852" s="24">
        <v>219669000</v>
      </c>
      <c r="E852" s="29" t="str">
        <f>'Hitung Per Bulan'!E852</f>
        <v/>
      </c>
      <c r="F852" s="24">
        <v>1916077000</v>
      </c>
      <c r="G852" s="29" t="str">
        <f>'Hitung Per Bulan'!G852</f>
        <v/>
      </c>
    </row>
    <row r="853" spans="1:7" x14ac:dyDescent="0.45">
      <c r="A853" t="s">
        <v>20</v>
      </c>
      <c r="B853" t="s">
        <v>36</v>
      </c>
      <c r="C853" t="s">
        <v>9</v>
      </c>
      <c r="D853" s="24">
        <v>0</v>
      </c>
      <c r="E853" s="29" t="str">
        <f>'Hitung Per Bulan'!E853</f>
        <v/>
      </c>
      <c r="F853" s="24">
        <v>219669000</v>
      </c>
      <c r="G853" s="29" t="str">
        <f>'Hitung Per Bulan'!G853</f>
        <v/>
      </c>
    </row>
    <row r="854" spans="1:7" x14ac:dyDescent="0.45">
      <c r="A854" t="s">
        <v>7</v>
      </c>
      <c r="B854" t="s">
        <v>36</v>
      </c>
      <c r="C854" t="s">
        <v>21</v>
      </c>
      <c r="D854" s="24">
        <v>0</v>
      </c>
      <c r="E854" s="29">
        <f>'Hitung Per Bulan'!E854</f>
        <v>0</v>
      </c>
      <c r="F854" s="24">
        <v>0</v>
      </c>
      <c r="G854" s="29">
        <f>'Hitung Per Bulan'!G854</f>
        <v>0</v>
      </c>
    </row>
    <row r="855" spans="1:7" x14ac:dyDescent="0.45">
      <c r="A855" t="s">
        <v>10</v>
      </c>
      <c r="B855" t="s">
        <v>36</v>
      </c>
      <c r="C855" t="s">
        <v>21</v>
      </c>
      <c r="D855" s="24">
        <v>0</v>
      </c>
      <c r="E855" s="29">
        <f>'Hitung Per Bulan'!E855</f>
        <v>0</v>
      </c>
      <c r="F855" s="24">
        <v>0</v>
      </c>
      <c r="G855" s="29">
        <f>'Hitung Per Bulan'!G855</f>
        <v>0</v>
      </c>
    </row>
    <row r="856" spans="1:7" x14ac:dyDescent="0.45">
      <c r="A856" t="s">
        <v>11</v>
      </c>
      <c r="B856" t="s">
        <v>36</v>
      </c>
      <c r="C856" t="s">
        <v>21</v>
      </c>
      <c r="D856" s="24">
        <v>0</v>
      </c>
      <c r="E856" s="29">
        <f>'Hitung Per Bulan'!E856</f>
        <v>0</v>
      </c>
      <c r="F856" s="24">
        <v>0</v>
      </c>
      <c r="G856" s="29">
        <f>'Hitung Per Bulan'!G856</f>
        <v>0</v>
      </c>
    </row>
    <row r="857" spans="1:7" x14ac:dyDescent="0.45">
      <c r="A857" t="s">
        <v>12</v>
      </c>
      <c r="B857" t="s">
        <v>36</v>
      </c>
      <c r="C857" t="s">
        <v>21</v>
      </c>
      <c r="D857" s="24">
        <v>0</v>
      </c>
      <c r="E857" s="29" t="str">
        <f>'Hitung Per Bulan'!E857</f>
        <v/>
      </c>
      <c r="F857" s="24">
        <v>0</v>
      </c>
      <c r="G857" s="29" t="str">
        <f>'Hitung Per Bulan'!G857</f>
        <v/>
      </c>
    </row>
    <row r="858" spans="1:7" x14ac:dyDescent="0.45">
      <c r="A858" t="s">
        <v>13</v>
      </c>
      <c r="B858" t="s">
        <v>36</v>
      </c>
      <c r="C858" t="s">
        <v>21</v>
      </c>
      <c r="D858" s="24">
        <v>200000000</v>
      </c>
      <c r="E858" s="29" t="str">
        <f>'Hitung Per Bulan'!E858</f>
        <v/>
      </c>
      <c r="F858" s="24">
        <v>0</v>
      </c>
      <c r="G858" s="29" t="str">
        <f>'Hitung Per Bulan'!G858</f>
        <v/>
      </c>
    </row>
    <row r="859" spans="1:7" x14ac:dyDescent="0.45">
      <c r="A859" t="s">
        <v>14</v>
      </c>
      <c r="B859" t="s">
        <v>36</v>
      </c>
      <c r="C859" t="s">
        <v>21</v>
      </c>
      <c r="D859" s="24">
        <v>0</v>
      </c>
      <c r="E859" s="29" t="str">
        <f>'Hitung Per Bulan'!E859</f>
        <v/>
      </c>
      <c r="F859" s="24">
        <v>0</v>
      </c>
      <c r="G859" s="29" t="str">
        <f>'Hitung Per Bulan'!G859</f>
        <v/>
      </c>
    </row>
    <row r="860" spans="1:7" x14ac:dyDescent="0.45">
      <c r="A860" t="s">
        <v>15</v>
      </c>
      <c r="B860" t="s">
        <v>36</v>
      </c>
      <c r="C860" t="s">
        <v>21</v>
      </c>
      <c r="D860" s="24">
        <v>0</v>
      </c>
      <c r="E860" s="29" t="str">
        <f>'Hitung Per Bulan'!E860</f>
        <v/>
      </c>
      <c r="F860" s="24">
        <v>200000000</v>
      </c>
      <c r="G860" s="29" t="str">
        <f>'Hitung Per Bulan'!G860</f>
        <v/>
      </c>
    </row>
    <row r="861" spans="1:7" x14ac:dyDescent="0.45">
      <c r="A861" t="s">
        <v>16</v>
      </c>
      <c r="B861" t="s">
        <v>36</v>
      </c>
      <c r="C861" t="s">
        <v>21</v>
      </c>
      <c r="D861" s="24">
        <v>0</v>
      </c>
      <c r="E861" s="29" t="str">
        <f>'Hitung Per Bulan'!E861</f>
        <v/>
      </c>
      <c r="F861" s="24">
        <v>0</v>
      </c>
      <c r="G861" s="29" t="str">
        <f>'Hitung Per Bulan'!G861</f>
        <v/>
      </c>
    </row>
    <row r="862" spans="1:7" x14ac:dyDescent="0.45">
      <c r="A862" t="s">
        <v>17</v>
      </c>
      <c r="B862" t="s">
        <v>36</v>
      </c>
      <c r="C862" t="s">
        <v>21</v>
      </c>
      <c r="D862" s="24">
        <v>0</v>
      </c>
      <c r="E862" s="29" t="str">
        <f>'Hitung Per Bulan'!E862</f>
        <v/>
      </c>
      <c r="F862" s="24">
        <v>0</v>
      </c>
      <c r="G862" s="29" t="str">
        <f>'Hitung Per Bulan'!G862</f>
        <v/>
      </c>
    </row>
    <row r="863" spans="1:7" x14ac:dyDescent="0.45">
      <c r="A863" t="s">
        <v>18</v>
      </c>
      <c r="B863" t="s">
        <v>36</v>
      </c>
      <c r="C863" t="s">
        <v>21</v>
      </c>
      <c r="D863" s="24">
        <v>0</v>
      </c>
      <c r="E863" s="29" t="str">
        <f>'Hitung Per Bulan'!E863</f>
        <v/>
      </c>
      <c r="F863" s="24">
        <v>0</v>
      </c>
      <c r="G863" s="29" t="str">
        <f>'Hitung Per Bulan'!G863</f>
        <v/>
      </c>
    </row>
    <row r="864" spans="1:7" x14ac:dyDescent="0.45">
      <c r="A864" t="s">
        <v>19</v>
      </c>
      <c r="B864" t="s">
        <v>36</v>
      </c>
      <c r="C864" t="s">
        <v>21</v>
      </c>
      <c r="D864" s="24">
        <v>0</v>
      </c>
      <c r="E864" s="29" t="str">
        <f>'Hitung Per Bulan'!E864</f>
        <v/>
      </c>
      <c r="F864" s="24">
        <v>0</v>
      </c>
      <c r="G864" s="29" t="str">
        <f>'Hitung Per Bulan'!G864</f>
        <v/>
      </c>
    </row>
    <row r="865" spans="1:7" x14ac:dyDescent="0.45">
      <c r="A865" t="s">
        <v>20</v>
      </c>
      <c r="B865" t="s">
        <v>36</v>
      </c>
      <c r="C865" t="s">
        <v>21</v>
      </c>
      <c r="D865" s="24">
        <v>0</v>
      </c>
      <c r="E865" s="29" t="str">
        <f>'Hitung Per Bulan'!E865</f>
        <v/>
      </c>
      <c r="F865" s="24">
        <v>0</v>
      </c>
      <c r="G865" s="29" t="str">
        <f>'Hitung Per Bulan'!G865</f>
        <v/>
      </c>
    </row>
    <row r="866" spans="1:7" x14ac:dyDescent="0.45">
      <c r="A866" t="s">
        <v>7</v>
      </c>
      <c r="B866" t="s">
        <v>36</v>
      </c>
      <c r="C866" t="s">
        <v>22</v>
      </c>
      <c r="D866" s="24">
        <v>0</v>
      </c>
      <c r="E866" s="29">
        <f>'Hitung Per Bulan'!E866</f>
        <v>0</v>
      </c>
      <c r="F866" s="24">
        <v>0</v>
      </c>
      <c r="G866" s="29">
        <f>'Hitung Per Bulan'!G866</f>
        <v>0</v>
      </c>
    </row>
    <row r="867" spans="1:7" x14ac:dyDescent="0.45">
      <c r="A867" t="s">
        <v>10</v>
      </c>
      <c r="B867" t="s">
        <v>36</v>
      </c>
      <c r="C867" t="s">
        <v>22</v>
      </c>
      <c r="D867" s="24">
        <v>24996000</v>
      </c>
      <c r="E867" s="29">
        <f>'Hitung Per Bulan'!E867</f>
        <v>0</v>
      </c>
      <c r="F867" s="24">
        <v>0</v>
      </c>
      <c r="G867" s="29">
        <f>'Hitung Per Bulan'!G867</f>
        <v>0</v>
      </c>
    </row>
    <row r="868" spans="1:7" x14ac:dyDescent="0.45">
      <c r="A868" t="s">
        <v>11</v>
      </c>
      <c r="B868" t="s">
        <v>36</v>
      </c>
      <c r="C868" t="s">
        <v>22</v>
      </c>
      <c r="D868" s="24">
        <v>0</v>
      </c>
      <c r="E868" s="29">
        <f>'Hitung Per Bulan'!E868</f>
        <v>0</v>
      </c>
      <c r="F868" s="24">
        <v>24996000</v>
      </c>
      <c r="G868" s="29">
        <f>'Hitung Per Bulan'!G868</f>
        <v>0</v>
      </c>
    </row>
    <row r="869" spans="1:7" x14ac:dyDescent="0.45">
      <c r="A869" t="s">
        <v>12</v>
      </c>
      <c r="B869" t="s">
        <v>36</v>
      </c>
      <c r="C869" t="s">
        <v>22</v>
      </c>
      <c r="D869" s="24">
        <v>0</v>
      </c>
      <c r="E869" s="29" t="str">
        <f>'Hitung Per Bulan'!E869</f>
        <v/>
      </c>
      <c r="F869" s="24">
        <v>0</v>
      </c>
      <c r="G869" s="29" t="str">
        <f>'Hitung Per Bulan'!G869</f>
        <v/>
      </c>
    </row>
    <row r="870" spans="1:7" x14ac:dyDescent="0.45">
      <c r="A870" t="s">
        <v>13</v>
      </c>
      <c r="B870" t="s">
        <v>36</v>
      </c>
      <c r="C870" t="s">
        <v>22</v>
      </c>
      <c r="D870" s="24">
        <v>24994000</v>
      </c>
      <c r="E870" s="29" t="str">
        <f>'Hitung Per Bulan'!E870</f>
        <v/>
      </c>
      <c r="F870" s="24">
        <v>0</v>
      </c>
      <c r="G870" s="29" t="str">
        <f>'Hitung Per Bulan'!G870</f>
        <v/>
      </c>
    </row>
    <row r="871" spans="1:7" x14ac:dyDescent="0.45">
      <c r="A871" t="s">
        <v>14</v>
      </c>
      <c r="B871" t="s">
        <v>36</v>
      </c>
      <c r="C871" t="s">
        <v>22</v>
      </c>
      <c r="D871" s="24">
        <v>0</v>
      </c>
      <c r="E871" s="29" t="str">
        <f>'Hitung Per Bulan'!E871</f>
        <v/>
      </c>
      <c r="F871" s="24">
        <v>24994000</v>
      </c>
      <c r="G871" s="29" t="str">
        <f>'Hitung Per Bulan'!G871</f>
        <v/>
      </c>
    </row>
    <row r="872" spans="1:7" x14ac:dyDescent="0.45">
      <c r="A872" t="s">
        <v>15</v>
      </c>
      <c r="B872" t="s">
        <v>36</v>
      </c>
      <c r="C872" t="s">
        <v>22</v>
      </c>
      <c r="D872" s="24">
        <v>0</v>
      </c>
      <c r="E872" s="29" t="str">
        <f>'Hitung Per Bulan'!E872</f>
        <v/>
      </c>
      <c r="F872" s="24">
        <v>0</v>
      </c>
      <c r="G872" s="29" t="str">
        <f>'Hitung Per Bulan'!G872</f>
        <v/>
      </c>
    </row>
    <row r="873" spans="1:7" x14ac:dyDescent="0.45">
      <c r="A873" t="s">
        <v>16</v>
      </c>
      <c r="B873" t="s">
        <v>36</v>
      </c>
      <c r="C873" t="s">
        <v>22</v>
      </c>
      <c r="D873" s="24">
        <v>24996000</v>
      </c>
      <c r="E873" s="29" t="str">
        <f>'Hitung Per Bulan'!E873</f>
        <v/>
      </c>
      <c r="F873" s="24">
        <v>0</v>
      </c>
      <c r="G873" s="29" t="str">
        <f>'Hitung Per Bulan'!G873</f>
        <v/>
      </c>
    </row>
    <row r="874" spans="1:7" x14ac:dyDescent="0.45">
      <c r="A874" t="s">
        <v>17</v>
      </c>
      <c r="B874" t="s">
        <v>36</v>
      </c>
      <c r="C874" t="s">
        <v>22</v>
      </c>
      <c r="D874" s="24">
        <v>0</v>
      </c>
      <c r="E874" s="29" t="str">
        <f>'Hitung Per Bulan'!E874</f>
        <v/>
      </c>
      <c r="F874" s="24">
        <v>24996000</v>
      </c>
      <c r="G874" s="29" t="str">
        <f>'Hitung Per Bulan'!G874</f>
        <v/>
      </c>
    </row>
    <row r="875" spans="1:7" x14ac:dyDescent="0.45">
      <c r="A875" t="s">
        <v>18</v>
      </c>
      <c r="B875" t="s">
        <v>36</v>
      </c>
      <c r="C875" t="s">
        <v>22</v>
      </c>
      <c r="D875" s="24">
        <v>0</v>
      </c>
      <c r="E875" s="29" t="str">
        <f>'Hitung Per Bulan'!E875</f>
        <v/>
      </c>
      <c r="F875" s="24">
        <v>0</v>
      </c>
      <c r="G875" s="29" t="str">
        <f>'Hitung Per Bulan'!G875</f>
        <v/>
      </c>
    </row>
    <row r="876" spans="1:7" x14ac:dyDescent="0.45">
      <c r="A876" t="s">
        <v>19</v>
      </c>
      <c r="B876" t="s">
        <v>36</v>
      </c>
      <c r="C876" t="s">
        <v>22</v>
      </c>
      <c r="D876" s="24">
        <v>24994000</v>
      </c>
      <c r="E876" s="29" t="str">
        <f>'Hitung Per Bulan'!E876</f>
        <v/>
      </c>
      <c r="F876" s="24">
        <v>0</v>
      </c>
      <c r="G876" s="29" t="str">
        <f>'Hitung Per Bulan'!G876</f>
        <v/>
      </c>
    </row>
    <row r="877" spans="1:7" x14ac:dyDescent="0.45">
      <c r="A877" t="s">
        <v>20</v>
      </c>
      <c r="B877" t="s">
        <v>36</v>
      </c>
      <c r="C877" t="s">
        <v>22</v>
      </c>
      <c r="D877" s="24">
        <v>0</v>
      </c>
      <c r="E877" s="29" t="str">
        <f>'Hitung Per Bulan'!E877</f>
        <v/>
      </c>
      <c r="F877" s="24">
        <v>24994000</v>
      </c>
      <c r="G877" s="29" t="str">
        <f>'Hitung Per Bulan'!G877</f>
        <v/>
      </c>
    </row>
    <row r="878" spans="1:7" x14ac:dyDescent="0.45">
      <c r="A878" t="s">
        <v>7</v>
      </c>
      <c r="B878" t="s">
        <v>36</v>
      </c>
      <c r="C878" t="s">
        <v>23</v>
      </c>
      <c r="D878" s="24">
        <v>0</v>
      </c>
      <c r="E878" s="29">
        <f>'Hitung Per Bulan'!E878</f>
        <v>0</v>
      </c>
      <c r="F878" s="24">
        <v>0</v>
      </c>
      <c r="G878" s="29">
        <f>'Hitung Per Bulan'!G878</f>
        <v>0</v>
      </c>
    </row>
    <row r="879" spans="1:7" x14ac:dyDescent="0.45">
      <c r="A879" t="s">
        <v>10</v>
      </c>
      <c r="B879" t="s">
        <v>36</v>
      </c>
      <c r="C879" t="s">
        <v>23</v>
      </c>
      <c r="D879" s="24">
        <v>0</v>
      </c>
      <c r="E879" s="29">
        <f>'Hitung Per Bulan'!E879</f>
        <v>0</v>
      </c>
      <c r="F879" s="24">
        <v>0</v>
      </c>
      <c r="G879" s="29">
        <f>'Hitung Per Bulan'!G879</f>
        <v>0</v>
      </c>
    </row>
    <row r="880" spans="1:7" x14ac:dyDescent="0.45">
      <c r="A880" t="s">
        <v>11</v>
      </c>
      <c r="B880" t="s">
        <v>36</v>
      </c>
      <c r="C880" t="s">
        <v>23</v>
      </c>
      <c r="D880" s="24">
        <v>0</v>
      </c>
      <c r="E880" s="29">
        <f>'Hitung Per Bulan'!E880</f>
        <v>0</v>
      </c>
      <c r="F880" s="24">
        <v>0</v>
      </c>
      <c r="G880" s="29">
        <f>'Hitung Per Bulan'!G880</f>
        <v>0</v>
      </c>
    </row>
    <row r="881" spans="1:7" x14ac:dyDescent="0.45">
      <c r="A881" t="s">
        <v>12</v>
      </c>
      <c r="B881" t="s">
        <v>36</v>
      </c>
      <c r="C881" t="s">
        <v>23</v>
      </c>
      <c r="D881" s="24">
        <v>0</v>
      </c>
      <c r="E881" s="29" t="str">
        <f>'Hitung Per Bulan'!E881</f>
        <v/>
      </c>
      <c r="F881" s="24">
        <v>0</v>
      </c>
      <c r="G881" s="29" t="str">
        <f>'Hitung Per Bulan'!G881</f>
        <v/>
      </c>
    </row>
    <row r="882" spans="1:7" x14ac:dyDescent="0.45">
      <c r="A882" t="s">
        <v>13</v>
      </c>
      <c r="B882" t="s">
        <v>36</v>
      </c>
      <c r="C882" t="s">
        <v>23</v>
      </c>
      <c r="D882" s="24">
        <v>0</v>
      </c>
      <c r="E882" s="29" t="str">
        <f>'Hitung Per Bulan'!E882</f>
        <v/>
      </c>
      <c r="F882" s="24">
        <v>0</v>
      </c>
      <c r="G882" s="29" t="str">
        <f>'Hitung Per Bulan'!G882</f>
        <v/>
      </c>
    </row>
    <row r="883" spans="1:7" x14ac:dyDescent="0.45">
      <c r="A883" t="s">
        <v>14</v>
      </c>
      <c r="B883" t="s">
        <v>36</v>
      </c>
      <c r="C883" t="s">
        <v>23</v>
      </c>
      <c r="D883" s="24">
        <v>0</v>
      </c>
      <c r="E883" s="29" t="str">
        <f>'Hitung Per Bulan'!E883</f>
        <v/>
      </c>
      <c r="F883" s="24">
        <v>0</v>
      </c>
      <c r="G883" s="29" t="str">
        <f>'Hitung Per Bulan'!G883</f>
        <v/>
      </c>
    </row>
    <row r="884" spans="1:7" x14ac:dyDescent="0.45">
      <c r="A884" t="s">
        <v>15</v>
      </c>
      <c r="B884" t="s">
        <v>36</v>
      </c>
      <c r="C884" t="s">
        <v>23</v>
      </c>
      <c r="D884" s="24">
        <v>0</v>
      </c>
      <c r="E884" s="29" t="str">
        <f>'Hitung Per Bulan'!E884</f>
        <v/>
      </c>
      <c r="F884" s="24">
        <v>0</v>
      </c>
      <c r="G884" s="29" t="str">
        <f>'Hitung Per Bulan'!G884</f>
        <v/>
      </c>
    </row>
    <row r="885" spans="1:7" x14ac:dyDescent="0.45">
      <c r="A885" t="s">
        <v>16</v>
      </c>
      <c r="B885" t="s">
        <v>36</v>
      </c>
      <c r="C885" t="s">
        <v>23</v>
      </c>
      <c r="D885" s="24">
        <v>110000000</v>
      </c>
      <c r="E885" s="29" t="str">
        <f>'Hitung Per Bulan'!E885</f>
        <v/>
      </c>
      <c r="F885" s="24">
        <v>0</v>
      </c>
      <c r="G885" s="29" t="str">
        <f>'Hitung Per Bulan'!G885</f>
        <v/>
      </c>
    </row>
    <row r="886" spans="1:7" x14ac:dyDescent="0.45">
      <c r="A886" t="s">
        <v>17</v>
      </c>
      <c r="B886" t="s">
        <v>36</v>
      </c>
      <c r="C886" t="s">
        <v>23</v>
      </c>
      <c r="D886" s="24">
        <v>0</v>
      </c>
      <c r="E886" s="29" t="str">
        <f>'Hitung Per Bulan'!E886</f>
        <v/>
      </c>
      <c r="F886" s="24">
        <v>0</v>
      </c>
      <c r="G886" s="29" t="str">
        <f>'Hitung Per Bulan'!G886</f>
        <v/>
      </c>
    </row>
    <row r="887" spans="1:7" x14ac:dyDescent="0.45">
      <c r="A887" t="s">
        <v>18</v>
      </c>
      <c r="B887" t="s">
        <v>36</v>
      </c>
      <c r="C887" t="s">
        <v>23</v>
      </c>
      <c r="D887" s="24">
        <v>0</v>
      </c>
      <c r="E887" s="29" t="str">
        <f>'Hitung Per Bulan'!E887</f>
        <v/>
      </c>
      <c r="F887" s="24">
        <v>110000000</v>
      </c>
      <c r="G887" s="29" t="str">
        <f>'Hitung Per Bulan'!G887</f>
        <v/>
      </c>
    </row>
    <row r="888" spans="1:7" x14ac:dyDescent="0.45">
      <c r="A888" t="s">
        <v>19</v>
      </c>
      <c r="B888" t="s">
        <v>36</v>
      </c>
      <c r="C888" t="s">
        <v>23</v>
      </c>
      <c r="D888" s="24">
        <v>0</v>
      </c>
      <c r="E888" s="29" t="str">
        <f>'Hitung Per Bulan'!E888</f>
        <v/>
      </c>
      <c r="F888" s="24">
        <v>0</v>
      </c>
      <c r="G888" s="29" t="str">
        <f>'Hitung Per Bulan'!G888</f>
        <v/>
      </c>
    </row>
    <row r="889" spans="1:7" x14ac:dyDescent="0.45">
      <c r="A889" t="s">
        <v>20</v>
      </c>
      <c r="B889" t="s">
        <v>36</v>
      </c>
      <c r="C889" t="s">
        <v>23</v>
      </c>
      <c r="D889" s="24">
        <v>0</v>
      </c>
      <c r="E889" s="29" t="str">
        <f>'Hitung Per Bulan'!E889</f>
        <v/>
      </c>
      <c r="F889" s="24">
        <v>0</v>
      </c>
      <c r="G889" s="29" t="str">
        <f>'Hitung Per Bulan'!G889</f>
        <v/>
      </c>
    </row>
    <row r="890" spans="1:7" x14ac:dyDescent="0.45">
      <c r="A890" t="s">
        <v>7</v>
      </c>
      <c r="B890" t="s">
        <v>36</v>
      </c>
      <c r="C890" t="s">
        <v>24</v>
      </c>
      <c r="D890" s="24">
        <v>0</v>
      </c>
      <c r="E890" s="29">
        <f>'Hitung Per Bulan'!E890</f>
        <v>0</v>
      </c>
      <c r="F890" s="24">
        <v>0</v>
      </c>
      <c r="G890" s="29">
        <f>'Hitung Per Bulan'!G890</f>
        <v>0</v>
      </c>
    </row>
    <row r="891" spans="1:7" x14ac:dyDescent="0.45">
      <c r="A891" t="s">
        <v>10</v>
      </c>
      <c r="B891" t="s">
        <v>36</v>
      </c>
      <c r="C891" t="s">
        <v>24</v>
      </c>
      <c r="D891" s="24">
        <v>0</v>
      </c>
      <c r="E891" s="29">
        <f>'Hitung Per Bulan'!E891</f>
        <v>0</v>
      </c>
      <c r="F891" s="24">
        <v>0</v>
      </c>
      <c r="G891" s="29">
        <f>'Hitung Per Bulan'!G891</f>
        <v>0</v>
      </c>
    </row>
    <row r="892" spans="1:7" x14ac:dyDescent="0.45">
      <c r="A892" t="s">
        <v>11</v>
      </c>
      <c r="B892" t="s">
        <v>36</v>
      </c>
      <c r="C892" t="s">
        <v>24</v>
      </c>
      <c r="D892" s="24">
        <v>0</v>
      </c>
      <c r="E892" s="29">
        <f>'Hitung Per Bulan'!E892</f>
        <v>0</v>
      </c>
      <c r="F892" s="24">
        <v>0</v>
      </c>
      <c r="G892" s="29">
        <f>'Hitung Per Bulan'!G892</f>
        <v>0</v>
      </c>
    </row>
    <row r="893" spans="1:7" x14ac:dyDescent="0.45">
      <c r="A893" t="s">
        <v>12</v>
      </c>
      <c r="B893" t="s">
        <v>36</v>
      </c>
      <c r="C893" t="s">
        <v>24</v>
      </c>
      <c r="D893" s="24">
        <v>0</v>
      </c>
      <c r="E893" s="29" t="str">
        <f>'Hitung Per Bulan'!E893</f>
        <v/>
      </c>
      <c r="F893" s="24">
        <v>0</v>
      </c>
      <c r="G893" s="29" t="str">
        <f>'Hitung Per Bulan'!G893</f>
        <v/>
      </c>
    </row>
    <row r="894" spans="1:7" x14ac:dyDescent="0.45">
      <c r="A894" t="s">
        <v>13</v>
      </c>
      <c r="B894" t="s">
        <v>36</v>
      </c>
      <c r="C894" t="s">
        <v>24</v>
      </c>
      <c r="D894" s="24">
        <v>0</v>
      </c>
      <c r="E894" s="29" t="str">
        <f>'Hitung Per Bulan'!E894</f>
        <v/>
      </c>
      <c r="F894" s="24">
        <v>0</v>
      </c>
      <c r="G894" s="29" t="str">
        <f>'Hitung Per Bulan'!G894</f>
        <v/>
      </c>
    </row>
    <row r="895" spans="1:7" x14ac:dyDescent="0.45">
      <c r="A895" t="s">
        <v>14</v>
      </c>
      <c r="B895" t="s">
        <v>36</v>
      </c>
      <c r="C895" t="s">
        <v>24</v>
      </c>
      <c r="D895" s="24">
        <v>0</v>
      </c>
      <c r="E895" s="29" t="str">
        <f>'Hitung Per Bulan'!E895</f>
        <v/>
      </c>
      <c r="F895" s="24">
        <v>0</v>
      </c>
      <c r="G895" s="29" t="str">
        <f>'Hitung Per Bulan'!G895</f>
        <v/>
      </c>
    </row>
    <row r="896" spans="1:7" x14ac:dyDescent="0.45">
      <c r="A896" t="s">
        <v>15</v>
      </c>
      <c r="B896" t="s">
        <v>36</v>
      </c>
      <c r="C896" t="s">
        <v>24</v>
      </c>
      <c r="D896" s="24">
        <v>0</v>
      </c>
      <c r="E896" s="29" t="str">
        <f>'Hitung Per Bulan'!E896</f>
        <v/>
      </c>
      <c r="F896" s="24">
        <v>0</v>
      </c>
      <c r="G896" s="29" t="str">
        <f>'Hitung Per Bulan'!G896</f>
        <v/>
      </c>
    </row>
    <row r="897" spans="1:7" x14ac:dyDescent="0.45">
      <c r="A897" t="s">
        <v>16</v>
      </c>
      <c r="B897" t="s">
        <v>36</v>
      </c>
      <c r="C897" t="s">
        <v>24</v>
      </c>
      <c r="D897" s="24">
        <v>0</v>
      </c>
      <c r="E897" s="29" t="str">
        <f>'Hitung Per Bulan'!E897</f>
        <v/>
      </c>
      <c r="F897" s="24">
        <v>0</v>
      </c>
      <c r="G897" s="29" t="str">
        <f>'Hitung Per Bulan'!G897</f>
        <v/>
      </c>
    </row>
    <row r="898" spans="1:7" x14ac:dyDescent="0.45">
      <c r="A898" t="s">
        <v>17</v>
      </c>
      <c r="B898" t="s">
        <v>36</v>
      </c>
      <c r="C898" t="s">
        <v>24</v>
      </c>
      <c r="D898" s="24">
        <v>0</v>
      </c>
      <c r="E898" s="29" t="str">
        <f>'Hitung Per Bulan'!E898</f>
        <v/>
      </c>
      <c r="F898" s="24">
        <v>0</v>
      </c>
      <c r="G898" s="29" t="str">
        <f>'Hitung Per Bulan'!G898</f>
        <v/>
      </c>
    </row>
    <row r="899" spans="1:7" x14ac:dyDescent="0.45">
      <c r="A899" t="s">
        <v>18</v>
      </c>
      <c r="B899" t="s">
        <v>36</v>
      </c>
      <c r="C899" t="s">
        <v>24</v>
      </c>
      <c r="D899" s="24">
        <v>0</v>
      </c>
      <c r="E899" s="29" t="str">
        <f>'Hitung Per Bulan'!E899</f>
        <v/>
      </c>
      <c r="F899" s="24">
        <v>0</v>
      </c>
      <c r="G899" s="29" t="str">
        <f>'Hitung Per Bulan'!G899</f>
        <v/>
      </c>
    </row>
    <row r="900" spans="1:7" x14ac:dyDescent="0.45">
      <c r="A900" t="s">
        <v>19</v>
      </c>
      <c r="B900" t="s">
        <v>36</v>
      </c>
      <c r="C900" t="s">
        <v>24</v>
      </c>
      <c r="D900" s="24">
        <v>0</v>
      </c>
      <c r="E900" s="29" t="str">
        <f>'Hitung Per Bulan'!E900</f>
        <v/>
      </c>
      <c r="F900" s="24">
        <v>0</v>
      </c>
      <c r="G900" s="29" t="str">
        <f>'Hitung Per Bulan'!G900</f>
        <v/>
      </c>
    </row>
    <row r="901" spans="1:7" x14ac:dyDescent="0.45">
      <c r="A901" t="s">
        <v>20</v>
      </c>
      <c r="B901" t="s">
        <v>36</v>
      </c>
      <c r="C901" t="s">
        <v>24</v>
      </c>
      <c r="D901" s="24">
        <v>0</v>
      </c>
      <c r="E901" s="29" t="str">
        <f>'Hitung Per Bulan'!E901</f>
        <v/>
      </c>
      <c r="F901" s="24">
        <v>0</v>
      </c>
      <c r="G901" s="29" t="str">
        <f>'Hitung Per Bulan'!G901</f>
        <v/>
      </c>
    </row>
    <row r="902" spans="1:7" x14ac:dyDescent="0.45">
      <c r="A902" t="s">
        <v>7</v>
      </c>
      <c r="B902" t="s">
        <v>36</v>
      </c>
      <c r="C902" t="s">
        <v>25</v>
      </c>
      <c r="D902" s="24">
        <v>65075000</v>
      </c>
      <c r="E902" s="29">
        <f>'Hitung Per Bulan'!E902</f>
        <v>66980000</v>
      </c>
      <c r="F902" s="24">
        <v>65075000</v>
      </c>
      <c r="G902" s="29">
        <f>'Hitung Per Bulan'!G902</f>
        <v>33275000</v>
      </c>
    </row>
    <row r="903" spans="1:7" x14ac:dyDescent="0.45">
      <c r="A903" t="s">
        <v>10</v>
      </c>
      <c r="B903" t="s">
        <v>36</v>
      </c>
      <c r="C903" t="s">
        <v>25</v>
      </c>
      <c r="D903" s="24">
        <v>32625000</v>
      </c>
      <c r="E903" s="29">
        <f>'Hitung Per Bulan'!E903</f>
        <v>131493477</v>
      </c>
      <c r="F903" s="24">
        <v>32625000</v>
      </c>
      <c r="G903" s="29">
        <f>'Hitung Per Bulan'!G903</f>
        <v>44852000</v>
      </c>
    </row>
    <row r="904" spans="1:7" x14ac:dyDescent="0.45">
      <c r="A904" t="s">
        <v>11</v>
      </c>
      <c r="B904" t="s">
        <v>36</v>
      </c>
      <c r="C904" t="s">
        <v>25</v>
      </c>
      <c r="D904" s="24">
        <v>27425000</v>
      </c>
      <c r="E904" s="29">
        <f>'Hitung Per Bulan'!E904</f>
        <v>-11791000</v>
      </c>
      <c r="F904" s="24">
        <v>27425000</v>
      </c>
      <c r="G904" s="29">
        <f>'Hitung Per Bulan'!G904</f>
        <v>55343462</v>
      </c>
    </row>
    <row r="905" spans="1:7" x14ac:dyDescent="0.45">
      <c r="A905" t="s">
        <v>12</v>
      </c>
      <c r="B905" t="s">
        <v>36</v>
      </c>
      <c r="C905" t="s">
        <v>25</v>
      </c>
      <c r="D905" s="24">
        <v>253975000</v>
      </c>
      <c r="E905" s="29" t="str">
        <f>'Hitung Per Bulan'!E905</f>
        <v/>
      </c>
      <c r="F905" s="24">
        <v>253975000</v>
      </c>
      <c r="G905" s="29" t="str">
        <f>'Hitung Per Bulan'!G905</f>
        <v/>
      </c>
    </row>
    <row r="906" spans="1:7" x14ac:dyDescent="0.45">
      <c r="A906" t="s">
        <v>13</v>
      </c>
      <c r="B906" t="s">
        <v>36</v>
      </c>
      <c r="C906" t="s">
        <v>25</v>
      </c>
      <c r="D906" s="24">
        <v>23925000</v>
      </c>
      <c r="E906" s="29" t="str">
        <f>'Hitung Per Bulan'!E906</f>
        <v/>
      </c>
      <c r="F906" s="24">
        <v>23925000</v>
      </c>
      <c r="G906" s="29" t="str">
        <f>'Hitung Per Bulan'!G906</f>
        <v/>
      </c>
    </row>
    <row r="907" spans="1:7" x14ac:dyDescent="0.45">
      <c r="A907" t="s">
        <v>14</v>
      </c>
      <c r="B907" t="s">
        <v>36</v>
      </c>
      <c r="C907" t="s">
        <v>25</v>
      </c>
      <c r="D907" s="24">
        <v>35725000</v>
      </c>
      <c r="E907" s="29" t="str">
        <f>'Hitung Per Bulan'!E907</f>
        <v/>
      </c>
      <c r="F907" s="24">
        <v>35725000</v>
      </c>
      <c r="G907" s="29" t="str">
        <f>'Hitung Per Bulan'!G907</f>
        <v/>
      </c>
    </row>
    <row r="908" spans="1:7" x14ac:dyDescent="0.45">
      <c r="A908" t="s">
        <v>15</v>
      </c>
      <c r="B908" t="s">
        <v>36</v>
      </c>
      <c r="C908" t="s">
        <v>25</v>
      </c>
      <c r="D908" s="24">
        <v>64675000</v>
      </c>
      <c r="E908" s="29" t="str">
        <f>'Hitung Per Bulan'!E908</f>
        <v/>
      </c>
      <c r="F908" s="24">
        <v>64675000</v>
      </c>
      <c r="G908" s="29" t="str">
        <f>'Hitung Per Bulan'!G908</f>
        <v/>
      </c>
    </row>
    <row r="909" spans="1:7" x14ac:dyDescent="0.45">
      <c r="A909" t="s">
        <v>16</v>
      </c>
      <c r="B909" t="s">
        <v>36</v>
      </c>
      <c r="C909" t="s">
        <v>25</v>
      </c>
      <c r="D909" s="24">
        <v>172225000</v>
      </c>
      <c r="E909" s="29" t="str">
        <f>'Hitung Per Bulan'!E909</f>
        <v/>
      </c>
      <c r="F909" s="24">
        <v>32225000</v>
      </c>
      <c r="G909" s="29" t="str">
        <f>'Hitung Per Bulan'!G909</f>
        <v/>
      </c>
    </row>
    <row r="910" spans="1:7" x14ac:dyDescent="0.45">
      <c r="A910" t="s">
        <v>17</v>
      </c>
      <c r="B910" t="s">
        <v>36</v>
      </c>
      <c r="C910" t="s">
        <v>25</v>
      </c>
      <c r="D910" s="24">
        <v>152425000</v>
      </c>
      <c r="E910" s="29" t="str">
        <f>'Hitung Per Bulan'!E910</f>
        <v/>
      </c>
      <c r="F910" s="24">
        <v>152425000</v>
      </c>
      <c r="G910" s="29" t="str">
        <f>'Hitung Per Bulan'!G910</f>
        <v/>
      </c>
    </row>
    <row r="911" spans="1:7" x14ac:dyDescent="0.45">
      <c r="A911" t="s">
        <v>18</v>
      </c>
      <c r="B911" t="s">
        <v>36</v>
      </c>
      <c r="C911" t="s">
        <v>25</v>
      </c>
      <c r="D911" s="24">
        <v>72975000</v>
      </c>
      <c r="E911" s="29" t="str">
        <f>'Hitung Per Bulan'!E911</f>
        <v/>
      </c>
      <c r="F911" s="24">
        <v>212975000</v>
      </c>
      <c r="G911" s="29" t="str">
        <f>'Hitung Per Bulan'!G911</f>
        <v/>
      </c>
    </row>
    <row r="912" spans="1:7" x14ac:dyDescent="0.45">
      <c r="A912" t="s">
        <v>19</v>
      </c>
      <c r="B912" t="s">
        <v>36</v>
      </c>
      <c r="C912" t="s">
        <v>25</v>
      </c>
      <c r="D912" s="24">
        <v>23925000</v>
      </c>
      <c r="E912" s="29" t="str">
        <f>'Hitung Per Bulan'!E912</f>
        <v/>
      </c>
      <c r="F912" s="24">
        <v>23925000</v>
      </c>
      <c r="G912" s="29" t="str">
        <f>'Hitung Per Bulan'!G912</f>
        <v/>
      </c>
    </row>
    <row r="913" spans="1:7" x14ac:dyDescent="0.45">
      <c r="A913" t="s">
        <v>20</v>
      </c>
      <c r="B913" t="s">
        <v>36</v>
      </c>
      <c r="C913" t="s">
        <v>25</v>
      </c>
      <c r="D913" s="24">
        <v>35725000</v>
      </c>
      <c r="E913" s="29" t="str">
        <f>'Hitung Per Bulan'!E913</f>
        <v/>
      </c>
      <c r="F913" s="24">
        <v>35725000</v>
      </c>
      <c r="G913" s="29" t="str">
        <f>'Hitung Per Bulan'!G913</f>
        <v/>
      </c>
    </row>
    <row r="914" spans="1:7" x14ac:dyDescent="0.45">
      <c r="A914" t="s">
        <v>7</v>
      </c>
      <c r="B914" t="s">
        <v>36</v>
      </c>
      <c r="C914" t="s">
        <v>26</v>
      </c>
      <c r="D914" s="24">
        <v>34257000</v>
      </c>
      <c r="E914" s="29">
        <f>'Hitung Per Bulan'!E914</f>
        <v>35093864</v>
      </c>
      <c r="F914" s="24">
        <v>34257000</v>
      </c>
      <c r="G914" s="29">
        <f>'Hitung Per Bulan'!G914</f>
        <v>35093864</v>
      </c>
    </row>
    <row r="915" spans="1:7" x14ac:dyDescent="0.45">
      <c r="A915" t="s">
        <v>10</v>
      </c>
      <c r="B915" t="s">
        <v>36</v>
      </c>
      <c r="C915" t="s">
        <v>26</v>
      </c>
      <c r="D915" s="24">
        <v>34256000</v>
      </c>
      <c r="E915" s="29">
        <f>'Hitung Per Bulan'!E915</f>
        <v>35802840</v>
      </c>
      <c r="F915" s="24">
        <v>34256000</v>
      </c>
      <c r="G915" s="29">
        <f>'Hitung Per Bulan'!G915</f>
        <v>34478198</v>
      </c>
    </row>
    <row r="916" spans="1:7" x14ac:dyDescent="0.45">
      <c r="A916" t="s">
        <v>11</v>
      </c>
      <c r="B916" t="s">
        <v>36</v>
      </c>
      <c r="C916" t="s">
        <v>26</v>
      </c>
      <c r="D916" s="24">
        <v>34257000</v>
      </c>
      <c r="E916" s="29">
        <f>'Hitung Per Bulan'!E916</f>
        <v>1639740</v>
      </c>
      <c r="F916" s="24">
        <v>34257000</v>
      </c>
      <c r="G916" s="29">
        <f>'Hitung Per Bulan'!G916</f>
        <v>1324642</v>
      </c>
    </row>
    <row r="917" spans="1:7" x14ac:dyDescent="0.45">
      <c r="A917" t="s">
        <v>12</v>
      </c>
      <c r="B917" t="s">
        <v>36</v>
      </c>
      <c r="C917" t="s">
        <v>26</v>
      </c>
      <c r="D917" s="24">
        <v>34256000</v>
      </c>
      <c r="E917" s="29" t="str">
        <f>'Hitung Per Bulan'!E917</f>
        <v/>
      </c>
      <c r="F917" s="24">
        <v>34256000</v>
      </c>
      <c r="G917" s="29" t="str">
        <f>'Hitung Per Bulan'!G917</f>
        <v/>
      </c>
    </row>
    <row r="918" spans="1:7" x14ac:dyDescent="0.45">
      <c r="A918" t="s">
        <v>13</v>
      </c>
      <c r="B918" t="s">
        <v>36</v>
      </c>
      <c r="C918" t="s">
        <v>26</v>
      </c>
      <c r="D918" s="24">
        <v>34257000</v>
      </c>
      <c r="E918" s="29" t="str">
        <f>'Hitung Per Bulan'!E918</f>
        <v/>
      </c>
      <c r="F918" s="24">
        <v>34257000</v>
      </c>
      <c r="G918" s="29" t="str">
        <f>'Hitung Per Bulan'!G918</f>
        <v/>
      </c>
    </row>
    <row r="919" spans="1:7" x14ac:dyDescent="0.45">
      <c r="A919" t="s">
        <v>14</v>
      </c>
      <c r="B919" t="s">
        <v>36</v>
      </c>
      <c r="C919" t="s">
        <v>26</v>
      </c>
      <c r="D919" s="24">
        <v>34257000</v>
      </c>
      <c r="E919" s="29" t="str">
        <f>'Hitung Per Bulan'!E919</f>
        <v/>
      </c>
      <c r="F919" s="24">
        <v>34257000</v>
      </c>
      <c r="G919" s="29" t="str">
        <f>'Hitung Per Bulan'!G919</f>
        <v/>
      </c>
    </row>
    <row r="920" spans="1:7" x14ac:dyDescent="0.45">
      <c r="A920" t="s">
        <v>15</v>
      </c>
      <c r="B920" t="s">
        <v>36</v>
      </c>
      <c r="C920" t="s">
        <v>26</v>
      </c>
      <c r="D920" s="24">
        <v>34257000</v>
      </c>
      <c r="E920" s="29" t="str">
        <f>'Hitung Per Bulan'!E920</f>
        <v/>
      </c>
      <c r="F920" s="24">
        <v>34257000</v>
      </c>
      <c r="G920" s="29" t="str">
        <f>'Hitung Per Bulan'!G920</f>
        <v/>
      </c>
    </row>
    <row r="921" spans="1:7" x14ac:dyDescent="0.45">
      <c r="A921" t="s">
        <v>16</v>
      </c>
      <c r="B921" t="s">
        <v>36</v>
      </c>
      <c r="C921" t="s">
        <v>26</v>
      </c>
      <c r="D921" s="24">
        <v>34256000</v>
      </c>
      <c r="E921" s="29" t="str">
        <f>'Hitung Per Bulan'!E921</f>
        <v/>
      </c>
      <c r="F921" s="24">
        <v>34256000</v>
      </c>
      <c r="G921" s="29" t="str">
        <f>'Hitung Per Bulan'!G921</f>
        <v/>
      </c>
    </row>
    <row r="922" spans="1:7" x14ac:dyDescent="0.45">
      <c r="A922" t="s">
        <v>17</v>
      </c>
      <c r="B922" t="s">
        <v>36</v>
      </c>
      <c r="C922" t="s">
        <v>26</v>
      </c>
      <c r="D922" s="24">
        <v>34257000</v>
      </c>
      <c r="E922" s="29" t="str">
        <f>'Hitung Per Bulan'!E922</f>
        <v/>
      </c>
      <c r="F922" s="24">
        <v>34257000</v>
      </c>
      <c r="G922" s="29" t="str">
        <f>'Hitung Per Bulan'!G922</f>
        <v/>
      </c>
    </row>
    <row r="923" spans="1:7" x14ac:dyDescent="0.45">
      <c r="A923" t="s">
        <v>18</v>
      </c>
      <c r="B923" t="s">
        <v>36</v>
      </c>
      <c r="C923" t="s">
        <v>26</v>
      </c>
      <c r="D923" s="24">
        <v>34256000</v>
      </c>
      <c r="E923" s="29" t="str">
        <f>'Hitung Per Bulan'!E923</f>
        <v/>
      </c>
      <c r="F923" s="24">
        <v>34256000</v>
      </c>
      <c r="G923" s="29" t="str">
        <f>'Hitung Per Bulan'!G923</f>
        <v/>
      </c>
    </row>
    <row r="924" spans="1:7" x14ac:dyDescent="0.45">
      <c r="A924" t="s">
        <v>19</v>
      </c>
      <c r="B924" t="s">
        <v>36</v>
      </c>
      <c r="C924" t="s">
        <v>26</v>
      </c>
      <c r="D924" s="24">
        <v>34257000</v>
      </c>
      <c r="E924" s="29" t="str">
        <f>'Hitung Per Bulan'!E924</f>
        <v/>
      </c>
      <c r="F924" s="24">
        <v>34257000</v>
      </c>
      <c r="G924" s="29" t="str">
        <f>'Hitung Per Bulan'!G924</f>
        <v/>
      </c>
    </row>
    <row r="925" spans="1:7" x14ac:dyDescent="0.45">
      <c r="A925" t="s">
        <v>20</v>
      </c>
      <c r="B925" t="s">
        <v>36</v>
      </c>
      <c r="C925" t="s">
        <v>26</v>
      </c>
      <c r="D925" s="24">
        <v>34257000</v>
      </c>
      <c r="E925" s="29" t="str">
        <f>'Hitung Per Bulan'!E925</f>
        <v/>
      </c>
      <c r="F925" s="24">
        <v>34257000</v>
      </c>
      <c r="G925" s="29" t="str">
        <f>'Hitung Per Bulan'!G925</f>
        <v/>
      </c>
    </row>
    <row r="926" spans="1:7" x14ac:dyDescent="0.45">
      <c r="A926" t="s">
        <v>7</v>
      </c>
      <c r="B926" t="s">
        <v>37</v>
      </c>
      <c r="C926" t="s">
        <v>9</v>
      </c>
      <c r="D926" s="24">
        <v>0</v>
      </c>
      <c r="E926" s="29">
        <f>'Hitung Per Bulan'!E926</f>
        <v>0</v>
      </c>
      <c r="F926" s="24">
        <v>0</v>
      </c>
      <c r="G926" s="29">
        <f>'Hitung Per Bulan'!G926</f>
        <v>0</v>
      </c>
    </row>
    <row r="927" spans="1:7" x14ac:dyDescent="0.45">
      <c r="A927" t="s">
        <v>10</v>
      </c>
      <c r="B927" t="s">
        <v>37</v>
      </c>
      <c r="C927" t="s">
        <v>9</v>
      </c>
      <c r="D927" s="24">
        <v>147500000</v>
      </c>
      <c r="E927" s="29">
        <f>'Hitung Per Bulan'!E927</f>
        <v>660310335</v>
      </c>
      <c r="F927" s="24">
        <v>0</v>
      </c>
      <c r="G927" s="29">
        <f>'Hitung Per Bulan'!G927</f>
        <v>0</v>
      </c>
    </row>
    <row r="928" spans="1:7" x14ac:dyDescent="0.45">
      <c r="A928" t="s">
        <v>11</v>
      </c>
      <c r="B928" t="s">
        <v>37</v>
      </c>
      <c r="C928" t="s">
        <v>9</v>
      </c>
      <c r="D928" s="24">
        <v>4975166000</v>
      </c>
      <c r="E928" s="29">
        <f>'Hitung Per Bulan'!E928</f>
        <v>82094080</v>
      </c>
      <c r="F928" s="24">
        <v>0</v>
      </c>
      <c r="G928" s="29">
        <f>'Hitung Per Bulan'!G928</f>
        <v>0</v>
      </c>
    </row>
    <row r="929" spans="1:7" x14ac:dyDescent="0.45">
      <c r="A929" t="s">
        <v>12</v>
      </c>
      <c r="B929" t="s">
        <v>37</v>
      </c>
      <c r="C929" t="s">
        <v>9</v>
      </c>
      <c r="D929" s="24">
        <v>1596468000</v>
      </c>
      <c r="E929" s="29" t="str">
        <f>'Hitung Per Bulan'!E929</f>
        <v/>
      </c>
      <c r="F929" s="24">
        <v>50000000</v>
      </c>
      <c r="G929" s="29" t="str">
        <f>'Hitung Per Bulan'!G929</f>
        <v/>
      </c>
    </row>
    <row r="930" spans="1:7" x14ac:dyDescent="0.45">
      <c r="A930" t="s">
        <v>13</v>
      </c>
      <c r="B930" t="s">
        <v>37</v>
      </c>
      <c r="C930" t="s">
        <v>9</v>
      </c>
      <c r="D930" s="24">
        <v>1166224000</v>
      </c>
      <c r="E930" s="29" t="str">
        <f>'Hitung Per Bulan'!E930</f>
        <v/>
      </c>
      <c r="F930" s="24">
        <v>147500000</v>
      </c>
      <c r="G930" s="29" t="str">
        <f>'Hitung Per Bulan'!G930</f>
        <v/>
      </c>
    </row>
    <row r="931" spans="1:7" x14ac:dyDescent="0.45">
      <c r="A931" t="s">
        <v>14</v>
      </c>
      <c r="B931" t="s">
        <v>37</v>
      </c>
      <c r="C931" t="s">
        <v>9</v>
      </c>
      <c r="D931" s="24">
        <v>457212000</v>
      </c>
      <c r="E931" s="29" t="str">
        <f>'Hitung Per Bulan'!E931</f>
        <v/>
      </c>
      <c r="F931" s="24">
        <v>50000000</v>
      </c>
      <c r="G931" s="29" t="str">
        <f>'Hitung Per Bulan'!G931</f>
        <v/>
      </c>
    </row>
    <row r="932" spans="1:7" x14ac:dyDescent="0.45">
      <c r="A932" t="s">
        <v>15</v>
      </c>
      <c r="B932" t="s">
        <v>37</v>
      </c>
      <c r="C932" t="s">
        <v>9</v>
      </c>
      <c r="D932" s="24">
        <v>100000000</v>
      </c>
      <c r="E932" s="29" t="str">
        <f>'Hitung Per Bulan'!E932</f>
        <v/>
      </c>
      <c r="F932" s="24">
        <v>1663840000</v>
      </c>
      <c r="G932" s="29" t="str">
        <f>'Hitung Per Bulan'!G932</f>
        <v/>
      </c>
    </row>
    <row r="933" spans="1:7" x14ac:dyDescent="0.45">
      <c r="A933" t="s">
        <v>16</v>
      </c>
      <c r="B933" t="s">
        <v>37</v>
      </c>
      <c r="C933" t="s">
        <v>9</v>
      </c>
      <c r="D933" s="24">
        <v>147500000</v>
      </c>
      <c r="E933" s="29" t="str">
        <f>'Hitung Per Bulan'!E933</f>
        <v/>
      </c>
      <c r="F933" s="24">
        <v>2498475000</v>
      </c>
      <c r="G933" s="29" t="str">
        <f>'Hitung Per Bulan'!G933</f>
        <v/>
      </c>
    </row>
    <row r="934" spans="1:7" x14ac:dyDescent="0.45">
      <c r="A934" t="s">
        <v>17</v>
      </c>
      <c r="B934" t="s">
        <v>37</v>
      </c>
      <c r="C934" t="s">
        <v>9</v>
      </c>
      <c r="D934" s="24">
        <v>0</v>
      </c>
      <c r="E934" s="29" t="str">
        <f>'Hitung Per Bulan'!E934</f>
        <v/>
      </c>
      <c r="F934" s="24">
        <v>3932755000</v>
      </c>
      <c r="G934" s="29" t="str">
        <f>'Hitung Per Bulan'!G934</f>
        <v/>
      </c>
    </row>
    <row r="935" spans="1:7" x14ac:dyDescent="0.45">
      <c r="A935" t="s">
        <v>18</v>
      </c>
      <c r="B935" t="s">
        <v>37</v>
      </c>
      <c r="C935" t="s">
        <v>9</v>
      </c>
      <c r="D935" s="24">
        <v>147500000</v>
      </c>
      <c r="E935" s="29" t="str">
        <f>'Hitung Per Bulan'!E935</f>
        <v/>
      </c>
      <c r="F935" s="24">
        <v>247500000</v>
      </c>
      <c r="G935" s="29" t="str">
        <f>'Hitung Per Bulan'!G935</f>
        <v/>
      </c>
    </row>
    <row r="936" spans="1:7" x14ac:dyDescent="0.45">
      <c r="A936" t="s">
        <v>19</v>
      </c>
      <c r="B936" t="s">
        <v>37</v>
      </c>
      <c r="C936" t="s">
        <v>9</v>
      </c>
      <c r="D936" s="24">
        <v>0</v>
      </c>
      <c r="E936" s="29" t="str">
        <f>'Hitung Per Bulan'!E936</f>
        <v/>
      </c>
      <c r="F936" s="24">
        <v>0</v>
      </c>
      <c r="G936" s="29" t="str">
        <f>'Hitung Per Bulan'!G936</f>
        <v/>
      </c>
    </row>
    <row r="937" spans="1:7" x14ac:dyDescent="0.45">
      <c r="A937" t="s">
        <v>20</v>
      </c>
      <c r="B937" t="s">
        <v>37</v>
      </c>
      <c r="C937" t="s">
        <v>9</v>
      </c>
      <c r="D937" s="24">
        <v>0</v>
      </c>
      <c r="E937" s="29" t="str">
        <f>'Hitung Per Bulan'!E937</f>
        <v/>
      </c>
      <c r="F937" s="24">
        <v>147500000</v>
      </c>
      <c r="G937" s="29" t="str">
        <f>'Hitung Per Bulan'!G937</f>
        <v/>
      </c>
    </row>
    <row r="938" spans="1:7" x14ac:dyDescent="0.45">
      <c r="A938" t="s">
        <v>7</v>
      </c>
      <c r="B938" t="s">
        <v>37</v>
      </c>
      <c r="C938" t="s">
        <v>21</v>
      </c>
      <c r="D938" s="24">
        <v>0</v>
      </c>
      <c r="E938" s="29">
        <f>'Hitung Per Bulan'!E938</f>
        <v>0</v>
      </c>
      <c r="F938" s="24">
        <v>0</v>
      </c>
      <c r="G938" s="29">
        <f>'Hitung Per Bulan'!G938</f>
        <v>0</v>
      </c>
    </row>
    <row r="939" spans="1:7" x14ac:dyDescent="0.45">
      <c r="A939" t="s">
        <v>10</v>
      </c>
      <c r="B939" t="s">
        <v>37</v>
      </c>
      <c r="C939" t="s">
        <v>21</v>
      </c>
      <c r="D939" s="24">
        <v>0</v>
      </c>
      <c r="E939" s="29">
        <f>'Hitung Per Bulan'!E939</f>
        <v>0</v>
      </c>
      <c r="F939" s="24">
        <v>0</v>
      </c>
      <c r="G939" s="29">
        <f>'Hitung Per Bulan'!G939</f>
        <v>0</v>
      </c>
    </row>
    <row r="940" spans="1:7" x14ac:dyDescent="0.45">
      <c r="A940" t="s">
        <v>11</v>
      </c>
      <c r="B940" t="s">
        <v>37</v>
      </c>
      <c r="C940" t="s">
        <v>21</v>
      </c>
      <c r="D940" s="24">
        <v>150000000</v>
      </c>
      <c r="E940" s="29">
        <f>'Hitung Per Bulan'!E940</f>
        <v>0</v>
      </c>
      <c r="F940" s="24">
        <v>150000000</v>
      </c>
      <c r="G940" s="29">
        <f>'Hitung Per Bulan'!G940</f>
        <v>0</v>
      </c>
    </row>
    <row r="941" spans="1:7" x14ac:dyDescent="0.45">
      <c r="A941" t="s">
        <v>12</v>
      </c>
      <c r="B941" t="s">
        <v>37</v>
      </c>
      <c r="C941" t="s">
        <v>21</v>
      </c>
      <c r="D941" s="24">
        <v>250000000</v>
      </c>
      <c r="E941" s="29" t="str">
        <f>'Hitung Per Bulan'!E941</f>
        <v/>
      </c>
      <c r="F941" s="24">
        <v>250000000</v>
      </c>
      <c r="G941" s="29" t="str">
        <f>'Hitung Per Bulan'!G941</f>
        <v/>
      </c>
    </row>
    <row r="942" spans="1:7" x14ac:dyDescent="0.45">
      <c r="A942" t="s">
        <v>13</v>
      </c>
      <c r="B942" t="s">
        <v>37</v>
      </c>
      <c r="C942" t="s">
        <v>21</v>
      </c>
      <c r="D942" s="24">
        <v>0</v>
      </c>
      <c r="E942" s="29" t="str">
        <f>'Hitung Per Bulan'!E942</f>
        <v/>
      </c>
      <c r="F942" s="24">
        <v>0</v>
      </c>
      <c r="G942" s="29" t="str">
        <f>'Hitung Per Bulan'!G942</f>
        <v/>
      </c>
    </row>
    <row r="943" spans="1:7" x14ac:dyDescent="0.45">
      <c r="A943" t="s">
        <v>14</v>
      </c>
      <c r="B943" t="s">
        <v>37</v>
      </c>
      <c r="C943" t="s">
        <v>21</v>
      </c>
      <c r="D943" s="24">
        <v>150000000</v>
      </c>
      <c r="E943" s="29" t="str">
        <f>'Hitung Per Bulan'!E943</f>
        <v/>
      </c>
      <c r="F943" s="24">
        <v>150000000</v>
      </c>
      <c r="G943" s="29" t="str">
        <f>'Hitung Per Bulan'!G943</f>
        <v/>
      </c>
    </row>
    <row r="944" spans="1:7" x14ac:dyDescent="0.45">
      <c r="A944" t="s">
        <v>15</v>
      </c>
      <c r="B944" t="s">
        <v>37</v>
      </c>
      <c r="C944" t="s">
        <v>21</v>
      </c>
      <c r="D944" s="24">
        <v>0</v>
      </c>
      <c r="E944" s="29" t="str">
        <f>'Hitung Per Bulan'!E944</f>
        <v/>
      </c>
      <c r="F944" s="24">
        <v>0</v>
      </c>
      <c r="G944" s="29" t="str">
        <f>'Hitung Per Bulan'!G944</f>
        <v/>
      </c>
    </row>
    <row r="945" spans="1:7" x14ac:dyDescent="0.45">
      <c r="A945" t="s">
        <v>16</v>
      </c>
      <c r="B945" t="s">
        <v>37</v>
      </c>
      <c r="C945" t="s">
        <v>21</v>
      </c>
      <c r="D945" s="24">
        <v>0</v>
      </c>
      <c r="E945" s="29" t="str">
        <f>'Hitung Per Bulan'!E945</f>
        <v/>
      </c>
      <c r="F945" s="24">
        <v>0</v>
      </c>
      <c r="G945" s="29" t="str">
        <f>'Hitung Per Bulan'!G945</f>
        <v/>
      </c>
    </row>
    <row r="946" spans="1:7" x14ac:dyDescent="0.45">
      <c r="A946" t="s">
        <v>17</v>
      </c>
      <c r="B946" t="s">
        <v>37</v>
      </c>
      <c r="C946" t="s">
        <v>21</v>
      </c>
      <c r="D946" s="24">
        <v>200000000</v>
      </c>
      <c r="E946" s="29" t="str">
        <f>'Hitung Per Bulan'!E946</f>
        <v/>
      </c>
      <c r="F946" s="24">
        <v>200000000</v>
      </c>
      <c r="G946" s="29" t="str">
        <f>'Hitung Per Bulan'!G946</f>
        <v/>
      </c>
    </row>
    <row r="947" spans="1:7" x14ac:dyDescent="0.45">
      <c r="A947" t="s">
        <v>18</v>
      </c>
      <c r="B947" t="s">
        <v>37</v>
      </c>
      <c r="C947" t="s">
        <v>21</v>
      </c>
      <c r="D947" s="24">
        <v>0</v>
      </c>
      <c r="E947" s="29" t="str">
        <f>'Hitung Per Bulan'!E947</f>
        <v/>
      </c>
      <c r="F947" s="24">
        <v>0</v>
      </c>
      <c r="G947" s="29" t="str">
        <f>'Hitung Per Bulan'!G947</f>
        <v/>
      </c>
    </row>
    <row r="948" spans="1:7" x14ac:dyDescent="0.45">
      <c r="A948" t="s">
        <v>19</v>
      </c>
      <c r="B948" t="s">
        <v>37</v>
      </c>
      <c r="C948" t="s">
        <v>21</v>
      </c>
      <c r="D948" s="24">
        <v>0</v>
      </c>
      <c r="E948" s="29" t="str">
        <f>'Hitung Per Bulan'!E948</f>
        <v/>
      </c>
      <c r="F948" s="24">
        <v>0</v>
      </c>
      <c r="G948" s="29" t="str">
        <f>'Hitung Per Bulan'!G948</f>
        <v/>
      </c>
    </row>
    <row r="949" spans="1:7" x14ac:dyDescent="0.45">
      <c r="A949" t="s">
        <v>20</v>
      </c>
      <c r="B949" t="s">
        <v>37</v>
      </c>
      <c r="C949" t="s">
        <v>21</v>
      </c>
      <c r="D949" s="24">
        <v>0</v>
      </c>
      <c r="E949" s="29" t="str">
        <f>'Hitung Per Bulan'!E949</f>
        <v/>
      </c>
      <c r="F949" s="24">
        <v>0</v>
      </c>
      <c r="G949" s="29" t="str">
        <f>'Hitung Per Bulan'!G949</f>
        <v/>
      </c>
    </row>
    <row r="950" spans="1:7" x14ac:dyDescent="0.45">
      <c r="A950" t="s">
        <v>7</v>
      </c>
      <c r="B950" t="s">
        <v>37</v>
      </c>
      <c r="C950" t="s">
        <v>22</v>
      </c>
      <c r="D950" s="24">
        <v>0</v>
      </c>
      <c r="E950" s="29">
        <f>'Hitung Per Bulan'!E950</f>
        <v>0</v>
      </c>
      <c r="F950" s="24">
        <v>0</v>
      </c>
      <c r="G950" s="29">
        <f>'Hitung Per Bulan'!G950</f>
        <v>0</v>
      </c>
    </row>
    <row r="951" spans="1:7" x14ac:dyDescent="0.45">
      <c r="A951" t="s">
        <v>10</v>
      </c>
      <c r="B951" t="s">
        <v>37</v>
      </c>
      <c r="C951" t="s">
        <v>22</v>
      </c>
      <c r="D951" s="24">
        <v>79200000</v>
      </c>
      <c r="E951" s="29">
        <f>'Hitung Per Bulan'!E951</f>
        <v>37804500</v>
      </c>
      <c r="F951" s="24">
        <v>79200000</v>
      </c>
      <c r="G951" s="29">
        <f>'Hitung Per Bulan'!G951</f>
        <v>0</v>
      </c>
    </row>
    <row r="952" spans="1:7" x14ac:dyDescent="0.45">
      <c r="A952" t="s">
        <v>11</v>
      </c>
      <c r="B952" t="s">
        <v>37</v>
      </c>
      <c r="C952" t="s">
        <v>22</v>
      </c>
      <c r="D952" s="24">
        <v>0</v>
      </c>
      <c r="E952" s="29">
        <f>'Hitung Per Bulan'!E952</f>
        <v>14403650</v>
      </c>
      <c r="F952" s="24">
        <v>0</v>
      </c>
      <c r="G952" s="29">
        <f>'Hitung Per Bulan'!G952</f>
        <v>0</v>
      </c>
    </row>
    <row r="953" spans="1:7" x14ac:dyDescent="0.45">
      <c r="A953" t="s">
        <v>12</v>
      </c>
      <c r="B953" t="s">
        <v>37</v>
      </c>
      <c r="C953" t="s">
        <v>22</v>
      </c>
      <c r="D953" s="24">
        <v>0</v>
      </c>
      <c r="E953" s="29" t="str">
        <f>'Hitung Per Bulan'!E953</f>
        <v/>
      </c>
      <c r="F953" s="24">
        <v>0</v>
      </c>
      <c r="G953" s="29" t="str">
        <f>'Hitung Per Bulan'!G953</f>
        <v/>
      </c>
    </row>
    <row r="954" spans="1:7" x14ac:dyDescent="0.45">
      <c r="A954" t="s">
        <v>13</v>
      </c>
      <c r="B954" t="s">
        <v>37</v>
      </c>
      <c r="C954" t="s">
        <v>22</v>
      </c>
      <c r="D954" s="24">
        <v>79200000</v>
      </c>
      <c r="E954" s="29" t="str">
        <f>'Hitung Per Bulan'!E954</f>
        <v/>
      </c>
      <c r="F954" s="24">
        <v>79200000</v>
      </c>
      <c r="G954" s="29" t="str">
        <f>'Hitung Per Bulan'!G954</f>
        <v/>
      </c>
    </row>
    <row r="955" spans="1:7" x14ac:dyDescent="0.45">
      <c r="A955" t="s">
        <v>14</v>
      </c>
      <c r="B955" t="s">
        <v>37</v>
      </c>
      <c r="C955" t="s">
        <v>22</v>
      </c>
      <c r="D955" s="24">
        <v>0</v>
      </c>
      <c r="E955" s="29" t="str">
        <f>'Hitung Per Bulan'!E955</f>
        <v/>
      </c>
      <c r="F955" s="24">
        <v>0</v>
      </c>
      <c r="G955" s="29" t="str">
        <f>'Hitung Per Bulan'!G955</f>
        <v/>
      </c>
    </row>
    <row r="956" spans="1:7" x14ac:dyDescent="0.45">
      <c r="A956" t="s">
        <v>15</v>
      </c>
      <c r="B956" t="s">
        <v>37</v>
      </c>
      <c r="C956" t="s">
        <v>22</v>
      </c>
      <c r="D956" s="24">
        <v>0</v>
      </c>
      <c r="E956" s="29" t="str">
        <f>'Hitung Per Bulan'!E956</f>
        <v/>
      </c>
      <c r="F956" s="24">
        <v>0</v>
      </c>
      <c r="G956" s="29" t="str">
        <f>'Hitung Per Bulan'!G956</f>
        <v/>
      </c>
    </row>
    <row r="957" spans="1:7" x14ac:dyDescent="0.45">
      <c r="A957" t="s">
        <v>16</v>
      </c>
      <c r="B957" t="s">
        <v>37</v>
      </c>
      <c r="C957" t="s">
        <v>22</v>
      </c>
      <c r="D957" s="24">
        <v>79200000</v>
      </c>
      <c r="E957" s="29" t="str">
        <f>'Hitung Per Bulan'!E957</f>
        <v/>
      </c>
      <c r="F957" s="24">
        <v>79200000</v>
      </c>
      <c r="G957" s="29" t="str">
        <f>'Hitung Per Bulan'!G957</f>
        <v/>
      </c>
    </row>
    <row r="958" spans="1:7" x14ac:dyDescent="0.45">
      <c r="A958" t="s">
        <v>17</v>
      </c>
      <c r="B958" t="s">
        <v>37</v>
      </c>
      <c r="C958" t="s">
        <v>22</v>
      </c>
      <c r="D958" s="24">
        <v>0</v>
      </c>
      <c r="E958" s="29" t="str">
        <f>'Hitung Per Bulan'!E958</f>
        <v/>
      </c>
      <c r="F958" s="24">
        <v>0</v>
      </c>
      <c r="G958" s="29" t="str">
        <f>'Hitung Per Bulan'!G958</f>
        <v/>
      </c>
    </row>
    <row r="959" spans="1:7" x14ac:dyDescent="0.45">
      <c r="A959" t="s">
        <v>18</v>
      </c>
      <c r="B959" t="s">
        <v>37</v>
      </c>
      <c r="C959" t="s">
        <v>22</v>
      </c>
      <c r="D959" s="24">
        <v>0</v>
      </c>
      <c r="E959" s="29" t="str">
        <f>'Hitung Per Bulan'!E959</f>
        <v/>
      </c>
      <c r="F959" s="24">
        <v>0</v>
      </c>
      <c r="G959" s="29" t="str">
        <f>'Hitung Per Bulan'!G959</f>
        <v/>
      </c>
    </row>
    <row r="960" spans="1:7" x14ac:dyDescent="0.45">
      <c r="A960" t="s">
        <v>19</v>
      </c>
      <c r="B960" t="s">
        <v>37</v>
      </c>
      <c r="C960" t="s">
        <v>22</v>
      </c>
      <c r="D960" s="24">
        <v>79200000</v>
      </c>
      <c r="E960" s="29" t="str">
        <f>'Hitung Per Bulan'!E960</f>
        <v/>
      </c>
      <c r="F960" s="24">
        <v>79200000</v>
      </c>
      <c r="G960" s="29" t="str">
        <f>'Hitung Per Bulan'!G960</f>
        <v/>
      </c>
    </row>
    <row r="961" spans="1:7" x14ac:dyDescent="0.45">
      <c r="A961" t="s">
        <v>20</v>
      </c>
      <c r="B961" t="s">
        <v>37</v>
      </c>
      <c r="C961" t="s">
        <v>22</v>
      </c>
      <c r="D961" s="24">
        <v>0</v>
      </c>
      <c r="E961" s="29" t="str">
        <f>'Hitung Per Bulan'!E961</f>
        <v/>
      </c>
      <c r="F961" s="24">
        <v>0</v>
      </c>
      <c r="G961" s="29" t="str">
        <f>'Hitung Per Bulan'!G961</f>
        <v/>
      </c>
    </row>
    <row r="962" spans="1:7" x14ac:dyDescent="0.45">
      <c r="A962" t="s">
        <v>7</v>
      </c>
      <c r="B962" t="s">
        <v>37</v>
      </c>
      <c r="C962" t="s">
        <v>23</v>
      </c>
      <c r="D962" s="24">
        <v>0</v>
      </c>
      <c r="E962" s="29">
        <f>'Hitung Per Bulan'!E962</f>
        <v>0</v>
      </c>
      <c r="F962" s="24">
        <v>0</v>
      </c>
      <c r="G962" s="29">
        <f>'Hitung Per Bulan'!G962</f>
        <v>0</v>
      </c>
    </row>
    <row r="963" spans="1:7" x14ac:dyDescent="0.45">
      <c r="A963" t="s">
        <v>10</v>
      </c>
      <c r="B963" t="s">
        <v>37</v>
      </c>
      <c r="C963" t="s">
        <v>23</v>
      </c>
      <c r="D963" s="24">
        <v>0</v>
      </c>
      <c r="E963" s="29">
        <f>'Hitung Per Bulan'!E963</f>
        <v>0</v>
      </c>
      <c r="F963" s="24">
        <v>0</v>
      </c>
      <c r="G963" s="29">
        <f>'Hitung Per Bulan'!G963</f>
        <v>0</v>
      </c>
    </row>
    <row r="964" spans="1:7" x14ac:dyDescent="0.45">
      <c r="A964" t="s">
        <v>11</v>
      </c>
      <c r="B964" t="s">
        <v>37</v>
      </c>
      <c r="C964" t="s">
        <v>23</v>
      </c>
      <c r="D964" s="24">
        <v>250000000</v>
      </c>
      <c r="E964" s="29">
        <f>'Hitung Per Bulan'!E964</f>
        <v>0</v>
      </c>
      <c r="F964" s="24">
        <v>250000000</v>
      </c>
      <c r="G964" s="29">
        <f>'Hitung Per Bulan'!G964</f>
        <v>0</v>
      </c>
    </row>
    <row r="965" spans="1:7" x14ac:dyDescent="0.45">
      <c r="A965" t="s">
        <v>12</v>
      </c>
      <c r="B965" t="s">
        <v>37</v>
      </c>
      <c r="C965" t="s">
        <v>23</v>
      </c>
      <c r="D965" s="24">
        <v>0</v>
      </c>
      <c r="E965" s="29" t="str">
        <f>'Hitung Per Bulan'!E965</f>
        <v/>
      </c>
      <c r="F965" s="24">
        <v>0</v>
      </c>
      <c r="G965" s="29" t="str">
        <f>'Hitung Per Bulan'!G965</f>
        <v/>
      </c>
    </row>
    <row r="966" spans="1:7" x14ac:dyDescent="0.45">
      <c r="A966" t="s">
        <v>13</v>
      </c>
      <c r="B966" t="s">
        <v>37</v>
      </c>
      <c r="C966" t="s">
        <v>23</v>
      </c>
      <c r="D966" s="24">
        <v>0</v>
      </c>
      <c r="E966" s="29" t="str">
        <f>'Hitung Per Bulan'!E966</f>
        <v/>
      </c>
      <c r="F966" s="24">
        <v>0</v>
      </c>
      <c r="G966" s="29" t="str">
        <f>'Hitung Per Bulan'!G966</f>
        <v/>
      </c>
    </row>
    <row r="967" spans="1:7" x14ac:dyDescent="0.45">
      <c r="A967" t="s">
        <v>14</v>
      </c>
      <c r="B967" t="s">
        <v>37</v>
      </c>
      <c r="C967" t="s">
        <v>23</v>
      </c>
      <c r="D967" s="24">
        <v>0</v>
      </c>
      <c r="E967" s="29" t="str">
        <f>'Hitung Per Bulan'!E967</f>
        <v/>
      </c>
      <c r="F967" s="24">
        <v>0</v>
      </c>
      <c r="G967" s="29" t="str">
        <f>'Hitung Per Bulan'!G967</f>
        <v/>
      </c>
    </row>
    <row r="968" spans="1:7" x14ac:dyDescent="0.45">
      <c r="A968" t="s">
        <v>15</v>
      </c>
      <c r="B968" t="s">
        <v>37</v>
      </c>
      <c r="C968" t="s">
        <v>23</v>
      </c>
      <c r="D968" s="24">
        <v>0</v>
      </c>
      <c r="E968" s="29" t="str">
        <f>'Hitung Per Bulan'!E968</f>
        <v/>
      </c>
      <c r="F968" s="24">
        <v>0</v>
      </c>
      <c r="G968" s="29" t="str">
        <f>'Hitung Per Bulan'!G968</f>
        <v/>
      </c>
    </row>
    <row r="969" spans="1:7" x14ac:dyDescent="0.45">
      <c r="A969" t="s">
        <v>16</v>
      </c>
      <c r="B969" t="s">
        <v>37</v>
      </c>
      <c r="C969" t="s">
        <v>23</v>
      </c>
      <c r="D969" s="24">
        <v>0</v>
      </c>
      <c r="E969" s="29" t="str">
        <f>'Hitung Per Bulan'!E969</f>
        <v/>
      </c>
      <c r="F969" s="24">
        <v>0</v>
      </c>
      <c r="G969" s="29" t="str">
        <f>'Hitung Per Bulan'!G969</f>
        <v/>
      </c>
    </row>
    <row r="970" spans="1:7" x14ac:dyDescent="0.45">
      <c r="A970" t="s">
        <v>17</v>
      </c>
      <c r="B970" t="s">
        <v>37</v>
      </c>
      <c r="C970" t="s">
        <v>23</v>
      </c>
      <c r="D970" s="24">
        <v>0</v>
      </c>
      <c r="E970" s="29" t="str">
        <f>'Hitung Per Bulan'!E970</f>
        <v/>
      </c>
      <c r="F970" s="24">
        <v>0</v>
      </c>
      <c r="G970" s="29" t="str">
        <f>'Hitung Per Bulan'!G970</f>
        <v/>
      </c>
    </row>
    <row r="971" spans="1:7" x14ac:dyDescent="0.45">
      <c r="A971" t="s">
        <v>18</v>
      </c>
      <c r="B971" t="s">
        <v>37</v>
      </c>
      <c r="C971" t="s">
        <v>23</v>
      </c>
      <c r="D971" s="24">
        <v>0</v>
      </c>
      <c r="E971" s="29" t="str">
        <f>'Hitung Per Bulan'!E971</f>
        <v/>
      </c>
      <c r="F971" s="24">
        <v>0</v>
      </c>
      <c r="G971" s="29" t="str">
        <f>'Hitung Per Bulan'!G971</f>
        <v/>
      </c>
    </row>
    <row r="972" spans="1:7" x14ac:dyDescent="0.45">
      <c r="A972" t="s">
        <v>19</v>
      </c>
      <c r="B972" t="s">
        <v>37</v>
      </c>
      <c r="C972" t="s">
        <v>23</v>
      </c>
      <c r="D972" s="24">
        <v>0</v>
      </c>
      <c r="E972" s="29" t="str">
        <f>'Hitung Per Bulan'!E972</f>
        <v/>
      </c>
      <c r="F972" s="24">
        <v>0</v>
      </c>
      <c r="G972" s="29" t="str">
        <f>'Hitung Per Bulan'!G972</f>
        <v/>
      </c>
    </row>
    <row r="973" spans="1:7" x14ac:dyDescent="0.45">
      <c r="A973" t="s">
        <v>20</v>
      </c>
      <c r="B973" t="s">
        <v>37</v>
      </c>
      <c r="C973" t="s">
        <v>23</v>
      </c>
      <c r="D973" s="24">
        <v>0</v>
      </c>
      <c r="E973" s="29" t="str">
        <f>'Hitung Per Bulan'!E973</f>
        <v/>
      </c>
      <c r="F973" s="24">
        <v>0</v>
      </c>
      <c r="G973" s="29" t="str">
        <f>'Hitung Per Bulan'!G973</f>
        <v/>
      </c>
    </row>
    <row r="974" spans="1:7" x14ac:dyDescent="0.45">
      <c r="A974" t="s">
        <v>7</v>
      </c>
      <c r="B974" t="s">
        <v>37</v>
      </c>
      <c r="C974" t="s">
        <v>24</v>
      </c>
      <c r="D974" s="24">
        <v>0</v>
      </c>
      <c r="E974" s="29">
        <f>'Hitung Per Bulan'!E974</f>
        <v>0</v>
      </c>
      <c r="F974" s="24">
        <v>0</v>
      </c>
      <c r="G974" s="29">
        <f>'Hitung Per Bulan'!G974</f>
        <v>0</v>
      </c>
    </row>
    <row r="975" spans="1:7" x14ac:dyDescent="0.45">
      <c r="A975" t="s">
        <v>10</v>
      </c>
      <c r="B975" t="s">
        <v>37</v>
      </c>
      <c r="C975" t="s">
        <v>24</v>
      </c>
      <c r="D975" s="24">
        <v>0</v>
      </c>
      <c r="E975" s="29">
        <f>'Hitung Per Bulan'!E975</f>
        <v>0</v>
      </c>
      <c r="F975" s="24">
        <v>0</v>
      </c>
      <c r="G975" s="29">
        <f>'Hitung Per Bulan'!G975</f>
        <v>0</v>
      </c>
    </row>
    <row r="976" spans="1:7" x14ac:dyDescent="0.45">
      <c r="A976" t="s">
        <v>11</v>
      </c>
      <c r="B976" t="s">
        <v>37</v>
      </c>
      <c r="C976" t="s">
        <v>24</v>
      </c>
      <c r="D976" s="24">
        <v>0</v>
      </c>
      <c r="E976" s="29">
        <f>'Hitung Per Bulan'!E976</f>
        <v>0</v>
      </c>
      <c r="F976" s="24">
        <v>0</v>
      </c>
      <c r="G976" s="29">
        <f>'Hitung Per Bulan'!G976</f>
        <v>0</v>
      </c>
    </row>
    <row r="977" spans="1:7" x14ac:dyDescent="0.45">
      <c r="A977" t="s">
        <v>12</v>
      </c>
      <c r="B977" t="s">
        <v>37</v>
      </c>
      <c r="C977" t="s">
        <v>24</v>
      </c>
      <c r="D977" s="24">
        <v>0</v>
      </c>
      <c r="E977" s="29" t="str">
        <f>'Hitung Per Bulan'!E977</f>
        <v/>
      </c>
      <c r="F977" s="24">
        <v>0</v>
      </c>
      <c r="G977" s="29" t="str">
        <f>'Hitung Per Bulan'!G977</f>
        <v/>
      </c>
    </row>
    <row r="978" spans="1:7" x14ac:dyDescent="0.45">
      <c r="A978" t="s">
        <v>13</v>
      </c>
      <c r="B978" t="s">
        <v>37</v>
      </c>
      <c r="C978" t="s">
        <v>24</v>
      </c>
      <c r="D978" s="24">
        <v>0</v>
      </c>
      <c r="E978" s="29" t="str">
        <f>'Hitung Per Bulan'!E978</f>
        <v/>
      </c>
      <c r="F978" s="24">
        <v>0</v>
      </c>
      <c r="G978" s="29" t="str">
        <f>'Hitung Per Bulan'!G978</f>
        <v/>
      </c>
    </row>
    <row r="979" spans="1:7" x14ac:dyDescent="0.45">
      <c r="A979" t="s">
        <v>14</v>
      </c>
      <c r="B979" t="s">
        <v>37</v>
      </c>
      <c r="C979" t="s">
        <v>24</v>
      </c>
      <c r="D979" s="24">
        <v>0</v>
      </c>
      <c r="E979" s="29" t="str">
        <f>'Hitung Per Bulan'!E979</f>
        <v/>
      </c>
      <c r="F979" s="24">
        <v>0</v>
      </c>
      <c r="G979" s="29" t="str">
        <f>'Hitung Per Bulan'!G979</f>
        <v/>
      </c>
    </row>
    <row r="980" spans="1:7" x14ac:dyDescent="0.45">
      <c r="A980" t="s">
        <v>15</v>
      </c>
      <c r="B980" t="s">
        <v>37</v>
      </c>
      <c r="C980" t="s">
        <v>24</v>
      </c>
      <c r="D980" s="24">
        <v>0</v>
      </c>
      <c r="E980" s="29" t="str">
        <f>'Hitung Per Bulan'!E980</f>
        <v/>
      </c>
      <c r="F980" s="24">
        <v>0</v>
      </c>
      <c r="G980" s="29" t="str">
        <f>'Hitung Per Bulan'!G980</f>
        <v/>
      </c>
    </row>
    <row r="981" spans="1:7" x14ac:dyDescent="0.45">
      <c r="A981" t="s">
        <v>16</v>
      </c>
      <c r="B981" t="s">
        <v>37</v>
      </c>
      <c r="C981" t="s">
        <v>24</v>
      </c>
      <c r="D981" s="24">
        <v>0</v>
      </c>
      <c r="E981" s="29" t="str">
        <f>'Hitung Per Bulan'!E981</f>
        <v/>
      </c>
      <c r="F981" s="24">
        <v>0</v>
      </c>
      <c r="G981" s="29" t="str">
        <f>'Hitung Per Bulan'!G981</f>
        <v/>
      </c>
    </row>
    <row r="982" spans="1:7" x14ac:dyDescent="0.45">
      <c r="A982" t="s">
        <v>17</v>
      </c>
      <c r="B982" t="s">
        <v>37</v>
      </c>
      <c r="C982" t="s">
        <v>24</v>
      </c>
      <c r="D982" s="24">
        <v>0</v>
      </c>
      <c r="E982" s="29" t="str">
        <f>'Hitung Per Bulan'!E982</f>
        <v/>
      </c>
      <c r="F982" s="24">
        <v>0</v>
      </c>
      <c r="G982" s="29" t="str">
        <f>'Hitung Per Bulan'!G982</f>
        <v/>
      </c>
    </row>
    <row r="983" spans="1:7" x14ac:dyDescent="0.45">
      <c r="A983" t="s">
        <v>18</v>
      </c>
      <c r="B983" t="s">
        <v>37</v>
      </c>
      <c r="C983" t="s">
        <v>24</v>
      </c>
      <c r="D983" s="24">
        <v>0</v>
      </c>
      <c r="E983" s="29" t="str">
        <f>'Hitung Per Bulan'!E983</f>
        <v/>
      </c>
      <c r="F983" s="24">
        <v>0</v>
      </c>
      <c r="G983" s="29" t="str">
        <f>'Hitung Per Bulan'!G983</f>
        <v/>
      </c>
    </row>
    <row r="984" spans="1:7" x14ac:dyDescent="0.45">
      <c r="A984" t="s">
        <v>19</v>
      </c>
      <c r="B984" t="s">
        <v>37</v>
      </c>
      <c r="C984" t="s">
        <v>24</v>
      </c>
      <c r="D984" s="24">
        <v>0</v>
      </c>
      <c r="E984" s="29" t="str">
        <f>'Hitung Per Bulan'!E984</f>
        <v/>
      </c>
      <c r="F984" s="24">
        <v>0</v>
      </c>
      <c r="G984" s="29" t="str">
        <f>'Hitung Per Bulan'!G984</f>
        <v/>
      </c>
    </row>
    <row r="985" spans="1:7" x14ac:dyDescent="0.45">
      <c r="A985" t="s">
        <v>20</v>
      </c>
      <c r="B985" t="s">
        <v>37</v>
      </c>
      <c r="C985" t="s">
        <v>24</v>
      </c>
      <c r="D985" s="24">
        <v>0</v>
      </c>
      <c r="E985" s="29" t="str">
        <f>'Hitung Per Bulan'!E985</f>
        <v/>
      </c>
      <c r="F985" s="24">
        <v>0</v>
      </c>
      <c r="G985" s="29" t="str">
        <f>'Hitung Per Bulan'!G985</f>
        <v/>
      </c>
    </row>
    <row r="986" spans="1:7" x14ac:dyDescent="0.45">
      <c r="A986" t="s">
        <v>7</v>
      </c>
      <c r="B986" t="s">
        <v>37</v>
      </c>
      <c r="C986" t="s">
        <v>25</v>
      </c>
      <c r="D986" s="24">
        <v>123852333.33333334</v>
      </c>
      <c r="E986" s="29">
        <f>'Hitung Per Bulan'!E986</f>
        <v>73891500</v>
      </c>
      <c r="F986" s="24">
        <v>123852333.33333334</v>
      </c>
      <c r="G986" s="29">
        <f>'Hitung Per Bulan'!G986</f>
        <v>5977500</v>
      </c>
    </row>
    <row r="987" spans="1:7" x14ac:dyDescent="0.45">
      <c r="A987" t="s">
        <v>10</v>
      </c>
      <c r="B987" t="s">
        <v>37</v>
      </c>
      <c r="C987" t="s">
        <v>25</v>
      </c>
      <c r="D987" s="24">
        <v>113852333.33333334</v>
      </c>
      <c r="E987" s="29">
        <f>'Hitung Per Bulan'!E987</f>
        <v>121455950</v>
      </c>
      <c r="F987" s="24">
        <v>113852333.33333334</v>
      </c>
      <c r="G987" s="29">
        <f>'Hitung Per Bulan'!G987</f>
        <v>91152500</v>
      </c>
    </row>
    <row r="988" spans="1:7" x14ac:dyDescent="0.45">
      <c r="A988" t="s">
        <v>11</v>
      </c>
      <c r="B988" t="s">
        <v>37</v>
      </c>
      <c r="C988" t="s">
        <v>25</v>
      </c>
      <c r="D988" s="24">
        <v>113852333.33333334</v>
      </c>
      <c r="E988" s="29">
        <f>'Hitung Per Bulan'!E988</f>
        <v>51886096</v>
      </c>
      <c r="F988" s="24">
        <v>113852333.33333334</v>
      </c>
      <c r="G988" s="29">
        <f>'Hitung Per Bulan'!G988</f>
        <v>8250000</v>
      </c>
    </row>
    <row r="989" spans="1:7" x14ac:dyDescent="0.45">
      <c r="A989" t="s">
        <v>12</v>
      </c>
      <c r="B989" t="s">
        <v>37</v>
      </c>
      <c r="C989" t="s">
        <v>25</v>
      </c>
      <c r="D989" s="24">
        <v>123852333.33333334</v>
      </c>
      <c r="E989" s="29" t="str">
        <f>'Hitung Per Bulan'!E989</f>
        <v/>
      </c>
      <c r="F989" s="24">
        <v>123852333.33333334</v>
      </c>
      <c r="G989" s="29" t="str">
        <f>'Hitung Per Bulan'!G989</f>
        <v/>
      </c>
    </row>
    <row r="990" spans="1:7" x14ac:dyDescent="0.45">
      <c r="A990" t="s">
        <v>13</v>
      </c>
      <c r="B990" t="s">
        <v>37</v>
      </c>
      <c r="C990" t="s">
        <v>25</v>
      </c>
      <c r="D990" s="24">
        <v>253852333.33333334</v>
      </c>
      <c r="E990" s="29" t="str">
        <f>'Hitung Per Bulan'!E990</f>
        <v/>
      </c>
      <c r="F990" s="24">
        <v>253852333.33333334</v>
      </c>
      <c r="G990" s="29" t="str">
        <f>'Hitung Per Bulan'!G990</f>
        <v/>
      </c>
    </row>
    <row r="991" spans="1:7" x14ac:dyDescent="0.45">
      <c r="A991" t="s">
        <v>14</v>
      </c>
      <c r="B991" t="s">
        <v>37</v>
      </c>
      <c r="C991" t="s">
        <v>25</v>
      </c>
      <c r="D991" s="24">
        <v>113853333.33333334</v>
      </c>
      <c r="E991" s="29" t="str">
        <f>'Hitung Per Bulan'!E991</f>
        <v/>
      </c>
      <c r="F991" s="24">
        <v>113853333.33333334</v>
      </c>
      <c r="G991" s="29" t="str">
        <f>'Hitung Per Bulan'!G991</f>
        <v/>
      </c>
    </row>
    <row r="992" spans="1:7" x14ac:dyDescent="0.45">
      <c r="A992" t="s">
        <v>15</v>
      </c>
      <c r="B992" t="s">
        <v>37</v>
      </c>
      <c r="C992" t="s">
        <v>25</v>
      </c>
      <c r="D992" s="24">
        <v>123852333.33333334</v>
      </c>
      <c r="E992" s="29" t="str">
        <f>'Hitung Per Bulan'!E992</f>
        <v/>
      </c>
      <c r="F992" s="24">
        <v>123852333.33333334</v>
      </c>
      <c r="G992" s="29" t="str">
        <f>'Hitung Per Bulan'!G992</f>
        <v/>
      </c>
    </row>
    <row r="993" spans="1:7" x14ac:dyDescent="0.45">
      <c r="A993" t="s">
        <v>16</v>
      </c>
      <c r="B993" t="s">
        <v>37</v>
      </c>
      <c r="C993" t="s">
        <v>25</v>
      </c>
      <c r="D993" s="24">
        <v>243852333.33333334</v>
      </c>
      <c r="E993" s="29" t="str">
        <f>'Hitung Per Bulan'!E993</f>
        <v/>
      </c>
      <c r="F993" s="24">
        <v>243852333.33333334</v>
      </c>
      <c r="G993" s="29" t="str">
        <f>'Hitung Per Bulan'!G993</f>
        <v/>
      </c>
    </row>
    <row r="994" spans="1:7" x14ac:dyDescent="0.45">
      <c r="A994" t="s">
        <v>17</v>
      </c>
      <c r="B994" t="s">
        <v>37</v>
      </c>
      <c r="C994" t="s">
        <v>25</v>
      </c>
      <c r="D994" s="24">
        <v>113853333.33333334</v>
      </c>
      <c r="E994" s="29" t="str">
        <f>'Hitung Per Bulan'!E994</f>
        <v/>
      </c>
      <c r="F994" s="24">
        <v>113853333.33333334</v>
      </c>
      <c r="G994" s="29" t="str">
        <f>'Hitung Per Bulan'!G994</f>
        <v/>
      </c>
    </row>
    <row r="995" spans="1:7" x14ac:dyDescent="0.45">
      <c r="A995" t="s">
        <v>18</v>
      </c>
      <c r="B995" t="s">
        <v>37</v>
      </c>
      <c r="C995" t="s">
        <v>25</v>
      </c>
      <c r="D995" s="24">
        <v>123852333.33333334</v>
      </c>
      <c r="E995" s="29" t="str">
        <f>'Hitung Per Bulan'!E995</f>
        <v/>
      </c>
      <c r="F995" s="24">
        <v>123852333.33333334</v>
      </c>
      <c r="G995" s="29" t="str">
        <f>'Hitung Per Bulan'!G995</f>
        <v/>
      </c>
    </row>
    <row r="996" spans="1:7" x14ac:dyDescent="0.45">
      <c r="A996" t="s">
        <v>19</v>
      </c>
      <c r="B996" t="s">
        <v>37</v>
      </c>
      <c r="C996" t="s">
        <v>25</v>
      </c>
      <c r="D996" s="24">
        <v>229852333.33333334</v>
      </c>
      <c r="E996" s="29" t="str">
        <f>'Hitung Per Bulan'!E996</f>
        <v/>
      </c>
      <c r="F996" s="24">
        <v>229852333.33333334</v>
      </c>
      <c r="G996" s="29" t="str">
        <f>'Hitung Per Bulan'!G996</f>
        <v/>
      </c>
    </row>
    <row r="997" spans="1:7" x14ac:dyDescent="0.45">
      <c r="A997" t="s">
        <v>20</v>
      </c>
      <c r="B997" t="s">
        <v>37</v>
      </c>
      <c r="C997" t="s">
        <v>25</v>
      </c>
      <c r="D997" s="24">
        <v>113853333.33333334</v>
      </c>
      <c r="E997" s="29" t="str">
        <f>'Hitung Per Bulan'!E997</f>
        <v/>
      </c>
      <c r="F997" s="24">
        <v>113853333.33333334</v>
      </c>
      <c r="G997" s="29" t="str">
        <f>'Hitung Per Bulan'!G997</f>
        <v/>
      </c>
    </row>
    <row r="998" spans="1:7" x14ac:dyDescent="0.45">
      <c r="A998" t="s">
        <v>7</v>
      </c>
      <c r="B998" t="s">
        <v>37</v>
      </c>
      <c r="C998" t="s">
        <v>26</v>
      </c>
      <c r="D998" s="24">
        <v>185833333.33333334</v>
      </c>
      <c r="E998" s="29">
        <f>'Hitung Per Bulan'!E998</f>
        <v>96928940</v>
      </c>
      <c r="F998" s="24">
        <v>185833333.33333334</v>
      </c>
      <c r="G998" s="29">
        <f>'Hitung Per Bulan'!G998</f>
        <v>96928940</v>
      </c>
    </row>
    <row r="999" spans="1:7" x14ac:dyDescent="0.45">
      <c r="A999" t="s">
        <v>10</v>
      </c>
      <c r="B999" t="s">
        <v>37</v>
      </c>
      <c r="C999" t="s">
        <v>26</v>
      </c>
      <c r="D999" s="24">
        <v>185833333.33333334</v>
      </c>
      <c r="E999" s="29">
        <f>'Hitung Per Bulan'!E999</f>
        <v>130722605</v>
      </c>
      <c r="F999" s="24">
        <v>185833333.33333334</v>
      </c>
      <c r="G999" s="29">
        <f>'Hitung Per Bulan'!G999</f>
        <v>121222605</v>
      </c>
    </row>
    <row r="1000" spans="1:7" x14ac:dyDescent="0.45">
      <c r="A1000" t="s">
        <v>11</v>
      </c>
      <c r="B1000" t="s">
        <v>37</v>
      </c>
      <c r="C1000" t="s">
        <v>26</v>
      </c>
      <c r="D1000" s="24">
        <v>185833333.33333334</v>
      </c>
      <c r="E1000" s="29">
        <f>'Hitung Per Bulan'!E1000</f>
        <v>0</v>
      </c>
      <c r="F1000" s="24">
        <v>185833333.33333334</v>
      </c>
      <c r="G1000" s="29">
        <f>'Hitung Per Bulan'!G1000</f>
        <v>0</v>
      </c>
    </row>
    <row r="1001" spans="1:7" x14ac:dyDescent="0.45">
      <c r="A1001" t="s">
        <v>12</v>
      </c>
      <c r="B1001" t="s">
        <v>37</v>
      </c>
      <c r="C1001" t="s">
        <v>26</v>
      </c>
      <c r="D1001" s="24">
        <v>185833333.33333334</v>
      </c>
      <c r="E1001" s="29" t="str">
        <f>'Hitung Per Bulan'!E1001</f>
        <v/>
      </c>
      <c r="F1001" s="24">
        <v>185833333.33333334</v>
      </c>
      <c r="G1001" s="29" t="str">
        <f>'Hitung Per Bulan'!G1001</f>
        <v/>
      </c>
    </row>
    <row r="1002" spans="1:7" x14ac:dyDescent="0.45">
      <c r="A1002" t="s">
        <v>13</v>
      </c>
      <c r="B1002" t="s">
        <v>37</v>
      </c>
      <c r="C1002" t="s">
        <v>26</v>
      </c>
      <c r="D1002" s="24">
        <v>185833333.33333334</v>
      </c>
      <c r="E1002" s="29" t="str">
        <f>'Hitung Per Bulan'!E1002</f>
        <v/>
      </c>
      <c r="F1002" s="24">
        <v>185833333.33333334</v>
      </c>
      <c r="G1002" s="29" t="str">
        <f>'Hitung Per Bulan'!G1002</f>
        <v/>
      </c>
    </row>
    <row r="1003" spans="1:7" x14ac:dyDescent="0.45">
      <c r="A1003" t="s">
        <v>14</v>
      </c>
      <c r="B1003" t="s">
        <v>37</v>
      </c>
      <c r="C1003" t="s">
        <v>26</v>
      </c>
      <c r="D1003" s="24">
        <v>185833333.33333334</v>
      </c>
      <c r="E1003" s="29" t="str">
        <f>'Hitung Per Bulan'!E1003</f>
        <v/>
      </c>
      <c r="F1003" s="24">
        <v>185833333.33333334</v>
      </c>
      <c r="G1003" s="29" t="str">
        <f>'Hitung Per Bulan'!G1003</f>
        <v/>
      </c>
    </row>
    <row r="1004" spans="1:7" x14ac:dyDescent="0.45">
      <c r="A1004" t="s">
        <v>15</v>
      </c>
      <c r="B1004" t="s">
        <v>37</v>
      </c>
      <c r="C1004" t="s">
        <v>26</v>
      </c>
      <c r="D1004" s="24">
        <v>185833333.33333334</v>
      </c>
      <c r="E1004" s="29" t="str">
        <f>'Hitung Per Bulan'!E1004</f>
        <v/>
      </c>
      <c r="F1004" s="24">
        <v>185833333.33333334</v>
      </c>
      <c r="G1004" s="29" t="str">
        <f>'Hitung Per Bulan'!G1004</f>
        <v/>
      </c>
    </row>
    <row r="1005" spans="1:7" x14ac:dyDescent="0.45">
      <c r="A1005" t="s">
        <v>16</v>
      </c>
      <c r="B1005" t="s">
        <v>37</v>
      </c>
      <c r="C1005" t="s">
        <v>26</v>
      </c>
      <c r="D1005" s="24">
        <v>185833333.33333334</v>
      </c>
      <c r="E1005" s="29" t="str">
        <f>'Hitung Per Bulan'!E1005</f>
        <v/>
      </c>
      <c r="F1005" s="24">
        <v>185833333.33333334</v>
      </c>
      <c r="G1005" s="29" t="str">
        <f>'Hitung Per Bulan'!G1005</f>
        <v/>
      </c>
    </row>
    <row r="1006" spans="1:7" x14ac:dyDescent="0.45">
      <c r="A1006" t="s">
        <v>17</v>
      </c>
      <c r="B1006" t="s">
        <v>37</v>
      </c>
      <c r="C1006" t="s">
        <v>26</v>
      </c>
      <c r="D1006" s="24">
        <v>185833333.33333334</v>
      </c>
      <c r="E1006" s="29" t="str">
        <f>'Hitung Per Bulan'!E1006</f>
        <v/>
      </c>
      <c r="F1006" s="24">
        <v>185833333.33333334</v>
      </c>
      <c r="G1006" s="29" t="str">
        <f>'Hitung Per Bulan'!G1006</f>
        <v/>
      </c>
    </row>
    <row r="1007" spans="1:7" x14ac:dyDescent="0.45">
      <c r="A1007" t="s">
        <v>18</v>
      </c>
      <c r="B1007" t="s">
        <v>37</v>
      </c>
      <c r="C1007" t="s">
        <v>26</v>
      </c>
      <c r="D1007" s="24">
        <v>185833333.33333334</v>
      </c>
      <c r="E1007" s="29" t="str">
        <f>'Hitung Per Bulan'!E1007</f>
        <v/>
      </c>
      <c r="F1007" s="24">
        <v>185833333.33333334</v>
      </c>
      <c r="G1007" s="29" t="str">
        <f>'Hitung Per Bulan'!G1007</f>
        <v/>
      </c>
    </row>
    <row r="1008" spans="1:7" x14ac:dyDescent="0.45">
      <c r="A1008" t="s">
        <v>19</v>
      </c>
      <c r="B1008" t="s">
        <v>37</v>
      </c>
      <c r="C1008" t="s">
        <v>26</v>
      </c>
      <c r="D1008" s="24">
        <v>185833333.33333334</v>
      </c>
      <c r="E1008" s="29" t="str">
        <f>'Hitung Per Bulan'!E1008</f>
        <v/>
      </c>
      <c r="F1008" s="24">
        <v>185833333.33333334</v>
      </c>
      <c r="G1008" s="29" t="str">
        <f>'Hitung Per Bulan'!G1008</f>
        <v/>
      </c>
    </row>
    <row r="1009" spans="1:7" x14ac:dyDescent="0.45">
      <c r="A1009" t="s">
        <v>20</v>
      </c>
      <c r="B1009" t="s">
        <v>37</v>
      </c>
      <c r="C1009" t="s">
        <v>26</v>
      </c>
      <c r="D1009" s="24">
        <v>185833333.33333334</v>
      </c>
      <c r="E1009" s="29" t="str">
        <f>'Hitung Per Bulan'!E1009</f>
        <v/>
      </c>
      <c r="F1009" s="24">
        <v>185833333.33333334</v>
      </c>
      <c r="G1009" s="29" t="str">
        <f>'Hitung Per Bulan'!G1009</f>
        <v/>
      </c>
    </row>
    <row r="1010" spans="1:7" x14ac:dyDescent="0.45">
      <c r="A1010" t="s">
        <v>7</v>
      </c>
      <c r="B1010" t="s">
        <v>38</v>
      </c>
      <c r="C1010" t="s">
        <v>9</v>
      </c>
      <c r="D1010" s="24">
        <v>20000000</v>
      </c>
      <c r="E1010" s="29">
        <f>'Hitung Per Bulan'!E1010</f>
        <v>114501830</v>
      </c>
      <c r="F1010" s="24">
        <v>0</v>
      </c>
      <c r="G1010" s="29">
        <f>'Hitung Per Bulan'!G1010</f>
        <v>0</v>
      </c>
    </row>
    <row r="1011" spans="1:7" x14ac:dyDescent="0.45">
      <c r="A1011" t="s">
        <v>10</v>
      </c>
      <c r="B1011" t="s">
        <v>38</v>
      </c>
      <c r="C1011" t="s">
        <v>9</v>
      </c>
      <c r="D1011" s="24">
        <v>0</v>
      </c>
      <c r="E1011" s="29">
        <f>'Hitung Per Bulan'!E1011</f>
        <v>13970000</v>
      </c>
      <c r="F1011" s="24">
        <v>20000000</v>
      </c>
      <c r="G1011" s="29">
        <f>'Hitung Per Bulan'!G1011</f>
        <v>0</v>
      </c>
    </row>
    <row r="1012" spans="1:7" x14ac:dyDescent="0.45">
      <c r="A1012" t="s">
        <v>11</v>
      </c>
      <c r="B1012" t="s">
        <v>38</v>
      </c>
      <c r="C1012" t="s">
        <v>9</v>
      </c>
      <c r="D1012" s="24">
        <v>55000000</v>
      </c>
      <c r="E1012" s="29">
        <f>'Hitung Per Bulan'!E1012</f>
        <v>0</v>
      </c>
      <c r="F1012" s="24">
        <v>0</v>
      </c>
      <c r="G1012" s="29">
        <f>'Hitung Per Bulan'!G1012</f>
        <v>78896778</v>
      </c>
    </row>
    <row r="1013" spans="1:7" x14ac:dyDescent="0.45">
      <c r="A1013" t="s">
        <v>12</v>
      </c>
      <c r="B1013" t="s">
        <v>38</v>
      </c>
      <c r="C1013" t="s">
        <v>9</v>
      </c>
      <c r="D1013" s="24">
        <v>461300000</v>
      </c>
      <c r="E1013" s="29" t="str">
        <f>'Hitung Per Bulan'!E1013</f>
        <v/>
      </c>
      <c r="F1013" s="24">
        <v>55000000</v>
      </c>
      <c r="G1013" s="29" t="str">
        <f>'Hitung Per Bulan'!G1013</f>
        <v/>
      </c>
    </row>
    <row r="1014" spans="1:7" x14ac:dyDescent="0.45">
      <c r="A1014" t="s">
        <v>13</v>
      </c>
      <c r="B1014" t="s">
        <v>38</v>
      </c>
      <c r="C1014" t="s">
        <v>9</v>
      </c>
      <c r="D1014" s="24">
        <v>412440000</v>
      </c>
      <c r="E1014" s="29" t="str">
        <f>'Hitung Per Bulan'!E1014</f>
        <v/>
      </c>
      <c r="F1014" s="24">
        <v>0</v>
      </c>
      <c r="G1014" s="29" t="str">
        <f>'Hitung Per Bulan'!G1014</f>
        <v/>
      </c>
    </row>
    <row r="1015" spans="1:7" x14ac:dyDescent="0.45">
      <c r="A1015" t="s">
        <v>14</v>
      </c>
      <c r="B1015" t="s">
        <v>38</v>
      </c>
      <c r="C1015" t="s">
        <v>9</v>
      </c>
      <c r="D1015" s="24">
        <v>130000000</v>
      </c>
      <c r="E1015" s="29" t="str">
        <f>'Hitung Per Bulan'!E1015</f>
        <v/>
      </c>
      <c r="F1015" s="24">
        <v>0</v>
      </c>
      <c r="G1015" s="29" t="str">
        <f>'Hitung Per Bulan'!G1015</f>
        <v/>
      </c>
    </row>
    <row r="1016" spans="1:7" x14ac:dyDescent="0.45">
      <c r="A1016" t="s">
        <v>15</v>
      </c>
      <c r="B1016" t="s">
        <v>38</v>
      </c>
      <c r="C1016" t="s">
        <v>9</v>
      </c>
      <c r="D1016" s="24">
        <v>683211000</v>
      </c>
      <c r="E1016" s="29" t="str">
        <f>'Hitung Per Bulan'!E1016</f>
        <v/>
      </c>
      <c r="F1016" s="24">
        <v>516300000</v>
      </c>
      <c r="G1016" s="29" t="str">
        <f>'Hitung Per Bulan'!G1016</f>
        <v/>
      </c>
    </row>
    <row r="1017" spans="1:7" x14ac:dyDescent="0.45">
      <c r="A1017" t="s">
        <v>16</v>
      </c>
      <c r="B1017" t="s">
        <v>38</v>
      </c>
      <c r="C1017" t="s">
        <v>9</v>
      </c>
      <c r="D1017" s="24">
        <v>0</v>
      </c>
      <c r="E1017" s="29" t="str">
        <f>'Hitung Per Bulan'!E1017</f>
        <v/>
      </c>
      <c r="F1017" s="24">
        <v>412440000</v>
      </c>
      <c r="G1017" s="29" t="str">
        <f>'Hitung Per Bulan'!G1017</f>
        <v/>
      </c>
    </row>
    <row r="1018" spans="1:7" x14ac:dyDescent="0.45">
      <c r="A1018" t="s">
        <v>17</v>
      </c>
      <c r="B1018" t="s">
        <v>38</v>
      </c>
      <c r="C1018" t="s">
        <v>9</v>
      </c>
      <c r="D1018" s="24">
        <v>55000000</v>
      </c>
      <c r="E1018" s="29" t="str">
        <f>'Hitung Per Bulan'!E1018</f>
        <v/>
      </c>
      <c r="F1018" s="24">
        <v>75000000</v>
      </c>
      <c r="G1018" s="29" t="str">
        <f>'Hitung Per Bulan'!G1018</f>
        <v/>
      </c>
    </row>
    <row r="1019" spans="1:7" x14ac:dyDescent="0.45">
      <c r="A1019" t="s">
        <v>18</v>
      </c>
      <c r="B1019" t="s">
        <v>38</v>
      </c>
      <c r="C1019" t="s">
        <v>9</v>
      </c>
      <c r="D1019" s="24">
        <v>0</v>
      </c>
      <c r="E1019" s="29" t="str">
        <f>'Hitung Per Bulan'!E1019</f>
        <v/>
      </c>
      <c r="F1019" s="24">
        <v>55000000</v>
      </c>
      <c r="G1019" s="29" t="str">
        <f>'Hitung Per Bulan'!G1019</f>
        <v/>
      </c>
    </row>
    <row r="1020" spans="1:7" x14ac:dyDescent="0.45">
      <c r="A1020" t="s">
        <v>19</v>
      </c>
      <c r="B1020" t="s">
        <v>38</v>
      </c>
      <c r="C1020" t="s">
        <v>9</v>
      </c>
      <c r="D1020" s="24">
        <v>0</v>
      </c>
      <c r="E1020" s="29" t="str">
        <f>'Hitung Per Bulan'!E1020</f>
        <v/>
      </c>
      <c r="F1020" s="24">
        <v>683211000</v>
      </c>
      <c r="G1020" s="29" t="str">
        <f>'Hitung Per Bulan'!G1020</f>
        <v/>
      </c>
    </row>
    <row r="1021" spans="1:7" x14ac:dyDescent="0.45">
      <c r="A1021" t="s">
        <v>20</v>
      </c>
      <c r="B1021" t="s">
        <v>38</v>
      </c>
      <c r="C1021" t="s">
        <v>9</v>
      </c>
      <c r="D1021" s="24">
        <v>55000000</v>
      </c>
      <c r="E1021" s="29" t="str">
        <f>'Hitung Per Bulan'!E1021</f>
        <v/>
      </c>
      <c r="F1021" s="24">
        <v>55000000</v>
      </c>
      <c r="G1021" s="29" t="str">
        <f>'Hitung Per Bulan'!G1021</f>
        <v/>
      </c>
    </row>
    <row r="1022" spans="1:7" x14ac:dyDescent="0.45">
      <c r="A1022" t="s">
        <v>7</v>
      </c>
      <c r="B1022" t="s">
        <v>38</v>
      </c>
      <c r="C1022" t="s">
        <v>21</v>
      </c>
      <c r="D1022" s="24">
        <v>0</v>
      </c>
      <c r="E1022" s="29">
        <f>'Hitung Per Bulan'!E1022</f>
        <v>0</v>
      </c>
      <c r="F1022" s="24">
        <v>0</v>
      </c>
      <c r="G1022" s="29">
        <f>'Hitung Per Bulan'!G1022</f>
        <v>0</v>
      </c>
    </row>
    <row r="1023" spans="1:7" x14ac:dyDescent="0.45">
      <c r="A1023" t="s">
        <v>10</v>
      </c>
      <c r="B1023" t="s">
        <v>38</v>
      </c>
      <c r="C1023" t="s">
        <v>21</v>
      </c>
      <c r="D1023" s="24">
        <v>0</v>
      </c>
      <c r="E1023" s="29">
        <f>'Hitung Per Bulan'!E1023</f>
        <v>0</v>
      </c>
      <c r="F1023" s="24">
        <v>0</v>
      </c>
      <c r="G1023" s="29">
        <f>'Hitung Per Bulan'!G1023</f>
        <v>0</v>
      </c>
    </row>
    <row r="1024" spans="1:7" x14ac:dyDescent="0.45">
      <c r="A1024" t="s">
        <v>11</v>
      </c>
      <c r="B1024" t="s">
        <v>38</v>
      </c>
      <c r="C1024" t="s">
        <v>21</v>
      </c>
      <c r="D1024" s="24">
        <v>0</v>
      </c>
      <c r="E1024" s="29">
        <f>'Hitung Per Bulan'!E1024</f>
        <v>0</v>
      </c>
      <c r="F1024" s="24">
        <v>0</v>
      </c>
      <c r="G1024" s="29">
        <f>'Hitung Per Bulan'!G1024</f>
        <v>0</v>
      </c>
    </row>
    <row r="1025" spans="1:7" x14ac:dyDescent="0.45">
      <c r="A1025" t="s">
        <v>12</v>
      </c>
      <c r="B1025" t="s">
        <v>38</v>
      </c>
      <c r="C1025" t="s">
        <v>21</v>
      </c>
      <c r="D1025" s="24">
        <v>0</v>
      </c>
      <c r="E1025" s="29" t="str">
        <f>'Hitung Per Bulan'!E1025</f>
        <v/>
      </c>
      <c r="F1025" s="24">
        <v>0</v>
      </c>
      <c r="G1025" s="29" t="str">
        <f>'Hitung Per Bulan'!G1025</f>
        <v/>
      </c>
    </row>
    <row r="1026" spans="1:7" x14ac:dyDescent="0.45">
      <c r="A1026" t="s">
        <v>13</v>
      </c>
      <c r="B1026" t="s">
        <v>38</v>
      </c>
      <c r="C1026" t="s">
        <v>21</v>
      </c>
      <c r="D1026" s="24">
        <v>0</v>
      </c>
      <c r="E1026" s="29" t="str">
        <f>'Hitung Per Bulan'!E1026</f>
        <v/>
      </c>
      <c r="F1026" s="24">
        <v>0</v>
      </c>
      <c r="G1026" s="29" t="str">
        <f>'Hitung Per Bulan'!G1026</f>
        <v/>
      </c>
    </row>
    <row r="1027" spans="1:7" x14ac:dyDescent="0.45">
      <c r="A1027" t="s">
        <v>14</v>
      </c>
      <c r="B1027" t="s">
        <v>38</v>
      </c>
      <c r="C1027" t="s">
        <v>21</v>
      </c>
      <c r="D1027" s="24">
        <v>0</v>
      </c>
      <c r="E1027" s="29" t="str">
        <f>'Hitung Per Bulan'!E1027</f>
        <v/>
      </c>
      <c r="F1027" s="24">
        <v>0</v>
      </c>
      <c r="G1027" s="29" t="str">
        <f>'Hitung Per Bulan'!G1027</f>
        <v/>
      </c>
    </row>
    <row r="1028" spans="1:7" x14ac:dyDescent="0.45">
      <c r="A1028" t="s">
        <v>15</v>
      </c>
      <c r="B1028" t="s">
        <v>38</v>
      </c>
      <c r="C1028" t="s">
        <v>21</v>
      </c>
      <c r="D1028" s="24">
        <v>0</v>
      </c>
      <c r="E1028" s="29" t="str">
        <f>'Hitung Per Bulan'!E1028</f>
        <v/>
      </c>
      <c r="F1028" s="24">
        <v>0</v>
      </c>
      <c r="G1028" s="29" t="str">
        <f>'Hitung Per Bulan'!G1028</f>
        <v/>
      </c>
    </row>
    <row r="1029" spans="1:7" x14ac:dyDescent="0.45">
      <c r="A1029" t="s">
        <v>16</v>
      </c>
      <c r="B1029" t="s">
        <v>38</v>
      </c>
      <c r="C1029" t="s">
        <v>21</v>
      </c>
      <c r="D1029" s="24">
        <v>0</v>
      </c>
      <c r="E1029" s="29" t="str">
        <f>'Hitung Per Bulan'!E1029</f>
        <v/>
      </c>
      <c r="F1029" s="24">
        <v>0</v>
      </c>
      <c r="G1029" s="29" t="str">
        <f>'Hitung Per Bulan'!G1029</f>
        <v/>
      </c>
    </row>
    <row r="1030" spans="1:7" x14ac:dyDescent="0.45">
      <c r="A1030" t="s">
        <v>17</v>
      </c>
      <c r="B1030" t="s">
        <v>38</v>
      </c>
      <c r="C1030" t="s">
        <v>21</v>
      </c>
      <c r="D1030" s="24">
        <v>0</v>
      </c>
      <c r="E1030" s="29" t="str">
        <f>'Hitung Per Bulan'!E1030</f>
        <v/>
      </c>
      <c r="F1030" s="24">
        <v>0</v>
      </c>
      <c r="G1030" s="29" t="str">
        <f>'Hitung Per Bulan'!G1030</f>
        <v/>
      </c>
    </row>
    <row r="1031" spans="1:7" x14ac:dyDescent="0.45">
      <c r="A1031" t="s">
        <v>18</v>
      </c>
      <c r="B1031" t="s">
        <v>38</v>
      </c>
      <c r="C1031" t="s">
        <v>21</v>
      </c>
      <c r="D1031" s="24">
        <v>0</v>
      </c>
      <c r="E1031" s="29" t="str">
        <f>'Hitung Per Bulan'!E1031</f>
        <v/>
      </c>
      <c r="F1031" s="24">
        <v>0</v>
      </c>
      <c r="G1031" s="29" t="str">
        <f>'Hitung Per Bulan'!G1031</f>
        <v/>
      </c>
    </row>
    <row r="1032" spans="1:7" x14ac:dyDescent="0.45">
      <c r="A1032" t="s">
        <v>19</v>
      </c>
      <c r="B1032" t="s">
        <v>38</v>
      </c>
      <c r="C1032" t="s">
        <v>21</v>
      </c>
      <c r="D1032" s="24">
        <v>0</v>
      </c>
      <c r="E1032" s="29" t="str">
        <f>'Hitung Per Bulan'!E1032</f>
        <v/>
      </c>
      <c r="F1032" s="24">
        <v>0</v>
      </c>
      <c r="G1032" s="29" t="str">
        <f>'Hitung Per Bulan'!G1032</f>
        <v/>
      </c>
    </row>
    <row r="1033" spans="1:7" x14ac:dyDescent="0.45">
      <c r="A1033" t="s">
        <v>20</v>
      </c>
      <c r="B1033" t="s">
        <v>38</v>
      </c>
      <c r="C1033" t="s">
        <v>21</v>
      </c>
      <c r="D1033" s="24">
        <v>0</v>
      </c>
      <c r="E1033" s="29" t="str">
        <f>'Hitung Per Bulan'!E1033</f>
        <v/>
      </c>
      <c r="F1033" s="24">
        <v>0</v>
      </c>
      <c r="G1033" s="29" t="str">
        <f>'Hitung Per Bulan'!G1033</f>
        <v/>
      </c>
    </row>
    <row r="1034" spans="1:7" x14ac:dyDescent="0.45">
      <c r="A1034" t="s">
        <v>7</v>
      </c>
      <c r="B1034" t="s">
        <v>38</v>
      </c>
      <c r="C1034" t="s">
        <v>22</v>
      </c>
      <c r="D1034" s="24">
        <v>0</v>
      </c>
      <c r="E1034" s="29">
        <f>'Hitung Per Bulan'!E1034</f>
        <v>6119400</v>
      </c>
      <c r="F1034" s="24">
        <v>11287500</v>
      </c>
      <c r="G1034" s="29">
        <f>'Hitung Per Bulan'!G1034</f>
        <v>0</v>
      </c>
    </row>
    <row r="1035" spans="1:7" x14ac:dyDescent="0.45">
      <c r="A1035" t="s">
        <v>10</v>
      </c>
      <c r="B1035" t="s">
        <v>38</v>
      </c>
      <c r="C1035" t="s">
        <v>22</v>
      </c>
      <c r="D1035" s="24">
        <v>0</v>
      </c>
      <c r="E1035" s="29">
        <f>'Hitung Per Bulan'!E1035</f>
        <v>0</v>
      </c>
      <c r="F1035" s="24">
        <v>0</v>
      </c>
      <c r="G1035" s="29">
        <f>'Hitung Per Bulan'!G1035</f>
        <v>0</v>
      </c>
    </row>
    <row r="1036" spans="1:7" x14ac:dyDescent="0.45">
      <c r="A1036" t="s">
        <v>11</v>
      </c>
      <c r="B1036" t="s">
        <v>38</v>
      </c>
      <c r="C1036" t="s">
        <v>22</v>
      </c>
      <c r="D1036" s="24">
        <v>11287500</v>
      </c>
      <c r="E1036" s="29">
        <f>'Hitung Per Bulan'!E1036</f>
        <v>6423200</v>
      </c>
      <c r="F1036" s="24">
        <v>0</v>
      </c>
      <c r="G1036" s="29">
        <f>'Hitung Per Bulan'!G1036</f>
        <v>6119400</v>
      </c>
    </row>
    <row r="1037" spans="1:7" x14ac:dyDescent="0.45">
      <c r="A1037" t="s">
        <v>12</v>
      </c>
      <c r="B1037" t="s">
        <v>38</v>
      </c>
      <c r="C1037" t="s">
        <v>22</v>
      </c>
      <c r="D1037" s="24">
        <v>0</v>
      </c>
      <c r="E1037" s="29" t="str">
        <f>'Hitung Per Bulan'!E1037</f>
        <v/>
      </c>
      <c r="F1037" s="24">
        <v>11287500</v>
      </c>
      <c r="G1037" s="29" t="str">
        <f>'Hitung Per Bulan'!G1037</f>
        <v/>
      </c>
    </row>
    <row r="1038" spans="1:7" x14ac:dyDescent="0.45">
      <c r="A1038" t="s">
        <v>13</v>
      </c>
      <c r="B1038" t="s">
        <v>38</v>
      </c>
      <c r="C1038" t="s">
        <v>22</v>
      </c>
      <c r="D1038" s="24">
        <v>0</v>
      </c>
      <c r="E1038" s="29" t="str">
        <f>'Hitung Per Bulan'!E1038</f>
        <v/>
      </c>
      <c r="F1038" s="24">
        <v>0</v>
      </c>
      <c r="G1038" s="29" t="str">
        <f>'Hitung Per Bulan'!G1038</f>
        <v/>
      </c>
    </row>
    <row r="1039" spans="1:7" x14ac:dyDescent="0.45">
      <c r="A1039" t="s">
        <v>14</v>
      </c>
      <c r="B1039" t="s">
        <v>38</v>
      </c>
      <c r="C1039" t="s">
        <v>22</v>
      </c>
      <c r="D1039" s="24">
        <v>11287500</v>
      </c>
      <c r="E1039" s="29" t="str">
        <f>'Hitung Per Bulan'!E1039</f>
        <v/>
      </c>
      <c r="F1039" s="24">
        <v>0</v>
      </c>
      <c r="G1039" s="29" t="str">
        <f>'Hitung Per Bulan'!G1039</f>
        <v/>
      </c>
    </row>
    <row r="1040" spans="1:7" x14ac:dyDescent="0.45">
      <c r="A1040" t="s">
        <v>15</v>
      </c>
      <c r="B1040" t="s">
        <v>38</v>
      </c>
      <c r="C1040" t="s">
        <v>22</v>
      </c>
      <c r="D1040" s="24">
        <v>0</v>
      </c>
      <c r="E1040" s="29" t="str">
        <f>'Hitung Per Bulan'!E1040</f>
        <v/>
      </c>
      <c r="F1040" s="24">
        <v>11287500</v>
      </c>
      <c r="G1040" s="29" t="str">
        <f>'Hitung Per Bulan'!G1040</f>
        <v/>
      </c>
    </row>
    <row r="1041" spans="1:7" x14ac:dyDescent="0.45">
      <c r="A1041" t="s">
        <v>16</v>
      </c>
      <c r="B1041" t="s">
        <v>38</v>
      </c>
      <c r="C1041" t="s">
        <v>22</v>
      </c>
      <c r="D1041" s="24">
        <v>0</v>
      </c>
      <c r="E1041" s="29" t="str">
        <f>'Hitung Per Bulan'!E1041</f>
        <v/>
      </c>
      <c r="F1041" s="24">
        <v>0</v>
      </c>
      <c r="G1041" s="29" t="str">
        <f>'Hitung Per Bulan'!G1041</f>
        <v/>
      </c>
    </row>
    <row r="1042" spans="1:7" x14ac:dyDescent="0.45">
      <c r="A1042" t="s">
        <v>17</v>
      </c>
      <c r="B1042" t="s">
        <v>38</v>
      </c>
      <c r="C1042" t="s">
        <v>22</v>
      </c>
      <c r="D1042" s="24">
        <v>11287500</v>
      </c>
      <c r="E1042" s="29" t="str">
        <f>'Hitung Per Bulan'!E1042</f>
        <v/>
      </c>
      <c r="F1042" s="24">
        <v>0</v>
      </c>
      <c r="G1042" s="29" t="str">
        <f>'Hitung Per Bulan'!G1042</f>
        <v/>
      </c>
    </row>
    <row r="1043" spans="1:7" x14ac:dyDescent="0.45">
      <c r="A1043" t="s">
        <v>18</v>
      </c>
      <c r="B1043" t="s">
        <v>38</v>
      </c>
      <c r="C1043" t="s">
        <v>22</v>
      </c>
      <c r="D1043" s="24">
        <v>0</v>
      </c>
      <c r="E1043" s="29" t="str">
        <f>'Hitung Per Bulan'!E1043</f>
        <v/>
      </c>
      <c r="F1043" s="24">
        <v>11287500</v>
      </c>
      <c r="G1043" s="29" t="str">
        <f>'Hitung Per Bulan'!G1043</f>
        <v/>
      </c>
    </row>
    <row r="1044" spans="1:7" x14ac:dyDescent="0.45">
      <c r="A1044" t="s">
        <v>19</v>
      </c>
      <c r="B1044" t="s">
        <v>38</v>
      </c>
      <c r="C1044" t="s">
        <v>22</v>
      </c>
      <c r="D1044" s="24">
        <v>0</v>
      </c>
      <c r="E1044" s="29" t="str">
        <f>'Hitung Per Bulan'!E1044</f>
        <v/>
      </c>
      <c r="F1044" s="24">
        <v>0</v>
      </c>
      <c r="G1044" s="29" t="str">
        <f>'Hitung Per Bulan'!G1044</f>
        <v/>
      </c>
    </row>
    <row r="1045" spans="1:7" x14ac:dyDescent="0.45">
      <c r="A1045" t="s">
        <v>20</v>
      </c>
      <c r="B1045" t="s">
        <v>38</v>
      </c>
      <c r="C1045" t="s">
        <v>22</v>
      </c>
      <c r="D1045" s="24">
        <v>11287500</v>
      </c>
      <c r="E1045" s="29" t="str">
        <f>'Hitung Per Bulan'!E1045</f>
        <v/>
      </c>
      <c r="F1045" s="24">
        <v>0</v>
      </c>
      <c r="G1045" s="29" t="str">
        <f>'Hitung Per Bulan'!G1045</f>
        <v/>
      </c>
    </row>
    <row r="1046" spans="1:7" x14ac:dyDescent="0.45">
      <c r="A1046" t="s">
        <v>7</v>
      </c>
      <c r="B1046" t="s">
        <v>38</v>
      </c>
      <c r="C1046" t="s">
        <v>23</v>
      </c>
      <c r="D1046" s="24">
        <v>0</v>
      </c>
      <c r="E1046" s="29">
        <f>'Hitung Per Bulan'!E1046</f>
        <v>0</v>
      </c>
      <c r="F1046" s="24">
        <v>0</v>
      </c>
      <c r="G1046" s="29">
        <f>'Hitung Per Bulan'!G1046</f>
        <v>0</v>
      </c>
    </row>
    <row r="1047" spans="1:7" x14ac:dyDescent="0.45">
      <c r="A1047" t="s">
        <v>10</v>
      </c>
      <c r="B1047" t="s">
        <v>38</v>
      </c>
      <c r="C1047" t="s">
        <v>23</v>
      </c>
      <c r="D1047" s="24">
        <v>15000000</v>
      </c>
      <c r="E1047" s="29">
        <f>'Hitung Per Bulan'!E1047</f>
        <v>9000000</v>
      </c>
      <c r="F1047" s="24">
        <v>0</v>
      </c>
      <c r="G1047" s="29">
        <f>'Hitung Per Bulan'!G1047</f>
        <v>0</v>
      </c>
    </row>
    <row r="1048" spans="1:7" x14ac:dyDescent="0.45">
      <c r="A1048" t="s">
        <v>11</v>
      </c>
      <c r="B1048" t="s">
        <v>38</v>
      </c>
      <c r="C1048" t="s">
        <v>23</v>
      </c>
      <c r="D1048" s="24">
        <v>0</v>
      </c>
      <c r="E1048" s="29">
        <f>'Hitung Per Bulan'!E1048</f>
        <v>0</v>
      </c>
      <c r="F1048" s="24">
        <v>15000000</v>
      </c>
      <c r="G1048" s="29">
        <f>'Hitung Per Bulan'!G1048</f>
        <v>0</v>
      </c>
    </row>
    <row r="1049" spans="1:7" x14ac:dyDescent="0.45">
      <c r="A1049" t="s">
        <v>12</v>
      </c>
      <c r="B1049" t="s">
        <v>38</v>
      </c>
      <c r="C1049" t="s">
        <v>23</v>
      </c>
      <c r="D1049" s="24">
        <v>0</v>
      </c>
      <c r="E1049" s="29" t="str">
        <f>'Hitung Per Bulan'!E1049</f>
        <v/>
      </c>
      <c r="F1049" s="24">
        <v>0</v>
      </c>
      <c r="G1049" s="29" t="str">
        <f>'Hitung Per Bulan'!G1049</f>
        <v/>
      </c>
    </row>
    <row r="1050" spans="1:7" x14ac:dyDescent="0.45">
      <c r="A1050" t="s">
        <v>13</v>
      </c>
      <c r="B1050" t="s">
        <v>38</v>
      </c>
      <c r="C1050" t="s">
        <v>23</v>
      </c>
      <c r="D1050" s="24">
        <v>15000000</v>
      </c>
      <c r="E1050" s="29" t="str">
        <f>'Hitung Per Bulan'!E1050</f>
        <v/>
      </c>
      <c r="F1050" s="24">
        <v>0</v>
      </c>
      <c r="G1050" s="29" t="str">
        <f>'Hitung Per Bulan'!G1050</f>
        <v/>
      </c>
    </row>
    <row r="1051" spans="1:7" x14ac:dyDescent="0.45">
      <c r="A1051" t="s">
        <v>14</v>
      </c>
      <c r="B1051" t="s">
        <v>38</v>
      </c>
      <c r="C1051" t="s">
        <v>23</v>
      </c>
      <c r="D1051" s="24">
        <v>0</v>
      </c>
      <c r="E1051" s="29" t="str">
        <f>'Hitung Per Bulan'!E1051</f>
        <v/>
      </c>
      <c r="F1051" s="24">
        <v>15000000</v>
      </c>
      <c r="G1051" s="29" t="str">
        <f>'Hitung Per Bulan'!G1051</f>
        <v/>
      </c>
    </row>
    <row r="1052" spans="1:7" x14ac:dyDescent="0.45">
      <c r="A1052" t="s">
        <v>15</v>
      </c>
      <c r="B1052" t="s">
        <v>38</v>
      </c>
      <c r="C1052" t="s">
        <v>23</v>
      </c>
      <c r="D1052" s="24">
        <v>0</v>
      </c>
      <c r="E1052" s="29" t="str">
        <f>'Hitung Per Bulan'!E1052</f>
        <v/>
      </c>
      <c r="F1052" s="24">
        <v>0</v>
      </c>
      <c r="G1052" s="29" t="str">
        <f>'Hitung Per Bulan'!G1052</f>
        <v/>
      </c>
    </row>
    <row r="1053" spans="1:7" x14ac:dyDescent="0.45">
      <c r="A1053" t="s">
        <v>16</v>
      </c>
      <c r="B1053" t="s">
        <v>38</v>
      </c>
      <c r="C1053" t="s">
        <v>23</v>
      </c>
      <c r="D1053" s="24">
        <v>15000000</v>
      </c>
      <c r="E1053" s="29" t="str">
        <f>'Hitung Per Bulan'!E1053</f>
        <v/>
      </c>
      <c r="F1053" s="24">
        <v>0</v>
      </c>
      <c r="G1053" s="29" t="str">
        <f>'Hitung Per Bulan'!G1053</f>
        <v/>
      </c>
    </row>
    <row r="1054" spans="1:7" x14ac:dyDescent="0.45">
      <c r="A1054" t="s">
        <v>17</v>
      </c>
      <c r="B1054" t="s">
        <v>38</v>
      </c>
      <c r="C1054" t="s">
        <v>23</v>
      </c>
      <c r="D1054" s="24">
        <v>0</v>
      </c>
      <c r="E1054" s="29" t="str">
        <f>'Hitung Per Bulan'!E1054</f>
        <v/>
      </c>
      <c r="F1054" s="24">
        <v>15000000</v>
      </c>
      <c r="G1054" s="29" t="str">
        <f>'Hitung Per Bulan'!G1054</f>
        <v/>
      </c>
    </row>
    <row r="1055" spans="1:7" x14ac:dyDescent="0.45">
      <c r="A1055" t="s">
        <v>18</v>
      </c>
      <c r="B1055" t="s">
        <v>38</v>
      </c>
      <c r="C1055" t="s">
        <v>23</v>
      </c>
      <c r="D1055" s="24">
        <v>0</v>
      </c>
      <c r="E1055" s="29" t="str">
        <f>'Hitung Per Bulan'!E1055</f>
        <v/>
      </c>
      <c r="F1055" s="24">
        <v>0</v>
      </c>
      <c r="G1055" s="29" t="str">
        <f>'Hitung Per Bulan'!G1055</f>
        <v/>
      </c>
    </row>
    <row r="1056" spans="1:7" x14ac:dyDescent="0.45">
      <c r="A1056" t="s">
        <v>19</v>
      </c>
      <c r="B1056" t="s">
        <v>38</v>
      </c>
      <c r="C1056" t="s">
        <v>23</v>
      </c>
      <c r="D1056" s="24">
        <v>15000000</v>
      </c>
      <c r="E1056" s="29" t="str">
        <f>'Hitung Per Bulan'!E1056</f>
        <v/>
      </c>
      <c r="F1056" s="24">
        <v>0</v>
      </c>
      <c r="G1056" s="29" t="str">
        <f>'Hitung Per Bulan'!G1056</f>
        <v/>
      </c>
    </row>
    <row r="1057" spans="1:7" x14ac:dyDescent="0.45">
      <c r="A1057" t="s">
        <v>20</v>
      </c>
      <c r="B1057" t="s">
        <v>38</v>
      </c>
      <c r="C1057" t="s">
        <v>23</v>
      </c>
      <c r="D1057" s="24">
        <v>0</v>
      </c>
      <c r="E1057" s="29" t="str">
        <f>'Hitung Per Bulan'!E1057</f>
        <v/>
      </c>
      <c r="F1057" s="24">
        <v>15000000</v>
      </c>
      <c r="G1057" s="29" t="str">
        <f>'Hitung Per Bulan'!G1057</f>
        <v/>
      </c>
    </row>
    <row r="1058" spans="1:7" x14ac:dyDescent="0.45">
      <c r="A1058" t="s">
        <v>7</v>
      </c>
      <c r="B1058" t="s">
        <v>38</v>
      </c>
      <c r="C1058" t="s">
        <v>24</v>
      </c>
      <c r="D1058" s="24">
        <v>0</v>
      </c>
      <c r="E1058" s="29">
        <f>'Hitung Per Bulan'!E1058</f>
        <v>0</v>
      </c>
      <c r="F1058" s="24">
        <v>0</v>
      </c>
      <c r="G1058" s="29">
        <f>'Hitung Per Bulan'!G1058</f>
        <v>0</v>
      </c>
    </row>
    <row r="1059" spans="1:7" x14ac:dyDescent="0.45">
      <c r="A1059" t="s">
        <v>10</v>
      </c>
      <c r="B1059" t="s">
        <v>38</v>
      </c>
      <c r="C1059" t="s">
        <v>24</v>
      </c>
      <c r="D1059" s="24">
        <v>0</v>
      </c>
      <c r="E1059" s="29">
        <f>'Hitung Per Bulan'!E1059</f>
        <v>0</v>
      </c>
      <c r="F1059" s="24">
        <v>0</v>
      </c>
      <c r="G1059" s="29">
        <f>'Hitung Per Bulan'!G1059</f>
        <v>0</v>
      </c>
    </row>
    <row r="1060" spans="1:7" x14ac:dyDescent="0.45">
      <c r="A1060" t="s">
        <v>11</v>
      </c>
      <c r="B1060" t="s">
        <v>38</v>
      </c>
      <c r="C1060" t="s">
        <v>24</v>
      </c>
      <c r="D1060" s="24">
        <v>0</v>
      </c>
      <c r="E1060" s="29">
        <f>'Hitung Per Bulan'!E1060</f>
        <v>0</v>
      </c>
      <c r="F1060" s="24">
        <v>0</v>
      </c>
      <c r="G1060" s="29">
        <f>'Hitung Per Bulan'!G1060</f>
        <v>0</v>
      </c>
    </row>
    <row r="1061" spans="1:7" x14ac:dyDescent="0.45">
      <c r="A1061" t="s">
        <v>12</v>
      </c>
      <c r="B1061" t="s">
        <v>38</v>
      </c>
      <c r="C1061" t="s">
        <v>24</v>
      </c>
      <c r="D1061" s="24">
        <v>0</v>
      </c>
      <c r="E1061" s="29" t="str">
        <f>'Hitung Per Bulan'!E1061</f>
        <v/>
      </c>
      <c r="F1061" s="24">
        <v>0</v>
      </c>
      <c r="G1061" s="29" t="str">
        <f>'Hitung Per Bulan'!G1061</f>
        <v/>
      </c>
    </row>
    <row r="1062" spans="1:7" x14ac:dyDescent="0.45">
      <c r="A1062" t="s">
        <v>13</v>
      </c>
      <c r="B1062" t="s">
        <v>38</v>
      </c>
      <c r="C1062" t="s">
        <v>24</v>
      </c>
      <c r="D1062" s="24">
        <v>0</v>
      </c>
      <c r="E1062" s="29" t="str">
        <f>'Hitung Per Bulan'!E1062</f>
        <v/>
      </c>
      <c r="F1062" s="24">
        <v>0</v>
      </c>
      <c r="G1062" s="29" t="str">
        <f>'Hitung Per Bulan'!G1062</f>
        <v/>
      </c>
    </row>
    <row r="1063" spans="1:7" x14ac:dyDescent="0.45">
      <c r="A1063" t="s">
        <v>14</v>
      </c>
      <c r="B1063" t="s">
        <v>38</v>
      </c>
      <c r="C1063" t="s">
        <v>24</v>
      </c>
      <c r="D1063" s="24">
        <v>0</v>
      </c>
      <c r="E1063" s="29" t="str">
        <f>'Hitung Per Bulan'!E1063</f>
        <v/>
      </c>
      <c r="F1063" s="24">
        <v>0</v>
      </c>
      <c r="G1063" s="29" t="str">
        <f>'Hitung Per Bulan'!G1063</f>
        <v/>
      </c>
    </row>
    <row r="1064" spans="1:7" x14ac:dyDescent="0.45">
      <c r="A1064" t="s">
        <v>15</v>
      </c>
      <c r="B1064" t="s">
        <v>38</v>
      </c>
      <c r="C1064" t="s">
        <v>24</v>
      </c>
      <c r="D1064" s="24">
        <v>0</v>
      </c>
      <c r="E1064" s="29" t="str">
        <f>'Hitung Per Bulan'!E1064</f>
        <v/>
      </c>
      <c r="F1064" s="24">
        <v>0</v>
      </c>
      <c r="G1064" s="29" t="str">
        <f>'Hitung Per Bulan'!G1064</f>
        <v/>
      </c>
    </row>
    <row r="1065" spans="1:7" x14ac:dyDescent="0.45">
      <c r="A1065" t="s">
        <v>16</v>
      </c>
      <c r="B1065" t="s">
        <v>38</v>
      </c>
      <c r="C1065" t="s">
        <v>24</v>
      </c>
      <c r="D1065" s="24">
        <v>0</v>
      </c>
      <c r="E1065" s="29" t="str">
        <f>'Hitung Per Bulan'!E1065</f>
        <v/>
      </c>
      <c r="F1065" s="24">
        <v>0</v>
      </c>
      <c r="G1065" s="29" t="str">
        <f>'Hitung Per Bulan'!G1065</f>
        <v/>
      </c>
    </row>
    <row r="1066" spans="1:7" x14ac:dyDescent="0.45">
      <c r="A1066" t="s">
        <v>17</v>
      </c>
      <c r="B1066" t="s">
        <v>38</v>
      </c>
      <c r="C1066" t="s">
        <v>24</v>
      </c>
      <c r="D1066" s="24">
        <v>0</v>
      </c>
      <c r="E1066" s="29" t="str">
        <f>'Hitung Per Bulan'!E1066</f>
        <v/>
      </c>
      <c r="F1066" s="24">
        <v>0</v>
      </c>
      <c r="G1066" s="29" t="str">
        <f>'Hitung Per Bulan'!G1066</f>
        <v/>
      </c>
    </row>
    <row r="1067" spans="1:7" x14ac:dyDescent="0.45">
      <c r="A1067" t="s">
        <v>18</v>
      </c>
      <c r="B1067" t="s">
        <v>38</v>
      </c>
      <c r="C1067" t="s">
        <v>24</v>
      </c>
      <c r="D1067" s="24">
        <v>0</v>
      </c>
      <c r="E1067" s="29" t="str">
        <f>'Hitung Per Bulan'!E1067</f>
        <v/>
      </c>
      <c r="F1067" s="24">
        <v>0</v>
      </c>
      <c r="G1067" s="29" t="str">
        <f>'Hitung Per Bulan'!G1067</f>
        <v/>
      </c>
    </row>
    <row r="1068" spans="1:7" x14ac:dyDescent="0.45">
      <c r="A1068" t="s">
        <v>19</v>
      </c>
      <c r="B1068" t="s">
        <v>38</v>
      </c>
      <c r="C1068" t="s">
        <v>24</v>
      </c>
      <c r="D1068" s="24">
        <v>0</v>
      </c>
      <c r="E1068" s="29" t="str">
        <f>'Hitung Per Bulan'!E1068</f>
        <v/>
      </c>
      <c r="F1068" s="24">
        <v>0</v>
      </c>
      <c r="G1068" s="29" t="str">
        <f>'Hitung Per Bulan'!G1068</f>
        <v/>
      </c>
    </row>
    <row r="1069" spans="1:7" x14ac:dyDescent="0.45">
      <c r="A1069" t="s">
        <v>20</v>
      </c>
      <c r="B1069" t="s">
        <v>38</v>
      </c>
      <c r="C1069" t="s">
        <v>24</v>
      </c>
      <c r="D1069" s="24">
        <v>0</v>
      </c>
      <c r="E1069" s="29" t="str">
        <f>'Hitung Per Bulan'!E1069</f>
        <v/>
      </c>
      <c r="F1069" s="24">
        <v>0</v>
      </c>
      <c r="G1069" s="29" t="str">
        <f>'Hitung Per Bulan'!G1069</f>
        <v/>
      </c>
    </row>
    <row r="1070" spans="1:7" x14ac:dyDescent="0.45">
      <c r="A1070" t="s">
        <v>7</v>
      </c>
      <c r="B1070" t="s">
        <v>38</v>
      </c>
      <c r="C1070" t="s">
        <v>25</v>
      </c>
      <c r="D1070" s="24">
        <v>11870000</v>
      </c>
      <c r="E1070" s="29">
        <f>'Hitung Per Bulan'!E1070</f>
        <v>3485900</v>
      </c>
      <c r="F1070" s="24">
        <v>11870000</v>
      </c>
      <c r="G1070" s="29">
        <f>'Hitung Per Bulan'!G1070</f>
        <v>2487500</v>
      </c>
    </row>
    <row r="1071" spans="1:7" x14ac:dyDescent="0.45">
      <c r="A1071" t="s">
        <v>10</v>
      </c>
      <c r="B1071" t="s">
        <v>38</v>
      </c>
      <c r="C1071" t="s">
        <v>25</v>
      </c>
      <c r="D1071" s="24">
        <v>17925000</v>
      </c>
      <c r="E1071" s="29">
        <f>'Hitung Per Bulan'!E1071</f>
        <v>3123150</v>
      </c>
      <c r="F1071" s="24">
        <v>16425000</v>
      </c>
      <c r="G1071" s="29">
        <f>'Hitung Per Bulan'!G1071</f>
        <v>3117150</v>
      </c>
    </row>
    <row r="1072" spans="1:7" x14ac:dyDescent="0.45">
      <c r="A1072" t="s">
        <v>11</v>
      </c>
      <c r="B1072" t="s">
        <v>38</v>
      </c>
      <c r="C1072" t="s">
        <v>25</v>
      </c>
      <c r="D1072" s="24">
        <v>14870000</v>
      </c>
      <c r="E1072" s="29">
        <f>'Hitung Per Bulan'!E1072</f>
        <v>2658300</v>
      </c>
      <c r="F1072" s="24">
        <v>16370000</v>
      </c>
      <c r="G1072" s="29">
        <f>'Hitung Per Bulan'!G1072</f>
        <v>0</v>
      </c>
    </row>
    <row r="1073" spans="1:7" x14ac:dyDescent="0.45">
      <c r="A1073" t="s">
        <v>12</v>
      </c>
      <c r="B1073" t="s">
        <v>38</v>
      </c>
      <c r="C1073" t="s">
        <v>25</v>
      </c>
      <c r="D1073" s="24">
        <v>11870000</v>
      </c>
      <c r="E1073" s="29" t="str">
        <f>'Hitung Per Bulan'!E1073</f>
        <v/>
      </c>
      <c r="F1073" s="24">
        <v>11870000</v>
      </c>
      <c r="G1073" s="29" t="str">
        <f>'Hitung Per Bulan'!G1073</f>
        <v/>
      </c>
    </row>
    <row r="1074" spans="1:7" x14ac:dyDescent="0.45">
      <c r="A1074" t="s">
        <v>13</v>
      </c>
      <c r="B1074" t="s">
        <v>38</v>
      </c>
      <c r="C1074" t="s">
        <v>25</v>
      </c>
      <c r="D1074" s="24">
        <v>85925000</v>
      </c>
      <c r="E1074" s="29" t="str">
        <f>'Hitung Per Bulan'!E1074</f>
        <v/>
      </c>
      <c r="F1074" s="24">
        <v>16425000</v>
      </c>
      <c r="G1074" s="29" t="str">
        <f>'Hitung Per Bulan'!G1074</f>
        <v/>
      </c>
    </row>
    <row r="1075" spans="1:7" x14ac:dyDescent="0.45">
      <c r="A1075" t="s">
        <v>14</v>
      </c>
      <c r="B1075" t="s">
        <v>38</v>
      </c>
      <c r="C1075" t="s">
        <v>25</v>
      </c>
      <c r="D1075" s="24">
        <v>85870000</v>
      </c>
      <c r="E1075" s="29" t="str">
        <f>'Hitung Per Bulan'!E1075</f>
        <v/>
      </c>
      <c r="F1075" s="24">
        <v>101370000</v>
      </c>
      <c r="G1075" s="29" t="str">
        <f>'Hitung Per Bulan'!G1075</f>
        <v/>
      </c>
    </row>
    <row r="1076" spans="1:7" x14ac:dyDescent="0.45">
      <c r="A1076" t="s">
        <v>15</v>
      </c>
      <c r="B1076" t="s">
        <v>38</v>
      </c>
      <c r="C1076" t="s">
        <v>25</v>
      </c>
      <c r="D1076" s="24">
        <v>66870000</v>
      </c>
      <c r="E1076" s="29" t="str">
        <f>'Hitung Per Bulan'!E1076</f>
        <v/>
      </c>
      <c r="F1076" s="24">
        <v>65870000</v>
      </c>
      <c r="G1076" s="29" t="str">
        <f>'Hitung Per Bulan'!G1076</f>
        <v/>
      </c>
    </row>
    <row r="1077" spans="1:7" x14ac:dyDescent="0.45">
      <c r="A1077" t="s">
        <v>16</v>
      </c>
      <c r="B1077" t="s">
        <v>38</v>
      </c>
      <c r="C1077" t="s">
        <v>25</v>
      </c>
      <c r="D1077" s="24">
        <v>17925000</v>
      </c>
      <c r="E1077" s="29" t="str">
        <f>'Hitung Per Bulan'!E1077</f>
        <v/>
      </c>
      <c r="F1077" s="24">
        <v>71425000</v>
      </c>
      <c r="G1077" s="29" t="str">
        <f>'Hitung Per Bulan'!G1077</f>
        <v/>
      </c>
    </row>
    <row r="1078" spans="1:7" x14ac:dyDescent="0.45">
      <c r="A1078" t="s">
        <v>17</v>
      </c>
      <c r="B1078" t="s">
        <v>38</v>
      </c>
      <c r="C1078" t="s">
        <v>25</v>
      </c>
      <c r="D1078" s="24">
        <v>14870000</v>
      </c>
      <c r="E1078" s="29" t="str">
        <f>'Hitung Per Bulan'!E1078</f>
        <v/>
      </c>
      <c r="F1078" s="24">
        <v>16370000</v>
      </c>
      <c r="G1078" s="29" t="str">
        <f>'Hitung Per Bulan'!G1078</f>
        <v/>
      </c>
    </row>
    <row r="1079" spans="1:7" x14ac:dyDescent="0.45">
      <c r="A1079" t="s">
        <v>18</v>
      </c>
      <c r="B1079" t="s">
        <v>38</v>
      </c>
      <c r="C1079" t="s">
        <v>25</v>
      </c>
      <c r="D1079" s="24">
        <v>11870000</v>
      </c>
      <c r="E1079" s="29" t="str">
        <f>'Hitung Per Bulan'!E1079</f>
        <v/>
      </c>
      <c r="F1079" s="24">
        <v>11870000</v>
      </c>
      <c r="G1079" s="29" t="str">
        <f>'Hitung Per Bulan'!G1079</f>
        <v/>
      </c>
    </row>
    <row r="1080" spans="1:7" x14ac:dyDescent="0.45">
      <c r="A1080" t="s">
        <v>19</v>
      </c>
      <c r="B1080" t="s">
        <v>38</v>
      </c>
      <c r="C1080" t="s">
        <v>25</v>
      </c>
      <c r="D1080" s="24">
        <v>17925000</v>
      </c>
      <c r="E1080" s="29" t="str">
        <f>'Hitung Per Bulan'!E1080</f>
        <v/>
      </c>
      <c r="F1080" s="24">
        <v>16425000</v>
      </c>
      <c r="G1080" s="29" t="str">
        <f>'Hitung Per Bulan'!G1080</f>
        <v/>
      </c>
    </row>
    <row r="1081" spans="1:7" x14ac:dyDescent="0.45">
      <c r="A1081" t="s">
        <v>20</v>
      </c>
      <c r="B1081" t="s">
        <v>38</v>
      </c>
      <c r="C1081" t="s">
        <v>25</v>
      </c>
      <c r="D1081" s="24">
        <v>14870000</v>
      </c>
      <c r="E1081" s="29" t="str">
        <f>'Hitung Per Bulan'!E1081</f>
        <v/>
      </c>
      <c r="F1081" s="24">
        <v>16370000</v>
      </c>
      <c r="G1081" s="29" t="str">
        <f>'Hitung Per Bulan'!G1081</f>
        <v/>
      </c>
    </row>
    <row r="1082" spans="1:7" x14ac:dyDescent="0.45">
      <c r="A1082" t="s">
        <v>7</v>
      </c>
      <c r="B1082" t="s">
        <v>38</v>
      </c>
      <c r="C1082" t="s">
        <v>26</v>
      </c>
      <c r="D1082" s="24">
        <v>0</v>
      </c>
      <c r="E1082" s="29">
        <f>'Hitung Per Bulan'!E1082</f>
        <v>0</v>
      </c>
      <c r="F1082" s="24">
        <v>0</v>
      </c>
      <c r="G1082" s="29">
        <f>'Hitung Per Bulan'!G1082</f>
        <v>0</v>
      </c>
    </row>
    <row r="1083" spans="1:7" x14ac:dyDescent="0.45">
      <c r="A1083" t="s">
        <v>10</v>
      </c>
      <c r="B1083" t="s">
        <v>38</v>
      </c>
      <c r="C1083" t="s">
        <v>26</v>
      </c>
      <c r="D1083" s="24">
        <v>0</v>
      </c>
      <c r="E1083" s="29">
        <f>'Hitung Per Bulan'!E1083</f>
        <v>0</v>
      </c>
      <c r="F1083" s="24">
        <v>0</v>
      </c>
      <c r="G1083" s="29">
        <f>'Hitung Per Bulan'!G1083</f>
        <v>0</v>
      </c>
    </row>
    <row r="1084" spans="1:7" x14ac:dyDescent="0.45">
      <c r="A1084" t="s">
        <v>11</v>
      </c>
      <c r="B1084" t="s">
        <v>38</v>
      </c>
      <c r="C1084" t="s">
        <v>26</v>
      </c>
      <c r="D1084" s="24">
        <v>0</v>
      </c>
      <c r="E1084" s="29">
        <f>'Hitung Per Bulan'!E1084</f>
        <v>0</v>
      </c>
      <c r="F1084" s="24">
        <v>0</v>
      </c>
      <c r="G1084" s="29">
        <f>'Hitung Per Bulan'!G1084</f>
        <v>0</v>
      </c>
    </row>
    <row r="1085" spans="1:7" x14ac:dyDescent="0.45">
      <c r="A1085" t="s">
        <v>12</v>
      </c>
      <c r="B1085" t="s">
        <v>38</v>
      </c>
      <c r="C1085" t="s">
        <v>26</v>
      </c>
      <c r="D1085" s="24">
        <v>0</v>
      </c>
      <c r="E1085" s="29" t="str">
        <f>'Hitung Per Bulan'!E1085</f>
        <v/>
      </c>
      <c r="F1085" s="24">
        <v>0</v>
      </c>
      <c r="G1085" s="29" t="str">
        <f>'Hitung Per Bulan'!G1085</f>
        <v/>
      </c>
    </row>
    <row r="1086" spans="1:7" x14ac:dyDescent="0.45">
      <c r="A1086" t="s">
        <v>13</v>
      </c>
      <c r="B1086" t="s">
        <v>38</v>
      </c>
      <c r="C1086" t="s">
        <v>26</v>
      </c>
      <c r="D1086" s="24">
        <v>0</v>
      </c>
      <c r="E1086" s="29" t="str">
        <f>'Hitung Per Bulan'!E1086</f>
        <v/>
      </c>
      <c r="F1086" s="24">
        <v>0</v>
      </c>
      <c r="G1086" s="29" t="str">
        <f>'Hitung Per Bulan'!G1086</f>
        <v/>
      </c>
    </row>
    <row r="1087" spans="1:7" x14ac:dyDescent="0.45">
      <c r="A1087" t="s">
        <v>14</v>
      </c>
      <c r="B1087" t="s">
        <v>38</v>
      </c>
      <c r="C1087" t="s">
        <v>26</v>
      </c>
      <c r="D1087" s="24">
        <v>0</v>
      </c>
      <c r="E1087" s="29" t="str">
        <f>'Hitung Per Bulan'!E1087</f>
        <v/>
      </c>
      <c r="F1087" s="24">
        <v>0</v>
      </c>
      <c r="G1087" s="29" t="str">
        <f>'Hitung Per Bulan'!G1087</f>
        <v/>
      </c>
    </row>
    <row r="1088" spans="1:7" x14ac:dyDescent="0.45">
      <c r="A1088" t="s">
        <v>15</v>
      </c>
      <c r="B1088" t="s">
        <v>38</v>
      </c>
      <c r="C1088" t="s">
        <v>26</v>
      </c>
      <c r="D1088" s="24">
        <v>0</v>
      </c>
      <c r="E1088" s="29" t="str">
        <f>'Hitung Per Bulan'!E1088</f>
        <v/>
      </c>
      <c r="F1088" s="24">
        <v>0</v>
      </c>
      <c r="G1088" s="29" t="str">
        <f>'Hitung Per Bulan'!G1088</f>
        <v/>
      </c>
    </row>
    <row r="1089" spans="1:7" x14ac:dyDescent="0.45">
      <c r="A1089" t="s">
        <v>16</v>
      </c>
      <c r="B1089" t="s">
        <v>38</v>
      </c>
      <c r="C1089" t="s">
        <v>26</v>
      </c>
      <c r="D1089" s="24">
        <v>0</v>
      </c>
      <c r="E1089" s="29" t="str">
        <f>'Hitung Per Bulan'!E1089</f>
        <v/>
      </c>
      <c r="F1089" s="24">
        <v>0</v>
      </c>
      <c r="G1089" s="29" t="str">
        <f>'Hitung Per Bulan'!G1089</f>
        <v/>
      </c>
    </row>
    <row r="1090" spans="1:7" x14ac:dyDescent="0.45">
      <c r="A1090" t="s">
        <v>17</v>
      </c>
      <c r="B1090" t="s">
        <v>38</v>
      </c>
      <c r="C1090" t="s">
        <v>26</v>
      </c>
      <c r="D1090" s="24">
        <v>0</v>
      </c>
      <c r="E1090" s="29" t="str">
        <f>'Hitung Per Bulan'!E1090</f>
        <v/>
      </c>
      <c r="F1090" s="24">
        <v>0</v>
      </c>
      <c r="G1090" s="29" t="str">
        <f>'Hitung Per Bulan'!G1090</f>
        <v/>
      </c>
    </row>
    <row r="1091" spans="1:7" x14ac:dyDescent="0.45">
      <c r="A1091" t="s">
        <v>18</v>
      </c>
      <c r="B1091" t="s">
        <v>38</v>
      </c>
      <c r="C1091" t="s">
        <v>26</v>
      </c>
      <c r="D1091" s="24">
        <v>0</v>
      </c>
      <c r="E1091" s="29" t="str">
        <f>'Hitung Per Bulan'!E1091</f>
        <v/>
      </c>
      <c r="F1091" s="24">
        <v>0</v>
      </c>
      <c r="G1091" s="29" t="str">
        <f>'Hitung Per Bulan'!G1091</f>
        <v/>
      </c>
    </row>
    <row r="1092" spans="1:7" x14ac:dyDescent="0.45">
      <c r="A1092" t="s">
        <v>19</v>
      </c>
      <c r="B1092" t="s">
        <v>38</v>
      </c>
      <c r="C1092" t="s">
        <v>26</v>
      </c>
      <c r="D1092" s="24">
        <v>0</v>
      </c>
      <c r="E1092" s="29" t="str">
        <f>'Hitung Per Bulan'!E1092</f>
        <v/>
      </c>
      <c r="F1092" s="24">
        <v>0</v>
      </c>
      <c r="G1092" s="29" t="str">
        <f>'Hitung Per Bulan'!G1092</f>
        <v/>
      </c>
    </row>
    <row r="1093" spans="1:7" x14ac:dyDescent="0.45">
      <c r="A1093" t="s">
        <v>20</v>
      </c>
      <c r="B1093" t="s">
        <v>38</v>
      </c>
      <c r="C1093" t="s">
        <v>26</v>
      </c>
      <c r="D1093" s="24">
        <v>0</v>
      </c>
      <c r="E1093" s="29" t="str">
        <f>'Hitung Per Bulan'!E1093</f>
        <v/>
      </c>
      <c r="F1093" s="24">
        <v>0</v>
      </c>
      <c r="G1093" s="29" t="str">
        <f>'Hitung Per Bulan'!G1093</f>
        <v/>
      </c>
    </row>
    <row r="1094" spans="1:7" x14ac:dyDescent="0.45">
      <c r="A1094" t="s">
        <v>7</v>
      </c>
      <c r="B1094" t="s">
        <v>39</v>
      </c>
      <c r="C1094" t="s">
        <v>9</v>
      </c>
      <c r="D1094" s="24">
        <v>0</v>
      </c>
      <c r="E1094" s="29">
        <f>'Hitung Per Bulan'!E1094</f>
        <v>0</v>
      </c>
      <c r="F1094" s="24">
        <v>0</v>
      </c>
      <c r="G1094" s="29">
        <f>'Hitung Per Bulan'!G1094</f>
        <v>0</v>
      </c>
    </row>
    <row r="1095" spans="1:7" x14ac:dyDescent="0.45">
      <c r="A1095" t="s">
        <v>10</v>
      </c>
      <c r="B1095" t="s">
        <v>39</v>
      </c>
      <c r="C1095" t="s">
        <v>9</v>
      </c>
      <c r="D1095" s="24">
        <v>0</v>
      </c>
      <c r="E1095" s="29">
        <f>'Hitung Per Bulan'!E1095</f>
        <v>0</v>
      </c>
      <c r="F1095" s="24">
        <v>0</v>
      </c>
      <c r="G1095" s="29">
        <f>'Hitung Per Bulan'!G1095</f>
        <v>0</v>
      </c>
    </row>
    <row r="1096" spans="1:7" x14ac:dyDescent="0.45">
      <c r="A1096" t="s">
        <v>11</v>
      </c>
      <c r="B1096" t="s">
        <v>39</v>
      </c>
      <c r="C1096" t="s">
        <v>9</v>
      </c>
      <c r="D1096" s="24">
        <v>0</v>
      </c>
      <c r="E1096" s="29">
        <f>'Hitung Per Bulan'!E1096</f>
        <v>0</v>
      </c>
      <c r="F1096" s="24">
        <v>0</v>
      </c>
      <c r="G1096" s="29">
        <f>'Hitung Per Bulan'!G1096</f>
        <v>0</v>
      </c>
    </row>
    <row r="1097" spans="1:7" x14ac:dyDescent="0.45">
      <c r="A1097" t="s">
        <v>12</v>
      </c>
      <c r="B1097" t="s">
        <v>39</v>
      </c>
      <c r="C1097" t="s">
        <v>9</v>
      </c>
      <c r="D1097" s="24">
        <v>0</v>
      </c>
      <c r="E1097" s="29" t="str">
        <f>'Hitung Per Bulan'!E1097</f>
        <v/>
      </c>
      <c r="F1097" s="24">
        <v>0</v>
      </c>
      <c r="G1097" s="29" t="str">
        <f>'Hitung Per Bulan'!G1097</f>
        <v/>
      </c>
    </row>
    <row r="1098" spans="1:7" x14ac:dyDescent="0.45">
      <c r="A1098" t="s">
        <v>13</v>
      </c>
      <c r="B1098" t="s">
        <v>39</v>
      </c>
      <c r="C1098" t="s">
        <v>9</v>
      </c>
      <c r="D1098" s="24">
        <v>0</v>
      </c>
      <c r="E1098" s="29" t="str">
        <f>'Hitung Per Bulan'!E1098</f>
        <v/>
      </c>
      <c r="F1098" s="24">
        <v>0</v>
      </c>
      <c r="G1098" s="29" t="str">
        <f>'Hitung Per Bulan'!G1098</f>
        <v/>
      </c>
    </row>
    <row r="1099" spans="1:7" x14ac:dyDescent="0.45">
      <c r="A1099" t="s">
        <v>14</v>
      </c>
      <c r="B1099" t="s">
        <v>39</v>
      </c>
      <c r="C1099" t="s">
        <v>9</v>
      </c>
      <c r="D1099" s="24">
        <v>0</v>
      </c>
      <c r="E1099" s="29" t="str">
        <f>'Hitung Per Bulan'!E1099</f>
        <v/>
      </c>
      <c r="F1099" s="24">
        <v>0</v>
      </c>
      <c r="G1099" s="29" t="str">
        <f>'Hitung Per Bulan'!G1099</f>
        <v/>
      </c>
    </row>
    <row r="1100" spans="1:7" x14ac:dyDescent="0.45">
      <c r="A1100" t="s">
        <v>15</v>
      </c>
      <c r="B1100" t="s">
        <v>39</v>
      </c>
      <c r="C1100" t="s">
        <v>9</v>
      </c>
      <c r="D1100" s="24">
        <v>0</v>
      </c>
      <c r="E1100" s="29" t="str">
        <f>'Hitung Per Bulan'!E1100</f>
        <v/>
      </c>
      <c r="F1100" s="24">
        <v>0</v>
      </c>
      <c r="G1100" s="29" t="str">
        <f>'Hitung Per Bulan'!G1100</f>
        <v/>
      </c>
    </row>
    <row r="1101" spans="1:7" x14ac:dyDescent="0.45">
      <c r="A1101" t="s">
        <v>16</v>
      </c>
      <c r="B1101" t="s">
        <v>39</v>
      </c>
      <c r="C1101" t="s">
        <v>9</v>
      </c>
      <c r="D1101" s="24">
        <v>0</v>
      </c>
      <c r="E1101" s="29" t="str">
        <f>'Hitung Per Bulan'!E1101</f>
        <v/>
      </c>
      <c r="F1101" s="24">
        <v>0</v>
      </c>
      <c r="G1101" s="29" t="str">
        <f>'Hitung Per Bulan'!G1101</f>
        <v/>
      </c>
    </row>
    <row r="1102" spans="1:7" x14ac:dyDescent="0.45">
      <c r="A1102" t="s">
        <v>17</v>
      </c>
      <c r="B1102" t="s">
        <v>39</v>
      </c>
      <c r="C1102" t="s">
        <v>9</v>
      </c>
      <c r="D1102" s="24">
        <v>0</v>
      </c>
      <c r="E1102" s="29" t="str">
        <f>'Hitung Per Bulan'!E1102</f>
        <v/>
      </c>
      <c r="F1102" s="24">
        <v>0</v>
      </c>
      <c r="G1102" s="29" t="str">
        <f>'Hitung Per Bulan'!G1102</f>
        <v/>
      </c>
    </row>
    <row r="1103" spans="1:7" x14ac:dyDescent="0.45">
      <c r="A1103" t="s">
        <v>18</v>
      </c>
      <c r="B1103" t="s">
        <v>39</v>
      </c>
      <c r="C1103" t="s">
        <v>9</v>
      </c>
      <c r="D1103" s="24">
        <v>0</v>
      </c>
      <c r="E1103" s="29" t="str">
        <f>'Hitung Per Bulan'!E1103</f>
        <v/>
      </c>
      <c r="F1103" s="24">
        <v>0</v>
      </c>
      <c r="G1103" s="29" t="str">
        <f>'Hitung Per Bulan'!G1103</f>
        <v/>
      </c>
    </row>
    <row r="1104" spans="1:7" x14ac:dyDescent="0.45">
      <c r="A1104" t="s">
        <v>19</v>
      </c>
      <c r="B1104" t="s">
        <v>39</v>
      </c>
      <c r="C1104" t="s">
        <v>9</v>
      </c>
      <c r="D1104" s="24">
        <v>0</v>
      </c>
      <c r="E1104" s="29" t="str">
        <f>'Hitung Per Bulan'!E1104</f>
        <v/>
      </c>
      <c r="F1104" s="24">
        <v>0</v>
      </c>
      <c r="G1104" s="29" t="str">
        <f>'Hitung Per Bulan'!G1104</f>
        <v/>
      </c>
    </row>
    <row r="1105" spans="1:7" x14ac:dyDescent="0.45">
      <c r="A1105" t="s">
        <v>20</v>
      </c>
      <c r="B1105" t="s">
        <v>39</v>
      </c>
      <c r="C1105" t="s">
        <v>9</v>
      </c>
      <c r="D1105" s="24">
        <v>0</v>
      </c>
      <c r="E1105" s="29" t="str">
        <f>'Hitung Per Bulan'!E1105</f>
        <v/>
      </c>
      <c r="F1105" s="24">
        <v>0</v>
      </c>
      <c r="G1105" s="29" t="str">
        <f>'Hitung Per Bulan'!G1105</f>
        <v/>
      </c>
    </row>
    <row r="1106" spans="1:7" x14ac:dyDescent="0.45">
      <c r="A1106" t="s">
        <v>7</v>
      </c>
      <c r="B1106" t="s">
        <v>39</v>
      </c>
      <c r="C1106" t="s">
        <v>21</v>
      </c>
      <c r="D1106" s="24">
        <v>781668000</v>
      </c>
      <c r="E1106" s="29">
        <f>'Hitung Per Bulan'!E1106</f>
        <v>4033286500</v>
      </c>
      <c r="F1106" s="24">
        <v>0</v>
      </c>
      <c r="G1106" s="29">
        <f>'Hitung Per Bulan'!G1106</f>
        <v>0</v>
      </c>
    </row>
    <row r="1107" spans="1:7" x14ac:dyDescent="0.45">
      <c r="A1107" t="s">
        <v>10</v>
      </c>
      <c r="B1107" t="s">
        <v>39</v>
      </c>
      <c r="C1107" t="s">
        <v>21</v>
      </c>
      <c r="D1107" s="24">
        <v>660000000</v>
      </c>
      <c r="E1107" s="29">
        <f>'Hitung Per Bulan'!E1107</f>
        <v>4210736952</v>
      </c>
      <c r="F1107" s="24">
        <v>80000000</v>
      </c>
      <c r="G1107" s="29">
        <f>'Hitung Per Bulan'!G1107</f>
        <v>96556000</v>
      </c>
    </row>
    <row r="1108" spans="1:7" x14ac:dyDescent="0.45">
      <c r="A1108" t="s">
        <v>11</v>
      </c>
      <c r="B1108" t="s">
        <v>39</v>
      </c>
      <c r="C1108" t="s">
        <v>21</v>
      </c>
      <c r="D1108" s="24">
        <v>997950000</v>
      </c>
      <c r="E1108" s="29">
        <f>'Hitung Per Bulan'!E1108</f>
        <v>271010715</v>
      </c>
      <c r="F1108" s="24">
        <v>90000000</v>
      </c>
      <c r="G1108" s="29">
        <f>'Hitung Per Bulan'!G1108</f>
        <v>104836248</v>
      </c>
    </row>
    <row r="1109" spans="1:7" x14ac:dyDescent="0.45">
      <c r="A1109" t="s">
        <v>12</v>
      </c>
      <c r="B1109" t="s">
        <v>39</v>
      </c>
      <c r="C1109" t="s">
        <v>21</v>
      </c>
      <c r="D1109" s="24">
        <v>12352032000</v>
      </c>
      <c r="E1109" s="29" t="str">
        <f>'Hitung Per Bulan'!E1109</f>
        <v/>
      </c>
      <c r="F1109" s="24">
        <v>300000000</v>
      </c>
      <c r="G1109" s="29" t="str">
        <f>'Hitung Per Bulan'!G1109</f>
        <v/>
      </c>
    </row>
    <row r="1110" spans="1:7" x14ac:dyDescent="0.45">
      <c r="A1110" t="s">
        <v>13</v>
      </c>
      <c r="B1110" t="s">
        <v>39</v>
      </c>
      <c r="C1110" t="s">
        <v>21</v>
      </c>
      <c r="D1110" s="24">
        <v>2505262000</v>
      </c>
      <c r="E1110" s="29" t="str">
        <f>'Hitung Per Bulan'!E1110</f>
        <v/>
      </c>
      <c r="F1110" s="24">
        <v>288400000</v>
      </c>
      <c r="G1110" s="29" t="str">
        <f>'Hitung Per Bulan'!G1110</f>
        <v/>
      </c>
    </row>
    <row r="1111" spans="1:7" x14ac:dyDescent="0.45">
      <c r="A1111" t="s">
        <v>14</v>
      </c>
      <c r="B1111" t="s">
        <v>39</v>
      </c>
      <c r="C1111" t="s">
        <v>21</v>
      </c>
      <c r="D1111" s="24">
        <v>2623666000</v>
      </c>
      <c r="E1111" s="29" t="str">
        <f>'Hitung Per Bulan'!E1111</f>
        <v/>
      </c>
      <c r="F1111" s="24">
        <v>1190651000</v>
      </c>
      <c r="G1111" s="29" t="str">
        <f>'Hitung Per Bulan'!G1111</f>
        <v/>
      </c>
    </row>
    <row r="1112" spans="1:7" x14ac:dyDescent="0.45">
      <c r="A1112" t="s">
        <v>15</v>
      </c>
      <c r="B1112" t="s">
        <v>39</v>
      </c>
      <c r="C1112" t="s">
        <v>21</v>
      </c>
      <c r="D1112" s="24">
        <v>1447500000</v>
      </c>
      <c r="E1112" s="29" t="str">
        <f>'Hitung Per Bulan'!E1112</f>
        <v/>
      </c>
      <c r="F1112" s="24">
        <v>680000000</v>
      </c>
      <c r="G1112" s="29" t="str">
        <f>'Hitung Per Bulan'!G1112</f>
        <v/>
      </c>
    </row>
    <row r="1113" spans="1:7" x14ac:dyDescent="0.45">
      <c r="A1113" t="s">
        <v>16</v>
      </c>
      <c r="B1113" t="s">
        <v>39</v>
      </c>
      <c r="C1113" t="s">
        <v>21</v>
      </c>
      <c r="D1113" s="24">
        <v>1655000000</v>
      </c>
      <c r="E1113" s="29" t="str">
        <f>'Hitung Per Bulan'!E1113</f>
        <v/>
      </c>
      <c r="F1113" s="24">
        <v>3524356000</v>
      </c>
      <c r="G1113" s="29" t="str">
        <f>'Hitung Per Bulan'!G1113</f>
        <v/>
      </c>
    </row>
    <row r="1114" spans="1:7" x14ac:dyDescent="0.45">
      <c r="A1114" t="s">
        <v>17</v>
      </c>
      <c r="B1114" t="s">
        <v>39</v>
      </c>
      <c r="C1114" t="s">
        <v>21</v>
      </c>
      <c r="D1114" s="24">
        <v>2324500000</v>
      </c>
      <c r="E1114" s="29" t="str">
        <f>'Hitung Per Bulan'!E1114</f>
        <v/>
      </c>
      <c r="F1114" s="24">
        <v>3769450000</v>
      </c>
      <c r="G1114" s="29" t="str">
        <f>'Hitung Per Bulan'!G1114</f>
        <v/>
      </c>
    </row>
    <row r="1115" spans="1:7" x14ac:dyDescent="0.45">
      <c r="A1115" t="s">
        <v>18</v>
      </c>
      <c r="B1115" t="s">
        <v>39</v>
      </c>
      <c r="C1115" t="s">
        <v>21</v>
      </c>
      <c r="D1115" s="24">
        <v>2065000000</v>
      </c>
      <c r="E1115" s="29" t="str">
        <f>'Hitung Per Bulan'!E1115</f>
        <v/>
      </c>
      <c r="F1115" s="24">
        <v>9580221000</v>
      </c>
      <c r="G1115" s="29" t="str">
        <f>'Hitung Per Bulan'!G1115</f>
        <v/>
      </c>
    </row>
    <row r="1116" spans="1:7" x14ac:dyDescent="0.45">
      <c r="A1116" t="s">
        <v>19</v>
      </c>
      <c r="B1116" t="s">
        <v>39</v>
      </c>
      <c r="C1116" t="s">
        <v>21</v>
      </c>
      <c r="D1116" s="24">
        <v>349900000</v>
      </c>
      <c r="E1116" s="29" t="str">
        <f>'Hitung Per Bulan'!E1116</f>
        <v/>
      </c>
      <c r="F1116" s="24">
        <v>2624900000</v>
      </c>
      <c r="G1116" s="29" t="str">
        <f>'Hitung Per Bulan'!G1116</f>
        <v/>
      </c>
    </row>
    <row r="1117" spans="1:7" x14ac:dyDescent="0.45">
      <c r="A1117" t="s">
        <v>20</v>
      </c>
      <c r="B1117" t="s">
        <v>39</v>
      </c>
      <c r="C1117" t="s">
        <v>21</v>
      </c>
      <c r="D1117" s="24">
        <v>230000000</v>
      </c>
      <c r="E1117" s="29" t="str">
        <f>'Hitung Per Bulan'!E1117</f>
        <v/>
      </c>
      <c r="F1117" s="24">
        <v>5864500000</v>
      </c>
      <c r="G1117" s="29" t="str">
        <f>'Hitung Per Bulan'!G1117</f>
        <v/>
      </c>
    </row>
    <row r="1118" spans="1:7" x14ac:dyDescent="0.45">
      <c r="A1118" t="s">
        <v>7</v>
      </c>
      <c r="B1118" t="s">
        <v>39</v>
      </c>
      <c r="C1118" t="s">
        <v>22</v>
      </c>
      <c r="D1118" s="24">
        <v>0</v>
      </c>
      <c r="E1118" s="29">
        <f>'Hitung Per Bulan'!E1118</f>
        <v>82800000</v>
      </c>
      <c r="F1118" s="24">
        <v>0</v>
      </c>
      <c r="G1118" s="29">
        <f>'Hitung Per Bulan'!G1118</f>
        <v>0</v>
      </c>
    </row>
    <row r="1119" spans="1:7" x14ac:dyDescent="0.45">
      <c r="A1119" t="s">
        <v>10</v>
      </c>
      <c r="B1119" t="s">
        <v>39</v>
      </c>
      <c r="C1119" t="s">
        <v>22</v>
      </c>
      <c r="D1119" s="24">
        <v>254037000</v>
      </c>
      <c r="E1119" s="29">
        <f>'Hitung Per Bulan'!E1119</f>
        <v>45540000</v>
      </c>
      <c r="F1119" s="24">
        <v>0</v>
      </c>
      <c r="G1119" s="29">
        <f>'Hitung Per Bulan'!G1119</f>
        <v>82800000</v>
      </c>
    </row>
    <row r="1120" spans="1:7" x14ac:dyDescent="0.45">
      <c r="A1120" t="s">
        <v>11</v>
      </c>
      <c r="B1120" t="s">
        <v>39</v>
      </c>
      <c r="C1120" t="s">
        <v>22</v>
      </c>
      <c r="D1120" s="24">
        <v>0</v>
      </c>
      <c r="E1120" s="29">
        <f>'Hitung Per Bulan'!E1120</f>
        <v>20325000</v>
      </c>
      <c r="F1120" s="24">
        <v>254037000</v>
      </c>
      <c r="G1120" s="29">
        <f>'Hitung Per Bulan'!G1120</f>
        <v>45540000</v>
      </c>
    </row>
    <row r="1121" spans="1:7" x14ac:dyDescent="0.45">
      <c r="A1121" t="s">
        <v>12</v>
      </c>
      <c r="B1121" t="s">
        <v>39</v>
      </c>
      <c r="C1121" t="s">
        <v>22</v>
      </c>
      <c r="D1121" s="24">
        <v>0</v>
      </c>
      <c r="E1121" s="29" t="str">
        <f>'Hitung Per Bulan'!E1121</f>
        <v/>
      </c>
      <c r="F1121" s="24">
        <v>0</v>
      </c>
      <c r="G1121" s="29" t="str">
        <f>'Hitung Per Bulan'!G1121</f>
        <v/>
      </c>
    </row>
    <row r="1122" spans="1:7" x14ac:dyDescent="0.45">
      <c r="A1122" t="s">
        <v>13</v>
      </c>
      <c r="B1122" t="s">
        <v>39</v>
      </c>
      <c r="C1122" t="s">
        <v>22</v>
      </c>
      <c r="D1122" s="24">
        <v>254037000</v>
      </c>
      <c r="E1122" s="29" t="str">
        <f>'Hitung Per Bulan'!E1122</f>
        <v/>
      </c>
      <c r="F1122" s="24">
        <v>0</v>
      </c>
      <c r="G1122" s="29" t="str">
        <f>'Hitung Per Bulan'!G1122</f>
        <v/>
      </c>
    </row>
    <row r="1123" spans="1:7" x14ac:dyDescent="0.45">
      <c r="A1123" t="s">
        <v>14</v>
      </c>
      <c r="B1123" t="s">
        <v>39</v>
      </c>
      <c r="C1123" t="s">
        <v>22</v>
      </c>
      <c r="D1123" s="24">
        <v>0</v>
      </c>
      <c r="E1123" s="29" t="str">
        <f>'Hitung Per Bulan'!E1123</f>
        <v/>
      </c>
      <c r="F1123" s="24">
        <v>254037000</v>
      </c>
      <c r="G1123" s="29" t="str">
        <f>'Hitung Per Bulan'!G1123</f>
        <v/>
      </c>
    </row>
    <row r="1124" spans="1:7" x14ac:dyDescent="0.45">
      <c r="A1124" t="s">
        <v>15</v>
      </c>
      <c r="B1124" t="s">
        <v>39</v>
      </c>
      <c r="C1124" t="s">
        <v>22</v>
      </c>
      <c r="D1124" s="24">
        <v>0</v>
      </c>
      <c r="E1124" s="29" t="str">
        <f>'Hitung Per Bulan'!E1124</f>
        <v/>
      </c>
      <c r="F1124" s="24">
        <v>0</v>
      </c>
      <c r="G1124" s="29" t="str">
        <f>'Hitung Per Bulan'!G1124</f>
        <v/>
      </c>
    </row>
    <row r="1125" spans="1:7" x14ac:dyDescent="0.45">
      <c r="A1125" t="s">
        <v>16</v>
      </c>
      <c r="B1125" t="s">
        <v>39</v>
      </c>
      <c r="C1125" t="s">
        <v>22</v>
      </c>
      <c r="D1125" s="24">
        <v>254037000</v>
      </c>
      <c r="E1125" s="29" t="str">
        <f>'Hitung Per Bulan'!E1125</f>
        <v/>
      </c>
      <c r="F1125" s="24">
        <v>0</v>
      </c>
      <c r="G1125" s="29" t="str">
        <f>'Hitung Per Bulan'!G1125</f>
        <v/>
      </c>
    </row>
    <row r="1126" spans="1:7" x14ac:dyDescent="0.45">
      <c r="A1126" t="s">
        <v>17</v>
      </c>
      <c r="B1126" t="s">
        <v>39</v>
      </c>
      <c r="C1126" t="s">
        <v>22</v>
      </c>
      <c r="D1126" s="24">
        <v>0</v>
      </c>
      <c r="E1126" s="29" t="str">
        <f>'Hitung Per Bulan'!E1126</f>
        <v/>
      </c>
      <c r="F1126" s="24">
        <v>254037000</v>
      </c>
      <c r="G1126" s="29" t="str">
        <f>'Hitung Per Bulan'!G1126</f>
        <v/>
      </c>
    </row>
    <row r="1127" spans="1:7" x14ac:dyDescent="0.45">
      <c r="A1127" t="s">
        <v>18</v>
      </c>
      <c r="B1127" t="s">
        <v>39</v>
      </c>
      <c r="C1127" t="s">
        <v>22</v>
      </c>
      <c r="D1127" s="24">
        <v>0</v>
      </c>
      <c r="E1127" s="29" t="str">
        <f>'Hitung Per Bulan'!E1127</f>
        <v/>
      </c>
      <c r="F1127" s="24">
        <v>0</v>
      </c>
      <c r="G1127" s="29" t="str">
        <f>'Hitung Per Bulan'!G1127</f>
        <v/>
      </c>
    </row>
    <row r="1128" spans="1:7" x14ac:dyDescent="0.45">
      <c r="A1128" t="s">
        <v>19</v>
      </c>
      <c r="B1128" t="s">
        <v>39</v>
      </c>
      <c r="C1128" t="s">
        <v>22</v>
      </c>
      <c r="D1128" s="24">
        <v>254039000</v>
      </c>
      <c r="E1128" s="29" t="str">
        <f>'Hitung Per Bulan'!E1128</f>
        <v/>
      </c>
      <c r="F1128" s="24">
        <v>0</v>
      </c>
      <c r="G1128" s="29" t="str">
        <f>'Hitung Per Bulan'!G1128</f>
        <v/>
      </c>
    </row>
    <row r="1129" spans="1:7" x14ac:dyDescent="0.45">
      <c r="A1129" t="s">
        <v>20</v>
      </c>
      <c r="B1129" t="s">
        <v>39</v>
      </c>
      <c r="C1129" t="s">
        <v>22</v>
      </c>
      <c r="D1129" s="24">
        <v>0</v>
      </c>
      <c r="E1129" s="29" t="str">
        <f>'Hitung Per Bulan'!E1129</f>
        <v/>
      </c>
      <c r="F1129" s="24">
        <v>254039000</v>
      </c>
      <c r="G1129" s="29" t="str">
        <f>'Hitung Per Bulan'!G1129</f>
        <v/>
      </c>
    </row>
    <row r="1130" spans="1:7" x14ac:dyDescent="0.45">
      <c r="A1130" t="s">
        <v>7</v>
      </c>
      <c r="B1130" t="s">
        <v>39</v>
      </c>
      <c r="C1130" t="s">
        <v>23</v>
      </c>
      <c r="D1130" s="24">
        <v>0</v>
      </c>
      <c r="E1130" s="29">
        <f>'Hitung Per Bulan'!E1130</f>
        <v>0</v>
      </c>
      <c r="F1130" s="24">
        <v>0</v>
      </c>
      <c r="G1130" s="29">
        <f>'Hitung Per Bulan'!G1130</f>
        <v>0</v>
      </c>
    </row>
    <row r="1131" spans="1:7" x14ac:dyDescent="0.45">
      <c r="A1131" t="s">
        <v>10</v>
      </c>
      <c r="B1131" t="s">
        <v>39</v>
      </c>
      <c r="C1131" t="s">
        <v>23</v>
      </c>
      <c r="D1131" s="24">
        <v>0</v>
      </c>
      <c r="E1131" s="29">
        <f>'Hitung Per Bulan'!E1131</f>
        <v>12720000</v>
      </c>
      <c r="F1131" s="24">
        <v>0</v>
      </c>
      <c r="G1131" s="29">
        <f>'Hitung Per Bulan'!G1131</f>
        <v>0</v>
      </c>
    </row>
    <row r="1132" spans="1:7" x14ac:dyDescent="0.45">
      <c r="A1132" t="s">
        <v>11</v>
      </c>
      <c r="B1132" t="s">
        <v>39</v>
      </c>
      <c r="C1132" t="s">
        <v>23</v>
      </c>
      <c r="D1132" s="24">
        <v>0</v>
      </c>
      <c r="E1132" s="29">
        <f>'Hitung Per Bulan'!E1132</f>
        <v>0</v>
      </c>
      <c r="F1132" s="24">
        <v>0</v>
      </c>
      <c r="G1132" s="29">
        <f>'Hitung Per Bulan'!G1132</f>
        <v>0</v>
      </c>
    </row>
    <row r="1133" spans="1:7" x14ac:dyDescent="0.45">
      <c r="A1133" t="s">
        <v>12</v>
      </c>
      <c r="B1133" t="s">
        <v>39</v>
      </c>
      <c r="C1133" t="s">
        <v>23</v>
      </c>
      <c r="D1133" s="24">
        <v>0</v>
      </c>
      <c r="E1133" s="29" t="str">
        <f>'Hitung Per Bulan'!E1133</f>
        <v/>
      </c>
      <c r="F1133" s="24">
        <v>0</v>
      </c>
      <c r="G1133" s="29" t="str">
        <f>'Hitung Per Bulan'!G1133</f>
        <v/>
      </c>
    </row>
    <row r="1134" spans="1:7" x14ac:dyDescent="0.45">
      <c r="A1134" t="s">
        <v>13</v>
      </c>
      <c r="B1134" t="s">
        <v>39</v>
      </c>
      <c r="C1134" t="s">
        <v>23</v>
      </c>
      <c r="D1134" s="24">
        <v>0</v>
      </c>
      <c r="E1134" s="29" t="str">
        <f>'Hitung Per Bulan'!E1134</f>
        <v/>
      </c>
      <c r="F1134" s="24">
        <v>0</v>
      </c>
      <c r="G1134" s="29" t="str">
        <f>'Hitung Per Bulan'!G1134</f>
        <v/>
      </c>
    </row>
    <row r="1135" spans="1:7" x14ac:dyDescent="0.45">
      <c r="A1135" t="s">
        <v>14</v>
      </c>
      <c r="B1135" t="s">
        <v>39</v>
      </c>
      <c r="C1135" t="s">
        <v>23</v>
      </c>
      <c r="D1135" s="24">
        <v>0</v>
      </c>
      <c r="E1135" s="29" t="str">
        <f>'Hitung Per Bulan'!E1135</f>
        <v/>
      </c>
      <c r="F1135" s="24">
        <v>0</v>
      </c>
      <c r="G1135" s="29" t="str">
        <f>'Hitung Per Bulan'!G1135</f>
        <v/>
      </c>
    </row>
    <row r="1136" spans="1:7" x14ac:dyDescent="0.45">
      <c r="A1136" t="s">
        <v>15</v>
      </c>
      <c r="B1136" t="s">
        <v>39</v>
      </c>
      <c r="C1136" t="s">
        <v>23</v>
      </c>
      <c r="D1136" s="24">
        <v>50000000</v>
      </c>
      <c r="E1136" s="29" t="str">
        <f>'Hitung Per Bulan'!E1136</f>
        <v/>
      </c>
      <c r="F1136" s="24">
        <v>0</v>
      </c>
      <c r="G1136" s="29" t="str">
        <f>'Hitung Per Bulan'!G1136</f>
        <v/>
      </c>
    </row>
    <row r="1137" spans="1:7" x14ac:dyDescent="0.45">
      <c r="A1137" t="s">
        <v>16</v>
      </c>
      <c r="B1137" t="s">
        <v>39</v>
      </c>
      <c r="C1137" t="s">
        <v>23</v>
      </c>
      <c r="D1137" s="24">
        <v>0</v>
      </c>
      <c r="E1137" s="29" t="str">
        <f>'Hitung Per Bulan'!E1137</f>
        <v/>
      </c>
      <c r="F1137" s="24">
        <v>50000000</v>
      </c>
      <c r="G1137" s="29" t="str">
        <f>'Hitung Per Bulan'!G1137</f>
        <v/>
      </c>
    </row>
    <row r="1138" spans="1:7" x14ac:dyDescent="0.45">
      <c r="A1138" t="s">
        <v>17</v>
      </c>
      <c r="B1138" t="s">
        <v>39</v>
      </c>
      <c r="C1138" t="s">
        <v>23</v>
      </c>
      <c r="D1138" s="24">
        <v>50000000</v>
      </c>
      <c r="E1138" s="29" t="str">
        <f>'Hitung Per Bulan'!E1138</f>
        <v/>
      </c>
      <c r="F1138" s="24">
        <v>0</v>
      </c>
      <c r="G1138" s="29" t="str">
        <f>'Hitung Per Bulan'!G1138</f>
        <v/>
      </c>
    </row>
    <row r="1139" spans="1:7" x14ac:dyDescent="0.45">
      <c r="A1139" t="s">
        <v>18</v>
      </c>
      <c r="B1139" t="s">
        <v>39</v>
      </c>
      <c r="C1139" t="s">
        <v>23</v>
      </c>
      <c r="D1139" s="24">
        <v>0</v>
      </c>
      <c r="E1139" s="29" t="str">
        <f>'Hitung Per Bulan'!E1139</f>
        <v/>
      </c>
      <c r="F1139" s="24">
        <v>50000000</v>
      </c>
      <c r="G1139" s="29" t="str">
        <f>'Hitung Per Bulan'!G1139</f>
        <v/>
      </c>
    </row>
    <row r="1140" spans="1:7" x14ac:dyDescent="0.45">
      <c r="A1140" t="s">
        <v>19</v>
      </c>
      <c r="B1140" t="s">
        <v>39</v>
      </c>
      <c r="C1140" t="s">
        <v>23</v>
      </c>
      <c r="D1140" s="24">
        <v>0</v>
      </c>
      <c r="E1140" s="29" t="str">
        <f>'Hitung Per Bulan'!E1140</f>
        <v/>
      </c>
      <c r="F1140" s="24">
        <v>0</v>
      </c>
      <c r="G1140" s="29" t="str">
        <f>'Hitung Per Bulan'!G1140</f>
        <v/>
      </c>
    </row>
    <row r="1141" spans="1:7" x14ac:dyDescent="0.45">
      <c r="A1141" t="s">
        <v>20</v>
      </c>
      <c r="B1141" t="s">
        <v>39</v>
      </c>
      <c r="C1141" t="s">
        <v>23</v>
      </c>
      <c r="D1141" s="24">
        <v>0</v>
      </c>
      <c r="E1141" s="29" t="str">
        <f>'Hitung Per Bulan'!E1141</f>
        <v/>
      </c>
      <c r="F1141" s="24">
        <v>0</v>
      </c>
      <c r="G1141" s="29" t="str">
        <f>'Hitung Per Bulan'!G1141</f>
        <v/>
      </c>
    </row>
    <row r="1142" spans="1:7" x14ac:dyDescent="0.45">
      <c r="A1142" t="s">
        <v>7</v>
      </c>
      <c r="B1142" t="s">
        <v>39</v>
      </c>
      <c r="C1142" t="s">
        <v>24</v>
      </c>
      <c r="D1142" s="24">
        <v>0</v>
      </c>
      <c r="E1142" s="29">
        <f>'Hitung Per Bulan'!E1142</f>
        <v>0</v>
      </c>
      <c r="F1142" s="24">
        <v>0</v>
      </c>
      <c r="G1142" s="29">
        <f>'Hitung Per Bulan'!G1142</f>
        <v>0</v>
      </c>
    </row>
    <row r="1143" spans="1:7" x14ac:dyDescent="0.45">
      <c r="A1143" t="s">
        <v>10</v>
      </c>
      <c r="B1143" t="s">
        <v>39</v>
      </c>
      <c r="C1143" t="s">
        <v>24</v>
      </c>
      <c r="D1143" s="24">
        <v>0</v>
      </c>
      <c r="E1143" s="29">
        <f>'Hitung Per Bulan'!E1143</f>
        <v>0</v>
      </c>
      <c r="F1143" s="24">
        <v>0</v>
      </c>
      <c r="G1143" s="29">
        <f>'Hitung Per Bulan'!G1143</f>
        <v>0</v>
      </c>
    </row>
    <row r="1144" spans="1:7" x14ac:dyDescent="0.45">
      <c r="A1144" t="s">
        <v>11</v>
      </c>
      <c r="B1144" t="s">
        <v>39</v>
      </c>
      <c r="C1144" t="s">
        <v>24</v>
      </c>
      <c r="D1144" s="24">
        <v>0</v>
      </c>
      <c r="E1144" s="29">
        <f>'Hitung Per Bulan'!E1144</f>
        <v>0</v>
      </c>
      <c r="F1144" s="24">
        <v>0</v>
      </c>
      <c r="G1144" s="29">
        <f>'Hitung Per Bulan'!G1144</f>
        <v>0</v>
      </c>
    </row>
    <row r="1145" spans="1:7" x14ac:dyDescent="0.45">
      <c r="A1145" t="s">
        <v>12</v>
      </c>
      <c r="B1145" t="s">
        <v>39</v>
      </c>
      <c r="C1145" t="s">
        <v>24</v>
      </c>
      <c r="D1145" s="24">
        <v>0</v>
      </c>
      <c r="E1145" s="29" t="str">
        <f>'Hitung Per Bulan'!E1145</f>
        <v/>
      </c>
      <c r="F1145" s="24">
        <v>0</v>
      </c>
      <c r="G1145" s="29" t="str">
        <f>'Hitung Per Bulan'!G1145</f>
        <v/>
      </c>
    </row>
    <row r="1146" spans="1:7" x14ac:dyDescent="0.45">
      <c r="A1146" t="s">
        <v>13</v>
      </c>
      <c r="B1146" t="s">
        <v>39</v>
      </c>
      <c r="C1146" t="s">
        <v>24</v>
      </c>
      <c r="D1146" s="24">
        <v>0</v>
      </c>
      <c r="E1146" s="29" t="str">
        <f>'Hitung Per Bulan'!E1146</f>
        <v/>
      </c>
      <c r="F1146" s="24">
        <v>0</v>
      </c>
      <c r="G1146" s="29" t="str">
        <f>'Hitung Per Bulan'!G1146</f>
        <v/>
      </c>
    </row>
    <row r="1147" spans="1:7" x14ac:dyDescent="0.45">
      <c r="A1147" t="s">
        <v>14</v>
      </c>
      <c r="B1147" t="s">
        <v>39</v>
      </c>
      <c r="C1147" t="s">
        <v>24</v>
      </c>
      <c r="D1147" s="24">
        <v>0</v>
      </c>
      <c r="E1147" s="29" t="str">
        <f>'Hitung Per Bulan'!E1147</f>
        <v/>
      </c>
      <c r="F1147" s="24">
        <v>0</v>
      </c>
      <c r="G1147" s="29" t="str">
        <f>'Hitung Per Bulan'!G1147</f>
        <v/>
      </c>
    </row>
    <row r="1148" spans="1:7" x14ac:dyDescent="0.45">
      <c r="A1148" t="s">
        <v>15</v>
      </c>
      <c r="B1148" t="s">
        <v>39</v>
      </c>
      <c r="C1148" t="s">
        <v>24</v>
      </c>
      <c r="D1148" s="24">
        <v>0</v>
      </c>
      <c r="E1148" s="29" t="str">
        <f>'Hitung Per Bulan'!E1148</f>
        <v/>
      </c>
      <c r="F1148" s="24">
        <v>0</v>
      </c>
      <c r="G1148" s="29" t="str">
        <f>'Hitung Per Bulan'!G1148</f>
        <v/>
      </c>
    </row>
    <row r="1149" spans="1:7" x14ac:dyDescent="0.45">
      <c r="A1149" t="s">
        <v>16</v>
      </c>
      <c r="B1149" t="s">
        <v>39</v>
      </c>
      <c r="C1149" t="s">
        <v>24</v>
      </c>
      <c r="D1149" s="24">
        <v>0</v>
      </c>
      <c r="E1149" s="29" t="str">
        <f>'Hitung Per Bulan'!E1149</f>
        <v/>
      </c>
      <c r="F1149" s="24">
        <v>0</v>
      </c>
      <c r="G1149" s="29" t="str">
        <f>'Hitung Per Bulan'!G1149</f>
        <v/>
      </c>
    </row>
    <row r="1150" spans="1:7" x14ac:dyDescent="0.45">
      <c r="A1150" t="s">
        <v>17</v>
      </c>
      <c r="B1150" t="s">
        <v>39</v>
      </c>
      <c r="C1150" t="s">
        <v>24</v>
      </c>
      <c r="D1150" s="24">
        <v>0</v>
      </c>
      <c r="E1150" s="29" t="str">
        <f>'Hitung Per Bulan'!E1150</f>
        <v/>
      </c>
      <c r="F1150" s="24">
        <v>0</v>
      </c>
      <c r="G1150" s="29" t="str">
        <f>'Hitung Per Bulan'!G1150</f>
        <v/>
      </c>
    </row>
    <row r="1151" spans="1:7" x14ac:dyDescent="0.45">
      <c r="A1151" t="s">
        <v>18</v>
      </c>
      <c r="B1151" t="s">
        <v>39</v>
      </c>
      <c r="C1151" t="s">
        <v>24</v>
      </c>
      <c r="D1151" s="24">
        <v>0</v>
      </c>
      <c r="E1151" s="29" t="str">
        <f>'Hitung Per Bulan'!E1151</f>
        <v/>
      </c>
      <c r="F1151" s="24">
        <v>0</v>
      </c>
      <c r="G1151" s="29" t="str">
        <f>'Hitung Per Bulan'!G1151</f>
        <v/>
      </c>
    </row>
    <row r="1152" spans="1:7" x14ac:dyDescent="0.45">
      <c r="A1152" t="s">
        <v>19</v>
      </c>
      <c r="B1152" t="s">
        <v>39</v>
      </c>
      <c r="C1152" t="s">
        <v>24</v>
      </c>
      <c r="D1152" s="24">
        <v>0</v>
      </c>
      <c r="E1152" s="29" t="str">
        <f>'Hitung Per Bulan'!E1152</f>
        <v/>
      </c>
      <c r="F1152" s="24">
        <v>0</v>
      </c>
      <c r="G1152" s="29" t="str">
        <f>'Hitung Per Bulan'!G1152</f>
        <v/>
      </c>
    </row>
    <row r="1153" spans="1:7" x14ac:dyDescent="0.45">
      <c r="A1153" t="s">
        <v>20</v>
      </c>
      <c r="B1153" t="s">
        <v>39</v>
      </c>
      <c r="C1153" t="s">
        <v>24</v>
      </c>
      <c r="D1153" s="24">
        <v>0</v>
      </c>
      <c r="E1153" s="29" t="str">
        <f>'Hitung Per Bulan'!E1153</f>
        <v/>
      </c>
      <c r="F1153" s="24">
        <v>0</v>
      </c>
      <c r="G1153" s="29" t="str">
        <f>'Hitung Per Bulan'!G1153</f>
        <v/>
      </c>
    </row>
    <row r="1154" spans="1:7" x14ac:dyDescent="0.45">
      <c r="A1154" t="s">
        <v>7</v>
      </c>
      <c r="B1154" t="s">
        <v>39</v>
      </c>
      <c r="C1154" t="s">
        <v>25</v>
      </c>
      <c r="D1154" s="24">
        <v>183078000</v>
      </c>
      <c r="E1154" s="29">
        <f>'Hitung Per Bulan'!E1154</f>
        <v>142025182</v>
      </c>
      <c r="F1154" s="24">
        <v>178078000</v>
      </c>
      <c r="G1154" s="29">
        <f>'Hitung Per Bulan'!G1154</f>
        <v>20219062</v>
      </c>
    </row>
    <row r="1155" spans="1:7" x14ac:dyDescent="0.45">
      <c r="A1155" t="s">
        <v>10</v>
      </c>
      <c r="B1155" t="s">
        <v>39</v>
      </c>
      <c r="C1155" t="s">
        <v>25</v>
      </c>
      <c r="D1155" s="24">
        <v>278078000</v>
      </c>
      <c r="E1155" s="29">
        <f>'Hitung Per Bulan'!E1155</f>
        <v>130923900</v>
      </c>
      <c r="F1155" s="24">
        <v>183078000</v>
      </c>
      <c r="G1155" s="29">
        <f>'Hitung Per Bulan'!G1155</f>
        <v>163539770</v>
      </c>
    </row>
    <row r="1156" spans="1:7" x14ac:dyDescent="0.45">
      <c r="A1156" t="s">
        <v>11</v>
      </c>
      <c r="B1156" t="s">
        <v>39</v>
      </c>
      <c r="C1156" t="s">
        <v>25</v>
      </c>
      <c r="D1156" s="24">
        <v>232846000</v>
      </c>
      <c r="E1156" s="29">
        <f>'Hitung Per Bulan'!E1156</f>
        <v>179797884</v>
      </c>
      <c r="F1156" s="24">
        <v>286078000</v>
      </c>
      <c r="G1156" s="29">
        <f>'Hitung Per Bulan'!G1156</f>
        <v>18847500</v>
      </c>
    </row>
    <row r="1157" spans="1:7" x14ac:dyDescent="0.45">
      <c r="A1157" t="s">
        <v>12</v>
      </c>
      <c r="B1157" t="s">
        <v>39</v>
      </c>
      <c r="C1157" t="s">
        <v>25</v>
      </c>
      <c r="D1157" s="24">
        <v>282233000</v>
      </c>
      <c r="E1157" s="29" t="str">
        <f>'Hitung Per Bulan'!E1157</f>
        <v/>
      </c>
      <c r="F1157" s="24">
        <v>224846000</v>
      </c>
      <c r="G1157" s="29" t="str">
        <f>'Hitung Per Bulan'!G1157</f>
        <v/>
      </c>
    </row>
    <row r="1158" spans="1:7" x14ac:dyDescent="0.45">
      <c r="A1158" t="s">
        <v>13</v>
      </c>
      <c r="B1158" t="s">
        <v>39</v>
      </c>
      <c r="C1158" t="s">
        <v>25</v>
      </c>
      <c r="D1158" s="24">
        <v>200078000</v>
      </c>
      <c r="E1158" s="29" t="str">
        <f>'Hitung Per Bulan'!E1158</f>
        <v/>
      </c>
      <c r="F1158" s="24">
        <v>282233000</v>
      </c>
      <c r="G1158" s="29" t="str">
        <f>'Hitung Per Bulan'!G1158</f>
        <v/>
      </c>
    </row>
    <row r="1159" spans="1:7" x14ac:dyDescent="0.45">
      <c r="A1159" t="s">
        <v>14</v>
      </c>
      <c r="B1159" t="s">
        <v>39</v>
      </c>
      <c r="C1159" t="s">
        <v>25</v>
      </c>
      <c r="D1159" s="24">
        <v>318078000</v>
      </c>
      <c r="E1159" s="29" t="str">
        <f>'Hitung Per Bulan'!E1159</f>
        <v/>
      </c>
      <c r="F1159" s="24">
        <v>240078000</v>
      </c>
      <c r="G1159" s="29" t="str">
        <f>'Hitung Per Bulan'!G1159</f>
        <v/>
      </c>
    </row>
    <row r="1160" spans="1:7" x14ac:dyDescent="0.45">
      <c r="A1160" t="s">
        <v>15</v>
      </c>
      <c r="B1160" t="s">
        <v>39</v>
      </c>
      <c r="C1160" t="s">
        <v>25</v>
      </c>
      <c r="D1160" s="24">
        <v>228078000</v>
      </c>
      <c r="E1160" s="29" t="str">
        <f>'Hitung Per Bulan'!E1160</f>
        <v/>
      </c>
      <c r="F1160" s="24">
        <v>278078000</v>
      </c>
      <c r="G1160" s="29" t="str">
        <f>'Hitung Per Bulan'!G1160</f>
        <v/>
      </c>
    </row>
    <row r="1161" spans="1:7" x14ac:dyDescent="0.45">
      <c r="A1161" t="s">
        <v>16</v>
      </c>
      <c r="B1161" t="s">
        <v>39</v>
      </c>
      <c r="C1161" t="s">
        <v>25</v>
      </c>
      <c r="D1161" s="24">
        <v>896057000</v>
      </c>
      <c r="E1161" s="29" t="str">
        <f>'Hitung Per Bulan'!E1161</f>
        <v/>
      </c>
      <c r="F1161" s="24">
        <v>228078000</v>
      </c>
      <c r="G1161" s="29" t="str">
        <f>'Hitung Per Bulan'!G1161</f>
        <v/>
      </c>
    </row>
    <row r="1162" spans="1:7" x14ac:dyDescent="0.45">
      <c r="A1162" t="s">
        <v>17</v>
      </c>
      <c r="B1162" t="s">
        <v>39</v>
      </c>
      <c r="C1162" t="s">
        <v>25</v>
      </c>
      <c r="D1162" s="24">
        <v>190078000</v>
      </c>
      <c r="E1162" s="29" t="str">
        <f>'Hitung Per Bulan'!E1162</f>
        <v/>
      </c>
      <c r="F1162" s="24">
        <v>245078000</v>
      </c>
      <c r="G1162" s="29" t="str">
        <f>'Hitung Per Bulan'!G1162</f>
        <v/>
      </c>
    </row>
    <row r="1163" spans="1:7" x14ac:dyDescent="0.45">
      <c r="A1163" t="s">
        <v>18</v>
      </c>
      <c r="B1163" t="s">
        <v>39</v>
      </c>
      <c r="C1163" t="s">
        <v>25</v>
      </c>
      <c r="D1163" s="24">
        <v>329274000</v>
      </c>
      <c r="E1163" s="29" t="str">
        <f>'Hitung Per Bulan'!E1163</f>
        <v/>
      </c>
      <c r="F1163" s="24">
        <v>202533000</v>
      </c>
      <c r="G1163" s="29" t="str">
        <f>'Hitung Per Bulan'!G1163</f>
        <v/>
      </c>
    </row>
    <row r="1164" spans="1:7" x14ac:dyDescent="0.45">
      <c r="A1164" t="s">
        <v>19</v>
      </c>
      <c r="B1164" t="s">
        <v>39</v>
      </c>
      <c r="C1164" t="s">
        <v>25</v>
      </c>
      <c r="D1164" s="24">
        <v>178088000</v>
      </c>
      <c r="E1164" s="29" t="str">
        <f>'Hitung Per Bulan'!E1164</f>
        <v/>
      </c>
      <c r="F1164" s="24">
        <v>309829000</v>
      </c>
      <c r="G1164" s="29" t="str">
        <f>'Hitung Per Bulan'!G1164</f>
        <v/>
      </c>
    </row>
    <row r="1165" spans="1:7" x14ac:dyDescent="0.45">
      <c r="A1165" t="s">
        <v>20</v>
      </c>
      <c r="B1165" t="s">
        <v>39</v>
      </c>
      <c r="C1165" t="s">
        <v>25</v>
      </c>
      <c r="D1165" s="24">
        <v>178084000</v>
      </c>
      <c r="E1165" s="29" t="str">
        <f>'Hitung Per Bulan'!E1165</f>
        <v/>
      </c>
      <c r="F1165" s="24">
        <v>836063000</v>
      </c>
      <c r="G1165" s="29" t="str">
        <f>'Hitung Per Bulan'!G1165</f>
        <v/>
      </c>
    </row>
    <row r="1166" spans="1:7" x14ac:dyDescent="0.45">
      <c r="A1166" t="s">
        <v>7</v>
      </c>
      <c r="B1166" t="s">
        <v>39</v>
      </c>
      <c r="C1166" t="s">
        <v>26</v>
      </c>
      <c r="D1166" s="24">
        <v>213333000</v>
      </c>
      <c r="E1166" s="29">
        <f>'Hitung Per Bulan'!E1166</f>
        <v>268881303</v>
      </c>
      <c r="F1166" s="24">
        <v>213333000</v>
      </c>
      <c r="G1166" s="29">
        <f>'Hitung Per Bulan'!G1166</f>
        <v>268553262</v>
      </c>
    </row>
    <row r="1167" spans="1:7" x14ac:dyDescent="0.45">
      <c r="A1167" t="s">
        <v>10</v>
      </c>
      <c r="B1167" t="s">
        <v>39</v>
      </c>
      <c r="C1167" t="s">
        <v>26</v>
      </c>
      <c r="D1167" s="24">
        <v>213333000</v>
      </c>
      <c r="E1167" s="29">
        <f>'Hitung Per Bulan'!E1167</f>
        <v>186153806</v>
      </c>
      <c r="F1167" s="24">
        <v>213333000</v>
      </c>
      <c r="G1167" s="29">
        <f>'Hitung Per Bulan'!G1167</f>
        <v>178077441</v>
      </c>
    </row>
    <row r="1168" spans="1:7" x14ac:dyDescent="0.45">
      <c r="A1168" t="s">
        <v>11</v>
      </c>
      <c r="B1168" t="s">
        <v>39</v>
      </c>
      <c r="C1168" t="s">
        <v>26</v>
      </c>
      <c r="D1168" s="24">
        <v>213333000</v>
      </c>
      <c r="E1168" s="29">
        <f>'Hitung Per Bulan'!E1168</f>
        <v>0</v>
      </c>
      <c r="F1168" s="24">
        <v>213333000</v>
      </c>
      <c r="G1168" s="29">
        <f>'Hitung Per Bulan'!G1168</f>
        <v>0</v>
      </c>
    </row>
    <row r="1169" spans="1:7" x14ac:dyDescent="0.45">
      <c r="A1169" t="s">
        <v>12</v>
      </c>
      <c r="B1169" t="s">
        <v>39</v>
      </c>
      <c r="C1169" t="s">
        <v>26</v>
      </c>
      <c r="D1169" s="24">
        <v>213333000</v>
      </c>
      <c r="E1169" s="29" t="str">
        <f>'Hitung Per Bulan'!E1169</f>
        <v/>
      </c>
      <c r="F1169" s="24">
        <v>213333000</v>
      </c>
      <c r="G1169" s="29" t="str">
        <f>'Hitung Per Bulan'!G1169</f>
        <v/>
      </c>
    </row>
    <row r="1170" spans="1:7" x14ac:dyDescent="0.45">
      <c r="A1170" t="s">
        <v>13</v>
      </c>
      <c r="B1170" t="s">
        <v>39</v>
      </c>
      <c r="C1170" t="s">
        <v>26</v>
      </c>
      <c r="D1170" s="24">
        <v>213333000</v>
      </c>
      <c r="E1170" s="29" t="str">
        <f>'Hitung Per Bulan'!E1170</f>
        <v/>
      </c>
      <c r="F1170" s="24">
        <v>213333000</v>
      </c>
      <c r="G1170" s="29" t="str">
        <f>'Hitung Per Bulan'!G1170</f>
        <v/>
      </c>
    </row>
    <row r="1171" spans="1:7" x14ac:dyDescent="0.45">
      <c r="A1171" t="s">
        <v>14</v>
      </c>
      <c r="B1171" t="s">
        <v>39</v>
      </c>
      <c r="C1171" t="s">
        <v>26</v>
      </c>
      <c r="D1171" s="24">
        <v>213333000</v>
      </c>
      <c r="E1171" s="29" t="str">
        <f>'Hitung Per Bulan'!E1171</f>
        <v/>
      </c>
      <c r="F1171" s="24">
        <v>213333000</v>
      </c>
      <c r="G1171" s="29" t="str">
        <f>'Hitung Per Bulan'!G1171</f>
        <v/>
      </c>
    </row>
    <row r="1172" spans="1:7" x14ac:dyDescent="0.45">
      <c r="A1172" t="s">
        <v>15</v>
      </c>
      <c r="B1172" t="s">
        <v>39</v>
      </c>
      <c r="C1172" t="s">
        <v>26</v>
      </c>
      <c r="D1172" s="24">
        <v>213333000</v>
      </c>
      <c r="E1172" s="29" t="str">
        <f>'Hitung Per Bulan'!E1172</f>
        <v/>
      </c>
      <c r="F1172" s="24">
        <v>213333000</v>
      </c>
      <c r="G1172" s="29" t="str">
        <f>'Hitung Per Bulan'!G1172</f>
        <v/>
      </c>
    </row>
    <row r="1173" spans="1:7" x14ac:dyDescent="0.45">
      <c r="A1173" t="s">
        <v>16</v>
      </c>
      <c r="B1173" t="s">
        <v>39</v>
      </c>
      <c r="C1173" t="s">
        <v>26</v>
      </c>
      <c r="D1173" s="24">
        <v>213333000</v>
      </c>
      <c r="E1173" s="29" t="str">
        <f>'Hitung Per Bulan'!E1173</f>
        <v/>
      </c>
      <c r="F1173" s="24">
        <v>213333000</v>
      </c>
      <c r="G1173" s="29" t="str">
        <f>'Hitung Per Bulan'!G1173</f>
        <v/>
      </c>
    </row>
    <row r="1174" spans="1:7" x14ac:dyDescent="0.45">
      <c r="A1174" t="s">
        <v>17</v>
      </c>
      <c r="B1174" t="s">
        <v>39</v>
      </c>
      <c r="C1174" t="s">
        <v>26</v>
      </c>
      <c r="D1174" s="24">
        <v>213333000</v>
      </c>
      <c r="E1174" s="29" t="str">
        <f>'Hitung Per Bulan'!E1174</f>
        <v/>
      </c>
      <c r="F1174" s="24">
        <v>213333000</v>
      </c>
      <c r="G1174" s="29" t="str">
        <f>'Hitung Per Bulan'!G1174</f>
        <v/>
      </c>
    </row>
    <row r="1175" spans="1:7" x14ac:dyDescent="0.45">
      <c r="A1175" t="s">
        <v>18</v>
      </c>
      <c r="B1175" t="s">
        <v>39</v>
      </c>
      <c r="C1175" t="s">
        <v>26</v>
      </c>
      <c r="D1175" s="24">
        <v>213333000</v>
      </c>
      <c r="E1175" s="29" t="str">
        <f>'Hitung Per Bulan'!E1175</f>
        <v/>
      </c>
      <c r="F1175" s="24">
        <v>213333000</v>
      </c>
      <c r="G1175" s="29" t="str">
        <f>'Hitung Per Bulan'!G1175</f>
        <v/>
      </c>
    </row>
    <row r="1176" spans="1:7" x14ac:dyDescent="0.45">
      <c r="A1176" t="s">
        <v>19</v>
      </c>
      <c r="B1176" t="s">
        <v>39</v>
      </c>
      <c r="C1176" t="s">
        <v>26</v>
      </c>
      <c r="D1176" s="24">
        <v>213333000</v>
      </c>
      <c r="E1176" s="29" t="str">
        <f>'Hitung Per Bulan'!E1176</f>
        <v/>
      </c>
      <c r="F1176" s="24">
        <v>213333000</v>
      </c>
      <c r="G1176" s="29" t="str">
        <f>'Hitung Per Bulan'!G1176</f>
        <v/>
      </c>
    </row>
    <row r="1177" spans="1:7" x14ac:dyDescent="0.45">
      <c r="A1177" t="s">
        <v>20</v>
      </c>
      <c r="B1177" t="s">
        <v>39</v>
      </c>
      <c r="C1177" t="s">
        <v>26</v>
      </c>
      <c r="D1177" s="24">
        <v>213337000</v>
      </c>
      <c r="E1177" s="29" t="str">
        <f>'Hitung Per Bulan'!E1177</f>
        <v/>
      </c>
      <c r="F1177" s="24">
        <v>213337000</v>
      </c>
      <c r="G1177" s="29" t="str">
        <f>'Hitung Per Bulan'!G1177</f>
        <v/>
      </c>
    </row>
    <row r="1178" spans="1:7" x14ac:dyDescent="0.45">
      <c r="A1178" t="s">
        <v>7</v>
      </c>
      <c r="B1178" t="s">
        <v>40</v>
      </c>
      <c r="C1178" t="s">
        <v>9</v>
      </c>
      <c r="D1178" s="24">
        <v>100000000</v>
      </c>
      <c r="E1178" s="29">
        <f>'Hitung Per Bulan'!E1178</f>
        <v>9143456586</v>
      </c>
      <c r="F1178" s="24">
        <v>0</v>
      </c>
      <c r="G1178" s="29">
        <f>'Hitung Per Bulan'!G1178</f>
        <v>0</v>
      </c>
    </row>
    <row r="1179" spans="1:7" x14ac:dyDescent="0.45">
      <c r="A1179" t="s">
        <v>10</v>
      </c>
      <c r="B1179" t="s">
        <v>40</v>
      </c>
      <c r="C1179" t="s">
        <v>9</v>
      </c>
      <c r="D1179" s="24">
        <v>720600000</v>
      </c>
      <c r="E1179" s="29">
        <f>'Hitung Per Bulan'!E1179</f>
        <v>477983925</v>
      </c>
      <c r="F1179" s="24">
        <v>100000000</v>
      </c>
      <c r="G1179" s="29">
        <f>'Hitung Per Bulan'!G1179</f>
        <v>166766116</v>
      </c>
    </row>
    <row r="1180" spans="1:7" x14ac:dyDescent="0.45">
      <c r="A1180" t="s">
        <v>11</v>
      </c>
      <c r="B1180" t="s">
        <v>40</v>
      </c>
      <c r="C1180" t="s">
        <v>9</v>
      </c>
      <c r="D1180" s="24">
        <v>12889972000</v>
      </c>
      <c r="E1180" s="29">
        <f>'Hitung Per Bulan'!E1180</f>
        <v>22962533</v>
      </c>
      <c r="F1180" s="24">
        <v>100000000</v>
      </c>
      <c r="G1180" s="29">
        <f>'Hitung Per Bulan'!G1180</f>
        <v>53553451</v>
      </c>
    </row>
    <row r="1181" spans="1:7" x14ac:dyDescent="0.45">
      <c r="A1181" t="s">
        <v>12</v>
      </c>
      <c r="B1181" t="s">
        <v>40</v>
      </c>
      <c r="C1181" t="s">
        <v>9</v>
      </c>
      <c r="D1181" s="24">
        <v>2342762000</v>
      </c>
      <c r="E1181" s="29" t="str">
        <f>'Hitung Per Bulan'!E1181</f>
        <v/>
      </c>
      <c r="F1181" s="24">
        <v>400000000</v>
      </c>
      <c r="G1181" s="29" t="str">
        <f>'Hitung Per Bulan'!G1181</f>
        <v/>
      </c>
    </row>
    <row r="1182" spans="1:7" x14ac:dyDescent="0.45">
      <c r="A1182" t="s">
        <v>13</v>
      </c>
      <c r="B1182" t="s">
        <v>40</v>
      </c>
      <c r="C1182" t="s">
        <v>9</v>
      </c>
      <c r="D1182" s="24">
        <v>4570752000</v>
      </c>
      <c r="E1182" s="29" t="str">
        <f>'Hitung Per Bulan'!E1182</f>
        <v/>
      </c>
      <c r="F1182" s="24">
        <v>1255838000</v>
      </c>
      <c r="G1182" s="29" t="str">
        <f>'Hitung Per Bulan'!G1182</f>
        <v/>
      </c>
    </row>
    <row r="1183" spans="1:7" x14ac:dyDescent="0.45">
      <c r="A1183" t="s">
        <v>14</v>
      </c>
      <c r="B1183" t="s">
        <v>40</v>
      </c>
      <c r="C1183" t="s">
        <v>9</v>
      </c>
      <c r="D1183" s="24">
        <v>3338000000</v>
      </c>
      <c r="E1183" s="29" t="str">
        <f>'Hitung Per Bulan'!E1183</f>
        <v/>
      </c>
      <c r="F1183" s="24">
        <v>2086687000</v>
      </c>
      <c r="G1183" s="29" t="str">
        <f>'Hitung Per Bulan'!G1183</f>
        <v/>
      </c>
    </row>
    <row r="1184" spans="1:7" x14ac:dyDescent="0.45">
      <c r="A1184" t="s">
        <v>15</v>
      </c>
      <c r="B1184" t="s">
        <v>40</v>
      </c>
      <c r="C1184" t="s">
        <v>9</v>
      </c>
      <c r="D1184" s="24">
        <v>3740485000</v>
      </c>
      <c r="E1184" s="29" t="str">
        <f>'Hitung Per Bulan'!E1184</f>
        <v/>
      </c>
      <c r="F1184" s="24">
        <v>1503128000</v>
      </c>
      <c r="G1184" s="29" t="str">
        <f>'Hitung Per Bulan'!G1184</f>
        <v/>
      </c>
    </row>
    <row r="1185" spans="1:7" x14ac:dyDescent="0.45">
      <c r="A1185" t="s">
        <v>16</v>
      </c>
      <c r="B1185" t="s">
        <v>40</v>
      </c>
      <c r="C1185" t="s">
        <v>9</v>
      </c>
      <c r="D1185" s="24">
        <v>957197000</v>
      </c>
      <c r="E1185" s="29" t="str">
        <f>'Hitung Per Bulan'!E1185</f>
        <v/>
      </c>
      <c r="F1185" s="24">
        <v>463000000</v>
      </c>
      <c r="G1185" s="29" t="str">
        <f>'Hitung Per Bulan'!G1185</f>
        <v/>
      </c>
    </row>
    <row r="1186" spans="1:7" x14ac:dyDescent="0.45">
      <c r="A1186" t="s">
        <v>17</v>
      </c>
      <c r="B1186" t="s">
        <v>40</v>
      </c>
      <c r="C1186" t="s">
        <v>9</v>
      </c>
      <c r="D1186" s="24">
        <v>700784000</v>
      </c>
      <c r="E1186" s="29" t="str">
        <f>'Hitung Per Bulan'!E1186</f>
        <v/>
      </c>
      <c r="F1186" s="24">
        <v>5434938000</v>
      </c>
      <c r="G1186" s="29" t="str">
        <f>'Hitung Per Bulan'!G1186</f>
        <v/>
      </c>
    </row>
    <row r="1187" spans="1:7" x14ac:dyDescent="0.45">
      <c r="A1187" t="s">
        <v>18</v>
      </c>
      <c r="B1187" t="s">
        <v>40</v>
      </c>
      <c r="C1187" t="s">
        <v>9</v>
      </c>
      <c r="D1187" s="24">
        <v>600000000</v>
      </c>
      <c r="E1187" s="29" t="str">
        <f>'Hitung Per Bulan'!E1187</f>
        <v/>
      </c>
      <c r="F1187" s="24">
        <v>6916826000</v>
      </c>
      <c r="G1187" s="29" t="str">
        <f>'Hitung Per Bulan'!G1187</f>
        <v/>
      </c>
    </row>
    <row r="1188" spans="1:7" x14ac:dyDescent="0.45">
      <c r="A1188" t="s">
        <v>19</v>
      </c>
      <c r="B1188" t="s">
        <v>40</v>
      </c>
      <c r="C1188" t="s">
        <v>9</v>
      </c>
      <c r="D1188" s="24">
        <v>264698000</v>
      </c>
      <c r="E1188" s="29" t="str">
        <f>'Hitung Per Bulan'!E1188</f>
        <v/>
      </c>
      <c r="F1188" s="24">
        <v>8663150000</v>
      </c>
      <c r="G1188" s="29" t="str">
        <f>'Hitung Per Bulan'!G1188</f>
        <v/>
      </c>
    </row>
    <row r="1189" spans="1:7" x14ac:dyDescent="0.45">
      <c r="A1189" t="s">
        <v>20</v>
      </c>
      <c r="B1189" t="s">
        <v>40</v>
      </c>
      <c r="C1189" t="s">
        <v>9</v>
      </c>
      <c r="D1189" s="24">
        <v>100000000</v>
      </c>
      <c r="E1189" s="29" t="str">
        <f>'Hitung Per Bulan'!E1189</f>
        <v/>
      </c>
      <c r="F1189" s="24">
        <v>3401683000</v>
      </c>
      <c r="G1189" s="29" t="str">
        <f>'Hitung Per Bulan'!G1189</f>
        <v/>
      </c>
    </row>
    <row r="1190" spans="1:7" x14ac:dyDescent="0.45">
      <c r="A1190" t="s">
        <v>7</v>
      </c>
      <c r="B1190" t="s">
        <v>40</v>
      </c>
      <c r="C1190" t="s">
        <v>21</v>
      </c>
      <c r="D1190" s="24">
        <v>0</v>
      </c>
      <c r="E1190" s="29">
        <f>'Hitung Per Bulan'!E1190</f>
        <v>0</v>
      </c>
      <c r="F1190" s="24">
        <v>0</v>
      </c>
      <c r="G1190" s="29">
        <f>'Hitung Per Bulan'!G1190</f>
        <v>0</v>
      </c>
    </row>
    <row r="1191" spans="1:7" x14ac:dyDescent="0.45">
      <c r="A1191" t="s">
        <v>10</v>
      </c>
      <c r="B1191" t="s">
        <v>40</v>
      </c>
      <c r="C1191" t="s">
        <v>21</v>
      </c>
      <c r="D1191" s="24">
        <v>0</v>
      </c>
      <c r="E1191" s="29">
        <f>'Hitung Per Bulan'!E1191</f>
        <v>0</v>
      </c>
      <c r="F1191" s="24">
        <v>0</v>
      </c>
      <c r="G1191" s="29">
        <f>'Hitung Per Bulan'!G1191</f>
        <v>0</v>
      </c>
    </row>
    <row r="1192" spans="1:7" x14ac:dyDescent="0.45">
      <c r="A1192" t="s">
        <v>11</v>
      </c>
      <c r="B1192" t="s">
        <v>40</v>
      </c>
      <c r="C1192" t="s">
        <v>21</v>
      </c>
      <c r="D1192" s="24">
        <v>0</v>
      </c>
      <c r="E1192" s="29">
        <f>'Hitung Per Bulan'!E1192</f>
        <v>4951687</v>
      </c>
      <c r="F1192" s="24">
        <v>0</v>
      </c>
      <c r="G1192" s="29">
        <f>'Hitung Per Bulan'!G1192</f>
        <v>0</v>
      </c>
    </row>
    <row r="1193" spans="1:7" x14ac:dyDescent="0.45">
      <c r="A1193" t="s">
        <v>12</v>
      </c>
      <c r="B1193" t="s">
        <v>40</v>
      </c>
      <c r="C1193" t="s">
        <v>21</v>
      </c>
      <c r="D1193" s="24">
        <v>0</v>
      </c>
      <c r="E1193" s="29" t="str">
        <f>'Hitung Per Bulan'!E1193</f>
        <v/>
      </c>
      <c r="F1193" s="24">
        <v>0</v>
      </c>
      <c r="G1193" s="29" t="str">
        <f>'Hitung Per Bulan'!G1193</f>
        <v/>
      </c>
    </row>
    <row r="1194" spans="1:7" x14ac:dyDescent="0.45">
      <c r="A1194" t="s">
        <v>13</v>
      </c>
      <c r="B1194" t="s">
        <v>40</v>
      </c>
      <c r="C1194" t="s">
        <v>21</v>
      </c>
      <c r="D1194" s="24">
        <v>0</v>
      </c>
      <c r="E1194" s="29" t="str">
        <f>'Hitung Per Bulan'!E1194</f>
        <v/>
      </c>
      <c r="F1194" s="24">
        <v>0</v>
      </c>
      <c r="G1194" s="29" t="str">
        <f>'Hitung Per Bulan'!G1194</f>
        <v/>
      </c>
    </row>
    <row r="1195" spans="1:7" x14ac:dyDescent="0.45">
      <c r="A1195" t="s">
        <v>14</v>
      </c>
      <c r="B1195" t="s">
        <v>40</v>
      </c>
      <c r="C1195" t="s">
        <v>21</v>
      </c>
      <c r="D1195" s="24">
        <v>0</v>
      </c>
      <c r="E1195" s="29" t="str">
        <f>'Hitung Per Bulan'!E1195</f>
        <v/>
      </c>
      <c r="F1195" s="24">
        <v>0</v>
      </c>
      <c r="G1195" s="29" t="str">
        <f>'Hitung Per Bulan'!G1195</f>
        <v/>
      </c>
    </row>
    <row r="1196" spans="1:7" x14ac:dyDescent="0.45">
      <c r="A1196" t="s">
        <v>15</v>
      </c>
      <c r="B1196" t="s">
        <v>40</v>
      </c>
      <c r="C1196" t="s">
        <v>21</v>
      </c>
      <c r="D1196" s="24">
        <v>0</v>
      </c>
      <c r="E1196" s="29" t="str">
        <f>'Hitung Per Bulan'!E1196</f>
        <v/>
      </c>
      <c r="F1196" s="24">
        <v>0</v>
      </c>
      <c r="G1196" s="29" t="str">
        <f>'Hitung Per Bulan'!G1196</f>
        <v/>
      </c>
    </row>
    <row r="1197" spans="1:7" x14ac:dyDescent="0.45">
      <c r="A1197" t="s">
        <v>16</v>
      </c>
      <c r="B1197" t="s">
        <v>40</v>
      </c>
      <c r="C1197" t="s">
        <v>21</v>
      </c>
      <c r="D1197" s="24">
        <v>150000000</v>
      </c>
      <c r="E1197" s="29" t="str">
        <f>'Hitung Per Bulan'!E1197</f>
        <v/>
      </c>
      <c r="F1197" s="24">
        <v>0</v>
      </c>
      <c r="G1197" s="29" t="str">
        <f>'Hitung Per Bulan'!G1197</f>
        <v/>
      </c>
    </row>
    <row r="1198" spans="1:7" x14ac:dyDescent="0.45">
      <c r="A1198" t="s">
        <v>17</v>
      </c>
      <c r="B1198" t="s">
        <v>40</v>
      </c>
      <c r="C1198" t="s">
        <v>21</v>
      </c>
      <c r="D1198" s="24">
        <v>0</v>
      </c>
      <c r="E1198" s="29" t="str">
        <f>'Hitung Per Bulan'!E1198</f>
        <v/>
      </c>
      <c r="F1198" s="24">
        <v>0</v>
      </c>
      <c r="G1198" s="29" t="str">
        <f>'Hitung Per Bulan'!G1198</f>
        <v/>
      </c>
    </row>
    <row r="1199" spans="1:7" x14ac:dyDescent="0.45">
      <c r="A1199" t="s">
        <v>18</v>
      </c>
      <c r="B1199" t="s">
        <v>40</v>
      </c>
      <c r="C1199" t="s">
        <v>21</v>
      </c>
      <c r="D1199" s="24">
        <v>0</v>
      </c>
      <c r="E1199" s="29" t="str">
        <f>'Hitung Per Bulan'!E1199</f>
        <v/>
      </c>
      <c r="F1199" s="24">
        <v>150000000</v>
      </c>
      <c r="G1199" s="29" t="str">
        <f>'Hitung Per Bulan'!G1199</f>
        <v/>
      </c>
    </row>
    <row r="1200" spans="1:7" x14ac:dyDescent="0.45">
      <c r="A1200" t="s">
        <v>19</v>
      </c>
      <c r="B1200" t="s">
        <v>40</v>
      </c>
      <c r="C1200" t="s">
        <v>21</v>
      </c>
      <c r="D1200" s="24">
        <v>150000000</v>
      </c>
      <c r="E1200" s="29" t="str">
        <f>'Hitung Per Bulan'!E1200</f>
        <v/>
      </c>
      <c r="F1200" s="24">
        <v>0</v>
      </c>
      <c r="G1200" s="29" t="str">
        <f>'Hitung Per Bulan'!G1200</f>
        <v/>
      </c>
    </row>
    <row r="1201" spans="1:7" x14ac:dyDescent="0.45">
      <c r="A1201" t="s">
        <v>20</v>
      </c>
      <c r="B1201" t="s">
        <v>40</v>
      </c>
      <c r="C1201" t="s">
        <v>21</v>
      </c>
      <c r="D1201" s="24">
        <v>0</v>
      </c>
      <c r="E1201" s="29" t="str">
        <f>'Hitung Per Bulan'!E1201</f>
        <v/>
      </c>
      <c r="F1201" s="24">
        <v>150000000</v>
      </c>
      <c r="G1201" s="29" t="str">
        <f>'Hitung Per Bulan'!G1201</f>
        <v/>
      </c>
    </row>
    <row r="1202" spans="1:7" x14ac:dyDescent="0.45">
      <c r="A1202" t="s">
        <v>7</v>
      </c>
      <c r="B1202" t="s">
        <v>40</v>
      </c>
      <c r="C1202" t="s">
        <v>22</v>
      </c>
      <c r="D1202" s="24">
        <v>0</v>
      </c>
      <c r="E1202" s="29">
        <f>'Hitung Per Bulan'!E1202</f>
        <v>32200000</v>
      </c>
      <c r="F1202" s="24">
        <v>0</v>
      </c>
      <c r="G1202" s="29">
        <f>'Hitung Per Bulan'!G1202</f>
        <v>0</v>
      </c>
    </row>
    <row r="1203" spans="1:7" x14ac:dyDescent="0.45">
      <c r="A1203" t="s">
        <v>10</v>
      </c>
      <c r="B1203" t="s">
        <v>40</v>
      </c>
      <c r="C1203" t="s">
        <v>22</v>
      </c>
      <c r="D1203" s="24">
        <v>0</v>
      </c>
      <c r="E1203" s="29">
        <f>'Hitung Per Bulan'!E1203</f>
        <v>0</v>
      </c>
      <c r="F1203" s="24">
        <v>0</v>
      </c>
      <c r="G1203" s="29">
        <f>'Hitung Per Bulan'!G1203</f>
        <v>32200000</v>
      </c>
    </row>
    <row r="1204" spans="1:7" x14ac:dyDescent="0.45">
      <c r="A1204" t="s">
        <v>11</v>
      </c>
      <c r="B1204" t="s">
        <v>40</v>
      </c>
      <c r="C1204" t="s">
        <v>22</v>
      </c>
      <c r="D1204" s="24">
        <v>28597000</v>
      </c>
      <c r="E1204" s="29">
        <f>'Hitung Per Bulan'!E1204</f>
        <v>23285000</v>
      </c>
      <c r="F1204" s="24">
        <v>23831000</v>
      </c>
      <c r="G1204" s="29">
        <f>'Hitung Per Bulan'!G1204</f>
        <v>0</v>
      </c>
    </row>
    <row r="1205" spans="1:7" x14ac:dyDescent="0.45">
      <c r="A1205" t="s">
        <v>12</v>
      </c>
      <c r="B1205" t="s">
        <v>40</v>
      </c>
      <c r="C1205" t="s">
        <v>22</v>
      </c>
      <c r="D1205" s="24">
        <v>28597000</v>
      </c>
      <c r="E1205" s="29" t="str">
        <f>'Hitung Per Bulan'!E1205</f>
        <v/>
      </c>
      <c r="F1205" s="24">
        <v>23831000</v>
      </c>
      <c r="G1205" s="29" t="str">
        <f>'Hitung Per Bulan'!G1205</f>
        <v/>
      </c>
    </row>
    <row r="1206" spans="1:7" x14ac:dyDescent="0.45">
      <c r="A1206" t="s">
        <v>13</v>
      </c>
      <c r="B1206" t="s">
        <v>40</v>
      </c>
      <c r="C1206" t="s">
        <v>22</v>
      </c>
      <c r="D1206" s="24">
        <v>28597000</v>
      </c>
      <c r="E1206" s="29" t="str">
        <f>'Hitung Per Bulan'!E1206</f>
        <v/>
      </c>
      <c r="F1206" s="24">
        <v>23831000</v>
      </c>
      <c r="G1206" s="29" t="str">
        <f>'Hitung Per Bulan'!G1206</f>
        <v/>
      </c>
    </row>
    <row r="1207" spans="1:7" x14ac:dyDescent="0.45">
      <c r="A1207" t="s">
        <v>14</v>
      </c>
      <c r="B1207" t="s">
        <v>40</v>
      </c>
      <c r="C1207" t="s">
        <v>22</v>
      </c>
      <c r="D1207" s="24">
        <v>28597000</v>
      </c>
      <c r="E1207" s="29" t="str">
        <f>'Hitung Per Bulan'!E1207</f>
        <v/>
      </c>
      <c r="F1207" s="24">
        <v>23831000</v>
      </c>
      <c r="G1207" s="29" t="str">
        <f>'Hitung Per Bulan'!G1207</f>
        <v/>
      </c>
    </row>
    <row r="1208" spans="1:7" x14ac:dyDescent="0.45">
      <c r="A1208" t="s">
        <v>15</v>
      </c>
      <c r="B1208" t="s">
        <v>40</v>
      </c>
      <c r="C1208" t="s">
        <v>22</v>
      </c>
      <c r="D1208" s="24">
        <v>28597000</v>
      </c>
      <c r="E1208" s="29" t="str">
        <f>'Hitung Per Bulan'!E1208</f>
        <v/>
      </c>
      <c r="F1208" s="24">
        <v>47662000</v>
      </c>
      <c r="G1208" s="29" t="str">
        <f>'Hitung Per Bulan'!G1208</f>
        <v/>
      </c>
    </row>
    <row r="1209" spans="1:7" x14ac:dyDescent="0.45">
      <c r="A1209" t="s">
        <v>16</v>
      </c>
      <c r="B1209" t="s">
        <v>40</v>
      </c>
      <c r="C1209" t="s">
        <v>22</v>
      </c>
      <c r="D1209" s="24">
        <v>28597000</v>
      </c>
      <c r="E1209" s="29" t="str">
        <f>'Hitung Per Bulan'!E1209</f>
        <v/>
      </c>
      <c r="F1209" s="24">
        <v>23831000</v>
      </c>
      <c r="G1209" s="29" t="str">
        <f>'Hitung Per Bulan'!G1209</f>
        <v/>
      </c>
    </row>
    <row r="1210" spans="1:7" x14ac:dyDescent="0.45">
      <c r="A1210" t="s">
        <v>17</v>
      </c>
      <c r="B1210" t="s">
        <v>40</v>
      </c>
      <c r="C1210" t="s">
        <v>22</v>
      </c>
      <c r="D1210" s="24">
        <v>28597000</v>
      </c>
      <c r="E1210" s="29" t="str">
        <f>'Hitung Per Bulan'!E1210</f>
        <v/>
      </c>
      <c r="F1210" s="24">
        <v>23831000</v>
      </c>
      <c r="G1210" s="29" t="str">
        <f>'Hitung Per Bulan'!G1210</f>
        <v/>
      </c>
    </row>
    <row r="1211" spans="1:7" x14ac:dyDescent="0.45">
      <c r="A1211" t="s">
        <v>18</v>
      </c>
      <c r="B1211" t="s">
        <v>40</v>
      </c>
      <c r="C1211" t="s">
        <v>22</v>
      </c>
      <c r="D1211" s="24">
        <v>28597000</v>
      </c>
      <c r="E1211" s="29" t="str">
        <f>'Hitung Per Bulan'!E1211</f>
        <v/>
      </c>
      <c r="F1211" s="24">
        <v>23831000</v>
      </c>
      <c r="G1211" s="29" t="str">
        <f>'Hitung Per Bulan'!G1211</f>
        <v/>
      </c>
    </row>
    <row r="1212" spans="1:7" x14ac:dyDescent="0.45">
      <c r="A1212" t="s">
        <v>19</v>
      </c>
      <c r="B1212" t="s">
        <v>40</v>
      </c>
      <c r="C1212" t="s">
        <v>22</v>
      </c>
      <c r="D1212" s="24">
        <v>28597000</v>
      </c>
      <c r="E1212" s="29" t="str">
        <f>'Hitung Per Bulan'!E1212</f>
        <v/>
      </c>
      <c r="F1212" s="24">
        <v>23831000</v>
      </c>
      <c r="G1212" s="29" t="str">
        <f>'Hitung Per Bulan'!G1212</f>
        <v/>
      </c>
    </row>
    <row r="1213" spans="1:7" x14ac:dyDescent="0.45">
      <c r="A1213" t="s">
        <v>20</v>
      </c>
      <c r="B1213" t="s">
        <v>40</v>
      </c>
      <c r="C1213" t="s">
        <v>22</v>
      </c>
      <c r="D1213" s="24">
        <v>28599000</v>
      </c>
      <c r="E1213" s="29" t="str">
        <f>'Hitung Per Bulan'!E1213</f>
        <v/>
      </c>
      <c r="F1213" s="24">
        <v>47662000</v>
      </c>
      <c r="G1213" s="29" t="str">
        <f>'Hitung Per Bulan'!G1213</f>
        <v/>
      </c>
    </row>
    <row r="1214" spans="1:7" x14ac:dyDescent="0.45">
      <c r="A1214" t="s">
        <v>7</v>
      </c>
      <c r="B1214" t="s">
        <v>40</v>
      </c>
      <c r="C1214" t="s">
        <v>23</v>
      </c>
      <c r="D1214" s="24">
        <v>0</v>
      </c>
      <c r="E1214" s="29">
        <f>'Hitung Per Bulan'!E1214</f>
        <v>18435000</v>
      </c>
      <c r="F1214" s="24">
        <v>0</v>
      </c>
      <c r="G1214" s="29">
        <f>'Hitung Per Bulan'!G1214</f>
        <v>0</v>
      </c>
    </row>
    <row r="1215" spans="1:7" x14ac:dyDescent="0.45">
      <c r="A1215" t="s">
        <v>10</v>
      </c>
      <c r="B1215" t="s">
        <v>40</v>
      </c>
      <c r="C1215" t="s">
        <v>23</v>
      </c>
      <c r="D1215" s="24">
        <v>0</v>
      </c>
      <c r="E1215" s="29">
        <f>'Hitung Per Bulan'!E1215</f>
        <v>64735000</v>
      </c>
      <c r="F1215" s="24">
        <v>0</v>
      </c>
      <c r="G1215" s="29">
        <f>'Hitung Per Bulan'!G1215</f>
        <v>18435000</v>
      </c>
    </row>
    <row r="1216" spans="1:7" x14ac:dyDescent="0.45">
      <c r="A1216" t="s">
        <v>11</v>
      </c>
      <c r="B1216" t="s">
        <v>40</v>
      </c>
      <c r="C1216" t="s">
        <v>23</v>
      </c>
      <c r="D1216" s="24">
        <v>0</v>
      </c>
      <c r="E1216" s="29">
        <f>'Hitung Per Bulan'!E1216</f>
        <v>0</v>
      </c>
      <c r="F1216" s="24">
        <v>0</v>
      </c>
      <c r="G1216" s="29">
        <f>'Hitung Per Bulan'!G1216</f>
        <v>0</v>
      </c>
    </row>
    <row r="1217" spans="1:7" x14ac:dyDescent="0.45">
      <c r="A1217" t="s">
        <v>12</v>
      </c>
      <c r="B1217" t="s">
        <v>40</v>
      </c>
      <c r="C1217" t="s">
        <v>23</v>
      </c>
      <c r="D1217" s="24">
        <v>0</v>
      </c>
      <c r="E1217" s="29" t="str">
        <f>'Hitung Per Bulan'!E1217</f>
        <v/>
      </c>
      <c r="F1217" s="24">
        <v>0</v>
      </c>
      <c r="G1217" s="29" t="str">
        <f>'Hitung Per Bulan'!G1217</f>
        <v/>
      </c>
    </row>
    <row r="1218" spans="1:7" x14ac:dyDescent="0.45">
      <c r="A1218" t="s">
        <v>13</v>
      </c>
      <c r="B1218" t="s">
        <v>40</v>
      </c>
      <c r="C1218" t="s">
        <v>23</v>
      </c>
      <c r="D1218" s="24">
        <v>130000000</v>
      </c>
      <c r="E1218" s="29" t="str">
        <f>'Hitung Per Bulan'!E1218</f>
        <v/>
      </c>
      <c r="F1218" s="24">
        <v>0</v>
      </c>
      <c r="G1218" s="29" t="str">
        <f>'Hitung Per Bulan'!G1218</f>
        <v/>
      </c>
    </row>
    <row r="1219" spans="1:7" x14ac:dyDescent="0.45">
      <c r="A1219" t="s">
        <v>14</v>
      </c>
      <c r="B1219" t="s">
        <v>40</v>
      </c>
      <c r="C1219" t="s">
        <v>23</v>
      </c>
      <c r="D1219" s="24">
        <v>0</v>
      </c>
      <c r="E1219" s="29" t="str">
        <f>'Hitung Per Bulan'!E1219</f>
        <v/>
      </c>
      <c r="F1219" s="24">
        <v>0</v>
      </c>
      <c r="G1219" s="29" t="str">
        <f>'Hitung Per Bulan'!G1219</f>
        <v/>
      </c>
    </row>
    <row r="1220" spans="1:7" x14ac:dyDescent="0.45">
      <c r="A1220" t="s">
        <v>15</v>
      </c>
      <c r="B1220" t="s">
        <v>40</v>
      </c>
      <c r="C1220" t="s">
        <v>23</v>
      </c>
      <c r="D1220" s="24">
        <v>0</v>
      </c>
      <c r="E1220" s="29" t="str">
        <f>'Hitung Per Bulan'!E1220</f>
        <v/>
      </c>
      <c r="F1220" s="24">
        <v>0</v>
      </c>
      <c r="G1220" s="29" t="str">
        <f>'Hitung Per Bulan'!G1220</f>
        <v/>
      </c>
    </row>
    <row r="1221" spans="1:7" x14ac:dyDescent="0.45">
      <c r="A1221" t="s">
        <v>16</v>
      </c>
      <c r="B1221" t="s">
        <v>40</v>
      </c>
      <c r="C1221" t="s">
        <v>23</v>
      </c>
      <c r="D1221" s="24">
        <v>350000000</v>
      </c>
      <c r="E1221" s="29" t="str">
        <f>'Hitung Per Bulan'!E1221</f>
        <v/>
      </c>
      <c r="F1221" s="24">
        <v>130000000</v>
      </c>
      <c r="G1221" s="29" t="str">
        <f>'Hitung Per Bulan'!G1221</f>
        <v/>
      </c>
    </row>
    <row r="1222" spans="1:7" x14ac:dyDescent="0.45">
      <c r="A1222" t="s">
        <v>17</v>
      </c>
      <c r="B1222" t="s">
        <v>40</v>
      </c>
      <c r="C1222" t="s">
        <v>23</v>
      </c>
      <c r="D1222" s="24">
        <v>0</v>
      </c>
      <c r="E1222" s="29" t="str">
        <f>'Hitung Per Bulan'!E1222</f>
        <v/>
      </c>
      <c r="F1222" s="24">
        <v>0</v>
      </c>
      <c r="G1222" s="29" t="str">
        <f>'Hitung Per Bulan'!G1222</f>
        <v/>
      </c>
    </row>
    <row r="1223" spans="1:7" x14ac:dyDescent="0.45">
      <c r="A1223" t="s">
        <v>18</v>
      </c>
      <c r="B1223" t="s">
        <v>40</v>
      </c>
      <c r="C1223" t="s">
        <v>23</v>
      </c>
      <c r="D1223" s="24">
        <v>0</v>
      </c>
      <c r="E1223" s="29" t="str">
        <f>'Hitung Per Bulan'!E1223</f>
        <v/>
      </c>
      <c r="F1223" s="24">
        <v>350000000</v>
      </c>
      <c r="G1223" s="29" t="str">
        <f>'Hitung Per Bulan'!G1223</f>
        <v/>
      </c>
    </row>
    <row r="1224" spans="1:7" x14ac:dyDescent="0.45">
      <c r="A1224" t="s">
        <v>19</v>
      </c>
      <c r="B1224" t="s">
        <v>40</v>
      </c>
      <c r="C1224" t="s">
        <v>23</v>
      </c>
      <c r="D1224" s="24">
        <v>165000000</v>
      </c>
      <c r="E1224" s="29" t="str">
        <f>'Hitung Per Bulan'!E1224</f>
        <v/>
      </c>
      <c r="F1224" s="24">
        <v>0</v>
      </c>
      <c r="G1224" s="29" t="str">
        <f>'Hitung Per Bulan'!G1224</f>
        <v/>
      </c>
    </row>
    <row r="1225" spans="1:7" x14ac:dyDescent="0.45">
      <c r="A1225" t="s">
        <v>20</v>
      </c>
      <c r="B1225" t="s">
        <v>40</v>
      </c>
      <c r="C1225" t="s">
        <v>23</v>
      </c>
      <c r="D1225" s="24">
        <v>0</v>
      </c>
      <c r="E1225" s="29" t="str">
        <f>'Hitung Per Bulan'!E1225</f>
        <v/>
      </c>
      <c r="F1225" s="24">
        <v>165000000</v>
      </c>
      <c r="G1225" s="29" t="str">
        <f>'Hitung Per Bulan'!G1225</f>
        <v/>
      </c>
    </row>
    <row r="1226" spans="1:7" x14ac:dyDescent="0.45">
      <c r="A1226" t="s">
        <v>7</v>
      </c>
      <c r="B1226" t="s">
        <v>40</v>
      </c>
      <c r="C1226" t="s">
        <v>24</v>
      </c>
      <c r="D1226" s="24">
        <v>0</v>
      </c>
      <c r="E1226" s="29">
        <f>'Hitung Per Bulan'!E1226</f>
        <v>0</v>
      </c>
      <c r="F1226" s="24">
        <v>0</v>
      </c>
      <c r="G1226" s="29">
        <f>'Hitung Per Bulan'!G1226</f>
        <v>0</v>
      </c>
    </row>
    <row r="1227" spans="1:7" x14ac:dyDescent="0.45">
      <c r="A1227" t="s">
        <v>10</v>
      </c>
      <c r="B1227" t="s">
        <v>40</v>
      </c>
      <c r="C1227" t="s">
        <v>24</v>
      </c>
      <c r="D1227" s="24">
        <v>0</v>
      </c>
      <c r="E1227" s="29">
        <f>'Hitung Per Bulan'!E1227</f>
        <v>0</v>
      </c>
      <c r="F1227" s="24">
        <v>0</v>
      </c>
      <c r="G1227" s="29">
        <f>'Hitung Per Bulan'!G1227</f>
        <v>0</v>
      </c>
    </row>
    <row r="1228" spans="1:7" x14ac:dyDescent="0.45">
      <c r="A1228" t="s">
        <v>11</v>
      </c>
      <c r="B1228" t="s">
        <v>40</v>
      </c>
      <c r="C1228" t="s">
        <v>24</v>
      </c>
      <c r="D1228" s="24">
        <v>0</v>
      </c>
      <c r="E1228" s="29">
        <f>'Hitung Per Bulan'!E1228</f>
        <v>0</v>
      </c>
      <c r="F1228" s="24">
        <v>0</v>
      </c>
      <c r="G1228" s="29">
        <f>'Hitung Per Bulan'!G1228</f>
        <v>0</v>
      </c>
    </row>
    <row r="1229" spans="1:7" x14ac:dyDescent="0.45">
      <c r="A1229" t="s">
        <v>12</v>
      </c>
      <c r="B1229" t="s">
        <v>40</v>
      </c>
      <c r="C1229" t="s">
        <v>24</v>
      </c>
      <c r="D1229" s="24">
        <v>0</v>
      </c>
      <c r="E1229" s="29" t="str">
        <f>'Hitung Per Bulan'!E1229</f>
        <v/>
      </c>
      <c r="F1229" s="24">
        <v>0</v>
      </c>
      <c r="G1229" s="29" t="str">
        <f>'Hitung Per Bulan'!G1229</f>
        <v/>
      </c>
    </row>
    <row r="1230" spans="1:7" x14ac:dyDescent="0.45">
      <c r="A1230" t="s">
        <v>13</v>
      </c>
      <c r="B1230" t="s">
        <v>40</v>
      </c>
      <c r="C1230" t="s">
        <v>24</v>
      </c>
      <c r="D1230" s="24">
        <v>0</v>
      </c>
      <c r="E1230" s="29" t="str">
        <f>'Hitung Per Bulan'!E1230</f>
        <v/>
      </c>
      <c r="F1230" s="24">
        <v>0</v>
      </c>
      <c r="G1230" s="29" t="str">
        <f>'Hitung Per Bulan'!G1230</f>
        <v/>
      </c>
    </row>
    <row r="1231" spans="1:7" x14ac:dyDescent="0.45">
      <c r="A1231" t="s">
        <v>14</v>
      </c>
      <c r="B1231" t="s">
        <v>40</v>
      </c>
      <c r="C1231" t="s">
        <v>24</v>
      </c>
      <c r="D1231" s="24">
        <v>0</v>
      </c>
      <c r="E1231" s="29" t="str">
        <f>'Hitung Per Bulan'!E1231</f>
        <v/>
      </c>
      <c r="F1231" s="24">
        <v>0</v>
      </c>
      <c r="G1231" s="29" t="str">
        <f>'Hitung Per Bulan'!G1231</f>
        <v/>
      </c>
    </row>
    <row r="1232" spans="1:7" x14ac:dyDescent="0.45">
      <c r="A1232" t="s">
        <v>15</v>
      </c>
      <c r="B1232" t="s">
        <v>40</v>
      </c>
      <c r="C1232" t="s">
        <v>24</v>
      </c>
      <c r="D1232" s="24">
        <v>0</v>
      </c>
      <c r="E1232" s="29" t="str">
        <f>'Hitung Per Bulan'!E1232</f>
        <v/>
      </c>
      <c r="F1232" s="24">
        <v>0</v>
      </c>
      <c r="G1232" s="29" t="str">
        <f>'Hitung Per Bulan'!G1232</f>
        <v/>
      </c>
    </row>
    <row r="1233" spans="1:7" x14ac:dyDescent="0.45">
      <c r="A1233" t="s">
        <v>16</v>
      </c>
      <c r="B1233" t="s">
        <v>40</v>
      </c>
      <c r="C1233" t="s">
        <v>24</v>
      </c>
      <c r="D1233" s="24">
        <v>0</v>
      </c>
      <c r="E1233" s="29" t="str">
        <f>'Hitung Per Bulan'!E1233</f>
        <v/>
      </c>
      <c r="F1233" s="24">
        <v>0</v>
      </c>
      <c r="G1233" s="29" t="str">
        <f>'Hitung Per Bulan'!G1233</f>
        <v/>
      </c>
    </row>
    <row r="1234" spans="1:7" x14ac:dyDescent="0.45">
      <c r="A1234" t="s">
        <v>17</v>
      </c>
      <c r="B1234" t="s">
        <v>40</v>
      </c>
      <c r="C1234" t="s">
        <v>24</v>
      </c>
      <c r="D1234" s="24">
        <v>0</v>
      </c>
      <c r="E1234" s="29" t="str">
        <f>'Hitung Per Bulan'!E1234</f>
        <v/>
      </c>
      <c r="F1234" s="24">
        <v>0</v>
      </c>
      <c r="G1234" s="29" t="str">
        <f>'Hitung Per Bulan'!G1234</f>
        <v/>
      </c>
    </row>
    <row r="1235" spans="1:7" x14ac:dyDescent="0.45">
      <c r="A1235" t="s">
        <v>18</v>
      </c>
      <c r="B1235" t="s">
        <v>40</v>
      </c>
      <c r="C1235" t="s">
        <v>24</v>
      </c>
      <c r="D1235" s="24">
        <v>0</v>
      </c>
      <c r="E1235" s="29" t="str">
        <f>'Hitung Per Bulan'!E1235</f>
        <v/>
      </c>
      <c r="F1235" s="24">
        <v>0</v>
      </c>
      <c r="G1235" s="29" t="str">
        <f>'Hitung Per Bulan'!G1235</f>
        <v/>
      </c>
    </row>
    <row r="1236" spans="1:7" x14ac:dyDescent="0.45">
      <c r="A1236" t="s">
        <v>19</v>
      </c>
      <c r="B1236" t="s">
        <v>40</v>
      </c>
      <c r="C1236" t="s">
        <v>24</v>
      </c>
      <c r="D1236" s="24">
        <v>0</v>
      </c>
      <c r="E1236" s="29" t="str">
        <f>'Hitung Per Bulan'!E1236</f>
        <v/>
      </c>
      <c r="F1236" s="24">
        <v>0</v>
      </c>
      <c r="G1236" s="29" t="str">
        <f>'Hitung Per Bulan'!G1236</f>
        <v/>
      </c>
    </row>
    <row r="1237" spans="1:7" x14ac:dyDescent="0.45">
      <c r="A1237" t="s">
        <v>20</v>
      </c>
      <c r="B1237" t="s">
        <v>40</v>
      </c>
      <c r="C1237" t="s">
        <v>24</v>
      </c>
      <c r="D1237" s="24">
        <v>0</v>
      </c>
      <c r="E1237" s="29" t="str">
        <f>'Hitung Per Bulan'!E1237</f>
        <v/>
      </c>
      <c r="F1237" s="24">
        <v>0</v>
      </c>
      <c r="G1237" s="29" t="str">
        <f>'Hitung Per Bulan'!G1237</f>
        <v/>
      </c>
    </row>
    <row r="1238" spans="1:7" x14ac:dyDescent="0.45">
      <c r="A1238" t="s">
        <v>7</v>
      </c>
      <c r="B1238" t="s">
        <v>40</v>
      </c>
      <c r="C1238" t="s">
        <v>25</v>
      </c>
      <c r="D1238" s="24">
        <v>48354000</v>
      </c>
      <c r="E1238" s="29">
        <f>'Hitung Per Bulan'!E1238</f>
        <v>78887534</v>
      </c>
      <c r="F1238" s="24">
        <v>0</v>
      </c>
      <c r="G1238" s="29">
        <f>'Hitung Per Bulan'!G1238</f>
        <v>17317500</v>
      </c>
    </row>
    <row r="1239" spans="1:7" x14ac:dyDescent="0.45">
      <c r="A1239" t="s">
        <v>10</v>
      </c>
      <c r="B1239" t="s">
        <v>40</v>
      </c>
      <c r="C1239" t="s">
        <v>25</v>
      </c>
      <c r="D1239" s="24">
        <v>98291000</v>
      </c>
      <c r="E1239" s="29">
        <f>'Hitung Per Bulan'!E1239</f>
        <v>37118745</v>
      </c>
      <c r="F1239" s="24">
        <v>49253000</v>
      </c>
      <c r="G1239" s="29">
        <f>'Hitung Per Bulan'!G1239</f>
        <v>97688779</v>
      </c>
    </row>
    <row r="1240" spans="1:7" x14ac:dyDescent="0.45">
      <c r="A1240" t="s">
        <v>11</v>
      </c>
      <c r="B1240" t="s">
        <v>40</v>
      </c>
      <c r="C1240" t="s">
        <v>25</v>
      </c>
      <c r="D1240" s="24">
        <v>145006000</v>
      </c>
      <c r="E1240" s="29">
        <f>'Hitung Per Bulan'!E1240</f>
        <v>46287020</v>
      </c>
      <c r="F1240" s="24">
        <v>117649000</v>
      </c>
      <c r="G1240" s="29">
        <f>'Hitung Per Bulan'!G1240</f>
        <v>24430000</v>
      </c>
    </row>
    <row r="1241" spans="1:7" x14ac:dyDescent="0.45">
      <c r="A1241" t="s">
        <v>12</v>
      </c>
      <c r="B1241" t="s">
        <v>40</v>
      </c>
      <c r="C1241" t="s">
        <v>25</v>
      </c>
      <c r="D1241" s="24">
        <v>118885000</v>
      </c>
      <c r="E1241" s="29" t="str">
        <f>'Hitung Per Bulan'!E1241</f>
        <v/>
      </c>
      <c r="F1241" s="24">
        <v>157715000</v>
      </c>
      <c r="G1241" s="29" t="str">
        <f>'Hitung Per Bulan'!G1241</f>
        <v/>
      </c>
    </row>
    <row r="1242" spans="1:7" x14ac:dyDescent="0.45">
      <c r="A1242" t="s">
        <v>13</v>
      </c>
      <c r="B1242" t="s">
        <v>40</v>
      </c>
      <c r="C1242" t="s">
        <v>25</v>
      </c>
      <c r="D1242" s="24">
        <v>119285000</v>
      </c>
      <c r="E1242" s="29" t="str">
        <f>'Hitung Per Bulan'!E1242</f>
        <v/>
      </c>
      <c r="F1242" s="24">
        <v>110812000</v>
      </c>
      <c r="G1242" s="29" t="str">
        <f>'Hitung Per Bulan'!G1242</f>
        <v/>
      </c>
    </row>
    <row r="1243" spans="1:7" x14ac:dyDescent="0.45">
      <c r="A1243" t="s">
        <v>14</v>
      </c>
      <c r="B1243" t="s">
        <v>40</v>
      </c>
      <c r="C1243" t="s">
        <v>25</v>
      </c>
      <c r="D1243" s="24">
        <v>76431000</v>
      </c>
      <c r="E1243" s="29" t="str">
        <f>'Hitung Per Bulan'!E1243</f>
        <v/>
      </c>
      <c r="F1243" s="24">
        <v>147281000</v>
      </c>
      <c r="G1243" s="29" t="str">
        <f>'Hitung Per Bulan'!G1243</f>
        <v/>
      </c>
    </row>
    <row r="1244" spans="1:7" x14ac:dyDescent="0.45">
      <c r="A1244" t="s">
        <v>15</v>
      </c>
      <c r="B1244" t="s">
        <v>40</v>
      </c>
      <c r="C1244" t="s">
        <v>25</v>
      </c>
      <c r="D1244" s="24">
        <v>70435000</v>
      </c>
      <c r="E1244" s="29" t="str">
        <f>'Hitung Per Bulan'!E1244</f>
        <v/>
      </c>
      <c r="F1244" s="24">
        <v>92765000</v>
      </c>
      <c r="G1244" s="29" t="str">
        <f>'Hitung Per Bulan'!G1244</f>
        <v/>
      </c>
    </row>
    <row r="1245" spans="1:7" x14ac:dyDescent="0.45">
      <c r="A1245" t="s">
        <v>16</v>
      </c>
      <c r="B1245" t="s">
        <v>40</v>
      </c>
      <c r="C1245" t="s">
        <v>25</v>
      </c>
      <c r="D1245" s="24">
        <v>153559000</v>
      </c>
      <c r="E1245" s="29" t="str">
        <f>'Hitung Per Bulan'!E1245</f>
        <v/>
      </c>
      <c r="F1245" s="24">
        <v>80150000</v>
      </c>
      <c r="G1245" s="29" t="str">
        <f>'Hitung Per Bulan'!G1245</f>
        <v/>
      </c>
    </row>
    <row r="1246" spans="1:7" x14ac:dyDescent="0.45">
      <c r="A1246" t="s">
        <v>17</v>
      </c>
      <c r="B1246" t="s">
        <v>40</v>
      </c>
      <c r="C1246" t="s">
        <v>25</v>
      </c>
      <c r="D1246" s="24">
        <v>515308000</v>
      </c>
      <c r="E1246" s="29" t="str">
        <f>'Hitung Per Bulan'!E1246</f>
        <v/>
      </c>
      <c r="F1246" s="24">
        <v>122196000</v>
      </c>
      <c r="G1246" s="29" t="str">
        <f>'Hitung Per Bulan'!G1246</f>
        <v/>
      </c>
    </row>
    <row r="1247" spans="1:7" x14ac:dyDescent="0.45">
      <c r="A1247" t="s">
        <v>18</v>
      </c>
      <c r="B1247" t="s">
        <v>40</v>
      </c>
      <c r="C1247" t="s">
        <v>25</v>
      </c>
      <c r="D1247" s="24">
        <v>213688000</v>
      </c>
      <c r="E1247" s="29" t="str">
        <f>'Hitung Per Bulan'!E1247</f>
        <v/>
      </c>
      <c r="F1247" s="24">
        <v>470142000</v>
      </c>
      <c r="G1247" s="29" t="str">
        <f>'Hitung Per Bulan'!G1247</f>
        <v/>
      </c>
    </row>
    <row r="1248" spans="1:7" x14ac:dyDescent="0.45">
      <c r="A1248" t="s">
        <v>19</v>
      </c>
      <c r="B1248" t="s">
        <v>40</v>
      </c>
      <c r="C1248" t="s">
        <v>25</v>
      </c>
      <c r="D1248" s="24">
        <v>518156000</v>
      </c>
      <c r="E1248" s="29" t="str">
        <f>'Hitung Per Bulan'!E1248</f>
        <v/>
      </c>
      <c r="F1248" s="24">
        <v>179167000</v>
      </c>
      <c r="G1248" s="29" t="str">
        <f>'Hitung Per Bulan'!G1248</f>
        <v/>
      </c>
    </row>
    <row r="1249" spans="1:7" x14ac:dyDescent="0.45">
      <c r="A1249" t="s">
        <v>20</v>
      </c>
      <c r="B1249" t="s">
        <v>40</v>
      </c>
      <c r="C1249" t="s">
        <v>25</v>
      </c>
      <c r="D1249" s="24">
        <v>323825000</v>
      </c>
      <c r="E1249" s="29" t="str">
        <f>'Hitung Per Bulan'!E1249</f>
        <v/>
      </c>
      <c r="F1249" s="24">
        <v>874093000</v>
      </c>
      <c r="G1249" s="29" t="str">
        <f>'Hitung Per Bulan'!G1249</f>
        <v/>
      </c>
    </row>
    <row r="1250" spans="1:7" x14ac:dyDescent="0.45">
      <c r="A1250" t="s">
        <v>7</v>
      </c>
      <c r="B1250" t="s">
        <v>40</v>
      </c>
      <c r="C1250" t="s">
        <v>26</v>
      </c>
      <c r="D1250" s="24">
        <v>128276000</v>
      </c>
      <c r="E1250" s="29">
        <f>'Hitung Per Bulan'!E1250</f>
        <v>122102415</v>
      </c>
      <c r="F1250" s="24">
        <v>0</v>
      </c>
      <c r="G1250" s="29">
        <f>'Hitung Per Bulan'!G1250</f>
        <v>116102415</v>
      </c>
    </row>
    <row r="1251" spans="1:7" x14ac:dyDescent="0.45">
      <c r="A1251" t="s">
        <v>10</v>
      </c>
      <c r="B1251" t="s">
        <v>40</v>
      </c>
      <c r="C1251" t="s">
        <v>26</v>
      </c>
      <c r="D1251" s="24">
        <v>128276000</v>
      </c>
      <c r="E1251" s="29">
        <f>'Hitung Per Bulan'!E1251</f>
        <v>108945350</v>
      </c>
      <c r="F1251" s="24">
        <v>128276000</v>
      </c>
      <c r="G1251" s="29">
        <f>'Hitung Per Bulan'!G1251</f>
        <v>114601656</v>
      </c>
    </row>
    <row r="1252" spans="1:7" x14ac:dyDescent="0.45">
      <c r="A1252" t="s">
        <v>11</v>
      </c>
      <c r="B1252" t="s">
        <v>40</v>
      </c>
      <c r="C1252" t="s">
        <v>26</v>
      </c>
      <c r="D1252" s="24">
        <v>128276000</v>
      </c>
      <c r="E1252" s="29">
        <f>'Hitung Per Bulan'!E1252</f>
        <v>3000000</v>
      </c>
      <c r="F1252" s="24">
        <v>128276000</v>
      </c>
      <c r="G1252" s="29">
        <f>'Hitung Per Bulan'!G1252</f>
        <v>0</v>
      </c>
    </row>
    <row r="1253" spans="1:7" x14ac:dyDescent="0.45">
      <c r="A1253" t="s">
        <v>12</v>
      </c>
      <c r="B1253" t="s">
        <v>40</v>
      </c>
      <c r="C1253" t="s">
        <v>26</v>
      </c>
      <c r="D1253" s="24">
        <v>128276000</v>
      </c>
      <c r="E1253" s="29" t="str">
        <f>'Hitung Per Bulan'!E1253</f>
        <v/>
      </c>
      <c r="F1253" s="24">
        <v>128276000</v>
      </c>
      <c r="G1253" s="29" t="str">
        <f>'Hitung Per Bulan'!G1253</f>
        <v/>
      </c>
    </row>
    <row r="1254" spans="1:7" x14ac:dyDescent="0.45">
      <c r="A1254" t="s">
        <v>13</v>
      </c>
      <c r="B1254" t="s">
        <v>40</v>
      </c>
      <c r="C1254" t="s">
        <v>26</v>
      </c>
      <c r="D1254" s="24">
        <v>128276000</v>
      </c>
      <c r="E1254" s="29" t="str">
        <f>'Hitung Per Bulan'!E1254</f>
        <v/>
      </c>
      <c r="F1254" s="24">
        <v>128276000</v>
      </c>
      <c r="G1254" s="29" t="str">
        <f>'Hitung Per Bulan'!G1254</f>
        <v/>
      </c>
    </row>
    <row r="1255" spans="1:7" x14ac:dyDescent="0.45">
      <c r="A1255" t="s">
        <v>14</v>
      </c>
      <c r="B1255" t="s">
        <v>40</v>
      </c>
      <c r="C1255" t="s">
        <v>26</v>
      </c>
      <c r="D1255" s="24">
        <v>128276000</v>
      </c>
      <c r="E1255" s="29" t="str">
        <f>'Hitung Per Bulan'!E1255</f>
        <v/>
      </c>
      <c r="F1255" s="24">
        <v>128276000</v>
      </c>
      <c r="G1255" s="29" t="str">
        <f>'Hitung Per Bulan'!G1255</f>
        <v/>
      </c>
    </row>
    <row r="1256" spans="1:7" x14ac:dyDescent="0.45">
      <c r="A1256" t="s">
        <v>15</v>
      </c>
      <c r="B1256" t="s">
        <v>40</v>
      </c>
      <c r="C1256" t="s">
        <v>26</v>
      </c>
      <c r="D1256" s="24">
        <v>128276000</v>
      </c>
      <c r="E1256" s="29" t="str">
        <f>'Hitung Per Bulan'!E1256</f>
        <v/>
      </c>
      <c r="F1256" s="24">
        <v>128276000</v>
      </c>
      <c r="G1256" s="29" t="str">
        <f>'Hitung Per Bulan'!G1256</f>
        <v/>
      </c>
    </row>
    <row r="1257" spans="1:7" x14ac:dyDescent="0.45">
      <c r="A1257" t="s">
        <v>16</v>
      </c>
      <c r="B1257" t="s">
        <v>40</v>
      </c>
      <c r="C1257" t="s">
        <v>26</v>
      </c>
      <c r="D1257" s="24">
        <v>128276000</v>
      </c>
      <c r="E1257" s="29" t="str">
        <f>'Hitung Per Bulan'!E1257</f>
        <v/>
      </c>
      <c r="F1257" s="24">
        <v>128276000</v>
      </c>
      <c r="G1257" s="29" t="str">
        <f>'Hitung Per Bulan'!G1257</f>
        <v/>
      </c>
    </row>
    <row r="1258" spans="1:7" x14ac:dyDescent="0.45">
      <c r="A1258" t="s">
        <v>17</v>
      </c>
      <c r="B1258" t="s">
        <v>40</v>
      </c>
      <c r="C1258" t="s">
        <v>26</v>
      </c>
      <c r="D1258" s="24">
        <v>128276000</v>
      </c>
      <c r="E1258" s="29" t="str">
        <f>'Hitung Per Bulan'!E1258</f>
        <v/>
      </c>
      <c r="F1258" s="24">
        <v>128276000</v>
      </c>
      <c r="G1258" s="29" t="str">
        <f>'Hitung Per Bulan'!G1258</f>
        <v/>
      </c>
    </row>
    <row r="1259" spans="1:7" x14ac:dyDescent="0.45">
      <c r="A1259" t="s">
        <v>18</v>
      </c>
      <c r="B1259" t="s">
        <v>40</v>
      </c>
      <c r="C1259" t="s">
        <v>26</v>
      </c>
      <c r="D1259" s="24">
        <v>128276000</v>
      </c>
      <c r="E1259" s="29" t="str">
        <f>'Hitung Per Bulan'!E1259</f>
        <v/>
      </c>
      <c r="F1259" s="24">
        <v>128276000</v>
      </c>
      <c r="G1259" s="29" t="str">
        <f>'Hitung Per Bulan'!G1259</f>
        <v/>
      </c>
    </row>
    <row r="1260" spans="1:7" x14ac:dyDescent="0.45">
      <c r="A1260" t="s">
        <v>19</v>
      </c>
      <c r="B1260" t="s">
        <v>40</v>
      </c>
      <c r="C1260" t="s">
        <v>26</v>
      </c>
      <c r="D1260" s="24">
        <v>128276000</v>
      </c>
      <c r="E1260" s="29" t="str">
        <f>'Hitung Per Bulan'!E1260</f>
        <v/>
      </c>
      <c r="F1260" s="24">
        <v>128276000</v>
      </c>
      <c r="G1260" s="29" t="str">
        <f>'Hitung Per Bulan'!G1260</f>
        <v/>
      </c>
    </row>
    <row r="1261" spans="1:7" x14ac:dyDescent="0.45">
      <c r="A1261" t="s">
        <v>20</v>
      </c>
      <c r="B1261" t="s">
        <v>40</v>
      </c>
      <c r="C1261" t="s">
        <v>26</v>
      </c>
      <c r="D1261" s="24">
        <v>128279000</v>
      </c>
      <c r="E1261" s="29" t="str">
        <f>'Hitung Per Bulan'!E1261</f>
        <v/>
      </c>
      <c r="F1261" s="24">
        <v>256555000</v>
      </c>
      <c r="G1261" s="29" t="str">
        <f>'Hitung Per Bulan'!G1261</f>
        <v/>
      </c>
    </row>
  </sheetData>
  <autoFilter ref="A1:G1261" xr:uid="{00000000-0001-0000-0000-000000000000}"/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94AEF-1C4C-4F92-8899-5E9D187D053C}">
  <dimension ref="A1:N1261"/>
  <sheetViews>
    <sheetView zoomScale="85" zoomScaleNormal="85" workbookViewId="0">
      <pane xSplit="3" ySplit="1" topLeftCell="L83" activePane="bottomRight" state="frozen"/>
      <selection pane="topRight" activeCell="D1" sqref="D1"/>
      <selection pane="bottomLeft" activeCell="A2" sqref="A2"/>
      <selection pane="bottomRight" activeCell="M95" sqref="M95"/>
    </sheetView>
  </sheetViews>
  <sheetFormatPr defaultRowHeight="14.25" zeroHeight="1" x14ac:dyDescent="0.45"/>
  <cols>
    <col min="1" max="1" width="7" customWidth="1"/>
    <col min="2" max="2" width="14" customWidth="1"/>
    <col min="3" max="3" width="22" customWidth="1"/>
    <col min="4" max="4" width="19" style="28" hidden="1" customWidth="1"/>
    <col min="5" max="5" width="19" style="4" hidden="1" customWidth="1"/>
    <col min="6" max="6" width="20" style="24" hidden="1" customWidth="1"/>
    <col min="7" max="7" width="17" style="4" hidden="1" customWidth="1"/>
    <col min="8" max="8" width="2.59765625" hidden="1" customWidth="1"/>
    <col min="9" max="10" width="19" style="22" hidden="1" customWidth="1"/>
    <col min="11" max="11" width="2.59765625" hidden="1" customWidth="1"/>
    <col min="12" max="12" width="19" style="4" customWidth="1"/>
    <col min="13" max="13" width="17" style="4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21" t="s">
        <v>3</v>
      </c>
      <c r="E1" s="2" t="s">
        <v>4</v>
      </c>
      <c r="F1" s="21" t="s">
        <v>5</v>
      </c>
      <c r="G1" s="2" t="s">
        <v>6</v>
      </c>
      <c r="I1" s="22" t="s">
        <v>4</v>
      </c>
      <c r="J1" s="22" t="s">
        <v>6</v>
      </c>
      <c r="L1" s="72" t="s">
        <v>49</v>
      </c>
      <c r="M1" s="72" t="s">
        <v>50</v>
      </c>
      <c r="N1" s="22"/>
    </row>
    <row r="2" spans="1:14" x14ac:dyDescent="0.45">
      <c r="A2" t="s">
        <v>7</v>
      </c>
      <c r="B2" t="s">
        <v>8</v>
      </c>
      <c r="C2" t="s">
        <v>9</v>
      </c>
      <c r="D2" s="23">
        <v>100000000</v>
      </c>
      <c r="E2" s="3">
        <v>84845467162</v>
      </c>
      <c r="F2" s="23">
        <v>50000000</v>
      </c>
      <c r="G2" s="3">
        <v>0</v>
      </c>
      <c r="I2" s="22">
        <f>IF(L2="","",L2)</f>
        <v>84845467162</v>
      </c>
      <c r="J2" s="22">
        <f>IF(M2="","",M2)</f>
        <v>0</v>
      </c>
      <c r="L2" s="3">
        <v>84845467162</v>
      </c>
      <c r="M2" s="3">
        <v>0</v>
      </c>
    </row>
    <row r="3" spans="1:14" x14ac:dyDescent="0.45">
      <c r="A3" t="s">
        <v>10</v>
      </c>
      <c r="B3" t="s">
        <v>8</v>
      </c>
      <c r="C3" t="s">
        <v>9</v>
      </c>
      <c r="D3" s="24">
        <v>23567624816</v>
      </c>
      <c r="E3" s="4">
        <v>59570632314</v>
      </c>
      <c r="F3" s="24">
        <v>50000000</v>
      </c>
      <c r="G3" s="4">
        <v>0</v>
      </c>
      <c r="I3" s="25">
        <f>IF(L3="","",L3-L2)</f>
        <v>59570632314</v>
      </c>
      <c r="J3" s="25">
        <f>IF(M3="","",M3-M2)</f>
        <v>0</v>
      </c>
      <c r="L3" s="4">
        <v>144416099476</v>
      </c>
      <c r="M3" s="4">
        <v>0</v>
      </c>
    </row>
    <row r="4" spans="1:14" x14ac:dyDescent="0.45">
      <c r="A4" t="s">
        <v>11</v>
      </c>
      <c r="B4" t="s">
        <v>8</v>
      </c>
      <c r="C4" t="s">
        <v>9</v>
      </c>
      <c r="D4" s="23">
        <v>227166881580</v>
      </c>
      <c r="E4" s="3">
        <v>46052581309</v>
      </c>
      <c r="F4" s="23">
        <v>34189485820</v>
      </c>
      <c r="G4" s="3">
        <v>34085923118</v>
      </c>
      <c r="I4" s="25">
        <f t="shared" ref="I4:J13" si="0">IF(L4="","",L4-L3)</f>
        <v>73642158316</v>
      </c>
      <c r="J4" s="25">
        <f t="shared" si="0"/>
        <v>42709844280</v>
      </c>
      <c r="L4" s="29">
        <f>SUMIFS(Pivot_!C:C,Pivot_!A:A,'Hitung Per Bulan'!B4,Pivot_!B:B,'Hitung Per Bulan'!C4)</f>
        <v>218058257792</v>
      </c>
      <c r="M4" s="29">
        <f>SUMIFS(Pivot_!D:D,Pivot_!A:A,'Hitung Per Bulan'!B4,Pivot_!B:B,'Hitung Per Bulan'!C4)</f>
        <v>42709844280</v>
      </c>
    </row>
    <row r="5" spans="1:14" x14ac:dyDescent="0.45">
      <c r="A5" t="s">
        <v>12</v>
      </c>
      <c r="B5" t="s">
        <v>8</v>
      </c>
      <c r="C5" t="s">
        <v>9</v>
      </c>
      <c r="D5" s="23">
        <v>59269584722</v>
      </c>
      <c r="E5" s="3" t="s">
        <v>41</v>
      </c>
      <c r="F5" s="23">
        <v>150000000</v>
      </c>
      <c r="G5" s="3" t="s">
        <v>41</v>
      </c>
      <c r="I5" s="25" t="str">
        <f t="shared" si="0"/>
        <v/>
      </c>
      <c r="J5" s="25" t="str">
        <f t="shared" si="0"/>
        <v/>
      </c>
      <c r="L5" s="3"/>
      <c r="M5" s="3"/>
    </row>
    <row r="6" spans="1:14" x14ac:dyDescent="0.45">
      <c r="A6" t="s">
        <v>13</v>
      </c>
      <c r="B6" t="s">
        <v>8</v>
      </c>
      <c r="C6" t="s">
        <v>9</v>
      </c>
      <c r="D6" s="23">
        <v>2449082158</v>
      </c>
      <c r="E6" s="3" t="s">
        <v>41</v>
      </c>
      <c r="F6" s="23">
        <v>270862500</v>
      </c>
      <c r="G6" s="3" t="s">
        <v>41</v>
      </c>
      <c r="I6" s="25" t="str">
        <f t="shared" si="0"/>
        <v/>
      </c>
      <c r="J6" s="25" t="str">
        <f t="shared" si="0"/>
        <v/>
      </c>
      <c r="L6" s="3"/>
      <c r="M6" s="3"/>
    </row>
    <row r="7" spans="1:14" x14ac:dyDescent="0.45">
      <c r="A7" t="s">
        <v>14</v>
      </c>
      <c r="B7" t="s">
        <v>8</v>
      </c>
      <c r="C7" t="s">
        <v>9</v>
      </c>
      <c r="D7" s="23">
        <v>4232140778</v>
      </c>
      <c r="E7" s="3" t="s">
        <v>41</v>
      </c>
      <c r="F7" s="23">
        <v>1144232361</v>
      </c>
      <c r="G7" s="3" t="s">
        <v>41</v>
      </c>
      <c r="I7" s="25" t="str">
        <f t="shared" si="0"/>
        <v/>
      </c>
      <c r="J7" s="25" t="str">
        <f t="shared" si="0"/>
        <v/>
      </c>
      <c r="L7" s="3"/>
      <c r="M7" s="3"/>
    </row>
    <row r="8" spans="1:14" x14ac:dyDescent="0.45">
      <c r="A8" t="s">
        <v>15</v>
      </c>
      <c r="B8" t="s">
        <v>8</v>
      </c>
      <c r="C8" t="s">
        <v>9</v>
      </c>
      <c r="D8" s="23">
        <v>150000000</v>
      </c>
      <c r="E8" s="3" t="s">
        <v>41</v>
      </c>
      <c r="F8" s="23">
        <v>12808685000</v>
      </c>
      <c r="G8" s="3" t="s">
        <v>41</v>
      </c>
      <c r="I8" s="25" t="str">
        <f t="shared" si="0"/>
        <v/>
      </c>
      <c r="J8" s="25" t="str">
        <f t="shared" si="0"/>
        <v/>
      </c>
      <c r="L8" s="3"/>
      <c r="M8" s="3"/>
    </row>
    <row r="9" spans="1:14" x14ac:dyDescent="0.45">
      <c r="A9" t="s">
        <v>16</v>
      </c>
      <c r="B9" t="s">
        <v>8</v>
      </c>
      <c r="C9" t="s">
        <v>9</v>
      </c>
      <c r="D9" s="23">
        <v>150000000</v>
      </c>
      <c r="E9" s="3" t="s">
        <v>41</v>
      </c>
      <c r="F9" s="23">
        <v>30371398896</v>
      </c>
      <c r="G9" s="3" t="s">
        <v>41</v>
      </c>
      <c r="I9" s="25" t="str">
        <f t="shared" si="0"/>
        <v/>
      </c>
      <c r="J9" s="25" t="str">
        <f t="shared" si="0"/>
        <v/>
      </c>
      <c r="L9" s="3"/>
      <c r="M9" s="3"/>
    </row>
    <row r="10" spans="1:14" x14ac:dyDescent="0.45">
      <c r="A10" t="s">
        <v>17</v>
      </c>
      <c r="B10" t="s">
        <v>8</v>
      </c>
      <c r="C10" t="s">
        <v>9</v>
      </c>
      <c r="D10" s="23">
        <v>150000000</v>
      </c>
      <c r="E10" s="3" t="s">
        <v>41</v>
      </c>
      <c r="F10" s="23">
        <v>32919933000</v>
      </c>
      <c r="G10" s="3" t="s">
        <v>41</v>
      </c>
      <c r="I10" s="25" t="str">
        <f t="shared" si="0"/>
        <v/>
      </c>
      <c r="J10" s="25" t="str">
        <f t="shared" si="0"/>
        <v/>
      </c>
      <c r="L10" s="3"/>
      <c r="M10" s="3"/>
    </row>
    <row r="11" spans="1:14" x14ac:dyDescent="0.45">
      <c r="A11" t="s">
        <v>18</v>
      </c>
      <c r="B11" t="s">
        <v>8</v>
      </c>
      <c r="C11" t="s">
        <v>9</v>
      </c>
      <c r="D11" s="23">
        <v>150000000</v>
      </c>
      <c r="E11" s="3" t="s">
        <v>41</v>
      </c>
      <c r="F11" s="23">
        <v>61587805112</v>
      </c>
      <c r="G11" s="3" t="s">
        <v>41</v>
      </c>
      <c r="I11" s="25" t="str">
        <f t="shared" si="0"/>
        <v/>
      </c>
      <c r="J11" s="25" t="str">
        <f t="shared" si="0"/>
        <v/>
      </c>
      <c r="L11" s="3"/>
      <c r="M11" s="3"/>
    </row>
    <row r="12" spans="1:14" x14ac:dyDescent="0.45">
      <c r="A12" t="s">
        <v>19</v>
      </c>
      <c r="B12" t="s">
        <v>8</v>
      </c>
      <c r="C12" t="s">
        <v>9</v>
      </c>
      <c r="D12" s="23">
        <v>122077000</v>
      </c>
      <c r="E12" s="3" t="s">
        <v>41</v>
      </c>
      <c r="F12" s="23">
        <v>35148562865</v>
      </c>
      <c r="G12" s="3" t="s">
        <v>41</v>
      </c>
      <c r="I12" s="25" t="str">
        <f t="shared" si="0"/>
        <v/>
      </c>
      <c r="J12" s="25" t="str">
        <f t="shared" si="0"/>
        <v/>
      </c>
      <c r="L12" s="3"/>
      <c r="M12" s="3"/>
    </row>
    <row r="13" spans="1:14" x14ac:dyDescent="0.45">
      <c r="A13" t="s">
        <v>20</v>
      </c>
      <c r="B13" t="s">
        <v>8</v>
      </c>
      <c r="C13" t="s">
        <v>9</v>
      </c>
      <c r="D13" s="23">
        <v>55000000</v>
      </c>
      <c r="E13" s="3" t="s">
        <v>41</v>
      </c>
      <c r="F13" s="23">
        <v>108871425778</v>
      </c>
      <c r="G13" s="3" t="s">
        <v>41</v>
      </c>
      <c r="I13" s="25" t="str">
        <f t="shared" si="0"/>
        <v/>
      </c>
      <c r="J13" s="25" t="str">
        <f t="shared" si="0"/>
        <v/>
      </c>
      <c r="L13" s="3"/>
      <c r="M13" s="3"/>
    </row>
    <row r="14" spans="1:14" x14ac:dyDescent="0.45">
      <c r="A14" t="s">
        <v>7</v>
      </c>
      <c r="B14" t="s">
        <v>8</v>
      </c>
      <c r="C14" t="s">
        <v>21</v>
      </c>
      <c r="D14" s="27">
        <v>0</v>
      </c>
      <c r="E14" s="3">
        <v>0</v>
      </c>
      <c r="F14" s="23">
        <v>0</v>
      </c>
      <c r="G14" s="3">
        <v>0</v>
      </c>
      <c r="I14" s="22">
        <f t="shared" ref="I14:J14" si="1">IF(L14="","",L14)</f>
        <v>0</v>
      </c>
      <c r="J14" s="22">
        <f t="shared" si="1"/>
        <v>0</v>
      </c>
      <c r="L14" s="3">
        <v>0</v>
      </c>
      <c r="M14" s="3">
        <v>0</v>
      </c>
    </row>
    <row r="15" spans="1:14" x14ac:dyDescent="0.45">
      <c r="A15" t="s">
        <v>10</v>
      </c>
      <c r="B15" t="s">
        <v>8</v>
      </c>
      <c r="C15" t="s">
        <v>21</v>
      </c>
      <c r="D15" s="28">
        <v>0</v>
      </c>
      <c r="E15" s="4">
        <v>0</v>
      </c>
      <c r="F15" s="24">
        <v>0</v>
      </c>
      <c r="G15" s="4">
        <v>0</v>
      </c>
      <c r="I15" s="25">
        <f t="shared" ref="I15:J78" si="2">IF(L15="","",L15-L14)</f>
        <v>0</v>
      </c>
      <c r="J15" s="25">
        <f t="shared" si="2"/>
        <v>0</v>
      </c>
      <c r="L15" s="4">
        <v>0</v>
      </c>
      <c r="M15" s="4">
        <v>0</v>
      </c>
    </row>
    <row r="16" spans="1:14" x14ac:dyDescent="0.45">
      <c r="A16" t="s">
        <v>11</v>
      </c>
      <c r="B16" t="s">
        <v>8</v>
      </c>
      <c r="C16" t="s">
        <v>21</v>
      </c>
      <c r="D16" s="27">
        <v>0</v>
      </c>
      <c r="E16" s="3">
        <v>0</v>
      </c>
      <c r="F16" s="23">
        <v>0</v>
      </c>
      <c r="G16" s="3">
        <v>0</v>
      </c>
      <c r="I16" s="25">
        <f t="shared" si="2"/>
        <v>0</v>
      </c>
      <c r="J16" s="25">
        <f t="shared" si="2"/>
        <v>0</v>
      </c>
      <c r="L16" s="29">
        <f>SUMIFS(Pivot_!C:C,Pivot_!A:A,'Hitung Per Bulan'!B16,Pivot_!B:B,'Hitung Per Bulan'!C16)</f>
        <v>0</v>
      </c>
      <c r="M16" s="29">
        <f>SUMIFS(Pivot_!D:D,Pivot_!A:A,'Hitung Per Bulan'!B16,Pivot_!B:B,'Hitung Per Bulan'!C16)</f>
        <v>0</v>
      </c>
    </row>
    <row r="17" spans="1:13" x14ac:dyDescent="0.45">
      <c r="A17" t="s">
        <v>12</v>
      </c>
      <c r="B17" t="s">
        <v>8</v>
      </c>
      <c r="C17" t="s">
        <v>21</v>
      </c>
      <c r="D17" s="27">
        <v>0</v>
      </c>
      <c r="E17" s="3" t="s">
        <v>41</v>
      </c>
      <c r="F17" s="23">
        <v>0</v>
      </c>
      <c r="G17" s="3" t="s">
        <v>41</v>
      </c>
      <c r="I17" s="25" t="str">
        <f t="shared" si="2"/>
        <v/>
      </c>
      <c r="J17" s="25" t="str">
        <f t="shared" si="2"/>
        <v/>
      </c>
      <c r="L17" s="3"/>
      <c r="M17" s="3"/>
    </row>
    <row r="18" spans="1:13" x14ac:dyDescent="0.45">
      <c r="A18" t="s">
        <v>13</v>
      </c>
      <c r="B18" t="s">
        <v>8</v>
      </c>
      <c r="C18" t="s">
        <v>21</v>
      </c>
      <c r="D18" s="27">
        <v>0</v>
      </c>
      <c r="E18" s="3" t="s">
        <v>41</v>
      </c>
      <c r="F18" s="23">
        <v>0</v>
      </c>
      <c r="G18" s="3" t="s">
        <v>41</v>
      </c>
      <c r="I18" s="25" t="str">
        <f t="shared" si="2"/>
        <v/>
      </c>
      <c r="J18" s="25" t="str">
        <f t="shared" si="2"/>
        <v/>
      </c>
      <c r="L18" s="3"/>
      <c r="M18" s="3"/>
    </row>
    <row r="19" spans="1:13" x14ac:dyDescent="0.45">
      <c r="A19" t="s">
        <v>14</v>
      </c>
      <c r="B19" t="s">
        <v>8</v>
      </c>
      <c r="C19" t="s">
        <v>21</v>
      </c>
      <c r="D19" s="27">
        <v>0</v>
      </c>
      <c r="E19" s="3" t="s">
        <v>41</v>
      </c>
      <c r="F19" s="23">
        <v>0</v>
      </c>
      <c r="G19" s="3" t="s">
        <v>41</v>
      </c>
      <c r="I19" s="25" t="str">
        <f t="shared" si="2"/>
        <v/>
      </c>
      <c r="J19" s="25" t="str">
        <f t="shared" si="2"/>
        <v/>
      </c>
      <c r="L19" s="3"/>
      <c r="M19" s="3"/>
    </row>
    <row r="20" spans="1:13" x14ac:dyDescent="0.45">
      <c r="A20" t="s">
        <v>15</v>
      </c>
      <c r="B20" t="s">
        <v>8</v>
      </c>
      <c r="C20" t="s">
        <v>21</v>
      </c>
      <c r="D20" s="27">
        <v>0</v>
      </c>
      <c r="E20" s="3" t="s">
        <v>41</v>
      </c>
      <c r="F20" s="23">
        <v>0</v>
      </c>
      <c r="G20" s="3" t="s">
        <v>41</v>
      </c>
      <c r="I20" s="25" t="str">
        <f t="shared" si="2"/>
        <v/>
      </c>
      <c r="J20" s="25" t="str">
        <f t="shared" si="2"/>
        <v/>
      </c>
      <c r="L20" s="3"/>
      <c r="M20" s="3"/>
    </row>
    <row r="21" spans="1:13" x14ac:dyDescent="0.45">
      <c r="A21" t="s">
        <v>16</v>
      </c>
      <c r="B21" t="s">
        <v>8</v>
      </c>
      <c r="C21" t="s">
        <v>21</v>
      </c>
      <c r="D21" s="27">
        <v>0</v>
      </c>
      <c r="E21" s="3" t="s">
        <v>41</v>
      </c>
      <c r="F21" s="23">
        <v>0</v>
      </c>
      <c r="G21" s="3" t="s">
        <v>41</v>
      </c>
      <c r="I21" s="25" t="str">
        <f t="shared" si="2"/>
        <v/>
      </c>
      <c r="J21" s="25" t="str">
        <f t="shared" si="2"/>
        <v/>
      </c>
      <c r="L21" s="3"/>
      <c r="M21" s="3"/>
    </row>
    <row r="22" spans="1:13" x14ac:dyDescent="0.45">
      <c r="A22" t="s">
        <v>17</v>
      </c>
      <c r="B22" t="s">
        <v>8</v>
      </c>
      <c r="C22" t="s">
        <v>21</v>
      </c>
      <c r="D22" s="27">
        <v>0</v>
      </c>
      <c r="E22" s="3" t="s">
        <v>41</v>
      </c>
      <c r="F22" s="23">
        <v>0</v>
      </c>
      <c r="G22" s="3" t="s">
        <v>41</v>
      </c>
      <c r="I22" s="25" t="str">
        <f t="shared" si="2"/>
        <v/>
      </c>
      <c r="J22" s="25" t="str">
        <f t="shared" si="2"/>
        <v/>
      </c>
      <c r="L22" s="3"/>
      <c r="M22" s="3"/>
    </row>
    <row r="23" spans="1:13" x14ac:dyDescent="0.45">
      <c r="A23" t="s">
        <v>18</v>
      </c>
      <c r="B23" t="s">
        <v>8</v>
      </c>
      <c r="C23" t="s">
        <v>21</v>
      </c>
      <c r="D23" s="27">
        <v>0</v>
      </c>
      <c r="E23" s="3" t="s">
        <v>41</v>
      </c>
      <c r="F23" s="23">
        <v>0</v>
      </c>
      <c r="G23" s="3" t="s">
        <v>41</v>
      </c>
      <c r="I23" s="25" t="str">
        <f t="shared" si="2"/>
        <v/>
      </c>
      <c r="J23" s="25" t="str">
        <f t="shared" si="2"/>
        <v/>
      </c>
      <c r="L23" s="3"/>
      <c r="M23" s="3"/>
    </row>
    <row r="24" spans="1:13" x14ac:dyDescent="0.45">
      <c r="A24" t="s">
        <v>19</v>
      </c>
      <c r="B24" t="s">
        <v>8</v>
      </c>
      <c r="C24" t="s">
        <v>21</v>
      </c>
      <c r="D24" s="27">
        <v>0</v>
      </c>
      <c r="E24" s="3" t="s">
        <v>41</v>
      </c>
      <c r="F24" s="23">
        <v>0</v>
      </c>
      <c r="G24" s="3" t="s">
        <v>41</v>
      </c>
      <c r="I24" s="25" t="str">
        <f t="shared" si="2"/>
        <v/>
      </c>
      <c r="J24" s="25" t="str">
        <f t="shared" si="2"/>
        <v/>
      </c>
      <c r="L24" s="3"/>
      <c r="M24" s="3"/>
    </row>
    <row r="25" spans="1:13" x14ac:dyDescent="0.45">
      <c r="A25" t="s">
        <v>20</v>
      </c>
      <c r="B25" t="s">
        <v>8</v>
      </c>
      <c r="C25" t="s">
        <v>21</v>
      </c>
      <c r="D25" s="27">
        <v>0</v>
      </c>
      <c r="E25" s="3" t="s">
        <v>41</v>
      </c>
      <c r="F25" s="23">
        <v>0</v>
      </c>
      <c r="G25" s="3" t="s">
        <v>41</v>
      </c>
      <c r="I25" s="25" t="str">
        <f t="shared" si="2"/>
        <v/>
      </c>
      <c r="J25" s="25" t="str">
        <f t="shared" si="2"/>
        <v/>
      </c>
      <c r="L25" s="3"/>
      <c r="M25" s="3"/>
    </row>
    <row r="26" spans="1:13" x14ac:dyDescent="0.45">
      <c r="A26" t="s">
        <v>7</v>
      </c>
      <c r="B26" t="s">
        <v>8</v>
      </c>
      <c r="C26" t="s">
        <v>22</v>
      </c>
      <c r="D26" s="27">
        <v>0</v>
      </c>
      <c r="E26" s="3">
        <v>0</v>
      </c>
      <c r="F26" s="23">
        <v>0</v>
      </c>
      <c r="G26" s="3">
        <v>0</v>
      </c>
      <c r="I26" s="22">
        <f t="shared" ref="I26:J26" si="3">IF(L26="","",L26)</f>
        <v>0</v>
      </c>
      <c r="J26" s="22">
        <f t="shared" si="3"/>
        <v>0</v>
      </c>
      <c r="L26" s="3">
        <v>0</v>
      </c>
      <c r="M26" s="3">
        <v>0</v>
      </c>
    </row>
    <row r="27" spans="1:13" x14ac:dyDescent="0.45">
      <c r="A27" t="s">
        <v>10</v>
      </c>
      <c r="B27" t="s">
        <v>8</v>
      </c>
      <c r="C27" t="s">
        <v>22</v>
      </c>
      <c r="D27" s="28">
        <v>0</v>
      </c>
      <c r="E27" s="4">
        <v>0</v>
      </c>
      <c r="F27" s="24">
        <v>0</v>
      </c>
      <c r="G27" s="4">
        <v>0</v>
      </c>
      <c r="I27" s="25">
        <f t="shared" ref="I27:J27" si="4">IF(L27="","",L27-L26)</f>
        <v>0</v>
      </c>
      <c r="J27" s="25">
        <f t="shared" si="4"/>
        <v>0</v>
      </c>
      <c r="L27" s="4">
        <v>0</v>
      </c>
      <c r="M27" s="4">
        <v>0</v>
      </c>
    </row>
    <row r="28" spans="1:13" x14ac:dyDescent="0.45">
      <c r="A28" t="s">
        <v>11</v>
      </c>
      <c r="B28" t="s">
        <v>8</v>
      </c>
      <c r="C28" t="s">
        <v>22</v>
      </c>
      <c r="D28" s="27">
        <v>0</v>
      </c>
      <c r="E28" s="3">
        <v>0</v>
      </c>
      <c r="F28" s="23">
        <v>0</v>
      </c>
      <c r="G28" s="3">
        <v>0</v>
      </c>
      <c r="I28" s="25">
        <f t="shared" si="2"/>
        <v>0</v>
      </c>
      <c r="J28" s="25">
        <f t="shared" si="2"/>
        <v>0</v>
      </c>
      <c r="L28" s="29">
        <f>SUMIFS(Pivot_!C:C,Pivot_!A:A,'Hitung Per Bulan'!B28,Pivot_!B:B,'Hitung Per Bulan'!C28)</f>
        <v>0</v>
      </c>
      <c r="M28" s="29">
        <f>SUMIFS(Pivot_!D:D,Pivot_!A:A,'Hitung Per Bulan'!B28,Pivot_!B:B,'Hitung Per Bulan'!C28)</f>
        <v>0</v>
      </c>
    </row>
    <row r="29" spans="1:13" x14ac:dyDescent="0.45">
      <c r="A29" t="s">
        <v>12</v>
      </c>
      <c r="B29" t="s">
        <v>8</v>
      </c>
      <c r="C29" t="s">
        <v>22</v>
      </c>
      <c r="D29" s="27">
        <v>0</v>
      </c>
      <c r="E29" s="3" t="s">
        <v>41</v>
      </c>
      <c r="F29" s="23">
        <v>0</v>
      </c>
      <c r="G29" s="3" t="s">
        <v>41</v>
      </c>
      <c r="I29" s="25" t="str">
        <f t="shared" si="2"/>
        <v/>
      </c>
      <c r="J29" s="25" t="str">
        <f t="shared" si="2"/>
        <v/>
      </c>
      <c r="L29" s="3"/>
      <c r="M29" s="3"/>
    </row>
    <row r="30" spans="1:13" x14ac:dyDescent="0.45">
      <c r="A30" t="s">
        <v>13</v>
      </c>
      <c r="B30" t="s">
        <v>8</v>
      </c>
      <c r="C30" t="s">
        <v>22</v>
      </c>
      <c r="D30" s="27">
        <v>0</v>
      </c>
      <c r="E30" s="3" t="s">
        <v>41</v>
      </c>
      <c r="F30" s="23">
        <v>0</v>
      </c>
      <c r="G30" s="3" t="s">
        <v>41</v>
      </c>
      <c r="I30" s="25" t="str">
        <f t="shared" si="2"/>
        <v/>
      </c>
      <c r="J30" s="25" t="str">
        <f t="shared" si="2"/>
        <v/>
      </c>
      <c r="L30" s="3"/>
      <c r="M30" s="3"/>
    </row>
    <row r="31" spans="1:13" x14ac:dyDescent="0.45">
      <c r="A31" t="s">
        <v>14</v>
      </c>
      <c r="B31" t="s">
        <v>8</v>
      </c>
      <c r="C31" t="s">
        <v>22</v>
      </c>
      <c r="D31" s="27">
        <v>0</v>
      </c>
      <c r="E31" s="3" t="s">
        <v>41</v>
      </c>
      <c r="F31" s="23">
        <v>0</v>
      </c>
      <c r="G31" s="3" t="s">
        <v>41</v>
      </c>
      <c r="I31" s="25" t="str">
        <f t="shared" si="2"/>
        <v/>
      </c>
      <c r="J31" s="25" t="str">
        <f t="shared" si="2"/>
        <v/>
      </c>
      <c r="L31" s="3"/>
      <c r="M31" s="3"/>
    </row>
    <row r="32" spans="1:13" x14ac:dyDescent="0.45">
      <c r="A32" t="s">
        <v>15</v>
      </c>
      <c r="B32" t="s">
        <v>8</v>
      </c>
      <c r="C32" t="s">
        <v>22</v>
      </c>
      <c r="D32" s="27">
        <v>0</v>
      </c>
      <c r="E32" s="3" t="s">
        <v>41</v>
      </c>
      <c r="F32" s="23">
        <v>0</v>
      </c>
      <c r="G32" s="3" t="s">
        <v>41</v>
      </c>
      <c r="I32" s="25" t="str">
        <f t="shared" si="2"/>
        <v/>
      </c>
      <c r="J32" s="25" t="str">
        <f t="shared" si="2"/>
        <v/>
      </c>
      <c r="L32" s="3"/>
      <c r="M32" s="3"/>
    </row>
    <row r="33" spans="1:13" x14ac:dyDescent="0.45">
      <c r="A33" t="s">
        <v>16</v>
      </c>
      <c r="B33" t="s">
        <v>8</v>
      </c>
      <c r="C33" t="s">
        <v>22</v>
      </c>
      <c r="D33" s="27">
        <v>0</v>
      </c>
      <c r="E33" s="3" t="s">
        <v>41</v>
      </c>
      <c r="F33" s="23">
        <v>0</v>
      </c>
      <c r="G33" s="3" t="s">
        <v>41</v>
      </c>
      <c r="I33" s="25" t="str">
        <f t="shared" si="2"/>
        <v/>
      </c>
      <c r="J33" s="25" t="str">
        <f t="shared" si="2"/>
        <v/>
      </c>
      <c r="L33" s="3"/>
      <c r="M33" s="3"/>
    </row>
    <row r="34" spans="1:13" x14ac:dyDescent="0.45">
      <c r="A34" t="s">
        <v>17</v>
      </c>
      <c r="B34" t="s">
        <v>8</v>
      </c>
      <c r="C34" t="s">
        <v>22</v>
      </c>
      <c r="D34" s="27">
        <v>0</v>
      </c>
      <c r="E34" s="3" t="s">
        <v>41</v>
      </c>
      <c r="F34" s="23">
        <v>0</v>
      </c>
      <c r="G34" s="3" t="s">
        <v>41</v>
      </c>
      <c r="I34" s="25" t="str">
        <f t="shared" si="2"/>
        <v/>
      </c>
      <c r="J34" s="25" t="str">
        <f t="shared" si="2"/>
        <v/>
      </c>
      <c r="L34" s="3"/>
      <c r="M34" s="3"/>
    </row>
    <row r="35" spans="1:13" x14ac:dyDescent="0.45">
      <c r="A35" t="s">
        <v>18</v>
      </c>
      <c r="B35" t="s">
        <v>8</v>
      </c>
      <c r="C35" t="s">
        <v>22</v>
      </c>
      <c r="D35" s="27">
        <v>0</v>
      </c>
      <c r="E35" s="3" t="s">
        <v>41</v>
      </c>
      <c r="F35" s="23">
        <v>0</v>
      </c>
      <c r="G35" s="3" t="s">
        <v>41</v>
      </c>
      <c r="I35" s="25" t="str">
        <f t="shared" si="2"/>
        <v/>
      </c>
      <c r="J35" s="25" t="str">
        <f t="shared" si="2"/>
        <v/>
      </c>
      <c r="L35" s="3"/>
      <c r="M35" s="3"/>
    </row>
    <row r="36" spans="1:13" x14ac:dyDescent="0.45">
      <c r="A36" t="s">
        <v>19</v>
      </c>
      <c r="B36" t="s">
        <v>8</v>
      </c>
      <c r="C36" t="s">
        <v>22</v>
      </c>
      <c r="D36" s="27">
        <v>0</v>
      </c>
      <c r="E36" s="3" t="s">
        <v>41</v>
      </c>
      <c r="F36" s="23">
        <v>0</v>
      </c>
      <c r="G36" s="3" t="s">
        <v>41</v>
      </c>
      <c r="I36" s="25" t="str">
        <f t="shared" si="2"/>
        <v/>
      </c>
      <c r="J36" s="25" t="str">
        <f t="shared" si="2"/>
        <v/>
      </c>
      <c r="L36" s="3"/>
      <c r="M36" s="3"/>
    </row>
    <row r="37" spans="1:13" x14ac:dyDescent="0.45">
      <c r="A37" t="s">
        <v>20</v>
      </c>
      <c r="B37" t="s">
        <v>8</v>
      </c>
      <c r="C37" t="s">
        <v>22</v>
      </c>
      <c r="D37" s="27">
        <v>0</v>
      </c>
      <c r="E37" s="3" t="s">
        <v>41</v>
      </c>
      <c r="F37" s="23">
        <v>0</v>
      </c>
      <c r="G37" s="3" t="s">
        <v>41</v>
      </c>
      <c r="I37" s="25" t="str">
        <f t="shared" si="2"/>
        <v/>
      </c>
      <c r="J37" s="25" t="str">
        <f t="shared" si="2"/>
        <v/>
      </c>
      <c r="L37" s="3"/>
      <c r="M37" s="3"/>
    </row>
    <row r="38" spans="1:13" x14ac:dyDescent="0.45">
      <c r="A38" t="s">
        <v>7</v>
      </c>
      <c r="B38" t="s">
        <v>8</v>
      </c>
      <c r="C38" t="s">
        <v>23</v>
      </c>
      <c r="D38" s="27">
        <v>0</v>
      </c>
      <c r="E38" s="3">
        <v>0</v>
      </c>
      <c r="F38" s="23">
        <v>0</v>
      </c>
      <c r="G38" s="3">
        <v>0</v>
      </c>
      <c r="I38" s="22">
        <f t="shared" ref="I38:J38" si="5">IF(L38="","",L38)</f>
        <v>0</v>
      </c>
      <c r="J38" s="22">
        <f t="shared" si="5"/>
        <v>0</v>
      </c>
      <c r="L38" s="3">
        <v>0</v>
      </c>
      <c r="M38" s="3">
        <v>0</v>
      </c>
    </row>
    <row r="39" spans="1:13" x14ac:dyDescent="0.45">
      <c r="A39" t="s">
        <v>10</v>
      </c>
      <c r="B39" t="s">
        <v>8</v>
      </c>
      <c r="C39" t="s">
        <v>23</v>
      </c>
      <c r="D39" s="28">
        <v>0</v>
      </c>
      <c r="E39" s="4">
        <v>0</v>
      </c>
      <c r="F39" s="24">
        <v>0</v>
      </c>
      <c r="G39" s="4">
        <v>0</v>
      </c>
      <c r="I39" s="25">
        <f t="shared" ref="I39:J39" si="6">IF(L39="","",L39-L38)</f>
        <v>0</v>
      </c>
      <c r="J39" s="25">
        <f t="shared" si="6"/>
        <v>0</v>
      </c>
      <c r="L39" s="4">
        <v>0</v>
      </c>
      <c r="M39" s="4">
        <v>0</v>
      </c>
    </row>
    <row r="40" spans="1:13" x14ac:dyDescent="0.45">
      <c r="A40" t="s">
        <v>11</v>
      </c>
      <c r="B40" t="s">
        <v>8</v>
      </c>
      <c r="C40" t="s">
        <v>23</v>
      </c>
      <c r="D40" s="27">
        <v>0</v>
      </c>
      <c r="E40" s="3">
        <v>0</v>
      </c>
      <c r="F40" s="23">
        <v>0</v>
      </c>
      <c r="G40" s="3">
        <v>0</v>
      </c>
      <c r="I40" s="25">
        <f t="shared" si="2"/>
        <v>0</v>
      </c>
      <c r="J40" s="25">
        <f t="shared" si="2"/>
        <v>0</v>
      </c>
      <c r="L40" s="29">
        <f>SUMIFS(Pivot_!C:C,Pivot_!A:A,'Hitung Per Bulan'!B40,Pivot_!B:B,'Hitung Per Bulan'!C40)</f>
        <v>0</v>
      </c>
      <c r="M40" s="29">
        <f>SUMIFS(Pivot_!D:D,Pivot_!A:A,'Hitung Per Bulan'!B40,Pivot_!B:B,'Hitung Per Bulan'!C40)</f>
        <v>0</v>
      </c>
    </row>
    <row r="41" spans="1:13" x14ac:dyDescent="0.45">
      <c r="A41" t="s">
        <v>12</v>
      </c>
      <c r="B41" t="s">
        <v>8</v>
      </c>
      <c r="C41" t="s">
        <v>23</v>
      </c>
      <c r="D41" s="27">
        <v>0</v>
      </c>
      <c r="E41" s="3" t="s">
        <v>41</v>
      </c>
      <c r="F41" s="23">
        <v>0</v>
      </c>
      <c r="G41" s="3" t="s">
        <v>41</v>
      </c>
      <c r="I41" s="25" t="str">
        <f t="shared" si="2"/>
        <v/>
      </c>
      <c r="J41" s="25" t="str">
        <f t="shared" si="2"/>
        <v/>
      </c>
      <c r="L41" s="3"/>
      <c r="M41" s="3"/>
    </row>
    <row r="42" spans="1:13" x14ac:dyDescent="0.45">
      <c r="A42" t="s">
        <v>13</v>
      </c>
      <c r="B42" t="s">
        <v>8</v>
      </c>
      <c r="C42" t="s">
        <v>23</v>
      </c>
      <c r="D42" s="27">
        <v>0</v>
      </c>
      <c r="E42" s="3" t="s">
        <v>41</v>
      </c>
      <c r="F42" s="23">
        <v>0</v>
      </c>
      <c r="G42" s="3" t="s">
        <v>41</v>
      </c>
      <c r="I42" s="25" t="str">
        <f t="shared" si="2"/>
        <v/>
      </c>
      <c r="J42" s="25" t="str">
        <f t="shared" si="2"/>
        <v/>
      </c>
      <c r="L42" s="3"/>
      <c r="M42" s="3"/>
    </row>
    <row r="43" spans="1:13" x14ac:dyDescent="0.45">
      <c r="A43" t="s">
        <v>14</v>
      </c>
      <c r="B43" t="s">
        <v>8</v>
      </c>
      <c r="C43" t="s">
        <v>23</v>
      </c>
      <c r="D43" s="27">
        <v>1600000000</v>
      </c>
      <c r="E43" s="3" t="s">
        <v>41</v>
      </c>
      <c r="F43" s="23">
        <v>0</v>
      </c>
      <c r="G43" s="3" t="s">
        <v>41</v>
      </c>
      <c r="I43" s="25" t="str">
        <f t="shared" si="2"/>
        <v/>
      </c>
      <c r="J43" s="25" t="str">
        <f t="shared" si="2"/>
        <v/>
      </c>
      <c r="L43" s="3"/>
      <c r="M43" s="3"/>
    </row>
    <row r="44" spans="1:13" x14ac:dyDescent="0.45">
      <c r="A44" t="s">
        <v>15</v>
      </c>
      <c r="B44" t="s">
        <v>8</v>
      </c>
      <c r="C44" t="s">
        <v>23</v>
      </c>
      <c r="D44" s="27">
        <v>0</v>
      </c>
      <c r="E44" s="3" t="s">
        <v>41</v>
      </c>
      <c r="F44" s="23">
        <v>0</v>
      </c>
      <c r="G44" s="3" t="s">
        <v>41</v>
      </c>
      <c r="I44" s="25" t="str">
        <f t="shared" si="2"/>
        <v/>
      </c>
      <c r="J44" s="25" t="str">
        <f t="shared" si="2"/>
        <v/>
      </c>
      <c r="L44" s="3"/>
      <c r="M44" s="3"/>
    </row>
    <row r="45" spans="1:13" x14ac:dyDescent="0.45">
      <c r="A45" t="s">
        <v>16</v>
      </c>
      <c r="B45" t="s">
        <v>8</v>
      </c>
      <c r="C45" t="s">
        <v>23</v>
      </c>
      <c r="D45" s="27">
        <v>0</v>
      </c>
      <c r="E45" s="3" t="s">
        <v>41</v>
      </c>
      <c r="F45" s="23">
        <v>1600000000</v>
      </c>
      <c r="G45" s="3" t="s">
        <v>41</v>
      </c>
      <c r="I45" s="25" t="str">
        <f t="shared" si="2"/>
        <v/>
      </c>
      <c r="J45" s="25" t="str">
        <f t="shared" si="2"/>
        <v/>
      </c>
      <c r="L45" s="3"/>
      <c r="M45" s="3"/>
    </row>
    <row r="46" spans="1:13" x14ac:dyDescent="0.45">
      <c r="A46" t="s">
        <v>17</v>
      </c>
      <c r="B46" t="s">
        <v>8</v>
      </c>
      <c r="C46" t="s">
        <v>23</v>
      </c>
      <c r="D46" s="27">
        <v>0</v>
      </c>
      <c r="E46" s="3" t="s">
        <v>41</v>
      </c>
      <c r="F46" s="23">
        <v>0</v>
      </c>
      <c r="G46" s="3" t="s">
        <v>41</v>
      </c>
      <c r="I46" s="25" t="str">
        <f t="shared" si="2"/>
        <v/>
      </c>
      <c r="J46" s="25" t="str">
        <f t="shared" si="2"/>
        <v/>
      </c>
      <c r="L46" s="3"/>
      <c r="M46" s="3"/>
    </row>
    <row r="47" spans="1:13" x14ac:dyDescent="0.45">
      <c r="A47" t="s">
        <v>18</v>
      </c>
      <c r="B47" t="s">
        <v>8</v>
      </c>
      <c r="C47" t="s">
        <v>23</v>
      </c>
      <c r="D47" s="27">
        <v>0</v>
      </c>
      <c r="E47" s="3" t="s">
        <v>41</v>
      </c>
      <c r="F47" s="23">
        <v>0</v>
      </c>
      <c r="G47" s="3" t="s">
        <v>41</v>
      </c>
      <c r="I47" s="25" t="str">
        <f t="shared" si="2"/>
        <v/>
      </c>
      <c r="J47" s="25" t="str">
        <f t="shared" si="2"/>
        <v/>
      </c>
      <c r="L47" s="3"/>
      <c r="M47" s="3"/>
    </row>
    <row r="48" spans="1:13" x14ac:dyDescent="0.45">
      <c r="A48" t="s">
        <v>19</v>
      </c>
      <c r="B48" t="s">
        <v>8</v>
      </c>
      <c r="C48" t="s">
        <v>23</v>
      </c>
      <c r="D48" s="27">
        <v>0</v>
      </c>
      <c r="E48" s="3" t="s">
        <v>41</v>
      </c>
      <c r="F48" s="23">
        <v>0</v>
      </c>
      <c r="G48" s="3" t="s">
        <v>41</v>
      </c>
      <c r="I48" s="25" t="str">
        <f t="shared" si="2"/>
        <v/>
      </c>
      <c r="J48" s="25" t="str">
        <f t="shared" si="2"/>
        <v/>
      </c>
      <c r="L48" s="3"/>
      <c r="M48" s="3"/>
    </row>
    <row r="49" spans="1:13" x14ac:dyDescent="0.45">
      <c r="A49" t="s">
        <v>20</v>
      </c>
      <c r="B49" t="s">
        <v>8</v>
      </c>
      <c r="C49" t="s">
        <v>23</v>
      </c>
      <c r="D49" s="27">
        <v>0</v>
      </c>
      <c r="E49" s="3" t="s">
        <v>41</v>
      </c>
      <c r="F49" s="23">
        <v>0</v>
      </c>
      <c r="G49" s="3" t="s">
        <v>41</v>
      </c>
      <c r="I49" s="25" t="str">
        <f t="shared" si="2"/>
        <v/>
      </c>
      <c r="J49" s="25" t="str">
        <f t="shared" si="2"/>
        <v/>
      </c>
      <c r="L49" s="3"/>
      <c r="M49" s="3"/>
    </row>
    <row r="50" spans="1:13" x14ac:dyDescent="0.45">
      <c r="A50" t="s">
        <v>7</v>
      </c>
      <c r="B50" t="s">
        <v>8</v>
      </c>
      <c r="C50" t="s">
        <v>24</v>
      </c>
      <c r="D50" s="27">
        <v>0</v>
      </c>
      <c r="E50" s="3">
        <v>0</v>
      </c>
      <c r="F50" s="23">
        <v>0</v>
      </c>
      <c r="G50" s="3">
        <v>0</v>
      </c>
      <c r="I50" s="22">
        <f t="shared" ref="I50:J50" si="7">IF(L50="","",L50)</f>
        <v>0</v>
      </c>
      <c r="J50" s="22">
        <f t="shared" si="7"/>
        <v>0</v>
      </c>
      <c r="L50" s="3">
        <v>0</v>
      </c>
      <c r="M50" s="3">
        <v>0</v>
      </c>
    </row>
    <row r="51" spans="1:13" x14ac:dyDescent="0.45">
      <c r="A51" t="s">
        <v>10</v>
      </c>
      <c r="B51" t="s">
        <v>8</v>
      </c>
      <c r="C51" t="s">
        <v>24</v>
      </c>
      <c r="D51" s="28">
        <v>0</v>
      </c>
      <c r="E51" s="4">
        <v>20986164</v>
      </c>
      <c r="F51" s="24">
        <v>0</v>
      </c>
      <c r="G51" s="4">
        <v>0</v>
      </c>
      <c r="I51" s="25">
        <f t="shared" ref="I51:J51" si="8">IF(L51="","",L51-L50)</f>
        <v>20986164</v>
      </c>
      <c r="J51" s="25">
        <f t="shared" si="8"/>
        <v>0</v>
      </c>
      <c r="L51" s="4">
        <v>20986164</v>
      </c>
      <c r="M51" s="4">
        <v>0</v>
      </c>
    </row>
    <row r="52" spans="1:13" x14ac:dyDescent="0.45">
      <c r="A52" t="s">
        <v>11</v>
      </c>
      <c r="B52" t="s">
        <v>8</v>
      </c>
      <c r="C52" t="s">
        <v>24</v>
      </c>
      <c r="D52" s="27">
        <v>0</v>
      </c>
      <c r="E52" s="3">
        <v>0</v>
      </c>
      <c r="F52" s="23">
        <v>0</v>
      </c>
      <c r="G52" s="3">
        <v>0</v>
      </c>
      <c r="I52" s="25">
        <f t="shared" si="2"/>
        <v>0</v>
      </c>
      <c r="J52" s="25">
        <f t="shared" si="2"/>
        <v>0</v>
      </c>
      <c r="L52" s="29">
        <f>SUMIFS(Pivot_!C:C,Pivot_!A:A,'Hitung Per Bulan'!B52,Pivot_!B:B,'Hitung Per Bulan'!C52)</f>
        <v>20986164</v>
      </c>
      <c r="M52" s="29">
        <f>SUMIFS(Pivot_!D:D,Pivot_!A:A,'Hitung Per Bulan'!B52,Pivot_!B:B,'Hitung Per Bulan'!C52)</f>
        <v>0</v>
      </c>
    </row>
    <row r="53" spans="1:13" x14ac:dyDescent="0.45">
      <c r="A53" t="s">
        <v>12</v>
      </c>
      <c r="B53" t="s">
        <v>8</v>
      </c>
      <c r="C53" t="s">
        <v>24</v>
      </c>
      <c r="D53" s="27">
        <v>0</v>
      </c>
      <c r="E53" s="3" t="s">
        <v>41</v>
      </c>
      <c r="F53" s="23">
        <v>0</v>
      </c>
      <c r="G53" s="3" t="s">
        <v>41</v>
      </c>
      <c r="I53" s="25" t="str">
        <f t="shared" si="2"/>
        <v/>
      </c>
      <c r="J53" s="25" t="str">
        <f t="shared" si="2"/>
        <v/>
      </c>
      <c r="L53" s="3"/>
      <c r="M53" s="3"/>
    </row>
    <row r="54" spans="1:13" x14ac:dyDescent="0.45">
      <c r="A54" t="s">
        <v>13</v>
      </c>
      <c r="B54" t="s">
        <v>8</v>
      </c>
      <c r="C54" t="s">
        <v>24</v>
      </c>
      <c r="D54" s="27">
        <v>500000000</v>
      </c>
      <c r="E54" s="3" t="s">
        <v>41</v>
      </c>
      <c r="F54" s="23">
        <v>0</v>
      </c>
      <c r="G54" s="3" t="s">
        <v>41</v>
      </c>
      <c r="I54" s="25" t="str">
        <f t="shared" si="2"/>
        <v/>
      </c>
      <c r="J54" s="25" t="str">
        <f t="shared" si="2"/>
        <v/>
      </c>
      <c r="L54" s="3"/>
      <c r="M54" s="3"/>
    </row>
    <row r="55" spans="1:13" x14ac:dyDescent="0.45">
      <c r="A55" t="s">
        <v>14</v>
      </c>
      <c r="B55" t="s">
        <v>8</v>
      </c>
      <c r="C55" t="s">
        <v>24</v>
      </c>
      <c r="D55" s="27">
        <v>0</v>
      </c>
      <c r="E55" s="3" t="s">
        <v>41</v>
      </c>
      <c r="F55" s="23">
        <v>0</v>
      </c>
      <c r="G55" s="3" t="s">
        <v>41</v>
      </c>
      <c r="I55" s="25" t="str">
        <f t="shared" si="2"/>
        <v/>
      </c>
      <c r="J55" s="25" t="str">
        <f t="shared" si="2"/>
        <v/>
      </c>
      <c r="L55" s="3"/>
      <c r="M55" s="3"/>
    </row>
    <row r="56" spans="1:13" x14ac:dyDescent="0.45">
      <c r="A56" t="s">
        <v>15</v>
      </c>
      <c r="B56" t="s">
        <v>8</v>
      </c>
      <c r="C56" t="s">
        <v>24</v>
      </c>
      <c r="D56" s="27">
        <v>0</v>
      </c>
      <c r="E56" s="3" t="s">
        <v>41</v>
      </c>
      <c r="F56" s="23">
        <v>500000000</v>
      </c>
      <c r="G56" s="3" t="s">
        <v>41</v>
      </c>
      <c r="I56" s="25" t="str">
        <f t="shared" si="2"/>
        <v/>
      </c>
      <c r="J56" s="25" t="str">
        <f t="shared" si="2"/>
        <v/>
      </c>
      <c r="L56" s="3"/>
      <c r="M56" s="3"/>
    </row>
    <row r="57" spans="1:13" x14ac:dyDescent="0.45">
      <c r="A57" t="s">
        <v>16</v>
      </c>
      <c r="B57" t="s">
        <v>8</v>
      </c>
      <c r="C57" t="s">
        <v>24</v>
      </c>
      <c r="D57" s="27">
        <v>0</v>
      </c>
      <c r="E57" s="3" t="s">
        <v>41</v>
      </c>
      <c r="F57" s="23">
        <v>0</v>
      </c>
      <c r="G57" s="3" t="s">
        <v>41</v>
      </c>
      <c r="I57" s="25" t="str">
        <f t="shared" si="2"/>
        <v/>
      </c>
      <c r="J57" s="25" t="str">
        <f t="shared" si="2"/>
        <v/>
      </c>
      <c r="L57" s="3"/>
      <c r="M57" s="3"/>
    </row>
    <row r="58" spans="1:13" x14ac:dyDescent="0.45">
      <c r="A58" t="s">
        <v>17</v>
      </c>
      <c r="B58" t="s">
        <v>8</v>
      </c>
      <c r="C58" t="s">
        <v>24</v>
      </c>
      <c r="D58" s="27">
        <v>0</v>
      </c>
      <c r="E58" s="3" t="s">
        <v>41</v>
      </c>
      <c r="F58" s="23">
        <v>0</v>
      </c>
      <c r="G58" s="3" t="s">
        <v>41</v>
      </c>
      <c r="I58" s="25" t="str">
        <f t="shared" si="2"/>
        <v/>
      </c>
      <c r="J58" s="25" t="str">
        <f t="shared" si="2"/>
        <v/>
      </c>
      <c r="L58" s="3"/>
      <c r="M58" s="3"/>
    </row>
    <row r="59" spans="1:13" x14ac:dyDescent="0.45">
      <c r="A59" t="s">
        <v>18</v>
      </c>
      <c r="B59" t="s">
        <v>8</v>
      </c>
      <c r="C59" t="s">
        <v>24</v>
      </c>
      <c r="D59" s="27">
        <v>0</v>
      </c>
      <c r="E59" s="3" t="s">
        <v>41</v>
      </c>
      <c r="F59" s="23">
        <v>0</v>
      </c>
      <c r="G59" s="3" t="s">
        <v>41</v>
      </c>
      <c r="I59" s="25" t="str">
        <f t="shared" si="2"/>
        <v/>
      </c>
      <c r="J59" s="25" t="str">
        <f t="shared" si="2"/>
        <v/>
      </c>
      <c r="L59" s="3"/>
      <c r="M59" s="3"/>
    </row>
    <row r="60" spans="1:13" x14ac:dyDescent="0.45">
      <c r="A60" t="s">
        <v>19</v>
      </c>
      <c r="B60" t="s">
        <v>8</v>
      </c>
      <c r="C60" t="s">
        <v>24</v>
      </c>
      <c r="D60" s="27">
        <v>0</v>
      </c>
      <c r="E60" s="3" t="s">
        <v>41</v>
      </c>
      <c r="F60" s="23">
        <v>0</v>
      </c>
      <c r="G60" s="3" t="s">
        <v>41</v>
      </c>
      <c r="I60" s="25" t="str">
        <f t="shared" si="2"/>
        <v/>
      </c>
      <c r="J60" s="25" t="str">
        <f t="shared" si="2"/>
        <v/>
      </c>
      <c r="L60" s="3"/>
      <c r="M60" s="3"/>
    </row>
    <row r="61" spans="1:13" x14ac:dyDescent="0.45">
      <c r="A61" t="s">
        <v>20</v>
      </c>
      <c r="B61" t="s">
        <v>8</v>
      </c>
      <c r="C61" t="s">
        <v>24</v>
      </c>
      <c r="D61" s="27">
        <v>0</v>
      </c>
      <c r="E61" s="3" t="s">
        <v>41</v>
      </c>
      <c r="F61" s="23">
        <v>0</v>
      </c>
      <c r="G61" s="3" t="s">
        <v>41</v>
      </c>
      <c r="I61" s="25" t="str">
        <f t="shared" si="2"/>
        <v/>
      </c>
      <c r="J61" s="25" t="str">
        <f t="shared" si="2"/>
        <v/>
      </c>
      <c r="L61" s="3"/>
      <c r="M61" s="3"/>
    </row>
    <row r="62" spans="1:13" x14ac:dyDescent="0.45">
      <c r="A62" t="s">
        <v>7</v>
      </c>
      <c r="B62" t="s">
        <v>8</v>
      </c>
      <c r="C62" t="s">
        <v>25</v>
      </c>
      <c r="D62" s="27">
        <v>163000000</v>
      </c>
      <c r="E62" s="3">
        <v>186171889</v>
      </c>
      <c r="F62" s="23">
        <v>113000000</v>
      </c>
      <c r="G62" s="3">
        <v>121841700</v>
      </c>
      <c r="I62" s="22">
        <f t="shared" ref="I62:J62" si="9">IF(L62="","",L62)</f>
        <v>186171889</v>
      </c>
      <c r="J62" s="22">
        <f t="shared" si="9"/>
        <v>121841700</v>
      </c>
      <c r="L62" s="3">
        <v>186171889</v>
      </c>
      <c r="M62" s="3">
        <v>121841700</v>
      </c>
    </row>
    <row r="63" spans="1:13" x14ac:dyDescent="0.45">
      <c r="A63" t="s">
        <v>10</v>
      </c>
      <c r="B63" t="s">
        <v>8</v>
      </c>
      <c r="C63" t="s">
        <v>25</v>
      </c>
      <c r="D63" s="28">
        <v>243000000</v>
      </c>
      <c r="E63" s="4">
        <v>171284525</v>
      </c>
      <c r="F63" s="24">
        <v>243000000</v>
      </c>
      <c r="G63" s="4">
        <v>143833500</v>
      </c>
      <c r="I63" s="25">
        <f t="shared" ref="I63:J63" si="10">IF(L63="","",L63-L62)</f>
        <v>171284525</v>
      </c>
      <c r="J63" s="25">
        <f t="shared" si="10"/>
        <v>143833500</v>
      </c>
      <c r="L63" s="4">
        <v>357456414</v>
      </c>
      <c r="M63" s="4">
        <v>265675200</v>
      </c>
    </row>
    <row r="64" spans="1:13" x14ac:dyDescent="0.45">
      <c r="A64" t="s">
        <v>11</v>
      </c>
      <c r="B64" t="s">
        <v>8</v>
      </c>
      <c r="C64" t="s">
        <v>25</v>
      </c>
      <c r="D64" s="27">
        <v>443000000</v>
      </c>
      <c r="E64" s="3">
        <v>17675000</v>
      </c>
      <c r="F64" s="23">
        <v>243000000</v>
      </c>
      <c r="G64" s="3">
        <v>17675000</v>
      </c>
      <c r="I64" s="25">
        <f t="shared" si="2"/>
        <v>32056250</v>
      </c>
      <c r="J64" s="25">
        <f t="shared" si="2"/>
        <v>32056250</v>
      </c>
      <c r="L64" s="29">
        <f>SUMIFS(Pivot_!C:C,Pivot_!A:A,'Hitung Per Bulan'!B64,Pivot_!B:B,'Hitung Per Bulan'!C64)</f>
        <v>389512664</v>
      </c>
      <c r="M64" s="29">
        <f>SUMIFS(Pivot_!D:D,Pivot_!A:A,'Hitung Per Bulan'!B64,Pivot_!B:B,'Hitung Per Bulan'!C64)</f>
        <v>297731450</v>
      </c>
    </row>
    <row r="65" spans="1:13" x14ac:dyDescent="0.45">
      <c r="A65" t="s">
        <v>12</v>
      </c>
      <c r="B65" t="s">
        <v>8</v>
      </c>
      <c r="C65" t="s">
        <v>25</v>
      </c>
      <c r="D65" s="27">
        <v>2493000000</v>
      </c>
      <c r="E65" s="3" t="s">
        <v>41</v>
      </c>
      <c r="F65" s="23">
        <v>1243000000</v>
      </c>
      <c r="G65" s="3" t="s">
        <v>41</v>
      </c>
      <c r="I65" s="25" t="str">
        <f t="shared" si="2"/>
        <v/>
      </c>
      <c r="J65" s="25" t="str">
        <f t="shared" si="2"/>
        <v/>
      </c>
      <c r="L65" s="3"/>
      <c r="M65" s="3"/>
    </row>
    <row r="66" spans="1:13" x14ac:dyDescent="0.45">
      <c r="A66" t="s">
        <v>13</v>
      </c>
      <c r="B66" t="s">
        <v>8</v>
      </c>
      <c r="C66" t="s">
        <v>25</v>
      </c>
      <c r="D66" s="27">
        <v>593000000</v>
      </c>
      <c r="E66" s="3" t="s">
        <v>41</v>
      </c>
      <c r="F66" s="23">
        <v>2093000000</v>
      </c>
      <c r="G66" s="3" t="s">
        <v>41</v>
      </c>
      <c r="I66" s="25" t="str">
        <f t="shared" si="2"/>
        <v/>
      </c>
      <c r="J66" s="25" t="str">
        <f t="shared" si="2"/>
        <v/>
      </c>
      <c r="L66" s="3"/>
      <c r="M66" s="3"/>
    </row>
    <row r="67" spans="1:13" x14ac:dyDescent="0.45">
      <c r="A67" t="s">
        <v>14</v>
      </c>
      <c r="B67" t="s">
        <v>8</v>
      </c>
      <c r="C67" t="s">
        <v>25</v>
      </c>
      <c r="D67" s="27">
        <v>1513000000</v>
      </c>
      <c r="E67" s="3" t="s">
        <v>41</v>
      </c>
      <c r="F67" s="23">
        <v>1043000000</v>
      </c>
      <c r="G67" s="3" t="s">
        <v>41</v>
      </c>
      <c r="I67" s="25" t="str">
        <f t="shared" si="2"/>
        <v/>
      </c>
      <c r="J67" s="25" t="str">
        <f t="shared" si="2"/>
        <v/>
      </c>
      <c r="L67" s="3"/>
      <c r="M67" s="3"/>
    </row>
    <row r="68" spans="1:13" x14ac:dyDescent="0.45">
      <c r="A68" t="s">
        <v>15</v>
      </c>
      <c r="B68" t="s">
        <v>8</v>
      </c>
      <c r="C68" t="s">
        <v>25</v>
      </c>
      <c r="D68" s="27">
        <v>943000000</v>
      </c>
      <c r="E68" s="3" t="s">
        <v>41</v>
      </c>
      <c r="F68" s="23">
        <v>963000000</v>
      </c>
      <c r="G68" s="3" t="s">
        <v>41</v>
      </c>
      <c r="I68" s="25" t="str">
        <f t="shared" si="2"/>
        <v/>
      </c>
      <c r="J68" s="25" t="str">
        <f t="shared" si="2"/>
        <v/>
      </c>
      <c r="L68" s="3"/>
      <c r="M68" s="3"/>
    </row>
    <row r="69" spans="1:13" x14ac:dyDescent="0.45">
      <c r="A69" t="s">
        <v>16</v>
      </c>
      <c r="B69" t="s">
        <v>8</v>
      </c>
      <c r="C69" t="s">
        <v>25</v>
      </c>
      <c r="D69" s="27">
        <v>543000000</v>
      </c>
      <c r="E69" s="3" t="s">
        <v>41</v>
      </c>
      <c r="F69" s="23">
        <v>443000000</v>
      </c>
      <c r="G69" s="3" t="s">
        <v>41</v>
      </c>
      <c r="I69" s="25" t="str">
        <f t="shared" si="2"/>
        <v/>
      </c>
      <c r="J69" s="25" t="str">
        <f t="shared" si="2"/>
        <v/>
      </c>
      <c r="L69" s="3"/>
      <c r="M69" s="3"/>
    </row>
    <row r="70" spans="1:13" x14ac:dyDescent="0.45">
      <c r="A70" t="s">
        <v>17</v>
      </c>
      <c r="B70" t="s">
        <v>8</v>
      </c>
      <c r="C70" t="s">
        <v>25</v>
      </c>
      <c r="D70" s="27">
        <v>293000000</v>
      </c>
      <c r="E70" s="3" t="s">
        <v>41</v>
      </c>
      <c r="F70" s="23">
        <v>493000000</v>
      </c>
      <c r="G70" s="3" t="s">
        <v>41</v>
      </c>
      <c r="I70" s="25" t="str">
        <f t="shared" si="2"/>
        <v/>
      </c>
      <c r="J70" s="25" t="str">
        <f t="shared" si="2"/>
        <v/>
      </c>
      <c r="L70" s="3"/>
      <c r="M70" s="3"/>
    </row>
    <row r="71" spans="1:13" x14ac:dyDescent="0.45">
      <c r="A71" t="s">
        <v>18</v>
      </c>
      <c r="B71" t="s">
        <v>8</v>
      </c>
      <c r="C71" t="s">
        <v>25</v>
      </c>
      <c r="D71" s="27">
        <v>413000000</v>
      </c>
      <c r="E71" s="3" t="s">
        <v>41</v>
      </c>
      <c r="F71" s="23">
        <v>663000000</v>
      </c>
      <c r="G71" s="3" t="s">
        <v>41</v>
      </c>
      <c r="I71" s="25" t="str">
        <f t="shared" si="2"/>
        <v/>
      </c>
      <c r="J71" s="25" t="str">
        <f t="shared" si="2"/>
        <v/>
      </c>
      <c r="L71" s="3"/>
      <c r="M71" s="3"/>
    </row>
    <row r="72" spans="1:13" x14ac:dyDescent="0.45">
      <c r="A72" t="s">
        <v>19</v>
      </c>
      <c r="B72" t="s">
        <v>8</v>
      </c>
      <c r="C72" t="s">
        <v>25</v>
      </c>
      <c r="D72" s="27">
        <v>193000000</v>
      </c>
      <c r="E72" s="3" t="s">
        <v>41</v>
      </c>
      <c r="F72" s="23">
        <v>293000000</v>
      </c>
      <c r="G72" s="3" t="s">
        <v>41</v>
      </c>
      <c r="I72" s="25" t="str">
        <f t="shared" si="2"/>
        <v/>
      </c>
      <c r="J72" s="25" t="str">
        <f t="shared" si="2"/>
        <v/>
      </c>
      <c r="L72" s="3"/>
      <c r="M72" s="3"/>
    </row>
    <row r="73" spans="1:13" x14ac:dyDescent="0.45">
      <c r="A73" t="s">
        <v>20</v>
      </c>
      <c r="B73" t="s">
        <v>8</v>
      </c>
      <c r="C73" t="s">
        <v>25</v>
      </c>
      <c r="D73" s="27">
        <v>113000000</v>
      </c>
      <c r="E73" s="3" t="s">
        <v>41</v>
      </c>
      <c r="F73" s="23">
        <v>113000000</v>
      </c>
      <c r="G73" s="3" t="s">
        <v>41</v>
      </c>
      <c r="I73" s="25" t="str">
        <f t="shared" si="2"/>
        <v/>
      </c>
      <c r="J73" s="25" t="str">
        <f t="shared" si="2"/>
        <v/>
      </c>
      <c r="L73" s="3"/>
      <c r="M73" s="3"/>
    </row>
    <row r="74" spans="1:13" x14ac:dyDescent="0.45">
      <c r="A74" t="s">
        <v>7</v>
      </c>
      <c r="B74" t="s">
        <v>8</v>
      </c>
      <c r="C74" t="s">
        <v>26</v>
      </c>
      <c r="D74" s="27">
        <v>310000000</v>
      </c>
      <c r="E74" s="3">
        <v>275097724</v>
      </c>
      <c r="F74" s="23">
        <v>310000000</v>
      </c>
      <c r="G74" s="3">
        <v>275097724</v>
      </c>
      <c r="I74" s="22">
        <f t="shared" ref="I74:J74" si="11">IF(L74="","",L74)</f>
        <v>275097724</v>
      </c>
      <c r="J74" s="22">
        <f t="shared" si="11"/>
        <v>275097724</v>
      </c>
      <c r="L74" s="3">
        <v>275097724</v>
      </c>
      <c r="M74" s="3">
        <v>275097724</v>
      </c>
    </row>
    <row r="75" spans="1:13" x14ac:dyDescent="0.45">
      <c r="A75" t="s">
        <v>10</v>
      </c>
      <c r="B75" t="s">
        <v>8</v>
      </c>
      <c r="C75" t="s">
        <v>26</v>
      </c>
      <c r="D75" s="28">
        <v>310000000</v>
      </c>
      <c r="E75" s="4">
        <v>626594334</v>
      </c>
      <c r="F75" s="24">
        <v>310000000</v>
      </c>
      <c r="G75" s="4">
        <v>626594334</v>
      </c>
      <c r="I75" s="25">
        <f t="shared" ref="I75:J75" si="12">IF(L75="","",L75-L74)</f>
        <v>626594334</v>
      </c>
      <c r="J75" s="25">
        <f t="shared" si="12"/>
        <v>626594334</v>
      </c>
      <c r="L75" s="4">
        <v>901692058</v>
      </c>
      <c r="M75" s="4">
        <v>901692058</v>
      </c>
    </row>
    <row r="76" spans="1:13" x14ac:dyDescent="0.45">
      <c r="A76" t="s">
        <v>11</v>
      </c>
      <c r="B76" t="s">
        <v>8</v>
      </c>
      <c r="C76" t="s">
        <v>26</v>
      </c>
      <c r="D76" s="27">
        <v>310000000</v>
      </c>
      <c r="E76" s="3">
        <v>222548548</v>
      </c>
      <c r="F76" s="23">
        <v>310000000</v>
      </c>
      <c r="G76" s="3">
        <v>0</v>
      </c>
      <c r="I76" s="25">
        <f t="shared" si="2"/>
        <v>66225547</v>
      </c>
      <c r="J76" s="25">
        <f t="shared" si="2"/>
        <v>66225547</v>
      </c>
      <c r="L76" s="29">
        <f>SUMIFS(Pivot_!C:C,Pivot_!A:A,'Hitung Per Bulan'!B76,Pivot_!B:B,'Hitung Per Bulan'!C76)</f>
        <v>967917605</v>
      </c>
      <c r="M76" s="29">
        <f>SUMIFS(Pivot_!D:D,Pivot_!A:A,'Hitung Per Bulan'!B76,Pivot_!B:B,'Hitung Per Bulan'!C76)</f>
        <v>967917605</v>
      </c>
    </row>
    <row r="77" spans="1:13" x14ac:dyDescent="0.45">
      <c r="A77" t="s">
        <v>12</v>
      </c>
      <c r="B77" t="s">
        <v>8</v>
      </c>
      <c r="C77" t="s">
        <v>26</v>
      </c>
      <c r="D77" s="27">
        <v>420000000</v>
      </c>
      <c r="E77" s="3" t="s">
        <v>41</v>
      </c>
      <c r="F77" s="23">
        <v>420000000</v>
      </c>
      <c r="G77" s="3" t="s">
        <v>41</v>
      </c>
      <c r="I77" s="25" t="str">
        <f t="shared" si="2"/>
        <v/>
      </c>
      <c r="J77" s="25" t="str">
        <f t="shared" si="2"/>
        <v/>
      </c>
      <c r="L77" s="3"/>
      <c r="M77" s="3"/>
    </row>
    <row r="78" spans="1:13" x14ac:dyDescent="0.45">
      <c r="A78" t="s">
        <v>13</v>
      </c>
      <c r="B78" t="s">
        <v>8</v>
      </c>
      <c r="C78" t="s">
        <v>26</v>
      </c>
      <c r="D78" s="27">
        <v>420000000</v>
      </c>
      <c r="E78" s="3" t="s">
        <v>41</v>
      </c>
      <c r="F78" s="23">
        <v>420000000</v>
      </c>
      <c r="G78" s="3" t="s">
        <v>41</v>
      </c>
      <c r="I78" s="25" t="str">
        <f t="shared" si="2"/>
        <v/>
      </c>
      <c r="J78" s="25" t="str">
        <f t="shared" si="2"/>
        <v/>
      </c>
      <c r="L78" s="3"/>
      <c r="M78" s="3"/>
    </row>
    <row r="79" spans="1:13" x14ac:dyDescent="0.45">
      <c r="A79" t="s">
        <v>14</v>
      </c>
      <c r="B79" t="s">
        <v>8</v>
      </c>
      <c r="C79" t="s">
        <v>26</v>
      </c>
      <c r="D79" s="27">
        <v>420000000</v>
      </c>
      <c r="E79" s="3" t="s">
        <v>41</v>
      </c>
      <c r="F79" s="23">
        <v>420000000</v>
      </c>
      <c r="G79" s="3" t="s">
        <v>41</v>
      </c>
      <c r="I79" s="25" t="str">
        <f t="shared" ref="I79:J142" si="13">IF(L79="","",L79-L78)</f>
        <v/>
      </c>
      <c r="J79" s="25" t="str">
        <f t="shared" si="13"/>
        <v/>
      </c>
      <c r="L79" s="3"/>
      <c r="M79" s="3"/>
    </row>
    <row r="80" spans="1:13" x14ac:dyDescent="0.45">
      <c r="A80" t="s">
        <v>15</v>
      </c>
      <c r="B80" t="s">
        <v>8</v>
      </c>
      <c r="C80" t="s">
        <v>26</v>
      </c>
      <c r="D80" s="27">
        <v>420000000</v>
      </c>
      <c r="E80" s="3" t="s">
        <v>41</v>
      </c>
      <c r="F80" s="23">
        <v>420000000</v>
      </c>
      <c r="G80" s="3" t="s">
        <v>41</v>
      </c>
      <c r="I80" s="25" t="str">
        <f t="shared" si="13"/>
        <v/>
      </c>
      <c r="J80" s="25" t="str">
        <f t="shared" si="13"/>
        <v/>
      </c>
      <c r="L80" s="3"/>
      <c r="M80" s="3"/>
    </row>
    <row r="81" spans="1:13" x14ac:dyDescent="0.45">
      <c r="A81" t="s">
        <v>16</v>
      </c>
      <c r="B81" t="s">
        <v>8</v>
      </c>
      <c r="C81" t="s">
        <v>26</v>
      </c>
      <c r="D81" s="27">
        <v>370000000</v>
      </c>
      <c r="E81" s="3" t="s">
        <v>41</v>
      </c>
      <c r="F81" s="23">
        <v>370000000</v>
      </c>
      <c r="G81" s="3" t="s">
        <v>41</v>
      </c>
      <c r="I81" s="25" t="str">
        <f t="shared" si="13"/>
        <v/>
      </c>
      <c r="J81" s="25" t="str">
        <f t="shared" si="13"/>
        <v/>
      </c>
      <c r="L81" s="3"/>
      <c r="M81" s="3"/>
    </row>
    <row r="82" spans="1:13" x14ac:dyDescent="0.45">
      <c r="A82" t="s">
        <v>17</v>
      </c>
      <c r="B82" t="s">
        <v>8</v>
      </c>
      <c r="C82" t="s">
        <v>26</v>
      </c>
      <c r="D82" s="27">
        <v>400000000</v>
      </c>
      <c r="E82" s="3" t="s">
        <v>41</v>
      </c>
      <c r="F82" s="23">
        <v>400000000</v>
      </c>
      <c r="G82" s="3" t="s">
        <v>41</v>
      </c>
      <c r="I82" s="25" t="str">
        <f t="shared" si="13"/>
        <v/>
      </c>
      <c r="J82" s="25" t="str">
        <f t="shared" si="13"/>
        <v/>
      </c>
      <c r="L82" s="3"/>
      <c r="M82" s="3"/>
    </row>
    <row r="83" spans="1:13" x14ac:dyDescent="0.45">
      <c r="A83" t="s">
        <v>18</v>
      </c>
      <c r="B83" t="s">
        <v>8</v>
      </c>
      <c r="C83" t="s">
        <v>26</v>
      </c>
      <c r="D83" s="27">
        <v>400000000</v>
      </c>
      <c r="E83" s="3" t="s">
        <v>41</v>
      </c>
      <c r="F83" s="23">
        <v>400000000</v>
      </c>
      <c r="G83" s="3" t="s">
        <v>41</v>
      </c>
      <c r="I83" s="25" t="str">
        <f t="shared" si="13"/>
        <v/>
      </c>
      <c r="J83" s="25" t="str">
        <f t="shared" si="13"/>
        <v/>
      </c>
      <c r="L83" s="3"/>
      <c r="M83" s="3"/>
    </row>
    <row r="84" spans="1:13" x14ac:dyDescent="0.45">
      <c r="A84" t="s">
        <v>19</v>
      </c>
      <c r="B84" t="s">
        <v>8</v>
      </c>
      <c r="C84" t="s">
        <v>26</v>
      </c>
      <c r="D84" s="27">
        <v>400000000</v>
      </c>
      <c r="E84" s="3" t="s">
        <v>41</v>
      </c>
      <c r="F84" s="23">
        <v>400000000</v>
      </c>
      <c r="G84" s="3" t="s">
        <v>41</v>
      </c>
      <c r="I84" s="25" t="str">
        <f t="shared" si="13"/>
        <v/>
      </c>
      <c r="J84" s="25" t="str">
        <f t="shared" si="13"/>
        <v/>
      </c>
      <c r="L84" s="3"/>
      <c r="M84" s="3"/>
    </row>
    <row r="85" spans="1:13" x14ac:dyDescent="0.45">
      <c r="A85" t="s">
        <v>20</v>
      </c>
      <c r="B85" t="s">
        <v>8</v>
      </c>
      <c r="C85" t="s">
        <v>26</v>
      </c>
      <c r="D85" s="27">
        <v>320000000</v>
      </c>
      <c r="E85" s="3" t="s">
        <v>41</v>
      </c>
      <c r="F85" s="23">
        <v>320000000</v>
      </c>
      <c r="G85" s="3" t="s">
        <v>41</v>
      </c>
      <c r="I85" s="25" t="str">
        <f t="shared" si="13"/>
        <v/>
      </c>
      <c r="J85" s="25" t="str">
        <f t="shared" si="13"/>
        <v/>
      </c>
      <c r="L85" s="3"/>
      <c r="M85" s="3"/>
    </row>
    <row r="86" spans="1:13" x14ac:dyDescent="0.45">
      <c r="A86" t="s">
        <v>7</v>
      </c>
      <c r="B86" t="s">
        <v>27</v>
      </c>
      <c r="C86" t="s">
        <v>9</v>
      </c>
      <c r="D86" s="27">
        <v>4665461000</v>
      </c>
      <c r="E86" s="3">
        <v>6757574628</v>
      </c>
      <c r="F86" s="23">
        <v>0</v>
      </c>
      <c r="G86" s="3">
        <v>0</v>
      </c>
      <c r="I86" s="22">
        <f t="shared" ref="I86:J86" si="14">IF(L86="","",L86)</f>
        <v>6757574628</v>
      </c>
      <c r="J86" s="22">
        <f t="shared" si="14"/>
        <v>0</v>
      </c>
      <c r="L86" s="3">
        <v>6757574628</v>
      </c>
      <c r="M86" s="3">
        <v>0</v>
      </c>
    </row>
    <row r="87" spans="1:13" x14ac:dyDescent="0.45">
      <c r="A87" t="s">
        <v>10</v>
      </c>
      <c r="B87" t="s">
        <v>27</v>
      </c>
      <c r="C87" t="s">
        <v>9</v>
      </c>
      <c r="D87" s="28">
        <v>11366334000</v>
      </c>
      <c r="E87" s="4">
        <v>10678407138</v>
      </c>
      <c r="F87" s="24">
        <v>25000000</v>
      </c>
      <c r="G87" s="4">
        <v>0</v>
      </c>
      <c r="I87" s="25">
        <f t="shared" ref="I87:J87" si="15">IF(L87="","",L87-L86)</f>
        <v>10678407138</v>
      </c>
      <c r="J87" s="25">
        <f t="shared" si="15"/>
        <v>0</v>
      </c>
      <c r="L87" s="4">
        <v>17435981766</v>
      </c>
      <c r="M87" s="4">
        <v>0</v>
      </c>
    </row>
    <row r="88" spans="1:13" x14ac:dyDescent="0.45">
      <c r="A88" t="s">
        <v>11</v>
      </c>
      <c r="B88" t="s">
        <v>27</v>
      </c>
      <c r="C88" t="s">
        <v>9</v>
      </c>
      <c r="D88" s="27">
        <v>2740514000</v>
      </c>
      <c r="E88" s="3">
        <v>2389907781</v>
      </c>
      <c r="F88" s="23">
        <v>190000000</v>
      </c>
      <c r="G88" s="3">
        <v>89970000</v>
      </c>
      <c r="I88" s="25">
        <f t="shared" si="13"/>
        <v>2389907781</v>
      </c>
      <c r="J88" s="25">
        <f t="shared" si="13"/>
        <v>597174635</v>
      </c>
      <c r="L88" s="29">
        <f>SUMIFS(Pivot_!C:C,Pivot_!A:A,'Hitung Per Bulan'!B88,Pivot_!B:B,'Hitung Per Bulan'!C88)</f>
        <v>19825889547</v>
      </c>
      <c r="M88" s="29">
        <f>SUMIFS(Pivot_!D:D,Pivot_!A:A,'Hitung Per Bulan'!B88,Pivot_!B:B,'Hitung Per Bulan'!C88)</f>
        <v>597174635</v>
      </c>
    </row>
    <row r="89" spans="1:13" x14ac:dyDescent="0.45">
      <c r="A89" t="s">
        <v>12</v>
      </c>
      <c r="B89" t="s">
        <v>27</v>
      </c>
      <c r="C89" t="s">
        <v>9</v>
      </c>
      <c r="D89" s="27">
        <v>6894664000</v>
      </c>
      <c r="E89" s="3" t="s">
        <v>41</v>
      </c>
      <c r="F89" s="23">
        <v>395000000</v>
      </c>
      <c r="G89" s="3" t="s">
        <v>41</v>
      </c>
      <c r="I89" s="25" t="str">
        <f t="shared" si="13"/>
        <v/>
      </c>
      <c r="J89" s="25" t="str">
        <f t="shared" si="13"/>
        <v/>
      </c>
      <c r="L89" s="3"/>
      <c r="M89" s="3"/>
    </row>
    <row r="90" spans="1:13" x14ac:dyDescent="0.45">
      <c r="A90" t="s">
        <v>13</v>
      </c>
      <c r="B90" t="s">
        <v>27</v>
      </c>
      <c r="C90" t="s">
        <v>9</v>
      </c>
      <c r="D90" s="27">
        <v>8472689000</v>
      </c>
      <c r="E90" s="3" t="s">
        <v>41</v>
      </c>
      <c r="F90" s="23">
        <v>265000000</v>
      </c>
      <c r="G90" s="3" t="s">
        <v>41</v>
      </c>
      <c r="I90" s="25" t="str">
        <f t="shared" si="13"/>
        <v/>
      </c>
      <c r="J90" s="25" t="str">
        <f t="shared" si="13"/>
        <v/>
      </c>
      <c r="L90" s="3"/>
      <c r="M90" s="3"/>
    </row>
    <row r="91" spans="1:13" x14ac:dyDescent="0.45">
      <c r="A91" t="s">
        <v>14</v>
      </c>
      <c r="B91" t="s">
        <v>27</v>
      </c>
      <c r="C91" t="s">
        <v>9</v>
      </c>
      <c r="D91" s="27">
        <v>4435000000</v>
      </c>
      <c r="E91" s="3" t="s">
        <v>41</v>
      </c>
      <c r="F91" s="23">
        <v>522951000</v>
      </c>
      <c r="G91" s="3" t="s">
        <v>41</v>
      </c>
      <c r="I91" s="25" t="str">
        <f t="shared" si="13"/>
        <v/>
      </c>
      <c r="J91" s="25" t="str">
        <f t="shared" si="13"/>
        <v/>
      </c>
      <c r="L91" s="3"/>
      <c r="M91" s="3"/>
    </row>
    <row r="92" spans="1:13" x14ac:dyDescent="0.45">
      <c r="A92" t="s">
        <v>15</v>
      </c>
      <c r="B92" t="s">
        <v>27</v>
      </c>
      <c r="C92" t="s">
        <v>9</v>
      </c>
      <c r="D92" s="27">
        <v>4737908000</v>
      </c>
      <c r="E92" s="3" t="s">
        <v>41</v>
      </c>
      <c r="F92" s="23">
        <v>715000000</v>
      </c>
      <c r="G92" s="3" t="s">
        <v>41</v>
      </c>
      <c r="I92" s="25" t="str">
        <f t="shared" si="13"/>
        <v/>
      </c>
      <c r="J92" s="25" t="str">
        <f t="shared" si="13"/>
        <v/>
      </c>
      <c r="L92" s="3"/>
      <c r="M92" s="3"/>
    </row>
    <row r="93" spans="1:13" x14ac:dyDescent="0.45">
      <c r="A93" t="s">
        <v>16</v>
      </c>
      <c r="B93" t="s">
        <v>27</v>
      </c>
      <c r="C93" t="s">
        <v>9</v>
      </c>
      <c r="D93" s="27">
        <v>3937205000</v>
      </c>
      <c r="E93" s="3" t="s">
        <v>41</v>
      </c>
      <c r="F93" s="23">
        <v>3151788000</v>
      </c>
      <c r="G93" s="3" t="s">
        <v>41</v>
      </c>
      <c r="I93" s="25" t="str">
        <f t="shared" si="13"/>
        <v/>
      </c>
      <c r="J93" s="25" t="str">
        <f t="shared" si="13"/>
        <v/>
      </c>
      <c r="L93" s="3"/>
      <c r="M93" s="3"/>
    </row>
    <row r="94" spans="1:13" x14ac:dyDescent="0.45">
      <c r="A94" t="s">
        <v>17</v>
      </c>
      <c r="B94" t="s">
        <v>27</v>
      </c>
      <c r="C94" t="s">
        <v>9</v>
      </c>
      <c r="D94" s="27">
        <v>2045000000</v>
      </c>
      <c r="E94" s="3" t="s">
        <v>41</v>
      </c>
      <c r="F94" s="23">
        <v>2748727000</v>
      </c>
      <c r="G94" s="3" t="s">
        <v>41</v>
      </c>
      <c r="I94" s="25" t="str">
        <f t="shared" si="13"/>
        <v/>
      </c>
      <c r="J94" s="25" t="str">
        <f t="shared" si="13"/>
        <v/>
      </c>
      <c r="L94" s="3"/>
      <c r="M94" s="3"/>
    </row>
    <row r="95" spans="1:13" x14ac:dyDescent="0.45">
      <c r="A95" t="s">
        <v>18</v>
      </c>
      <c r="B95" t="s">
        <v>27</v>
      </c>
      <c r="C95" t="s">
        <v>9</v>
      </c>
      <c r="D95" s="27">
        <v>315000000</v>
      </c>
      <c r="E95" s="3" t="s">
        <v>41</v>
      </c>
      <c r="F95" s="23">
        <v>5334544000</v>
      </c>
      <c r="G95" s="3" t="s">
        <v>41</v>
      </c>
      <c r="I95" s="25" t="str">
        <f t="shared" si="13"/>
        <v/>
      </c>
      <c r="J95" s="25" t="str">
        <f t="shared" si="13"/>
        <v/>
      </c>
      <c r="L95" s="3"/>
      <c r="M95" s="3"/>
    </row>
    <row r="96" spans="1:13" x14ac:dyDescent="0.45">
      <c r="A96" t="s">
        <v>19</v>
      </c>
      <c r="B96" t="s">
        <v>27</v>
      </c>
      <c r="C96" t="s">
        <v>9</v>
      </c>
      <c r="D96" s="27">
        <v>520000000</v>
      </c>
      <c r="E96" s="3" t="s">
        <v>41</v>
      </c>
      <c r="F96" s="23">
        <v>17620156000</v>
      </c>
      <c r="G96" s="3" t="s">
        <v>41</v>
      </c>
      <c r="I96" s="25" t="str">
        <f t="shared" si="13"/>
        <v/>
      </c>
      <c r="J96" s="25" t="str">
        <f t="shared" si="13"/>
        <v/>
      </c>
      <c r="L96" s="3"/>
      <c r="M96" s="3"/>
    </row>
    <row r="97" spans="1:13" x14ac:dyDescent="0.45">
      <c r="A97" t="s">
        <v>20</v>
      </c>
      <c r="B97" t="s">
        <v>27</v>
      </c>
      <c r="C97" t="s">
        <v>9</v>
      </c>
      <c r="D97" s="27">
        <v>125000000</v>
      </c>
      <c r="E97" s="3" t="s">
        <v>41</v>
      </c>
      <c r="F97" s="23">
        <v>19286609000</v>
      </c>
      <c r="G97" s="3" t="s">
        <v>41</v>
      </c>
      <c r="I97" s="25" t="str">
        <f t="shared" si="13"/>
        <v/>
      </c>
      <c r="J97" s="25" t="str">
        <f t="shared" si="13"/>
        <v/>
      </c>
      <c r="L97" s="3"/>
      <c r="M97" s="3"/>
    </row>
    <row r="98" spans="1:13" x14ac:dyDescent="0.45">
      <c r="A98" t="s">
        <v>7</v>
      </c>
      <c r="B98" t="s">
        <v>27</v>
      </c>
      <c r="C98" t="s">
        <v>21</v>
      </c>
      <c r="D98" s="27">
        <v>35000000</v>
      </c>
      <c r="E98" s="3">
        <v>34500000</v>
      </c>
      <c r="F98" s="23">
        <v>0</v>
      </c>
      <c r="G98" s="3">
        <v>0</v>
      </c>
      <c r="I98" s="22">
        <f t="shared" ref="I98:J98" si="16">IF(L98="","",L98)</f>
        <v>34500000</v>
      </c>
      <c r="J98" s="22">
        <f t="shared" si="16"/>
        <v>0</v>
      </c>
      <c r="L98" s="3">
        <v>34500000</v>
      </c>
      <c r="M98" s="3">
        <v>0</v>
      </c>
    </row>
    <row r="99" spans="1:13" x14ac:dyDescent="0.45">
      <c r="A99" t="s">
        <v>10</v>
      </c>
      <c r="B99" t="s">
        <v>27</v>
      </c>
      <c r="C99" t="s">
        <v>21</v>
      </c>
      <c r="D99" s="28">
        <v>635000000</v>
      </c>
      <c r="E99" s="4">
        <v>113020000</v>
      </c>
      <c r="F99" s="24">
        <v>35000000</v>
      </c>
      <c r="G99" s="4">
        <v>34500000</v>
      </c>
      <c r="I99" s="25">
        <f t="shared" ref="I99:J99" si="17">IF(L99="","",L99-L98)</f>
        <v>113020000</v>
      </c>
      <c r="J99" s="25">
        <f t="shared" si="17"/>
        <v>34500000</v>
      </c>
      <c r="L99" s="4">
        <v>147520000</v>
      </c>
      <c r="M99" s="4">
        <v>34500000</v>
      </c>
    </row>
    <row r="100" spans="1:13" x14ac:dyDescent="0.45">
      <c r="A100" t="s">
        <v>11</v>
      </c>
      <c r="B100" t="s">
        <v>27</v>
      </c>
      <c r="C100" t="s">
        <v>21</v>
      </c>
      <c r="D100" s="27">
        <v>85000000</v>
      </c>
      <c r="E100" s="3">
        <v>34500000</v>
      </c>
      <c r="F100" s="23">
        <v>135000000</v>
      </c>
      <c r="G100" s="3">
        <v>0</v>
      </c>
      <c r="I100" s="25">
        <f t="shared" si="13"/>
        <v>34500000</v>
      </c>
      <c r="J100" s="25">
        <f t="shared" si="13"/>
        <v>34500000</v>
      </c>
      <c r="L100" s="29">
        <f>SUMIFS(Pivot_!C:C,Pivot_!A:A,'Hitung Per Bulan'!B100,Pivot_!B:B,'Hitung Per Bulan'!C100)</f>
        <v>182020000</v>
      </c>
      <c r="M100" s="29">
        <f>SUMIFS(Pivot_!D:D,Pivot_!A:A,'Hitung Per Bulan'!B100,Pivot_!B:B,'Hitung Per Bulan'!C100)</f>
        <v>69000000</v>
      </c>
    </row>
    <row r="101" spans="1:13" x14ac:dyDescent="0.45">
      <c r="A101" t="s">
        <v>12</v>
      </c>
      <c r="B101" t="s">
        <v>27</v>
      </c>
      <c r="C101" t="s">
        <v>21</v>
      </c>
      <c r="D101" s="27">
        <v>1635000000</v>
      </c>
      <c r="E101" s="3" t="s">
        <v>41</v>
      </c>
      <c r="F101" s="23">
        <v>85000000</v>
      </c>
      <c r="G101" s="3" t="s">
        <v>41</v>
      </c>
      <c r="I101" s="25" t="str">
        <f t="shared" si="13"/>
        <v/>
      </c>
      <c r="J101" s="25" t="str">
        <f t="shared" si="13"/>
        <v/>
      </c>
      <c r="L101" s="3"/>
      <c r="M101" s="3"/>
    </row>
    <row r="102" spans="1:13" x14ac:dyDescent="0.45">
      <c r="A102" t="s">
        <v>13</v>
      </c>
      <c r="B102" t="s">
        <v>27</v>
      </c>
      <c r="C102" t="s">
        <v>21</v>
      </c>
      <c r="D102" s="27">
        <v>335000000</v>
      </c>
      <c r="E102" s="3" t="s">
        <v>41</v>
      </c>
      <c r="F102" s="23">
        <v>185000000</v>
      </c>
      <c r="G102" s="3" t="s">
        <v>41</v>
      </c>
      <c r="I102" s="25" t="str">
        <f t="shared" si="13"/>
        <v/>
      </c>
      <c r="J102" s="25" t="str">
        <f t="shared" si="13"/>
        <v/>
      </c>
      <c r="L102" s="3"/>
      <c r="M102" s="3"/>
    </row>
    <row r="103" spans="1:13" x14ac:dyDescent="0.45">
      <c r="A103" t="s">
        <v>14</v>
      </c>
      <c r="B103" t="s">
        <v>27</v>
      </c>
      <c r="C103" t="s">
        <v>21</v>
      </c>
      <c r="D103" s="27">
        <v>685000000</v>
      </c>
      <c r="E103" s="3" t="s">
        <v>41</v>
      </c>
      <c r="F103" s="23">
        <v>85000000</v>
      </c>
      <c r="G103" s="3" t="s">
        <v>41</v>
      </c>
      <c r="I103" s="25" t="str">
        <f t="shared" si="13"/>
        <v/>
      </c>
      <c r="J103" s="25" t="str">
        <f t="shared" si="13"/>
        <v/>
      </c>
      <c r="L103" s="3"/>
      <c r="M103" s="3"/>
    </row>
    <row r="104" spans="1:13" x14ac:dyDescent="0.45">
      <c r="A104" t="s">
        <v>15</v>
      </c>
      <c r="B104" t="s">
        <v>27</v>
      </c>
      <c r="C104" t="s">
        <v>21</v>
      </c>
      <c r="D104" s="27">
        <v>885000000</v>
      </c>
      <c r="E104" s="3" t="s">
        <v>41</v>
      </c>
      <c r="F104" s="23">
        <v>685000000</v>
      </c>
      <c r="G104" s="3" t="s">
        <v>41</v>
      </c>
      <c r="I104" s="25" t="str">
        <f t="shared" si="13"/>
        <v/>
      </c>
      <c r="J104" s="25" t="str">
        <f t="shared" si="13"/>
        <v/>
      </c>
      <c r="L104" s="3"/>
      <c r="M104" s="3"/>
    </row>
    <row r="105" spans="1:13" x14ac:dyDescent="0.45">
      <c r="A105" t="s">
        <v>16</v>
      </c>
      <c r="B105" t="s">
        <v>27</v>
      </c>
      <c r="C105" t="s">
        <v>21</v>
      </c>
      <c r="D105" s="27">
        <v>685000000</v>
      </c>
      <c r="E105" s="3" t="s">
        <v>41</v>
      </c>
      <c r="F105" s="23">
        <v>1285000000</v>
      </c>
      <c r="G105" s="3" t="s">
        <v>41</v>
      </c>
      <c r="I105" s="25" t="str">
        <f t="shared" si="13"/>
        <v/>
      </c>
      <c r="J105" s="25" t="str">
        <f t="shared" si="13"/>
        <v/>
      </c>
      <c r="L105" s="3"/>
      <c r="M105" s="3"/>
    </row>
    <row r="106" spans="1:13" x14ac:dyDescent="0.45">
      <c r="A106" t="s">
        <v>17</v>
      </c>
      <c r="B106" t="s">
        <v>27</v>
      </c>
      <c r="C106" t="s">
        <v>21</v>
      </c>
      <c r="D106" s="27">
        <v>535000000</v>
      </c>
      <c r="E106" s="3" t="s">
        <v>41</v>
      </c>
      <c r="F106" s="23">
        <v>185000000</v>
      </c>
      <c r="G106" s="3" t="s">
        <v>41</v>
      </c>
      <c r="I106" s="25" t="str">
        <f t="shared" si="13"/>
        <v/>
      </c>
      <c r="J106" s="25" t="str">
        <f t="shared" si="13"/>
        <v/>
      </c>
      <c r="L106" s="3"/>
      <c r="M106" s="3"/>
    </row>
    <row r="107" spans="1:13" x14ac:dyDescent="0.45">
      <c r="A107" t="s">
        <v>18</v>
      </c>
      <c r="B107" t="s">
        <v>27</v>
      </c>
      <c r="C107" t="s">
        <v>21</v>
      </c>
      <c r="D107" s="27">
        <v>635000000</v>
      </c>
      <c r="E107" s="3" t="s">
        <v>41</v>
      </c>
      <c r="F107" s="23">
        <v>585000000</v>
      </c>
      <c r="G107" s="3" t="s">
        <v>41</v>
      </c>
      <c r="I107" s="25" t="str">
        <f t="shared" si="13"/>
        <v/>
      </c>
      <c r="J107" s="25" t="str">
        <f t="shared" si="13"/>
        <v/>
      </c>
      <c r="L107" s="3"/>
      <c r="M107" s="3"/>
    </row>
    <row r="108" spans="1:13" x14ac:dyDescent="0.45">
      <c r="A108" t="s">
        <v>19</v>
      </c>
      <c r="B108" t="s">
        <v>27</v>
      </c>
      <c r="C108" t="s">
        <v>21</v>
      </c>
      <c r="D108" s="27">
        <v>85000000</v>
      </c>
      <c r="E108" s="3" t="s">
        <v>41</v>
      </c>
      <c r="F108" s="23">
        <v>985000000</v>
      </c>
      <c r="G108" s="3" t="s">
        <v>41</v>
      </c>
      <c r="I108" s="25" t="str">
        <f t="shared" si="13"/>
        <v/>
      </c>
      <c r="J108" s="25" t="str">
        <f t="shared" si="13"/>
        <v/>
      </c>
      <c r="L108" s="3"/>
      <c r="M108" s="3"/>
    </row>
    <row r="109" spans="1:13" x14ac:dyDescent="0.45">
      <c r="A109" t="s">
        <v>20</v>
      </c>
      <c r="B109" t="s">
        <v>27</v>
      </c>
      <c r="C109" t="s">
        <v>21</v>
      </c>
      <c r="D109" s="27">
        <v>135000000</v>
      </c>
      <c r="E109" s="3" t="s">
        <v>41</v>
      </c>
      <c r="F109" s="23">
        <v>2120000000</v>
      </c>
      <c r="G109" s="3" t="s">
        <v>41</v>
      </c>
      <c r="I109" s="25" t="str">
        <f t="shared" si="13"/>
        <v/>
      </c>
      <c r="J109" s="25" t="str">
        <f t="shared" si="13"/>
        <v/>
      </c>
      <c r="L109" s="3"/>
      <c r="M109" s="3"/>
    </row>
    <row r="110" spans="1:13" x14ac:dyDescent="0.45">
      <c r="A110" t="s">
        <v>7</v>
      </c>
      <c r="B110" t="s">
        <v>27</v>
      </c>
      <c r="C110" t="s">
        <v>22</v>
      </c>
      <c r="D110" s="27">
        <v>15017750</v>
      </c>
      <c r="E110" s="3">
        <v>0</v>
      </c>
      <c r="F110" s="23">
        <v>0</v>
      </c>
      <c r="G110" s="3">
        <v>0</v>
      </c>
      <c r="I110" s="22">
        <f t="shared" ref="I110:J110" si="18">IF(L110="","",L110)</f>
        <v>0</v>
      </c>
      <c r="J110" s="22">
        <f t="shared" si="18"/>
        <v>0</v>
      </c>
      <c r="L110" s="3">
        <v>0</v>
      </c>
      <c r="M110" s="3">
        <v>0</v>
      </c>
    </row>
    <row r="111" spans="1:13" x14ac:dyDescent="0.45">
      <c r="A111" t="s">
        <v>10</v>
      </c>
      <c r="B111" t="s">
        <v>27</v>
      </c>
      <c r="C111" t="s">
        <v>22</v>
      </c>
      <c r="D111" s="28">
        <v>15017750</v>
      </c>
      <c r="E111" s="4">
        <v>0</v>
      </c>
      <c r="F111" s="24">
        <v>15017750</v>
      </c>
      <c r="G111" s="4">
        <v>0</v>
      </c>
      <c r="I111" s="25">
        <f t="shared" ref="I111:J111" si="19">IF(L111="","",L111-L110)</f>
        <v>0</v>
      </c>
      <c r="J111" s="25">
        <f t="shared" si="19"/>
        <v>0</v>
      </c>
      <c r="L111" s="4">
        <v>0</v>
      </c>
      <c r="M111" s="4">
        <v>0</v>
      </c>
    </row>
    <row r="112" spans="1:13" x14ac:dyDescent="0.45">
      <c r="A112" t="s">
        <v>11</v>
      </c>
      <c r="B112" t="s">
        <v>27</v>
      </c>
      <c r="C112" t="s">
        <v>22</v>
      </c>
      <c r="D112" s="27">
        <v>15017750</v>
      </c>
      <c r="E112" s="3">
        <v>0</v>
      </c>
      <c r="F112" s="23">
        <v>15017750</v>
      </c>
      <c r="G112" s="3">
        <v>0</v>
      </c>
      <c r="I112" s="25">
        <f t="shared" si="13"/>
        <v>28710000</v>
      </c>
      <c r="J112" s="25">
        <f t="shared" si="13"/>
        <v>0</v>
      </c>
      <c r="L112" s="29">
        <f>SUMIFS(Pivot_!C:C,Pivot_!A:A,'Hitung Per Bulan'!B112,Pivot_!B:B,'Hitung Per Bulan'!C112)</f>
        <v>28710000</v>
      </c>
      <c r="M112" s="29">
        <f>SUMIFS(Pivot_!D:D,Pivot_!A:A,'Hitung Per Bulan'!B112,Pivot_!B:B,'Hitung Per Bulan'!C112)</f>
        <v>0</v>
      </c>
    </row>
    <row r="113" spans="1:13" x14ac:dyDescent="0.45">
      <c r="A113" t="s">
        <v>12</v>
      </c>
      <c r="B113" t="s">
        <v>27</v>
      </c>
      <c r="C113" t="s">
        <v>22</v>
      </c>
      <c r="D113" s="27">
        <v>15017750</v>
      </c>
      <c r="E113" s="3" t="s">
        <v>41</v>
      </c>
      <c r="F113" s="23">
        <v>15017750</v>
      </c>
      <c r="G113" s="3" t="s">
        <v>41</v>
      </c>
      <c r="I113" s="25" t="str">
        <f t="shared" si="13"/>
        <v/>
      </c>
      <c r="J113" s="25" t="str">
        <f t="shared" si="13"/>
        <v/>
      </c>
      <c r="L113" s="3"/>
      <c r="M113" s="3"/>
    </row>
    <row r="114" spans="1:13" x14ac:dyDescent="0.45">
      <c r="A114" t="s">
        <v>13</v>
      </c>
      <c r="B114" t="s">
        <v>27</v>
      </c>
      <c r="C114" t="s">
        <v>22</v>
      </c>
      <c r="D114" s="27">
        <v>15017750</v>
      </c>
      <c r="E114" s="3" t="s">
        <v>41</v>
      </c>
      <c r="F114" s="23">
        <v>15017750</v>
      </c>
      <c r="G114" s="3" t="s">
        <v>41</v>
      </c>
      <c r="I114" s="25" t="str">
        <f t="shared" si="13"/>
        <v/>
      </c>
      <c r="J114" s="25" t="str">
        <f t="shared" si="13"/>
        <v/>
      </c>
      <c r="L114" s="3"/>
      <c r="M114" s="3"/>
    </row>
    <row r="115" spans="1:13" x14ac:dyDescent="0.45">
      <c r="A115" t="s">
        <v>14</v>
      </c>
      <c r="B115" t="s">
        <v>27</v>
      </c>
      <c r="C115" t="s">
        <v>22</v>
      </c>
      <c r="D115" s="27">
        <v>15017750</v>
      </c>
      <c r="E115" s="3" t="s">
        <v>41</v>
      </c>
      <c r="F115" s="23">
        <v>15017750</v>
      </c>
      <c r="G115" s="3" t="s">
        <v>41</v>
      </c>
      <c r="I115" s="25" t="str">
        <f t="shared" si="13"/>
        <v/>
      </c>
      <c r="J115" s="25" t="str">
        <f t="shared" si="13"/>
        <v/>
      </c>
      <c r="L115" s="3"/>
      <c r="M115" s="3"/>
    </row>
    <row r="116" spans="1:13" x14ac:dyDescent="0.45">
      <c r="A116" t="s">
        <v>15</v>
      </c>
      <c r="B116" t="s">
        <v>27</v>
      </c>
      <c r="C116" t="s">
        <v>22</v>
      </c>
      <c r="D116" s="27">
        <v>15017750</v>
      </c>
      <c r="E116" s="3" t="s">
        <v>41</v>
      </c>
      <c r="F116" s="23">
        <v>15017750</v>
      </c>
      <c r="G116" s="3" t="s">
        <v>41</v>
      </c>
      <c r="I116" s="25" t="str">
        <f t="shared" si="13"/>
        <v/>
      </c>
      <c r="J116" s="25" t="str">
        <f t="shared" si="13"/>
        <v/>
      </c>
      <c r="L116" s="3"/>
      <c r="M116" s="3"/>
    </row>
    <row r="117" spans="1:13" x14ac:dyDescent="0.45">
      <c r="A117" t="s">
        <v>16</v>
      </c>
      <c r="B117" t="s">
        <v>27</v>
      </c>
      <c r="C117" t="s">
        <v>22</v>
      </c>
      <c r="D117" s="27">
        <v>15017750</v>
      </c>
      <c r="E117" s="3" t="s">
        <v>41</v>
      </c>
      <c r="F117" s="23">
        <v>15017750</v>
      </c>
      <c r="G117" s="3" t="s">
        <v>41</v>
      </c>
      <c r="I117" s="25" t="str">
        <f t="shared" si="13"/>
        <v/>
      </c>
      <c r="J117" s="25" t="str">
        <f t="shared" si="13"/>
        <v/>
      </c>
      <c r="L117" s="3"/>
      <c r="M117" s="3"/>
    </row>
    <row r="118" spans="1:13" x14ac:dyDescent="0.45">
      <c r="A118" t="s">
        <v>17</v>
      </c>
      <c r="B118" t="s">
        <v>27</v>
      </c>
      <c r="C118" t="s">
        <v>22</v>
      </c>
      <c r="D118" s="27">
        <v>15017750</v>
      </c>
      <c r="E118" s="3" t="s">
        <v>41</v>
      </c>
      <c r="F118" s="23">
        <v>15017750</v>
      </c>
      <c r="G118" s="3" t="s">
        <v>41</v>
      </c>
      <c r="I118" s="25" t="str">
        <f t="shared" si="13"/>
        <v/>
      </c>
      <c r="J118" s="25" t="str">
        <f t="shared" si="13"/>
        <v/>
      </c>
      <c r="L118" s="3"/>
      <c r="M118" s="3"/>
    </row>
    <row r="119" spans="1:13" x14ac:dyDescent="0.45">
      <c r="A119" t="s">
        <v>18</v>
      </c>
      <c r="B119" t="s">
        <v>27</v>
      </c>
      <c r="C119" t="s">
        <v>22</v>
      </c>
      <c r="D119" s="27">
        <v>15017750</v>
      </c>
      <c r="E119" s="3" t="s">
        <v>41</v>
      </c>
      <c r="F119" s="23">
        <v>15017750</v>
      </c>
      <c r="G119" s="3" t="s">
        <v>41</v>
      </c>
      <c r="I119" s="25" t="str">
        <f t="shared" si="13"/>
        <v/>
      </c>
      <c r="J119" s="25" t="str">
        <f t="shared" si="13"/>
        <v/>
      </c>
      <c r="L119" s="3"/>
      <c r="M119" s="3"/>
    </row>
    <row r="120" spans="1:13" x14ac:dyDescent="0.45">
      <c r="A120" t="s">
        <v>19</v>
      </c>
      <c r="B120" t="s">
        <v>27</v>
      </c>
      <c r="C120" t="s">
        <v>22</v>
      </c>
      <c r="D120" s="27">
        <v>15017750</v>
      </c>
      <c r="E120" s="3" t="s">
        <v>41</v>
      </c>
      <c r="F120" s="23">
        <v>15017750</v>
      </c>
      <c r="G120" s="3" t="s">
        <v>41</v>
      </c>
      <c r="I120" s="25" t="str">
        <f t="shared" si="13"/>
        <v/>
      </c>
      <c r="J120" s="25" t="str">
        <f t="shared" si="13"/>
        <v/>
      </c>
      <c r="L120" s="3"/>
      <c r="M120" s="3"/>
    </row>
    <row r="121" spans="1:13" x14ac:dyDescent="0.45">
      <c r="A121" t="s">
        <v>20</v>
      </c>
      <c r="B121" t="s">
        <v>27</v>
      </c>
      <c r="C121" t="s">
        <v>22</v>
      </c>
      <c r="D121" s="27">
        <v>14804750</v>
      </c>
      <c r="E121" s="3" t="s">
        <v>41</v>
      </c>
      <c r="F121" s="23">
        <v>29822500</v>
      </c>
      <c r="G121" s="3" t="s">
        <v>41</v>
      </c>
      <c r="I121" s="25" t="str">
        <f t="shared" si="13"/>
        <v/>
      </c>
      <c r="J121" s="25" t="str">
        <f t="shared" si="13"/>
        <v/>
      </c>
      <c r="L121" s="3"/>
      <c r="M121" s="3"/>
    </row>
    <row r="122" spans="1:13" x14ac:dyDescent="0.45">
      <c r="A122" t="s">
        <v>7</v>
      </c>
      <c r="B122" t="s">
        <v>27</v>
      </c>
      <c r="C122" t="s">
        <v>23</v>
      </c>
      <c r="D122" s="27">
        <v>0</v>
      </c>
      <c r="E122" s="3">
        <v>0</v>
      </c>
      <c r="F122" s="23">
        <v>0</v>
      </c>
      <c r="G122" s="3">
        <v>0</v>
      </c>
      <c r="I122" s="22">
        <f t="shared" ref="I122:J122" si="20">IF(L122="","",L122)</f>
        <v>0</v>
      </c>
      <c r="J122" s="22">
        <f t="shared" si="20"/>
        <v>0</v>
      </c>
      <c r="L122" s="3">
        <v>0</v>
      </c>
      <c r="M122" s="3">
        <v>0</v>
      </c>
    </row>
    <row r="123" spans="1:13" x14ac:dyDescent="0.45">
      <c r="A123" t="s">
        <v>10</v>
      </c>
      <c r="B123" t="s">
        <v>27</v>
      </c>
      <c r="C123" t="s">
        <v>23</v>
      </c>
      <c r="D123" s="28">
        <v>0</v>
      </c>
      <c r="E123" s="4">
        <v>0</v>
      </c>
      <c r="F123" s="24">
        <v>0</v>
      </c>
      <c r="G123" s="4">
        <v>0</v>
      </c>
      <c r="I123" s="25">
        <f t="shared" ref="I123:J123" si="21">IF(L123="","",L123-L122)</f>
        <v>0</v>
      </c>
      <c r="J123" s="25">
        <f t="shared" si="21"/>
        <v>0</v>
      </c>
      <c r="L123" s="4">
        <v>0</v>
      </c>
      <c r="M123" s="4">
        <v>0</v>
      </c>
    </row>
    <row r="124" spans="1:13" x14ac:dyDescent="0.45">
      <c r="A124" t="s">
        <v>11</v>
      </c>
      <c r="B124" t="s">
        <v>27</v>
      </c>
      <c r="C124" t="s">
        <v>23</v>
      </c>
      <c r="D124" s="27">
        <v>0</v>
      </c>
      <c r="E124" s="3">
        <v>0</v>
      </c>
      <c r="F124" s="23">
        <v>0</v>
      </c>
      <c r="G124" s="3">
        <v>0</v>
      </c>
      <c r="I124" s="25">
        <f t="shared" si="13"/>
        <v>0</v>
      </c>
      <c r="J124" s="25">
        <f t="shared" si="13"/>
        <v>0</v>
      </c>
      <c r="L124" s="29">
        <f>SUMIFS(Pivot_!C:C,Pivot_!A:A,'Hitung Per Bulan'!B124,Pivot_!B:B,'Hitung Per Bulan'!C124)</f>
        <v>0</v>
      </c>
      <c r="M124" s="29">
        <f>SUMIFS(Pivot_!D:D,Pivot_!A:A,'Hitung Per Bulan'!B124,Pivot_!B:B,'Hitung Per Bulan'!C124)</f>
        <v>0</v>
      </c>
    </row>
    <row r="125" spans="1:13" x14ac:dyDescent="0.45">
      <c r="A125" t="s">
        <v>12</v>
      </c>
      <c r="B125" t="s">
        <v>27</v>
      </c>
      <c r="C125" t="s">
        <v>23</v>
      </c>
      <c r="D125" s="27">
        <v>0</v>
      </c>
      <c r="E125" s="3" t="s">
        <v>41</v>
      </c>
      <c r="F125" s="23">
        <v>0</v>
      </c>
      <c r="G125" s="3" t="s">
        <v>41</v>
      </c>
      <c r="I125" s="25" t="str">
        <f t="shared" si="13"/>
        <v/>
      </c>
      <c r="J125" s="25" t="str">
        <f t="shared" si="13"/>
        <v/>
      </c>
      <c r="L125" s="3"/>
      <c r="M125" s="3"/>
    </row>
    <row r="126" spans="1:13" x14ac:dyDescent="0.45">
      <c r="A126" t="s">
        <v>13</v>
      </c>
      <c r="B126" t="s">
        <v>27</v>
      </c>
      <c r="C126" t="s">
        <v>23</v>
      </c>
      <c r="D126" s="27">
        <v>200000000</v>
      </c>
      <c r="E126" s="3" t="s">
        <v>41</v>
      </c>
      <c r="F126" s="23">
        <v>0</v>
      </c>
      <c r="G126" s="3" t="s">
        <v>41</v>
      </c>
      <c r="I126" s="25" t="str">
        <f t="shared" si="13"/>
        <v/>
      </c>
      <c r="J126" s="25" t="str">
        <f t="shared" si="13"/>
        <v/>
      </c>
      <c r="L126" s="3"/>
      <c r="M126" s="3"/>
    </row>
    <row r="127" spans="1:13" x14ac:dyDescent="0.45">
      <c r="A127" t="s">
        <v>14</v>
      </c>
      <c r="B127" t="s">
        <v>27</v>
      </c>
      <c r="C127" t="s">
        <v>23</v>
      </c>
      <c r="D127" s="27">
        <v>0</v>
      </c>
      <c r="E127" s="3" t="s">
        <v>41</v>
      </c>
      <c r="F127" s="23">
        <v>0</v>
      </c>
      <c r="G127" s="3" t="s">
        <v>41</v>
      </c>
      <c r="I127" s="25" t="str">
        <f t="shared" si="13"/>
        <v/>
      </c>
      <c r="J127" s="25" t="str">
        <f t="shared" si="13"/>
        <v/>
      </c>
      <c r="L127" s="3"/>
      <c r="M127" s="3"/>
    </row>
    <row r="128" spans="1:13" x14ac:dyDescent="0.45">
      <c r="A128" t="s">
        <v>15</v>
      </c>
      <c r="B128" t="s">
        <v>27</v>
      </c>
      <c r="C128" t="s">
        <v>23</v>
      </c>
      <c r="D128" s="27">
        <v>0</v>
      </c>
      <c r="E128" s="3" t="s">
        <v>41</v>
      </c>
      <c r="F128" s="23">
        <v>0</v>
      </c>
      <c r="G128" s="3" t="s">
        <v>41</v>
      </c>
      <c r="I128" s="25" t="str">
        <f t="shared" si="13"/>
        <v/>
      </c>
      <c r="J128" s="25" t="str">
        <f t="shared" si="13"/>
        <v/>
      </c>
      <c r="L128" s="3"/>
      <c r="M128" s="3"/>
    </row>
    <row r="129" spans="1:13" x14ac:dyDescent="0.45">
      <c r="A129" t="s">
        <v>16</v>
      </c>
      <c r="B129" t="s">
        <v>27</v>
      </c>
      <c r="C129" t="s">
        <v>23</v>
      </c>
      <c r="D129" s="27">
        <v>0</v>
      </c>
      <c r="E129" s="3" t="s">
        <v>41</v>
      </c>
      <c r="F129" s="23">
        <v>0</v>
      </c>
      <c r="G129" s="3" t="s">
        <v>41</v>
      </c>
      <c r="I129" s="25" t="str">
        <f t="shared" si="13"/>
        <v/>
      </c>
      <c r="J129" s="25" t="str">
        <f t="shared" si="13"/>
        <v/>
      </c>
      <c r="L129" s="3"/>
      <c r="M129" s="3"/>
    </row>
    <row r="130" spans="1:13" x14ac:dyDescent="0.45">
      <c r="A130" t="s">
        <v>17</v>
      </c>
      <c r="B130" t="s">
        <v>27</v>
      </c>
      <c r="C130" t="s">
        <v>23</v>
      </c>
      <c r="D130" s="27">
        <v>0</v>
      </c>
      <c r="E130" s="3" t="s">
        <v>41</v>
      </c>
      <c r="F130" s="23">
        <v>200000000</v>
      </c>
      <c r="G130" s="3" t="s">
        <v>41</v>
      </c>
      <c r="I130" s="25" t="str">
        <f t="shared" si="13"/>
        <v/>
      </c>
      <c r="J130" s="25" t="str">
        <f t="shared" si="13"/>
        <v/>
      </c>
      <c r="L130" s="3"/>
      <c r="M130" s="3"/>
    </row>
    <row r="131" spans="1:13" x14ac:dyDescent="0.45">
      <c r="A131" t="s">
        <v>18</v>
      </c>
      <c r="B131" t="s">
        <v>27</v>
      </c>
      <c r="C131" t="s">
        <v>23</v>
      </c>
      <c r="D131" s="27">
        <v>0</v>
      </c>
      <c r="E131" s="3" t="s">
        <v>41</v>
      </c>
      <c r="F131" s="23">
        <v>0</v>
      </c>
      <c r="G131" s="3" t="s">
        <v>41</v>
      </c>
      <c r="I131" s="25" t="str">
        <f t="shared" si="13"/>
        <v/>
      </c>
      <c r="J131" s="25" t="str">
        <f t="shared" si="13"/>
        <v/>
      </c>
      <c r="L131" s="3"/>
      <c r="M131" s="3"/>
    </row>
    <row r="132" spans="1:13" x14ac:dyDescent="0.45">
      <c r="A132" t="s">
        <v>19</v>
      </c>
      <c r="B132" t="s">
        <v>27</v>
      </c>
      <c r="C132" t="s">
        <v>23</v>
      </c>
      <c r="D132" s="27">
        <v>200000000</v>
      </c>
      <c r="E132" s="3" t="s">
        <v>41</v>
      </c>
      <c r="F132" s="23">
        <v>0</v>
      </c>
      <c r="G132" s="3" t="s">
        <v>41</v>
      </c>
      <c r="I132" s="25" t="str">
        <f t="shared" si="13"/>
        <v/>
      </c>
      <c r="J132" s="25" t="str">
        <f t="shared" si="13"/>
        <v/>
      </c>
      <c r="L132" s="3"/>
      <c r="M132" s="3"/>
    </row>
    <row r="133" spans="1:13" x14ac:dyDescent="0.45">
      <c r="A133" t="s">
        <v>20</v>
      </c>
      <c r="B133" t="s">
        <v>27</v>
      </c>
      <c r="C133" t="s">
        <v>23</v>
      </c>
      <c r="D133" s="27">
        <v>0</v>
      </c>
      <c r="E133" s="3" t="s">
        <v>41</v>
      </c>
      <c r="F133" s="23">
        <v>200000000</v>
      </c>
      <c r="G133" s="3" t="s">
        <v>41</v>
      </c>
      <c r="I133" s="25" t="str">
        <f t="shared" si="13"/>
        <v/>
      </c>
      <c r="J133" s="25" t="str">
        <f t="shared" si="13"/>
        <v/>
      </c>
      <c r="L133" s="3"/>
      <c r="M133" s="3"/>
    </row>
    <row r="134" spans="1:13" x14ac:dyDescent="0.45">
      <c r="A134" t="s">
        <v>7</v>
      </c>
      <c r="B134" t="s">
        <v>27</v>
      </c>
      <c r="C134" t="s">
        <v>24</v>
      </c>
      <c r="D134" s="27">
        <v>0</v>
      </c>
      <c r="E134" s="3">
        <v>0</v>
      </c>
      <c r="F134" s="23">
        <v>0</v>
      </c>
      <c r="G134" s="3">
        <v>0</v>
      </c>
      <c r="I134" s="22">
        <f t="shared" ref="I134:J134" si="22">IF(L134="","",L134)</f>
        <v>0</v>
      </c>
      <c r="J134" s="22">
        <f t="shared" si="22"/>
        <v>0</v>
      </c>
      <c r="L134" s="3">
        <v>0</v>
      </c>
      <c r="M134" s="3">
        <v>0</v>
      </c>
    </row>
    <row r="135" spans="1:13" x14ac:dyDescent="0.45">
      <c r="A135" t="s">
        <v>10</v>
      </c>
      <c r="B135" t="s">
        <v>27</v>
      </c>
      <c r="C135" t="s">
        <v>24</v>
      </c>
      <c r="D135" s="28">
        <v>0</v>
      </c>
      <c r="E135" s="4">
        <v>0</v>
      </c>
      <c r="F135" s="24">
        <v>0</v>
      </c>
      <c r="G135" s="4">
        <v>0</v>
      </c>
      <c r="I135" s="25">
        <f t="shared" ref="I135:J135" si="23">IF(L135="","",L135-L134)</f>
        <v>0</v>
      </c>
      <c r="J135" s="25">
        <f t="shared" si="23"/>
        <v>0</v>
      </c>
      <c r="L135" s="4">
        <v>0</v>
      </c>
      <c r="M135" s="4">
        <v>0</v>
      </c>
    </row>
    <row r="136" spans="1:13" x14ac:dyDescent="0.45">
      <c r="A136" t="s">
        <v>11</v>
      </c>
      <c r="B136" t="s">
        <v>27</v>
      </c>
      <c r="C136" t="s">
        <v>24</v>
      </c>
      <c r="D136" s="27">
        <v>0</v>
      </c>
      <c r="E136" s="3">
        <v>0</v>
      </c>
      <c r="F136" s="23">
        <v>0</v>
      </c>
      <c r="G136" s="3">
        <v>0</v>
      </c>
      <c r="I136" s="25">
        <f t="shared" si="13"/>
        <v>0</v>
      </c>
      <c r="J136" s="25">
        <f t="shared" si="13"/>
        <v>0</v>
      </c>
      <c r="L136" s="29">
        <f>SUMIFS(Pivot_!C:C,Pivot_!A:A,'Hitung Per Bulan'!B136,Pivot_!B:B,'Hitung Per Bulan'!C136)</f>
        <v>0</v>
      </c>
      <c r="M136" s="29">
        <f>SUMIFS(Pivot_!D:D,Pivot_!A:A,'Hitung Per Bulan'!B136,Pivot_!B:B,'Hitung Per Bulan'!C136)</f>
        <v>0</v>
      </c>
    </row>
    <row r="137" spans="1:13" x14ac:dyDescent="0.45">
      <c r="A137" t="s">
        <v>12</v>
      </c>
      <c r="B137" t="s">
        <v>27</v>
      </c>
      <c r="C137" t="s">
        <v>24</v>
      </c>
      <c r="D137" s="27">
        <v>0</v>
      </c>
      <c r="E137" s="3" t="s">
        <v>41</v>
      </c>
      <c r="F137" s="23">
        <v>0</v>
      </c>
      <c r="G137" s="3" t="s">
        <v>41</v>
      </c>
      <c r="I137" s="25" t="str">
        <f t="shared" si="13"/>
        <v/>
      </c>
      <c r="J137" s="25" t="str">
        <f t="shared" si="13"/>
        <v/>
      </c>
      <c r="L137" s="3"/>
      <c r="M137" s="3"/>
    </row>
    <row r="138" spans="1:13" x14ac:dyDescent="0.45">
      <c r="A138" t="s">
        <v>13</v>
      </c>
      <c r="B138" t="s">
        <v>27</v>
      </c>
      <c r="C138" t="s">
        <v>24</v>
      </c>
      <c r="D138" s="27">
        <v>0</v>
      </c>
      <c r="E138" s="3" t="s">
        <v>41</v>
      </c>
      <c r="F138" s="23">
        <v>0</v>
      </c>
      <c r="G138" s="3" t="s">
        <v>41</v>
      </c>
      <c r="I138" s="25" t="str">
        <f t="shared" si="13"/>
        <v/>
      </c>
      <c r="J138" s="25" t="str">
        <f t="shared" si="13"/>
        <v/>
      </c>
      <c r="L138" s="3"/>
      <c r="M138" s="3"/>
    </row>
    <row r="139" spans="1:13" x14ac:dyDescent="0.45">
      <c r="A139" t="s">
        <v>14</v>
      </c>
      <c r="B139" t="s">
        <v>27</v>
      </c>
      <c r="C139" t="s">
        <v>24</v>
      </c>
      <c r="D139" s="27">
        <v>0</v>
      </c>
      <c r="E139" s="3" t="s">
        <v>41</v>
      </c>
      <c r="F139" s="23">
        <v>0</v>
      </c>
      <c r="G139" s="3" t="s">
        <v>41</v>
      </c>
      <c r="I139" s="25" t="str">
        <f t="shared" si="13"/>
        <v/>
      </c>
      <c r="J139" s="25" t="str">
        <f t="shared" si="13"/>
        <v/>
      </c>
      <c r="L139" s="3"/>
      <c r="M139" s="3"/>
    </row>
    <row r="140" spans="1:13" x14ac:dyDescent="0.45">
      <c r="A140" t="s">
        <v>15</v>
      </c>
      <c r="B140" t="s">
        <v>27</v>
      </c>
      <c r="C140" t="s">
        <v>24</v>
      </c>
      <c r="D140" s="27">
        <v>0</v>
      </c>
      <c r="E140" s="3" t="s">
        <v>41</v>
      </c>
      <c r="F140" s="23">
        <v>0</v>
      </c>
      <c r="G140" s="3" t="s">
        <v>41</v>
      </c>
      <c r="I140" s="25" t="str">
        <f t="shared" si="13"/>
        <v/>
      </c>
      <c r="J140" s="25" t="str">
        <f t="shared" si="13"/>
        <v/>
      </c>
      <c r="L140" s="3"/>
      <c r="M140" s="3"/>
    </row>
    <row r="141" spans="1:13" x14ac:dyDescent="0.45">
      <c r="A141" t="s">
        <v>16</v>
      </c>
      <c r="B141" t="s">
        <v>27</v>
      </c>
      <c r="C141" t="s">
        <v>24</v>
      </c>
      <c r="D141" s="27">
        <v>0</v>
      </c>
      <c r="E141" s="3" t="s">
        <v>41</v>
      </c>
      <c r="F141" s="23">
        <v>0</v>
      </c>
      <c r="G141" s="3" t="s">
        <v>41</v>
      </c>
      <c r="I141" s="25" t="str">
        <f t="shared" si="13"/>
        <v/>
      </c>
      <c r="J141" s="25" t="str">
        <f t="shared" si="13"/>
        <v/>
      </c>
      <c r="L141" s="3"/>
      <c r="M141" s="3"/>
    </row>
    <row r="142" spans="1:13" x14ac:dyDescent="0.45">
      <c r="A142" t="s">
        <v>17</v>
      </c>
      <c r="B142" t="s">
        <v>27</v>
      </c>
      <c r="C142" t="s">
        <v>24</v>
      </c>
      <c r="D142" s="27">
        <v>0</v>
      </c>
      <c r="E142" s="3" t="s">
        <v>41</v>
      </c>
      <c r="F142" s="23">
        <v>0</v>
      </c>
      <c r="G142" s="3" t="s">
        <v>41</v>
      </c>
      <c r="I142" s="25" t="str">
        <f t="shared" si="13"/>
        <v/>
      </c>
      <c r="J142" s="25" t="str">
        <f t="shared" si="13"/>
        <v/>
      </c>
      <c r="L142" s="3"/>
      <c r="M142" s="3"/>
    </row>
    <row r="143" spans="1:13" x14ac:dyDescent="0.45">
      <c r="A143" t="s">
        <v>18</v>
      </c>
      <c r="B143" t="s">
        <v>27</v>
      </c>
      <c r="C143" t="s">
        <v>24</v>
      </c>
      <c r="D143" s="27">
        <v>0</v>
      </c>
      <c r="E143" s="3" t="s">
        <v>41</v>
      </c>
      <c r="F143" s="23">
        <v>0</v>
      </c>
      <c r="G143" s="3" t="s">
        <v>41</v>
      </c>
      <c r="I143" s="25" t="str">
        <f t="shared" ref="I143:J205" si="24">IF(L143="","",L143-L142)</f>
        <v/>
      </c>
      <c r="J143" s="25" t="str">
        <f t="shared" si="24"/>
        <v/>
      </c>
      <c r="L143" s="3"/>
      <c r="M143" s="3"/>
    </row>
    <row r="144" spans="1:13" x14ac:dyDescent="0.45">
      <c r="A144" t="s">
        <v>19</v>
      </c>
      <c r="B144" t="s">
        <v>27</v>
      </c>
      <c r="C144" t="s">
        <v>24</v>
      </c>
      <c r="D144" s="27">
        <v>0</v>
      </c>
      <c r="E144" s="3" t="s">
        <v>41</v>
      </c>
      <c r="F144" s="23">
        <v>0</v>
      </c>
      <c r="G144" s="3" t="s">
        <v>41</v>
      </c>
      <c r="I144" s="25" t="str">
        <f t="shared" si="24"/>
        <v/>
      </c>
      <c r="J144" s="25" t="str">
        <f t="shared" si="24"/>
        <v/>
      </c>
      <c r="L144" s="3"/>
      <c r="M144" s="3"/>
    </row>
    <row r="145" spans="1:13" x14ac:dyDescent="0.45">
      <c r="A145" t="s">
        <v>20</v>
      </c>
      <c r="B145" t="s">
        <v>27</v>
      </c>
      <c r="C145" t="s">
        <v>24</v>
      </c>
      <c r="D145" s="27">
        <v>0</v>
      </c>
      <c r="E145" s="3" t="s">
        <v>41</v>
      </c>
      <c r="F145" s="23">
        <v>0</v>
      </c>
      <c r="G145" s="3" t="s">
        <v>41</v>
      </c>
      <c r="I145" s="25" t="str">
        <f t="shared" si="24"/>
        <v/>
      </c>
      <c r="J145" s="25" t="str">
        <f t="shared" si="24"/>
        <v/>
      </c>
      <c r="L145" s="3"/>
      <c r="M145" s="3"/>
    </row>
    <row r="146" spans="1:13" x14ac:dyDescent="0.45">
      <c r="A146" t="s">
        <v>7</v>
      </c>
      <c r="B146" t="s">
        <v>27</v>
      </c>
      <c r="C146" t="s">
        <v>25</v>
      </c>
      <c r="D146" s="27">
        <v>78140000</v>
      </c>
      <c r="E146" s="3">
        <v>99858450</v>
      </c>
      <c r="F146" s="23">
        <v>52140000</v>
      </c>
      <c r="G146" s="3">
        <v>27147500</v>
      </c>
      <c r="I146" s="22">
        <f t="shared" ref="I146:J146" si="25">IF(L146="","",L146)</f>
        <v>99858450</v>
      </c>
      <c r="J146" s="22">
        <f t="shared" si="25"/>
        <v>27147500</v>
      </c>
      <c r="L146" s="3">
        <v>99858450</v>
      </c>
      <c r="M146" s="3">
        <v>27147500</v>
      </c>
    </row>
    <row r="147" spans="1:13" x14ac:dyDescent="0.45">
      <c r="A147" t="s">
        <v>10</v>
      </c>
      <c r="B147" t="s">
        <v>27</v>
      </c>
      <c r="C147" t="s">
        <v>25</v>
      </c>
      <c r="D147" s="28">
        <v>128140000</v>
      </c>
      <c r="E147" s="4">
        <v>70819316</v>
      </c>
      <c r="F147" s="24">
        <v>78140000</v>
      </c>
      <c r="G147" s="4">
        <v>86687950</v>
      </c>
      <c r="I147" s="25">
        <f t="shared" ref="I147:J147" si="26">IF(L147="","",L147-L146)</f>
        <v>70819316</v>
      </c>
      <c r="J147" s="25">
        <f t="shared" si="26"/>
        <v>86687950</v>
      </c>
      <c r="L147" s="4">
        <v>170677766</v>
      </c>
      <c r="M147" s="4">
        <v>113835450</v>
      </c>
    </row>
    <row r="148" spans="1:13" x14ac:dyDescent="0.45">
      <c r="A148" t="s">
        <v>11</v>
      </c>
      <c r="B148" t="s">
        <v>27</v>
      </c>
      <c r="C148" t="s">
        <v>25</v>
      </c>
      <c r="D148" s="27">
        <v>123140000</v>
      </c>
      <c r="E148" s="3">
        <v>89402275</v>
      </c>
      <c r="F148" s="23">
        <v>88140000</v>
      </c>
      <c r="G148" s="3">
        <v>16207500</v>
      </c>
      <c r="I148" s="25">
        <f t="shared" si="24"/>
        <v>114649025</v>
      </c>
      <c r="J148" s="25">
        <f t="shared" si="24"/>
        <v>55949250</v>
      </c>
      <c r="L148" s="29">
        <f>SUMIFS(Pivot_!C:C,Pivot_!A:A,'Hitung Per Bulan'!B148,Pivot_!B:B,'Hitung Per Bulan'!C148)</f>
        <v>285326791</v>
      </c>
      <c r="M148" s="29">
        <f>SUMIFS(Pivot_!D:D,Pivot_!A:A,'Hitung Per Bulan'!B148,Pivot_!B:B,'Hitung Per Bulan'!C148)</f>
        <v>169784700</v>
      </c>
    </row>
    <row r="149" spans="1:13" x14ac:dyDescent="0.45">
      <c r="A149" t="s">
        <v>12</v>
      </c>
      <c r="B149" t="s">
        <v>27</v>
      </c>
      <c r="C149" t="s">
        <v>25</v>
      </c>
      <c r="D149" s="27">
        <v>503140000</v>
      </c>
      <c r="E149" s="3" t="s">
        <v>41</v>
      </c>
      <c r="F149" s="23">
        <v>123140000</v>
      </c>
      <c r="G149" s="3" t="s">
        <v>41</v>
      </c>
      <c r="I149" s="25" t="str">
        <f t="shared" si="24"/>
        <v/>
      </c>
      <c r="J149" s="25" t="str">
        <f t="shared" si="24"/>
        <v/>
      </c>
      <c r="L149" s="3"/>
      <c r="M149" s="3"/>
    </row>
    <row r="150" spans="1:13" x14ac:dyDescent="0.45">
      <c r="A150" t="s">
        <v>13</v>
      </c>
      <c r="B150" t="s">
        <v>27</v>
      </c>
      <c r="C150" t="s">
        <v>25</v>
      </c>
      <c r="D150" s="27">
        <v>315120000</v>
      </c>
      <c r="E150" s="3" t="s">
        <v>41</v>
      </c>
      <c r="F150" s="23">
        <v>178140000</v>
      </c>
      <c r="G150" s="3" t="s">
        <v>41</v>
      </c>
      <c r="I150" s="25" t="str">
        <f t="shared" si="24"/>
        <v/>
      </c>
      <c r="J150" s="25" t="str">
        <f t="shared" si="24"/>
        <v/>
      </c>
      <c r="L150" s="3"/>
      <c r="M150" s="3"/>
    </row>
    <row r="151" spans="1:13" x14ac:dyDescent="0.45">
      <c r="A151" t="s">
        <v>14</v>
      </c>
      <c r="B151" t="s">
        <v>27</v>
      </c>
      <c r="C151" t="s">
        <v>25</v>
      </c>
      <c r="D151" s="27">
        <v>88140000</v>
      </c>
      <c r="E151" s="3" t="s">
        <v>41</v>
      </c>
      <c r="F151" s="23">
        <v>480120000</v>
      </c>
      <c r="G151" s="3" t="s">
        <v>41</v>
      </c>
      <c r="I151" s="25" t="str">
        <f t="shared" si="24"/>
        <v/>
      </c>
      <c r="J151" s="25" t="str">
        <f t="shared" si="24"/>
        <v/>
      </c>
      <c r="L151" s="3"/>
      <c r="M151" s="3"/>
    </row>
    <row r="152" spans="1:13" x14ac:dyDescent="0.45">
      <c r="A152" t="s">
        <v>15</v>
      </c>
      <c r="B152" t="s">
        <v>27</v>
      </c>
      <c r="C152" t="s">
        <v>25</v>
      </c>
      <c r="D152" s="27">
        <v>88140000</v>
      </c>
      <c r="E152" s="3" t="s">
        <v>41</v>
      </c>
      <c r="F152" s="23">
        <v>88140000</v>
      </c>
      <c r="G152" s="3" t="s">
        <v>41</v>
      </c>
      <c r="I152" s="25" t="str">
        <f t="shared" si="24"/>
        <v/>
      </c>
      <c r="J152" s="25" t="str">
        <f t="shared" si="24"/>
        <v/>
      </c>
      <c r="L152" s="3"/>
      <c r="M152" s="3"/>
    </row>
    <row r="153" spans="1:13" x14ac:dyDescent="0.45">
      <c r="A153" t="s">
        <v>16</v>
      </c>
      <c r="B153" t="s">
        <v>27</v>
      </c>
      <c r="C153" t="s">
        <v>25</v>
      </c>
      <c r="D153" s="27">
        <v>401140000</v>
      </c>
      <c r="E153" s="3" t="s">
        <v>41</v>
      </c>
      <c r="F153" s="23">
        <v>328140000</v>
      </c>
      <c r="G153" s="3" t="s">
        <v>41</v>
      </c>
      <c r="I153" s="25" t="str">
        <f t="shared" si="24"/>
        <v/>
      </c>
      <c r="J153" s="25" t="str">
        <f t="shared" si="24"/>
        <v/>
      </c>
      <c r="L153" s="3"/>
      <c r="M153" s="3"/>
    </row>
    <row r="154" spans="1:13" x14ac:dyDescent="0.45">
      <c r="A154" t="s">
        <v>17</v>
      </c>
      <c r="B154" t="s">
        <v>27</v>
      </c>
      <c r="C154" t="s">
        <v>25</v>
      </c>
      <c r="D154" s="27">
        <v>483946000</v>
      </c>
      <c r="E154" s="3" t="s">
        <v>41</v>
      </c>
      <c r="F154" s="23">
        <v>161140000</v>
      </c>
      <c r="G154" s="3" t="s">
        <v>41</v>
      </c>
      <c r="I154" s="25" t="str">
        <f t="shared" si="24"/>
        <v/>
      </c>
      <c r="J154" s="25" t="str">
        <f t="shared" si="24"/>
        <v/>
      </c>
      <c r="L154" s="3"/>
      <c r="M154" s="3"/>
    </row>
    <row r="155" spans="1:13" x14ac:dyDescent="0.45">
      <c r="A155" t="s">
        <v>18</v>
      </c>
      <c r="B155" t="s">
        <v>27</v>
      </c>
      <c r="C155" t="s">
        <v>25</v>
      </c>
      <c r="D155" s="27">
        <v>124060000</v>
      </c>
      <c r="E155" s="3" t="s">
        <v>41</v>
      </c>
      <c r="F155" s="23">
        <v>116560000</v>
      </c>
      <c r="G155" s="3" t="s">
        <v>41</v>
      </c>
      <c r="I155" s="25" t="str">
        <f t="shared" si="24"/>
        <v/>
      </c>
      <c r="J155" s="25" t="str">
        <f t="shared" si="24"/>
        <v/>
      </c>
      <c r="L155" s="3"/>
      <c r="M155" s="3"/>
    </row>
    <row r="156" spans="1:13" x14ac:dyDescent="0.45">
      <c r="A156" t="s">
        <v>19</v>
      </c>
      <c r="B156" t="s">
        <v>27</v>
      </c>
      <c r="C156" t="s">
        <v>25</v>
      </c>
      <c r="D156" s="27">
        <v>125640000</v>
      </c>
      <c r="E156" s="3" t="s">
        <v>41</v>
      </c>
      <c r="F156" s="23">
        <v>295640000</v>
      </c>
      <c r="G156" s="3" t="s">
        <v>41</v>
      </c>
      <c r="I156" s="25" t="str">
        <f t="shared" si="24"/>
        <v/>
      </c>
      <c r="J156" s="25" t="str">
        <f t="shared" si="24"/>
        <v/>
      </c>
      <c r="L156" s="3"/>
      <c r="M156" s="3"/>
    </row>
    <row r="157" spans="1:13" x14ac:dyDescent="0.45">
      <c r="A157" t="s">
        <v>20</v>
      </c>
      <c r="B157" t="s">
        <v>27</v>
      </c>
      <c r="C157" t="s">
        <v>25</v>
      </c>
      <c r="D157" s="27">
        <v>102260000</v>
      </c>
      <c r="E157" s="3" t="s">
        <v>41</v>
      </c>
      <c r="F157" s="23">
        <v>571566000</v>
      </c>
      <c r="G157" s="3" t="s">
        <v>41</v>
      </c>
      <c r="I157" s="25" t="str">
        <f t="shared" si="24"/>
        <v/>
      </c>
      <c r="J157" s="25" t="str">
        <f t="shared" si="24"/>
        <v/>
      </c>
      <c r="L157" s="3"/>
      <c r="M157" s="3"/>
    </row>
    <row r="158" spans="1:13" x14ac:dyDescent="0.45">
      <c r="A158" t="s">
        <v>7</v>
      </c>
      <c r="B158" t="s">
        <v>27</v>
      </c>
      <c r="C158" t="s">
        <v>26</v>
      </c>
      <c r="D158" s="27">
        <v>291666000</v>
      </c>
      <c r="E158" s="3">
        <v>243961748</v>
      </c>
      <c r="F158" s="23">
        <v>291666000</v>
      </c>
      <c r="G158" s="3">
        <v>243961748</v>
      </c>
      <c r="I158" s="22">
        <f t="shared" ref="I158:J158" si="27">IF(L158="","",L158)</f>
        <v>243961748</v>
      </c>
      <c r="J158" s="22">
        <f t="shared" si="27"/>
        <v>243961748</v>
      </c>
      <c r="L158" s="3">
        <v>243961748</v>
      </c>
      <c r="M158" s="3">
        <v>243961748</v>
      </c>
    </row>
    <row r="159" spans="1:13" x14ac:dyDescent="0.45">
      <c r="A159" t="s">
        <v>10</v>
      </c>
      <c r="B159" t="s">
        <v>27</v>
      </c>
      <c r="C159" t="s">
        <v>26</v>
      </c>
      <c r="D159" s="28">
        <v>291666000</v>
      </c>
      <c r="E159" s="4">
        <v>222698232</v>
      </c>
      <c r="F159" s="24">
        <v>291666000</v>
      </c>
      <c r="G159" s="4">
        <v>222698232</v>
      </c>
      <c r="I159" s="25">
        <f t="shared" ref="I159:J159" si="28">IF(L159="","",L159-L158)</f>
        <v>222698232</v>
      </c>
      <c r="J159" s="25">
        <f t="shared" si="28"/>
        <v>222698232</v>
      </c>
      <c r="L159" s="4">
        <v>466659980</v>
      </c>
      <c r="M159" s="4">
        <v>466659980</v>
      </c>
    </row>
    <row r="160" spans="1:13" x14ac:dyDescent="0.45">
      <c r="A160" t="s">
        <v>11</v>
      </c>
      <c r="B160" t="s">
        <v>27</v>
      </c>
      <c r="C160" t="s">
        <v>26</v>
      </c>
      <c r="D160" s="27">
        <v>291666000</v>
      </c>
      <c r="E160" s="3">
        <v>0</v>
      </c>
      <c r="F160" s="23">
        <v>291666000</v>
      </c>
      <c r="G160" s="3">
        <v>0</v>
      </c>
      <c r="I160" s="25">
        <f t="shared" si="24"/>
        <v>0</v>
      </c>
      <c r="J160" s="25">
        <f t="shared" si="24"/>
        <v>0</v>
      </c>
      <c r="L160" s="29">
        <f>SUMIFS(Pivot_!C:C,Pivot_!A:A,'Hitung Per Bulan'!B160,Pivot_!B:B,'Hitung Per Bulan'!C160)</f>
        <v>466659980</v>
      </c>
      <c r="M160" s="29">
        <f>SUMIFS(Pivot_!D:D,Pivot_!A:A,'Hitung Per Bulan'!B160,Pivot_!B:B,'Hitung Per Bulan'!C160)</f>
        <v>466659980</v>
      </c>
    </row>
    <row r="161" spans="1:13" x14ac:dyDescent="0.45">
      <c r="A161" t="s">
        <v>12</v>
      </c>
      <c r="B161" t="s">
        <v>27</v>
      </c>
      <c r="C161" t="s">
        <v>26</v>
      </c>
      <c r="D161" s="27">
        <v>291666000</v>
      </c>
      <c r="E161" s="3" t="s">
        <v>41</v>
      </c>
      <c r="F161" s="23">
        <v>291666000</v>
      </c>
      <c r="G161" s="3" t="s">
        <v>41</v>
      </c>
      <c r="I161" s="25" t="str">
        <f t="shared" si="24"/>
        <v/>
      </c>
      <c r="J161" s="25" t="str">
        <f t="shared" si="24"/>
        <v/>
      </c>
      <c r="L161" s="3"/>
      <c r="M161" s="3"/>
    </row>
    <row r="162" spans="1:13" x14ac:dyDescent="0.45">
      <c r="A162" t="s">
        <v>13</v>
      </c>
      <c r="B162" t="s">
        <v>27</v>
      </c>
      <c r="C162" t="s">
        <v>26</v>
      </c>
      <c r="D162" s="27">
        <v>291666000</v>
      </c>
      <c r="E162" s="3" t="s">
        <v>41</v>
      </c>
      <c r="F162" s="23">
        <v>291666000</v>
      </c>
      <c r="G162" s="3" t="s">
        <v>41</v>
      </c>
      <c r="I162" s="25" t="str">
        <f t="shared" si="24"/>
        <v/>
      </c>
      <c r="J162" s="25" t="str">
        <f t="shared" si="24"/>
        <v/>
      </c>
      <c r="L162" s="3"/>
      <c r="M162" s="3"/>
    </row>
    <row r="163" spans="1:13" x14ac:dyDescent="0.45">
      <c r="A163" t="s">
        <v>14</v>
      </c>
      <c r="B163" t="s">
        <v>27</v>
      </c>
      <c r="C163" t="s">
        <v>26</v>
      </c>
      <c r="D163" s="27">
        <v>291666000</v>
      </c>
      <c r="E163" s="3" t="s">
        <v>41</v>
      </c>
      <c r="F163" s="23">
        <v>291666000</v>
      </c>
      <c r="G163" s="3" t="s">
        <v>41</v>
      </c>
      <c r="I163" s="25" t="str">
        <f t="shared" si="24"/>
        <v/>
      </c>
      <c r="J163" s="25" t="str">
        <f t="shared" si="24"/>
        <v/>
      </c>
      <c r="L163" s="3"/>
      <c r="M163" s="3"/>
    </row>
    <row r="164" spans="1:13" x14ac:dyDescent="0.45">
      <c r="A164" t="s">
        <v>15</v>
      </c>
      <c r="B164" t="s">
        <v>27</v>
      </c>
      <c r="C164" t="s">
        <v>26</v>
      </c>
      <c r="D164" s="27">
        <v>291666000</v>
      </c>
      <c r="E164" s="3" t="s">
        <v>41</v>
      </c>
      <c r="F164" s="23">
        <v>291666000</v>
      </c>
      <c r="G164" s="3" t="s">
        <v>41</v>
      </c>
      <c r="I164" s="25" t="str">
        <f t="shared" si="24"/>
        <v/>
      </c>
      <c r="J164" s="25" t="str">
        <f t="shared" si="24"/>
        <v/>
      </c>
      <c r="L164" s="3"/>
      <c r="M164" s="3"/>
    </row>
    <row r="165" spans="1:13" x14ac:dyDescent="0.45">
      <c r="A165" t="s">
        <v>16</v>
      </c>
      <c r="B165" t="s">
        <v>27</v>
      </c>
      <c r="C165" t="s">
        <v>26</v>
      </c>
      <c r="D165" s="27">
        <v>291666000</v>
      </c>
      <c r="E165" s="3" t="s">
        <v>41</v>
      </c>
      <c r="F165" s="23">
        <v>291666000</v>
      </c>
      <c r="G165" s="3" t="s">
        <v>41</v>
      </c>
      <c r="I165" s="25" t="str">
        <f t="shared" si="24"/>
        <v/>
      </c>
      <c r="J165" s="25" t="str">
        <f t="shared" si="24"/>
        <v/>
      </c>
      <c r="L165" s="3"/>
      <c r="M165" s="3"/>
    </row>
    <row r="166" spans="1:13" x14ac:dyDescent="0.45">
      <c r="A166" t="s">
        <v>17</v>
      </c>
      <c r="B166" t="s">
        <v>27</v>
      </c>
      <c r="C166" t="s">
        <v>26</v>
      </c>
      <c r="D166" s="27">
        <v>291666000</v>
      </c>
      <c r="E166" s="3" t="s">
        <v>41</v>
      </c>
      <c r="F166" s="23">
        <v>291666000</v>
      </c>
      <c r="G166" s="3" t="s">
        <v>41</v>
      </c>
      <c r="I166" s="25" t="str">
        <f t="shared" si="24"/>
        <v/>
      </c>
      <c r="J166" s="25" t="str">
        <f t="shared" si="24"/>
        <v/>
      </c>
      <c r="L166" s="3"/>
      <c r="M166" s="3"/>
    </row>
    <row r="167" spans="1:13" x14ac:dyDescent="0.45">
      <c r="A167" t="s">
        <v>18</v>
      </c>
      <c r="B167" t="s">
        <v>27</v>
      </c>
      <c r="C167" t="s">
        <v>26</v>
      </c>
      <c r="D167" s="27">
        <v>291666000</v>
      </c>
      <c r="E167" s="3" t="s">
        <v>41</v>
      </c>
      <c r="F167" s="23">
        <v>291666000</v>
      </c>
      <c r="G167" s="3" t="s">
        <v>41</v>
      </c>
      <c r="I167" s="25" t="str">
        <f t="shared" si="24"/>
        <v/>
      </c>
      <c r="J167" s="25" t="str">
        <f t="shared" si="24"/>
        <v/>
      </c>
      <c r="L167" s="3"/>
      <c r="M167" s="3"/>
    </row>
    <row r="168" spans="1:13" x14ac:dyDescent="0.45">
      <c r="A168" t="s">
        <v>19</v>
      </c>
      <c r="B168" t="s">
        <v>27</v>
      </c>
      <c r="C168" t="s">
        <v>26</v>
      </c>
      <c r="D168" s="27">
        <v>291666000</v>
      </c>
      <c r="E168" s="3" t="s">
        <v>41</v>
      </c>
      <c r="F168" s="23">
        <v>291666000</v>
      </c>
      <c r="G168" s="3" t="s">
        <v>41</v>
      </c>
      <c r="I168" s="25" t="str">
        <f t="shared" si="24"/>
        <v/>
      </c>
      <c r="J168" s="25" t="str">
        <f t="shared" si="24"/>
        <v/>
      </c>
      <c r="L168" s="3"/>
      <c r="M168" s="3"/>
    </row>
    <row r="169" spans="1:13" x14ac:dyDescent="0.45">
      <c r="A169" t="s">
        <v>20</v>
      </c>
      <c r="B169" t="s">
        <v>27</v>
      </c>
      <c r="C169" t="s">
        <v>26</v>
      </c>
      <c r="D169" s="27">
        <v>291674000</v>
      </c>
      <c r="E169" s="3" t="s">
        <v>41</v>
      </c>
      <c r="F169" s="23">
        <v>291674000</v>
      </c>
      <c r="G169" s="3" t="s">
        <v>41</v>
      </c>
      <c r="I169" s="25" t="str">
        <f t="shared" si="24"/>
        <v/>
      </c>
      <c r="J169" s="25" t="str">
        <f t="shared" si="24"/>
        <v/>
      </c>
      <c r="L169" s="3"/>
      <c r="M169" s="3"/>
    </row>
    <row r="170" spans="1:13" x14ac:dyDescent="0.45">
      <c r="A170" t="s">
        <v>7</v>
      </c>
      <c r="B170" t="s">
        <v>28</v>
      </c>
      <c r="C170" t="s">
        <v>9</v>
      </c>
      <c r="D170" s="27">
        <v>24114094667</v>
      </c>
      <c r="E170" s="3">
        <v>450857274</v>
      </c>
      <c r="F170" s="23">
        <v>0</v>
      </c>
      <c r="G170" s="3">
        <v>0</v>
      </c>
      <c r="I170" s="22">
        <f t="shared" ref="I170:J170" si="29">IF(L170="","",L170)</f>
        <v>450857274</v>
      </c>
      <c r="J170" s="22">
        <f t="shared" si="29"/>
        <v>0</v>
      </c>
      <c r="L170" s="3">
        <v>450857274</v>
      </c>
      <c r="M170" s="3">
        <v>0</v>
      </c>
    </row>
    <row r="171" spans="1:13" x14ac:dyDescent="0.45">
      <c r="A171" t="s">
        <v>10</v>
      </c>
      <c r="B171" t="s">
        <v>28</v>
      </c>
      <c r="C171" t="s">
        <v>9</v>
      </c>
      <c r="D171" s="28">
        <v>3125397667</v>
      </c>
      <c r="E171" s="4">
        <v>25211824009</v>
      </c>
      <c r="F171" s="24">
        <v>194371000</v>
      </c>
      <c r="G171" s="4">
        <v>457037427</v>
      </c>
      <c r="I171" s="25">
        <f t="shared" ref="I171:J171" si="30">IF(L171="","",L171-L170)</f>
        <v>25211824009</v>
      </c>
      <c r="J171" s="25">
        <f t="shared" si="30"/>
        <v>457037427</v>
      </c>
      <c r="L171" s="4">
        <v>25662681283</v>
      </c>
      <c r="M171" s="4">
        <v>457037427</v>
      </c>
    </row>
    <row r="172" spans="1:13" x14ac:dyDescent="0.45">
      <c r="A172" t="s">
        <v>11</v>
      </c>
      <c r="B172" t="s">
        <v>28</v>
      </c>
      <c r="C172" t="s">
        <v>9</v>
      </c>
      <c r="D172" s="27">
        <v>353351000</v>
      </c>
      <c r="E172" s="3">
        <v>557084481</v>
      </c>
      <c r="F172" s="23">
        <v>194371000</v>
      </c>
      <c r="G172" s="3">
        <v>4230631181</v>
      </c>
      <c r="I172" s="25">
        <f t="shared" si="24"/>
        <v>1443311556</v>
      </c>
      <c r="J172" s="25">
        <f t="shared" si="24"/>
        <v>9019413387</v>
      </c>
      <c r="L172" s="29">
        <f>SUMIFS(Pivot_!C:C,Pivot_!A:A,'Hitung Per Bulan'!B172,Pivot_!B:B,'Hitung Per Bulan'!C172)</f>
        <v>27105992839</v>
      </c>
      <c r="M172" s="29">
        <f>SUMIFS(Pivot_!D:D,Pivot_!A:A,'Hitung Per Bulan'!B172,Pivot_!B:B,'Hitung Per Bulan'!C172)</f>
        <v>9476450814</v>
      </c>
    </row>
    <row r="173" spans="1:13" x14ac:dyDescent="0.45">
      <c r="A173" t="s">
        <v>12</v>
      </c>
      <c r="B173" t="s">
        <v>28</v>
      </c>
      <c r="C173" t="s">
        <v>9</v>
      </c>
      <c r="D173" s="27">
        <v>1333955667</v>
      </c>
      <c r="E173" s="3" t="s">
        <v>41</v>
      </c>
      <c r="F173" s="23">
        <v>694781000</v>
      </c>
      <c r="G173" s="3" t="s">
        <v>41</v>
      </c>
      <c r="I173" s="25" t="str">
        <f t="shared" si="24"/>
        <v/>
      </c>
      <c r="J173" s="25" t="str">
        <f t="shared" si="24"/>
        <v/>
      </c>
      <c r="L173" s="3"/>
      <c r="M173" s="3"/>
    </row>
    <row r="174" spans="1:13" x14ac:dyDescent="0.45">
      <c r="A174" t="s">
        <v>13</v>
      </c>
      <c r="B174" t="s">
        <v>28</v>
      </c>
      <c r="C174" t="s">
        <v>9</v>
      </c>
      <c r="D174" s="27">
        <v>2268107667</v>
      </c>
      <c r="E174" s="3" t="s">
        <v>41</v>
      </c>
      <c r="F174" s="23">
        <v>1386632000</v>
      </c>
      <c r="G174" s="3" t="s">
        <v>41</v>
      </c>
      <c r="I174" s="25" t="str">
        <f t="shared" si="24"/>
        <v/>
      </c>
      <c r="J174" s="25" t="str">
        <f t="shared" si="24"/>
        <v/>
      </c>
      <c r="L174" s="3"/>
      <c r="M174" s="3"/>
    </row>
    <row r="175" spans="1:13" x14ac:dyDescent="0.45">
      <c r="A175" t="s">
        <v>14</v>
      </c>
      <c r="B175" t="s">
        <v>28</v>
      </c>
      <c r="C175" t="s">
        <v>9</v>
      </c>
      <c r="D175" s="27">
        <v>2362976667</v>
      </c>
      <c r="E175" s="3" t="s">
        <v>41</v>
      </c>
      <c r="F175" s="23">
        <v>908992000</v>
      </c>
      <c r="G175" s="3" t="s">
        <v>41</v>
      </c>
      <c r="I175" s="25" t="str">
        <f t="shared" si="24"/>
        <v/>
      </c>
      <c r="J175" s="25" t="str">
        <f t="shared" si="24"/>
        <v/>
      </c>
      <c r="L175" s="3"/>
      <c r="M175" s="3"/>
    </row>
    <row r="176" spans="1:13" x14ac:dyDescent="0.45">
      <c r="A176" t="s">
        <v>15</v>
      </c>
      <c r="B176" t="s">
        <v>28</v>
      </c>
      <c r="C176" t="s">
        <v>9</v>
      </c>
      <c r="D176" s="27">
        <v>2424464667</v>
      </c>
      <c r="E176" s="3" t="s">
        <v>41</v>
      </c>
      <c r="F176" s="23">
        <v>2563018000</v>
      </c>
      <c r="G176" s="3" t="s">
        <v>41</v>
      </c>
      <c r="I176" s="25" t="str">
        <f t="shared" si="24"/>
        <v/>
      </c>
      <c r="J176" s="25" t="str">
        <f t="shared" si="24"/>
        <v/>
      </c>
      <c r="L176" s="3"/>
      <c r="M176" s="3"/>
    </row>
    <row r="177" spans="1:13" x14ac:dyDescent="0.45">
      <c r="A177" t="s">
        <v>16</v>
      </c>
      <c r="B177" t="s">
        <v>28</v>
      </c>
      <c r="C177" t="s">
        <v>9</v>
      </c>
      <c r="D177" s="27">
        <v>2517762667</v>
      </c>
      <c r="E177" s="3" t="s">
        <v>41</v>
      </c>
      <c r="F177" s="23">
        <v>1841049000</v>
      </c>
      <c r="G177" s="3" t="s">
        <v>41</v>
      </c>
      <c r="I177" s="25" t="str">
        <f t="shared" si="24"/>
        <v/>
      </c>
      <c r="J177" s="25" t="str">
        <f t="shared" si="24"/>
        <v/>
      </c>
      <c r="L177" s="3"/>
      <c r="M177" s="3"/>
    </row>
    <row r="178" spans="1:13" x14ac:dyDescent="0.45">
      <c r="A178" t="s">
        <v>17</v>
      </c>
      <c r="B178" t="s">
        <v>28</v>
      </c>
      <c r="C178" t="s">
        <v>9</v>
      </c>
      <c r="D178" s="27">
        <v>1885646667</v>
      </c>
      <c r="E178" s="3" t="s">
        <v>41</v>
      </c>
      <c r="F178" s="23">
        <v>1189324000</v>
      </c>
      <c r="G178" s="3" t="s">
        <v>41</v>
      </c>
      <c r="I178" s="25" t="str">
        <f t="shared" si="24"/>
        <v/>
      </c>
      <c r="J178" s="25" t="str">
        <f t="shared" si="24"/>
        <v/>
      </c>
      <c r="L178" s="3"/>
      <c r="M178" s="3"/>
    </row>
    <row r="179" spans="1:13" x14ac:dyDescent="0.45">
      <c r="A179" t="s">
        <v>18</v>
      </c>
      <c r="B179" t="s">
        <v>28</v>
      </c>
      <c r="C179" t="s">
        <v>9</v>
      </c>
      <c r="D179" s="27">
        <v>1076401667</v>
      </c>
      <c r="E179" s="3" t="s">
        <v>41</v>
      </c>
      <c r="F179" s="23">
        <v>6212854000</v>
      </c>
      <c r="G179" s="3" t="s">
        <v>41</v>
      </c>
      <c r="I179" s="25" t="str">
        <f t="shared" si="24"/>
        <v/>
      </c>
      <c r="J179" s="25" t="str">
        <f t="shared" si="24"/>
        <v/>
      </c>
      <c r="L179" s="3"/>
      <c r="M179" s="3"/>
    </row>
    <row r="180" spans="1:13" x14ac:dyDescent="0.45">
      <c r="A180" t="s">
        <v>19</v>
      </c>
      <c r="B180" t="s">
        <v>28</v>
      </c>
      <c r="C180" t="s">
        <v>9</v>
      </c>
      <c r="D180" s="27">
        <v>293350667</v>
      </c>
      <c r="E180" s="3" t="s">
        <v>41</v>
      </c>
      <c r="F180" s="23">
        <v>13410728000</v>
      </c>
      <c r="G180" s="3" t="s">
        <v>41</v>
      </c>
      <c r="I180" s="25" t="str">
        <f t="shared" si="24"/>
        <v/>
      </c>
      <c r="J180" s="25" t="str">
        <f t="shared" si="24"/>
        <v/>
      </c>
      <c r="L180" s="3"/>
      <c r="M180" s="3"/>
    </row>
    <row r="181" spans="1:13" x14ac:dyDescent="0.45">
      <c r="A181" t="s">
        <v>20</v>
      </c>
      <c r="B181" t="s">
        <v>28</v>
      </c>
      <c r="C181" t="s">
        <v>9</v>
      </c>
      <c r="D181" s="27">
        <v>194370667</v>
      </c>
      <c r="E181" s="3" t="s">
        <v>41</v>
      </c>
      <c r="F181" s="23">
        <v>13353760000</v>
      </c>
      <c r="G181" s="3" t="s">
        <v>41</v>
      </c>
      <c r="I181" s="25" t="str">
        <f t="shared" si="24"/>
        <v/>
      </c>
      <c r="J181" s="25" t="str">
        <f t="shared" si="24"/>
        <v/>
      </c>
      <c r="L181" s="3"/>
      <c r="M181" s="3"/>
    </row>
    <row r="182" spans="1:13" x14ac:dyDescent="0.45">
      <c r="A182" t="s">
        <v>7</v>
      </c>
      <c r="B182" t="s">
        <v>28</v>
      </c>
      <c r="C182" t="s">
        <v>21</v>
      </c>
      <c r="D182" s="27">
        <v>0</v>
      </c>
      <c r="E182" s="3">
        <v>7366373</v>
      </c>
      <c r="F182" s="23">
        <v>0</v>
      </c>
      <c r="G182" s="3">
        <v>0</v>
      </c>
      <c r="I182" s="22">
        <f t="shared" ref="I182:J182" si="31">IF(L182="","",L182)</f>
        <v>7366373</v>
      </c>
      <c r="J182" s="22">
        <f t="shared" si="31"/>
        <v>0</v>
      </c>
      <c r="L182" s="3">
        <v>7366373</v>
      </c>
      <c r="M182" s="3">
        <v>0</v>
      </c>
    </row>
    <row r="183" spans="1:13" x14ac:dyDescent="0.45">
      <c r="A183" t="s">
        <v>10</v>
      </c>
      <c r="B183" t="s">
        <v>28</v>
      </c>
      <c r="C183" t="s">
        <v>21</v>
      </c>
      <c r="D183" s="28">
        <v>69155000</v>
      </c>
      <c r="E183" s="4">
        <v>108905600</v>
      </c>
      <c r="F183" s="24">
        <v>0</v>
      </c>
      <c r="G183" s="4">
        <v>7366373</v>
      </c>
      <c r="I183" s="25">
        <f t="shared" ref="I183:J183" si="32">IF(L183="","",L183-L182)</f>
        <v>108905600</v>
      </c>
      <c r="J183" s="25">
        <f t="shared" si="32"/>
        <v>7366373</v>
      </c>
      <c r="L183" s="4">
        <v>116271973</v>
      </c>
      <c r="M183" s="4">
        <v>7366373</v>
      </c>
    </row>
    <row r="184" spans="1:13" x14ac:dyDescent="0.45">
      <c r="A184" t="s">
        <v>11</v>
      </c>
      <c r="B184" t="s">
        <v>28</v>
      </c>
      <c r="C184" t="s">
        <v>21</v>
      </c>
      <c r="D184" s="27">
        <v>76585000</v>
      </c>
      <c r="E184" s="3">
        <v>0</v>
      </c>
      <c r="F184" s="23">
        <v>69155000</v>
      </c>
      <c r="G184" s="3">
        <v>45150000</v>
      </c>
      <c r="I184" s="25">
        <f t="shared" si="24"/>
        <v>388570000</v>
      </c>
      <c r="J184" s="25">
        <f t="shared" si="24"/>
        <v>84143000</v>
      </c>
      <c r="L184" s="29">
        <f>SUMIFS(Pivot_!C:C,Pivot_!A:A,'Hitung Per Bulan'!B184,Pivot_!B:B,'Hitung Per Bulan'!C184)</f>
        <v>504841973</v>
      </c>
      <c r="M184" s="29">
        <f>SUMIFS(Pivot_!D:D,Pivot_!A:A,'Hitung Per Bulan'!B184,Pivot_!B:B,'Hitung Per Bulan'!C184)</f>
        <v>91509373</v>
      </c>
    </row>
    <row r="185" spans="1:13" x14ac:dyDescent="0.45">
      <c r="A185" t="s">
        <v>12</v>
      </c>
      <c r="B185" t="s">
        <v>28</v>
      </c>
      <c r="C185" t="s">
        <v>21</v>
      </c>
      <c r="D185" s="27">
        <v>478750000</v>
      </c>
      <c r="E185" s="3" t="s">
        <v>41</v>
      </c>
      <c r="F185" s="23">
        <v>76585000</v>
      </c>
      <c r="G185" s="3" t="s">
        <v>41</v>
      </c>
      <c r="I185" s="25" t="str">
        <f t="shared" si="24"/>
        <v/>
      </c>
      <c r="J185" s="25" t="str">
        <f t="shared" si="24"/>
        <v/>
      </c>
      <c r="L185" s="3"/>
      <c r="M185" s="3"/>
    </row>
    <row r="186" spans="1:13" x14ac:dyDescent="0.45">
      <c r="A186" t="s">
        <v>13</v>
      </c>
      <c r="B186" t="s">
        <v>28</v>
      </c>
      <c r="C186" t="s">
        <v>21</v>
      </c>
      <c r="D186" s="27">
        <v>331409000</v>
      </c>
      <c r="E186" s="3" t="s">
        <v>41</v>
      </c>
      <c r="F186" s="23">
        <v>78750000</v>
      </c>
      <c r="G186" s="3" t="s">
        <v>41</v>
      </c>
      <c r="I186" s="25" t="str">
        <f t="shared" si="24"/>
        <v/>
      </c>
      <c r="J186" s="25" t="str">
        <f t="shared" si="24"/>
        <v/>
      </c>
      <c r="L186" s="3"/>
      <c r="M186" s="3"/>
    </row>
    <row r="187" spans="1:13" x14ac:dyDescent="0.45">
      <c r="A187" t="s">
        <v>14</v>
      </c>
      <c r="B187" t="s">
        <v>28</v>
      </c>
      <c r="C187" t="s">
        <v>21</v>
      </c>
      <c r="D187" s="27">
        <v>425832000</v>
      </c>
      <c r="E187" s="3" t="s">
        <v>41</v>
      </c>
      <c r="F187" s="23">
        <v>331409000</v>
      </c>
      <c r="G187" s="3" t="s">
        <v>41</v>
      </c>
      <c r="I187" s="25" t="str">
        <f t="shared" si="24"/>
        <v/>
      </c>
      <c r="J187" s="25" t="str">
        <f t="shared" si="24"/>
        <v/>
      </c>
      <c r="L187" s="3"/>
      <c r="M187" s="3"/>
    </row>
    <row r="188" spans="1:13" x14ac:dyDescent="0.45">
      <c r="A188" t="s">
        <v>15</v>
      </c>
      <c r="B188" t="s">
        <v>28</v>
      </c>
      <c r="C188" t="s">
        <v>21</v>
      </c>
      <c r="D188" s="27">
        <v>720000000</v>
      </c>
      <c r="E188" s="3" t="s">
        <v>41</v>
      </c>
      <c r="F188" s="23">
        <v>645000000</v>
      </c>
      <c r="G188" s="3" t="s">
        <v>41</v>
      </c>
      <c r="I188" s="25" t="str">
        <f t="shared" si="24"/>
        <v/>
      </c>
      <c r="J188" s="25" t="str">
        <f t="shared" si="24"/>
        <v/>
      </c>
      <c r="L188" s="3"/>
      <c r="M188" s="3"/>
    </row>
    <row r="189" spans="1:13" x14ac:dyDescent="0.45">
      <c r="A189" t="s">
        <v>16</v>
      </c>
      <c r="B189" t="s">
        <v>28</v>
      </c>
      <c r="C189" t="s">
        <v>21</v>
      </c>
      <c r="D189" s="27">
        <v>980337000</v>
      </c>
      <c r="E189" s="3" t="s">
        <v>41</v>
      </c>
      <c r="F189" s="23">
        <v>470000000</v>
      </c>
      <c r="G189" s="3" t="s">
        <v>41</v>
      </c>
      <c r="I189" s="25" t="str">
        <f t="shared" si="24"/>
        <v/>
      </c>
      <c r="J189" s="25" t="str">
        <f t="shared" si="24"/>
        <v/>
      </c>
      <c r="L189" s="3"/>
      <c r="M189" s="3"/>
    </row>
    <row r="190" spans="1:13" x14ac:dyDescent="0.45">
      <c r="A190" t="s">
        <v>17</v>
      </c>
      <c r="B190" t="s">
        <v>28</v>
      </c>
      <c r="C190" t="s">
        <v>21</v>
      </c>
      <c r="D190" s="27">
        <v>30000000</v>
      </c>
      <c r="E190" s="3" t="s">
        <v>41</v>
      </c>
      <c r="F190" s="23">
        <v>569582000</v>
      </c>
      <c r="G190" s="3" t="s">
        <v>41</v>
      </c>
      <c r="I190" s="25" t="str">
        <f t="shared" si="24"/>
        <v/>
      </c>
      <c r="J190" s="25" t="str">
        <f t="shared" si="24"/>
        <v/>
      </c>
      <c r="L190" s="3"/>
      <c r="M190" s="3"/>
    </row>
    <row r="191" spans="1:13" x14ac:dyDescent="0.45">
      <c r="A191" t="s">
        <v>18</v>
      </c>
      <c r="B191" t="s">
        <v>28</v>
      </c>
      <c r="C191" t="s">
        <v>21</v>
      </c>
      <c r="D191" s="27">
        <v>30000000</v>
      </c>
      <c r="E191" s="3" t="s">
        <v>41</v>
      </c>
      <c r="F191" s="23">
        <v>280000000</v>
      </c>
      <c r="G191" s="3" t="s">
        <v>41</v>
      </c>
      <c r="I191" s="25" t="str">
        <f t="shared" si="24"/>
        <v/>
      </c>
      <c r="J191" s="25" t="str">
        <f t="shared" si="24"/>
        <v/>
      </c>
      <c r="L191" s="3"/>
      <c r="M191" s="3"/>
    </row>
    <row r="192" spans="1:13" x14ac:dyDescent="0.45">
      <c r="A192" t="s">
        <v>19</v>
      </c>
      <c r="B192" t="s">
        <v>28</v>
      </c>
      <c r="C192" t="s">
        <v>21</v>
      </c>
      <c r="D192" s="27">
        <v>30000000</v>
      </c>
      <c r="E192" s="3" t="s">
        <v>41</v>
      </c>
      <c r="F192" s="23">
        <v>621587000</v>
      </c>
      <c r="G192" s="3" t="s">
        <v>41</v>
      </c>
      <c r="I192" s="25" t="str">
        <f t="shared" si="24"/>
        <v/>
      </c>
      <c r="J192" s="25" t="str">
        <f t="shared" si="24"/>
        <v/>
      </c>
      <c r="L192" s="3"/>
      <c r="M192" s="3"/>
    </row>
    <row r="193" spans="1:13" x14ac:dyDescent="0.45">
      <c r="A193" t="s">
        <v>20</v>
      </c>
      <c r="B193" t="s">
        <v>28</v>
      </c>
      <c r="C193" t="s">
        <v>21</v>
      </c>
      <c r="D193" s="27">
        <v>0</v>
      </c>
      <c r="E193" s="3" t="s">
        <v>41</v>
      </c>
      <c r="F193" s="23">
        <v>30000000</v>
      </c>
      <c r="G193" s="3" t="s">
        <v>41</v>
      </c>
      <c r="I193" s="25" t="str">
        <f t="shared" si="24"/>
        <v/>
      </c>
      <c r="J193" s="25" t="str">
        <f t="shared" si="24"/>
        <v/>
      </c>
      <c r="L193" s="3"/>
      <c r="M193" s="3"/>
    </row>
    <row r="194" spans="1:13" x14ac:dyDescent="0.45">
      <c r="A194" t="s">
        <v>7</v>
      </c>
      <c r="B194" t="s">
        <v>28</v>
      </c>
      <c r="C194" t="s">
        <v>22</v>
      </c>
      <c r="D194" s="27">
        <v>0</v>
      </c>
      <c r="E194" s="3">
        <v>0</v>
      </c>
      <c r="F194" s="23">
        <v>0</v>
      </c>
      <c r="G194" s="3">
        <v>0</v>
      </c>
      <c r="I194" s="22">
        <f t="shared" ref="I194:J194" si="33">IF(L194="","",L194)</f>
        <v>0</v>
      </c>
      <c r="J194" s="22">
        <f t="shared" si="33"/>
        <v>0</v>
      </c>
      <c r="L194" s="3">
        <v>0</v>
      </c>
      <c r="M194" s="3">
        <v>0</v>
      </c>
    </row>
    <row r="195" spans="1:13" x14ac:dyDescent="0.45">
      <c r="A195" t="s">
        <v>10</v>
      </c>
      <c r="B195" t="s">
        <v>28</v>
      </c>
      <c r="C195" t="s">
        <v>22</v>
      </c>
      <c r="D195" s="28">
        <v>0</v>
      </c>
      <c r="E195" s="4">
        <v>0</v>
      </c>
      <c r="F195" s="24">
        <v>0</v>
      </c>
      <c r="G195" s="4">
        <v>0</v>
      </c>
      <c r="I195" s="25">
        <f t="shared" ref="I195:J195" si="34">IF(L195="","",L195-L194)</f>
        <v>0</v>
      </c>
      <c r="J195" s="25">
        <f t="shared" si="34"/>
        <v>0</v>
      </c>
      <c r="L195" s="4">
        <v>0</v>
      </c>
      <c r="M195" s="4">
        <v>0</v>
      </c>
    </row>
    <row r="196" spans="1:13" x14ac:dyDescent="0.45">
      <c r="A196" t="s">
        <v>11</v>
      </c>
      <c r="B196" t="s">
        <v>28</v>
      </c>
      <c r="C196" t="s">
        <v>22</v>
      </c>
      <c r="D196" s="27">
        <v>0</v>
      </c>
      <c r="E196" s="3">
        <v>0</v>
      </c>
      <c r="F196" s="23">
        <v>0</v>
      </c>
      <c r="G196" s="3">
        <v>0</v>
      </c>
      <c r="I196" s="25">
        <f t="shared" si="24"/>
        <v>0</v>
      </c>
      <c r="J196" s="25">
        <f t="shared" si="24"/>
        <v>0</v>
      </c>
      <c r="L196" s="29">
        <f>SUMIFS(Pivot_!C:C,Pivot_!A:A,'Hitung Per Bulan'!B196,Pivot_!B:B,'Hitung Per Bulan'!C196)</f>
        <v>0</v>
      </c>
      <c r="M196" s="29">
        <f>SUMIFS(Pivot_!D:D,Pivot_!A:A,'Hitung Per Bulan'!B196,Pivot_!B:B,'Hitung Per Bulan'!C196)</f>
        <v>0</v>
      </c>
    </row>
    <row r="197" spans="1:13" x14ac:dyDescent="0.45">
      <c r="A197" t="s">
        <v>12</v>
      </c>
      <c r="B197" t="s">
        <v>28</v>
      </c>
      <c r="C197" t="s">
        <v>22</v>
      </c>
      <c r="D197" s="27">
        <v>0</v>
      </c>
      <c r="E197" s="3" t="s">
        <v>41</v>
      </c>
      <c r="F197" s="23">
        <v>0</v>
      </c>
      <c r="G197" s="3" t="s">
        <v>41</v>
      </c>
      <c r="I197" s="25" t="str">
        <f t="shared" si="24"/>
        <v/>
      </c>
      <c r="J197" s="25" t="str">
        <f t="shared" si="24"/>
        <v/>
      </c>
      <c r="L197" s="3"/>
      <c r="M197" s="3"/>
    </row>
    <row r="198" spans="1:13" x14ac:dyDescent="0.45">
      <c r="A198" t="s">
        <v>13</v>
      </c>
      <c r="B198" t="s">
        <v>28</v>
      </c>
      <c r="C198" t="s">
        <v>22</v>
      </c>
      <c r="D198" s="27">
        <v>0</v>
      </c>
      <c r="E198" s="3" t="s">
        <v>41</v>
      </c>
      <c r="F198" s="23">
        <v>0</v>
      </c>
      <c r="G198" s="3" t="s">
        <v>41</v>
      </c>
      <c r="I198" s="25" t="str">
        <f t="shared" si="24"/>
        <v/>
      </c>
      <c r="J198" s="25" t="str">
        <f t="shared" si="24"/>
        <v/>
      </c>
      <c r="L198" s="3"/>
      <c r="M198" s="3"/>
    </row>
    <row r="199" spans="1:13" x14ac:dyDescent="0.45">
      <c r="A199" t="s">
        <v>14</v>
      </c>
      <c r="B199" t="s">
        <v>28</v>
      </c>
      <c r="C199" t="s">
        <v>22</v>
      </c>
      <c r="D199" s="27">
        <v>0</v>
      </c>
      <c r="E199" s="3" t="s">
        <v>41</v>
      </c>
      <c r="F199" s="23">
        <v>0</v>
      </c>
      <c r="G199" s="3" t="s">
        <v>41</v>
      </c>
      <c r="I199" s="25" t="str">
        <f t="shared" si="24"/>
        <v/>
      </c>
      <c r="J199" s="25" t="str">
        <f t="shared" si="24"/>
        <v/>
      </c>
      <c r="L199" s="3"/>
      <c r="M199" s="3"/>
    </row>
    <row r="200" spans="1:13" x14ac:dyDescent="0.45">
      <c r="A200" t="s">
        <v>15</v>
      </c>
      <c r="B200" t="s">
        <v>28</v>
      </c>
      <c r="C200" t="s">
        <v>22</v>
      </c>
      <c r="D200" s="27">
        <v>0</v>
      </c>
      <c r="E200" s="3" t="s">
        <v>41</v>
      </c>
      <c r="F200" s="23">
        <v>0</v>
      </c>
      <c r="G200" s="3" t="s">
        <v>41</v>
      </c>
      <c r="I200" s="25" t="str">
        <f t="shared" si="24"/>
        <v/>
      </c>
      <c r="J200" s="25" t="str">
        <f t="shared" si="24"/>
        <v/>
      </c>
      <c r="L200" s="3"/>
      <c r="M200" s="3"/>
    </row>
    <row r="201" spans="1:13" x14ac:dyDescent="0.45">
      <c r="A201" t="s">
        <v>16</v>
      </c>
      <c r="B201" t="s">
        <v>28</v>
      </c>
      <c r="C201" t="s">
        <v>22</v>
      </c>
      <c r="D201" s="27">
        <v>0</v>
      </c>
      <c r="E201" s="3" t="s">
        <v>41</v>
      </c>
      <c r="F201" s="23">
        <v>0</v>
      </c>
      <c r="G201" s="3" t="s">
        <v>41</v>
      </c>
      <c r="I201" s="25" t="str">
        <f t="shared" si="24"/>
        <v/>
      </c>
      <c r="J201" s="25" t="str">
        <f t="shared" si="24"/>
        <v/>
      </c>
      <c r="L201" s="3"/>
      <c r="M201" s="3"/>
    </row>
    <row r="202" spans="1:13" x14ac:dyDescent="0.45">
      <c r="A202" t="s">
        <v>17</v>
      </c>
      <c r="B202" t="s">
        <v>28</v>
      </c>
      <c r="C202" t="s">
        <v>22</v>
      </c>
      <c r="D202" s="27">
        <v>0</v>
      </c>
      <c r="E202" s="3" t="s">
        <v>41</v>
      </c>
      <c r="F202" s="23">
        <v>0</v>
      </c>
      <c r="G202" s="3" t="s">
        <v>41</v>
      </c>
      <c r="I202" s="25" t="str">
        <f t="shared" si="24"/>
        <v/>
      </c>
      <c r="J202" s="25" t="str">
        <f t="shared" si="24"/>
        <v/>
      </c>
      <c r="L202" s="3"/>
      <c r="M202" s="3"/>
    </row>
    <row r="203" spans="1:13" x14ac:dyDescent="0.45">
      <c r="A203" t="s">
        <v>18</v>
      </c>
      <c r="B203" t="s">
        <v>28</v>
      </c>
      <c r="C203" t="s">
        <v>22</v>
      </c>
      <c r="D203" s="27">
        <v>0</v>
      </c>
      <c r="E203" s="3" t="s">
        <v>41</v>
      </c>
      <c r="F203" s="23">
        <v>0</v>
      </c>
      <c r="G203" s="3" t="s">
        <v>41</v>
      </c>
      <c r="I203" s="25" t="str">
        <f t="shared" si="24"/>
        <v/>
      </c>
      <c r="J203" s="25" t="str">
        <f t="shared" si="24"/>
        <v/>
      </c>
      <c r="L203" s="3"/>
      <c r="M203" s="3"/>
    </row>
    <row r="204" spans="1:13" x14ac:dyDescent="0.45">
      <c r="A204" t="s">
        <v>19</v>
      </c>
      <c r="B204" t="s">
        <v>28</v>
      </c>
      <c r="C204" t="s">
        <v>22</v>
      </c>
      <c r="D204" s="27">
        <v>0</v>
      </c>
      <c r="E204" s="3" t="s">
        <v>41</v>
      </c>
      <c r="F204" s="23">
        <v>0</v>
      </c>
      <c r="G204" s="3" t="s">
        <v>41</v>
      </c>
      <c r="I204" s="25" t="str">
        <f t="shared" si="24"/>
        <v/>
      </c>
      <c r="J204" s="25" t="str">
        <f t="shared" si="24"/>
        <v/>
      </c>
      <c r="L204" s="3"/>
      <c r="M204" s="3"/>
    </row>
    <row r="205" spans="1:13" x14ac:dyDescent="0.45">
      <c r="A205" t="s">
        <v>20</v>
      </c>
      <c r="B205" t="s">
        <v>28</v>
      </c>
      <c r="C205" t="s">
        <v>22</v>
      </c>
      <c r="D205" s="27">
        <v>0</v>
      </c>
      <c r="E205" s="3" t="s">
        <v>41</v>
      </c>
      <c r="F205" s="23">
        <v>0</v>
      </c>
      <c r="G205" s="3" t="s">
        <v>41</v>
      </c>
      <c r="I205" s="25" t="str">
        <f t="shared" si="24"/>
        <v/>
      </c>
      <c r="J205" s="25" t="str">
        <f t="shared" si="24"/>
        <v/>
      </c>
      <c r="L205" s="3"/>
      <c r="M205" s="3"/>
    </row>
    <row r="206" spans="1:13" x14ac:dyDescent="0.45">
      <c r="A206" t="s">
        <v>7</v>
      </c>
      <c r="B206" t="s">
        <v>28</v>
      </c>
      <c r="C206" t="s">
        <v>23</v>
      </c>
      <c r="D206" s="27">
        <v>0</v>
      </c>
      <c r="E206" s="3">
        <v>24488000</v>
      </c>
      <c r="F206" s="23">
        <v>0</v>
      </c>
      <c r="G206" s="3">
        <v>0</v>
      </c>
      <c r="I206" s="22">
        <f t="shared" ref="I206:J206" si="35">IF(L206="","",L206)</f>
        <v>24488000</v>
      </c>
      <c r="J206" s="22">
        <f t="shared" si="35"/>
        <v>0</v>
      </c>
      <c r="L206" s="3">
        <v>24488000</v>
      </c>
      <c r="M206" s="3">
        <v>0</v>
      </c>
    </row>
    <row r="207" spans="1:13" x14ac:dyDescent="0.45">
      <c r="A207" t="s">
        <v>10</v>
      </c>
      <c r="B207" t="s">
        <v>28</v>
      </c>
      <c r="C207" t="s">
        <v>23</v>
      </c>
      <c r="D207" s="28">
        <v>0</v>
      </c>
      <c r="E207" s="4">
        <v>0</v>
      </c>
      <c r="F207" s="24">
        <v>0</v>
      </c>
      <c r="G207" s="4">
        <v>24488000</v>
      </c>
      <c r="I207" s="25">
        <f t="shared" ref="I207:J270" si="36">IF(L207="","",L207-L206)</f>
        <v>0</v>
      </c>
      <c r="J207" s="25">
        <f t="shared" si="36"/>
        <v>24488000</v>
      </c>
      <c r="L207" s="4">
        <v>24488000</v>
      </c>
      <c r="M207" s="4">
        <v>24488000</v>
      </c>
    </row>
    <row r="208" spans="1:13" x14ac:dyDescent="0.45">
      <c r="A208" t="s">
        <v>11</v>
      </c>
      <c r="B208" t="s">
        <v>28</v>
      </c>
      <c r="C208" t="s">
        <v>23</v>
      </c>
      <c r="D208" s="27">
        <v>50000000</v>
      </c>
      <c r="E208" s="3">
        <v>0</v>
      </c>
      <c r="F208" s="23">
        <v>0</v>
      </c>
      <c r="G208" s="3">
        <v>0</v>
      </c>
      <c r="I208" s="25">
        <f t="shared" si="36"/>
        <v>0</v>
      </c>
      <c r="J208" s="25">
        <f t="shared" si="36"/>
        <v>0</v>
      </c>
      <c r="L208" s="29">
        <f>SUMIFS(Pivot_!C:C,Pivot_!A:A,'Hitung Per Bulan'!B208,Pivot_!B:B,'Hitung Per Bulan'!C208)</f>
        <v>24488000</v>
      </c>
      <c r="M208" s="29">
        <f>SUMIFS(Pivot_!D:D,Pivot_!A:A,'Hitung Per Bulan'!B208,Pivot_!B:B,'Hitung Per Bulan'!C208)</f>
        <v>24488000</v>
      </c>
    </row>
    <row r="209" spans="1:13" x14ac:dyDescent="0.45">
      <c r="A209" t="s">
        <v>12</v>
      </c>
      <c r="B209" t="s">
        <v>28</v>
      </c>
      <c r="C209" t="s">
        <v>23</v>
      </c>
      <c r="D209" s="27">
        <v>0</v>
      </c>
      <c r="E209" s="3" t="s">
        <v>41</v>
      </c>
      <c r="F209" s="23">
        <v>50000000</v>
      </c>
      <c r="G209" s="3" t="s">
        <v>41</v>
      </c>
      <c r="I209" s="25" t="str">
        <f t="shared" si="36"/>
        <v/>
      </c>
      <c r="J209" s="25" t="str">
        <f t="shared" si="36"/>
        <v/>
      </c>
      <c r="L209" s="3"/>
      <c r="M209" s="3"/>
    </row>
    <row r="210" spans="1:13" x14ac:dyDescent="0.45">
      <c r="A210" t="s">
        <v>13</v>
      </c>
      <c r="B210" t="s">
        <v>28</v>
      </c>
      <c r="C210" t="s">
        <v>23</v>
      </c>
      <c r="D210" s="27">
        <v>50000000</v>
      </c>
      <c r="E210" s="3" t="s">
        <v>41</v>
      </c>
      <c r="F210" s="23">
        <v>0</v>
      </c>
      <c r="G210" s="3" t="s">
        <v>41</v>
      </c>
      <c r="I210" s="25" t="str">
        <f t="shared" si="36"/>
        <v/>
      </c>
      <c r="J210" s="25" t="str">
        <f t="shared" si="36"/>
        <v/>
      </c>
      <c r="L210" s="3"/>
      <c r="M210" s="3"/>
    </row>
    <row r="211" spans="1:13" x14ac:dyDescent="0.45">
      <c r="A211" t="s">
        <v>14</v>
      </c>
      <c r="B211" t="s">
        <v>28</v>
      </c>
      <c r="C211" t="s">
        <v>23</v>
      </c>
      <c r="D211" s="27">
        <v>0</v>
      </c>
      <c r="E211" s="3" t="s">
        <v>41</v>
      </c>
      <c r="F211" s="23">
        <v>50000000</v>
      </c>
      <c r="G211" s="3" t="s">
        <v>41</v>
      </c>
      <c r="I211" s="25" t="str">
        <f t="shared" si="36"/>
        <v/>
      </c>
      <c r="J211" s="25" t="str">
        <f t="shared" si="36"/>
        <v/>
      </c>
      <c r="L211" s="3"/>
      <c r="M211" s="3"/>
    </row>
    <row r="212" spans="1:13" x14ac:dyDescent="0.45">
      <c r="A212" t="s">
        <v>15</v>
      </c>
      <c r="B212" t="s">
        <v>28</v>
      </c>
      <c r="C212" t="s">
        <v>23</v>
      </c>
      <c r="D212" s="27">
        <v>0</v>
      </c>
      <c r="E212" s="3" t="s">
        <v>41</v>
      </c>
      <c r="F212" s="23">
        <v>0</v>
      </c>
      <c r="G212" s="3" t="s">
        <v>41</v>
      </c>
      <c r="I212" s="25" t="str">
        <f t="shared" si="36"/>
        <v/>
      </c>
      <c r="J212" s="25" t="str">
        <f t="shared" si="36"/>
        <v/>
      </c>
      <c r="L212" s="3"/>
      <c r="M212" s="3"/>
    </row>
    <row r="213" spans="1:13" x14ac:dyDescent="0.45">
      <c r="A213" t="s">
        <v>16</v>
      </c>
      <c r="B213" t="s">
        <v>28</v>
      </c>
      <c r="C213" t="s">
        <v>23</v>
      </c>
      <c r="D213" s="27">
        <v>100000000</v>
      </c>
      <c r="E213" s="3" t="s">
        <v>41</v>
      </c>
      <c r="F213" s="23">
        <v>0</v>
      </c>
      <c r="G213" s="3" t="s">
        <v>41</v>
      </c>
      <c r="I213" s="25" t="str">
        <f t="shared" si="36"/>
        <v/>
      </c>
      <c r="J213" s="25" t="str">
        <f t="shared" si="36"/>
        <v/>
      </c>
      <c r="L213" s="3"/>
      <c r="M213" s="3"/>
    </row>
    <row r="214" spans="1:13" x14ac:dyDescent="0.45">
      <c r="A214" t="s">
        <v>17</v>
      </c>
      <c r="B214" t="s">
        <v>28</v>
      </c>
      <c r="C214" t="s">
        <v>23</v>
      </c>
      <c r="D214" s="27">
        <v>0</v>
      </c>
      <c r="E214" s="3" t="s">
        <v>41</v>
      </c>
      <c r="F214" s="23">
        <v>100000000</v>
      </c>
      <c r="G214" s="3" t="s">
        <v>41</v>
      </c>
      <c r="I214" s="25" t="str">
        <f t="shared" si="36"/>
        <v/>
      </c>
      <c r="J214" s="25" t="str">
        <f t="shared" si="36"/>
        <v/>
      </c>
      <c r="L214" s="3"/>
      <c r="M214" s="3"/>
    </row>
    <row r="215" spans="1:13" x14ac:dyDescent="0.45">
      <c r="A215" t="s">
        <v>18</v>
      </c>
      <c r="B215" t="s">
        <v>28</v>
      </c>
      <c r="C215" t="s">
        <v>23</v>
      </c>
      <c r="D215" s="27">
        <v>0</v>
      </c>
      <c r="E215" s="3" t="s">
        <v>41</v>
      </c>
      <c r="F215" s="23">
        <v>0</v>
      </c>
      <c r="G215" s="3" t="s">
        <v>41</v>
      </c>
      <c r="I215" s="25" t="str">
        <f t="shared" si="36"/>
        <v/>
      </c>
      <c r="J215" s="25" t="str">
        <f t="shared" si="36"/>
        <v/>
      </c>
      <c r="L215" s="3"/>
      <c r="M215" s="3"/>
    </row>
    <row r="216" spans="1:13" x14ac:dyDescent="0.45">
      <c r="A216" t="s">
        <v>19</v>
      </c>
      <c r="B216" t="s">
        <v>28</v>
      </c>
      <c r="C216" t="s">
        <v>23</v>
      </c>
      <c r="D216" s="27">
        <v>0</v>
      </c>
      <c r="E216" s="3" t="s">
        <v>41</v>
      </c>
      <c r="F216" s="23">
        <v>0</v>
      </c>
      <c r="G216" s="3" t="s">
        <v>41</v>
      </c>
      <c r="I216" s="25" t="str">
        <f t="shared" si="36"/>
        <v/>
      </c>
      <c r="J216" s="25" t="str">
        <f t="shared" si="36"/>
        <v/>
      </c>
      <c r="L216" s="3"/>
      <c r="M216" s="3"/>
    </row>
    <row r="217" spans="1:13" x14ac:dyDescent="0.45">
      <c r="A217" t="s">
        <v>20</v>
      </c>
      <c r="B217" t="s">
        <v>28</v>
      </c>
      <c r="C217" t="s">
        <v>23</v>
      </c>
      <c r="D217" s="27">
        <v>0</v>
      </c>
      <c r="E217" s="3" t="s">
        <v>41</v>
      </c>
      <c r="F217" s="23">
        <v>0</v>
      </c>
      <c r="G217" s="3" t="s">
        <v>41</v>
      </c>
      <c r="I217" s="25" t="str">
        <f t="shared" si="36"/>
        <v/>
      </c>
      <c r="J217" s="25" t="str">
        <f t="shared" si="36"/>
        <v/>
      </c>
      <c r="L217" s="3"/>
      <c r="M217" s="3"/>
    </row>
    <row r="218" spans="1:13" x14ac:dyDescent="0.45">
      <c r="A218" t="s">
        <v>7</v>
      </c>
      <c r="B218" t="s">
        <v>28</v>
      </c>
      <c r="C218" t="s">
        <v>24</v>
      </c>
      <c r="D218" s="27">
        <v>0</v>
      </c>
      <c r="E218" s="3">
        <v>0</v>
      </c>
      <c r="F218" s="23">
        <v>0</v>
      </c>
      <c r="G218" s="3">
        <v>0</v>
      </c>
      <c r="I218" s="22">
        <f t="shared" ref="I218:J218" si="37">IF(L218="","",L218)</f>
        <v>0</v>
      </c>
      <c r="J218" s="22">
        <f t="shared" si="37"/>
        <v>0</v>
      </c>
      <c r="L218" s="3">
        <v>0</v>
      </c>
      <c r="M218" s="3">
        <v>0</v>
      </c>
    </row>
    <row r="219" spans="1:13" x14ac:dyDescent="0.45">
      <c r="A219" t="s">
        <v>10</v>
      </c>
      <c r="B219" t="s">
        <v>28</v>
      </c>
      <c r="C219" t="s">
        <v>24</v>
      </c>
      <c r="D219" s="28">
        <v>0</v>
      </c>
      <c r="E219" s="4">
        <v>0</v>
      </c>
      <c r="F219" s="24">
        <v>0</v>
      </c>
      <c r="G219" s="4">
        <v>0</v>
      </c>
      <c r="I219" s="25">
        <f t="shared" ref="I219:J219" si="38">IF(L219="","",L219-L218)</f>
        <v>0</v>
      </c>
      <c r="J219" s="25">
        <f t="shared" si="38"/>
        <v>0</v>
      </c>
      <c r="L219" s="4">
        <v>0</v>
      </c>
      <c r="M219" s="4">
        <v>0</v>
      </c>
    </row>
    <row r="220" spans="1:13" x14ac:dyDescent="0.45">
      <c r="A220" t="s">
        <v>11</v>
      </c>
      <c r="B220" t="s">
        <v>28</v>
      </c>
      <c r="C220" t="s">
        <v>24</v>
      </c>
      <c r="D220" s="27">
        <v>0</v>
      </c>
      <c r="E220" s="3">
        <v>0</v>
      </c>
      <c r="F220" s="23">
        <v>0</v>
      </c>
      <c r="G220" s="3">
        <v>0</v>
      </c>
      <c r="I220" s="25">
        <f t="shared" si="36"/>
        <v>0</v>
      </c>
      <c r="J220" s="25">
        <f t="shared" si="36"/>
        <v>0</v>
      </c>
      <c r="L220" s="29">
        <f>SUMIFS(Pivot_!C:C,Pivot_!A:A,'Hitung Per Bulan'!B220,Pivot_!B:B,'Hitung Per Bulan'!C220)</f>
        <v>0</v>
      </c>
      <c r="M220" s="29">
        <f>SUMIFS(Pivot_!D:D,Pivot_!A:A,'Hitung Per Bulan'!B220,Pivot_!B:B,'Hitung Per Bulan'!C220)</f>
        <v>0</v>
      </c>
    </row>
    <row r="221" spans="1:13" x14ac:dyDescent="0.45">
      <c r="A221" t="s">
        <v>12</v>
      </c>
      <c r="B221" t="s">
        <v>28</v>
      </c>
      <c r="C221" t="s">
        <v>24</v>
      </c>
      <c r="D221" s="27">
        <v>0</v>
      </c>
      <c r="E221" s="3" t="s">
        <v>41</v>
      </c>
      <c r="F221" s="23">
        <v>0</v>
      </c>
      <c r="G221" s="3" t="s">
        <v>41</v>
      </c>
      <c r="I221" s="25" t="str">
        <f t="shared" si="36"/>
        <v/>
      </c>
      <c r="J221" s="25" t="str">
        <f t="shared" si="36"/>
        <v/>
      </c>
      <c r="L221" s="3"/>
      <c r="M221" s="3"/>
    </row>
    <row r="222" spans="1:13" x14ac:dyDescent="0.45">
      <c r="A222" t="s">
        <v>13</v>
      </c>
      <c r="B222" t="s">
        <v>28</v>
      </c>
      <c r="C222" t="s">
        <v>24</v>
      </c>
      <c r="D222" s="27">
        <v>0</v>
      </c>
      <c r="E222" s="3" t="s">
        <v>41</v>
      </c>
      <c r="F222" s="23">
        <v>0</v>
      </c>
      <c r="G222" s="3" t="s">
        <v>41</v>
      </c>
      <c r="I222" s="25" t="str">
        <f t="shared" si="36"/>
        <v/>
      </c>
      <c r="J222" s="25" t="str">
        <f t="shared" si="36"/>
        <v/>
      </c>
      <c r="L222" s="3"/>
      <c r="M222" s="3"/>
    </row>
    <row r="223" spans="1:13" x14ac:dyDescent="0.45">
      <c r="A223" t="s">
        <v>14</v>
      </c>
      <c r="B223" t="s">
        <v>28</v>
      </c>
      <c r="C223" t="s">
        <v>24</v>
      </c>
      <c r="D223" s="27">
        <v>0</v>
      </c>
      <c r="E223" s="3" t="s">
        <v>41</v>
      </c>
      <c r="F223" s="23">
        <v>0</v>
      </c>
      <c r="G223" s="3" t="s">
        <v>41</v>
      </c>
      <c r="I223" s="25" t="str">
        <f t="shared" si="36"/>
        <v/>
      </c>
      <c r="J223" s="25" t="str">
        <f t="shared" si="36"/>
        <v/>
      </c>
      <c r="L223" s="3"/>
      <c r="M223" s="3"/>
    </row>
    <row r="224" spans="1:13" x14ac:dyDescent="0.45">
      <c r="A224" t="s">
        <v>15</v>
      </c>
      <c r="B224" t="s">
        <v>28</v>
      </c>
      <c r="C224" t="s">
        <v>24</v>
      </c>
      <c r="D224" s="27">
        <v>0</v>
      </c>
      <c r="E224" s="3" t="s">
        <v>41</v>
      </c>
      <c r="F224" s="23">
        <v>0</v>
      </c>
      <c r="G224" s="3" t="s">
        <v>41</v>
      </c>
      <c r="I224" s="25" t="str">
        <f t="shared" si="36"/>
        <v/>
      </c>
      <c r="J224" s="25" t="str">
        <f t="shared" si="36"/>
        <v/>
      </c>
      <c r="L224" s="3"/>
      <c r="M224" s="3"/>
    </row>
    <row r="225" spans="1:13" x14ac:dyDescent="0.45">
      <c r="A225" t="s">
        <v>16</v>
      </c>
      <c r="B225" t="s">
        <v>28</v>
      </c>
      <c r="C225" t="s">
        <v>24</v>
      </c>
      <c r="D225" s="27">
        <v>0</v>
      </c>
      <c r="E225" s="3" t="s">
        <v>41</v>
      </c>
      <c r="F225" s="23">
        <v>0</v>
      </c>
      <c r="G225" s="3" t="s">
        <v>41</v>
      </c>
      <c r="I225" s="25" t="str">
        <f t="shared" si="36"/>
        <v/>
      </c>
      <c r="J225" s="25" t="str">
        <f t="shared" si="36"/>
        <v/>
      </c>
      <c r="L225" s="3"/>
      <c r="M225" s="3"/>
    </row>
    <row r="226" spans="1:13" x14ac:dyDescent="0.45">
      <c r="A226" t="s">
        <v>17</v>
      </c>
      <c r="B226" t="s">
        <v>28</v>
      </c>
      <c r="C226" t="s">
        <v>24</v>
      </c>
      <c r="D226" s="27">
        <v>0</v>
      </c>
      <c r="E226" s="3" t="s">
        <v>41</v>
      </c>
      <c r="F226" s="23">
        <v>0</v>
      </c>
      <c r="G226" s="3" t="s">
        <v>41</v>
      </c>
      <c r="I226" s="25" t="str">
        <f t="shared" si="36"/>
        <v/>
      </c>
      <c r="J226" s="25" t="str">
        <f t="shared" si="36"/>
        <v/>
      </c>
      <c r="L226" s="3"/>
      <c r="M226" s="3"/>
    </row>
    <row r="227" spans="1:13" x14ac:dyDescent="0.45">
      <c r="A227" t="s">
        <v>18</v>
      </c>
      <c r="B227" t="s">
        <v>28</v>
      </c>
      <c r="C227" t="s">
        <v>24</v>
      </c>
      <c r="D227" s="27">
        <v>0</v>
      </c>
      <c r="E227" s="3" t="s">
        <v>41</v>
      </c>
      <c r="F227" s="23">
        <v>0</v>
      </c>
      <c r="G227" s="3" t="s">
        <v>41</v>
      </c>
      <c r="I227" s="25" t="str">
        <f t="shared" si="36"/>
        <v/>
      </c>
      <c r="J227" s="25" t="str">
        <f t="shared" si="36"/>
        <v/>
      </c>
      <c r="L227" s="3"/>
      <c r="M227" s="3"/>
    </row>
    <row r="228" spans="1:13" x14ac:dyDescent="0.45">
      <c r="A228" t="s">
        <v>19</v>
      </c>
      <c r="B228" t="s">
        <v>28</v>
      </c>
      <c r="C228" t="s">
        <v>24</v>
      </c>
      <c r="D228" s="27">
        <v>0</v>
      </c>
      <c r="E228" s="3" t="s">
        <v>41</v>
      </c>
      <c r="F228" s="23">
        <v>0</v>
      </c>
      <c r="G228" s="3" t="s">
        <v>41</v>
      </c>
      <c r="I228" s="25" t="str">
        <f t="shared" si="36"/>
        <v/>
      </c>
      <c r="J228" s="25" t="str">
        <f t="shared" si="36"/>
        <v/>
      </c>
      <c r="L228" s="3"/>
      <c r="M228" s="3"/>
    </row>
    <row r="229" spans="1:13" x14ac:dyDescent="0.45">
      <c r="A229" t="s">
        <v>20</v>
      </c>
      <c r="B229" t="s">
        <v>28</v>
      </c>
      <c r="C229" t="s">
        <v>24</v>
      </c>
      <c r="D229" s="27">
        <v>0</v>
      </c>
      <c r="E229" s="3" t="s">
        <v>41</v>
      </c>
      <c r="F229" s="23">
        <v>0</v>
      </c>
      <c r="G229" s="3" t="s">
        <v>41</v>
      </c>
      <c r="I229" s="25" t="str">
        <f t="shared" si="36"/>
        <v/>
      </c>
      <c r="J229" s="25" t="str">
        <f t="shared" si="36"/>
        <v/>
      </c>
      <c r="L229" s="3"/>
      <c r="M229" s="3"/>
    </row>
    <row r="230" spans="1:13" x14ac:dyDescent="0.45">
      <c r="A230" t="s">
        <v>7</v>
      </c>
      <c r="B230" t="s">
        <v>28</v>
      </c>
      <c r="C230" t="s">
        <v>25</v>
      </c>
      <c r="D230" s="27">
        <v>129134000</v>
      </c>
      <c r="E230" s="3">
        <v>109818500</v>
      </c>
      <c r="F230" s="23">
        <v>0</v>
      </c>
      <c r="G230" s="3">
        <v>52871500</v>
      </c>
      <c r="I230" s="22">
        <f t="shared" ref="I230:J230" si="39">IF(L230="","",L230)</f>
        <v>109818500</v>
      </c>
      <c r="J230" s="22">
        <f t="shared" si="39"/>
        <v>52871500</v>
      </c>
      <c r="L230" s="3">
        <v>109818500</v>
      </c>
      <c r="M230" s="3">
        <v>52871500</v>
      </c>
    </row>
    <row r="231" spans="1:13" x14ac:dyDescent="0.45">
      <c r="A231" t="s">
        <v>10</v>
      </c>
      <c r="B231" t="s">
        <v>28</v>
      </c>
      <c r="C231" t="s">
        <v>25</v>
      </c>
      <c r="D231" s="28">
        <v>129134000</v>
      </c>
      <c r="E231" s="4">
        <v>37750500</v>
      </c>
      <c r="F231" s="24">
        <v>129134000</v>
      </c>
      <c r="G231" s="4">
        <v>64950500</v>
      </c>
      <c r="I231" s="25">
        <f t="shared" ref="I231:J231" si="40">IF(L231="","",L231-L230)</f>
        <v>37750500</v>
      </c>
      <c r="J231" s="25">
        <f t="shared" si="40"/>
        <v>64950500</v>
      </c>
      <c r="L231" s="4">
        <v>147569000</v>
      </c>
      <c r="M231" s="4">
        <v>117822000</v>
      </c>
    </row>
    <row r="232" spans="1:13" x14ac:dyDescent="0.45">
      <c r="A232" t="s">
        <v>11</v>
      </c>
      <c r="B232" t="s">
        <v>28</v>
      </c>
      <c r="C232" t="s">
        <v>25</v>
      </c>
      <c r="D232" s="27">
        <v>353894000</v>
      </c>
      <c r="E232" s="3">
        <v>18563000</v>
      </c>
      <c r="F232" s="23">
        <v>129134000</v>
      </c>
      <c r="G232" s="3">
        <v>12125000</v>
      </c>
      <c r="I232" s="25">
        <f t="shared" si="36"/>
        <v>34538000</v>
      </c>
      <c r="J232" s="25">
        <f t="shared" si="36"/>
        <v>13975000</v>
      </c>
      <c r="L232" s="29">
        <f>SUMIFS(Pivot_!C:C,Pivot_!A:A,'Hitung Per Bulan'!B232,Pivot_!B:B,'Hitung Per Bulan'!C232)</f>
        <v>182107000</v>
      </c>
      <c r="M232" s="29">
        <f>SUMIFS(Pivot_!D:D,Pivot_!A:A,'Hitung Per Bulan'!B232,Pivot_!B:B,'Hitung Per Bulan'!C232)</f>
        <v>131797000</v>
      </c>
    </row>
    <row r="233" spans="1:13" x14ac:dyDescent="0.45">
      <c r="A233" t="s">
        <v>12</v>
      </c>
      <c r="B233" t="s">
        <v>28</v>
      </c>
      <c r="C233" t="s">
        <v>25</v>
      </c>
      <c r="D233" s="27">
        <v>129134000</v>
      </c>
      <c r="E233" s="3" t="s">
        <v>41</v>
      </c>
      <c r="F233" s="23">
        <v>353894000</v>
      </c>
      <c r="G233" s="3" t="s">
        <v>41</v>
      </c>
      <c r="I233" s="25" t="str">
        <f t="shared" si="36"/>
        <v/>
      </c>
      <c r="J233" s="25" t="str">
        <f t="shared" si="36"/>
        <v/>
      </c>
      <c r="L233" s="3"/>
      <c r="M233" s="3"/>
    </row>
    <row r="234" spans="1:13" x14ac:dyDescent="0.45">
      <c r="A234" t="s">
        <v>13</v>
      </c>
      <c r="B234" t="s">
        <v>28</v>
      </c>
      <c r="C234" t="s">
        <v>25</v>
      </c>
      <c r="D234" s="27">
        <v>129134000</v>
      </c>
      <c r="E234" s="3" t="s">
        <v>41</v>
      </c>
      <c r="F234" s="23">
        <v>129134000</v>
      </c>
      <c r="G234" s="3" t="s">
        <v>41</v>
      </c>
      <c r="I234" s="25" t="str">
        <f t="shared" si="36"/>
        <v/>
      </c>
      <c r="J234" s="25" t="str">
        <f t="shared" si="36"/>
        <v/>
      </c>
      <c r="L234" s="3"/>
      <c r="M234" s="3"/>
    </row>
    <row r="235" spans="1:13" x14ac:dyDescent="0.45">
      <c r="A235" t="s">
        <v>14</v>
      </c>
      <c r="B235" t="s">
        <v>28</v>
      </c>
      <c r="C235" t="s">
        <v>25</v>
      </c>
      <c r="D235" s="27">
        <v>139135000</v>
      </c>
      <c r="E235" s="3" t="s">
        <v>41</v>
      </c>
      <c r="F235" s="23">
        <v>129134000</v>
      </c>
      <c r="G235" s="3" t="s">
        <v>41</v>
      </c>
      <c r="I235" s="25" t="str">
        <f t="shared" si="36"/>
        <v/>
      </c>
      <c r="J235" s="25" t="str">
        <f t="shared" si="36"/>
        <v/>
      </c>
      <c r="L235" s="3"/>
      <c r="M235" s="3"/>
    </row>
    <row r="236" spans="1:13" x14ac:dyDescent="0.45">
      <c r="A236" t="s">
        <v>15</v>
      </c>
      <c r="B236" t="s">
        <v>28</v>
      </c>
      <c r="C236" t="s">
        <v>25</v>
      </c>
      <c r="D236" s="27">
        <v>353897000</v>
      </c>
      <c r="E236" s="3" t="s">
        <v>41</v>
      </c>
      <c r="F236" s="23">
        <v>139135000</v>
      </c>
      <c r="G236" s="3" t="s">
        <v>41</v>
      </c>
      <c r="I236" s="25" t="str">
        <f t="shared" si="36"/>
        <v/>
      </c>
      <c r="J236" s="25" t="str">
        <f t="shared" si="36"/>
        <v/>
      </c>
      <c r="L236" s="3"/>
      <c r="M236" s="3"/>
    </row>
    <row r="237" spans="1:13" x14ac:dyDescent="0.45">
      <c r="A237" t="s">
        <v>16</v>
      </c>
      <c r="B237" t="s">
        <v>28</v>
      </c>
      <c r="C237" t="s">
        <v>25</v>
      </c>
      <c r="D237" s="27">
        <v>129137000</v>
      </c>
      <c r="E237" s="3" t="s">
        <v>41</v>
      </c>
      <c r="F237" s="23">
        <v>353897000</v>
      </c>
      <c r="G237" s="3" t="s">
        <v>41</v>
      </c>
      <c r="I237" s="25" t="str">
        <f t="shared" si="36"/>
        <v/>
      </c>
      <c r="J237" s="25" t="str">
        <f t="shared" si="36"/>
        <v/>
      </c>
      <c r="L237" s="3"/>
      <c r="M237" s="3"/>
    </row>
    <row r="238" spans="1:13" x14ac:dyDescent="0.45">
      <c r="A238" t="s">
        <v>17</v>
      </c>
      <c r="B238" t="s">
        <v>28</v>
      </c>
      <c r="C238" t="s">
        <v>25</v>
      </c>
      <c r="D238" s="27">
        <v>129137000</v>
      </c>
      <c r="E238" s="3" t="s">
        <v>41</v>
      </c>
      <c r="F238" s="23">
        <v>129137000</v>
      </c>
      <c r="G238" s="3" t="s">
        <v>41</v>
      </c>
      <c r="I238" s="25" t="str">
        <f t="shared" si="36"/>
        <v/>
      </c>
      <c r="J238" s="25" t="str">
        <f t="shared" si="36"/>
        <v/>
      </c>
      <c r="L238" s="3"/>
      <c r="M238" s="3"/>
    </row>
    <row r="239" spans="1:13" x14ac:dyDescent="0.45">
      <c r="A239" t="s">
        <v>18</v>
      </c>
      <c r="B239" t="s">
        <v>28</v>
      </c>
      <c r="C239" t="s">
        <v>25</v>
      </c>
      <c r="D239" s="27">
        <v>129137000</v>
      </c>
      <c r="E239" s="3" t="s">
        <v>41</v>
      </c>
      <c r="F239" s="23">
        <v>129137000</v>
      </c>
      <c r="G239" s="3" t="s">
        <v>41</v>
      </c>
      <c r="I239" s="25" t="str">
        <f t="shared" si="36"/>
        <v/>
      </c>
      <c r="J239" s="25" t="str">
        <f t="shared" si="36"/>
        <v/>
      </c>
      <c r="L239" s="3"/>
      <c r="M239" s="3"/>
    </row>
    <row r="240" spans="1:13" x14ac:dyDescent="0.45">
      <c r="A240" t="s">
        <v>19</v>
      </c>
      <c r="B240" t="s">
        <v>28</v>
      </c>
      <c r="C240" t="s">
        <v>25</v>
      </c>
      <c r="D240" s="27">
        <v>169497000</v>
      </c>
      <c r="E240" s="3" t="s">
        <v>41</v>
      </c>
      <c r="F240" s="23">
        <v>129137000</v>
      </c>
      <c r="G240" s="3" t="s">
        <v>41</v>
      </c>
      <c r="I240" s="25" t="str">
        <f t="shared" si="36"/>
        <v/>
      </c>
      <c r="J240" s="25" t="str">
        <f t="shared" si="36"/>
        <v/>
      </c>
      <c r="L240" s="3"/>
      <c r="M240" s="3"/>
    </row>
    <row r="241" spans="1:13" x14ac:dyDescent="0.45">
      <c r="A241" t="s">
        <v>20</v>
      </c>
      <c r="B241" t="s">
        <v>28</v>
      </c>
      <c r="C241" t="s">
        <v>25</v>
      </c>
      <c r="D241" s="27">
        <v>11500000</v>
      </c>
      <c r="E241" s="3" t="s">
        <v>41</v>
      </c>
      <c r="F241" s="23">
        <v>180997000</v>
      </c>
      <c r="G241" s="3" t="s">
        <v>41</v>
      </c>
      <c r="I241" s="25" t="str">
        <f t="shared" si="36"/>
        <v/>
      </c>
      <c r="J241" s="25" t="str">
        <f t="shared" si="36"/>
        <v/>
      </c>
      <c r="L241" s="3"/>
      <c r="M241" s="3"/>
    </row>
    <row r="242" spans="1:13" x14ac:dyDescent="0.45">
      <c r="A242" t="s">
        <v>7</v>
      </c>
      <c r="B242" t="s">
        <v>28</v>
      </c>
      <c r="C242" t="s">
        <v>26</v>
      </c>
      <c r="D242" s="27">
        <v>0</v>
      </c>
      <c r="E242" s="3">
        <v>0</v>
      </c>
      <c r="F242" s="23">
        <v>0</v>
      </c>
      <c r="G242" s="3">
        <v>0</v>
      </c>
      <c r="I242" s="22">
        <f t="shared" ref="I242:J242" si="41">IF(L242="","",L242)</f>
        <v>0</v>
      </c>
      <c r="J242" s="22">
        <f t="shared" si="41"/>
        <v>0</v>
      </c>
      <c r="L242" s="3">
        <v>0</v>
      </c>
      <c r="M242" s="3">
        <v>0</v>
      </c>
    </row>
    <row r="243" spans="1:13" x14ac:dyDescent="0.45">
      <c r="A243" t="s">
        <v>10</v>
      </c>
      <c r="B243" t="s">
        <v>28</v>
      </c>
      <c r="C243" t="s">
        <v>26</v>
      </c>
      <c r="D243" s="28">
        <v>0</v>
      </c>
      <c r="E243" s="4">
        <v>0</v>
      </c>
      <c r="F243" s="24">
        <v>0</v>
      </c>
      <c r="G243" s="4">
        <v>0</v>
      </c>
      <c r="I243" s="25">
        <f t="shared" ref="I243:J243" si="42">IF(L243="","",L243-L242)</f>
        <v>0</v>
      </c>
      <c r="J243" s="25">
        <f t="shared" si="42"/>
        <v>0</v>
      </c>
      <c r="L243" s="4">
        <v>0</v>
      </c>
      <c r="M243" s="4">
        <v>0</v>
      </c>
    </row>
    <row r="244" spans="1:13" x14ac:dyDescent="0.45">
      <c r="A244" t="s">
        <v>11</v>
      </c>
      <c r="B244" t="s">
        <v>28</v>
      </c>
      <c r="C244" t="s">
        <v>26</v>
      </c>
      <c r="D244" s="27">
        <v>0</v>
      </c>
      <c r="E244" s="3">
        <v>0</v>
      </c>
      <c r="F244" s="23">
        <v>0</v>
      </c>
      <c r="G244" s="3">
        <v>0</v>
      </c>
      <c r="I244" s="25">
        <f t="shared" si="36"/>
        <v>0</v>
      </c>
      <c r="J244" s="25">
        <f t="shared" si="36"/>
        <v>0</v>
      </c>
      <c r="L244" s="29">
        <f>SUMIFS(Pivot_!C:C,Pivot_!A:A,'Hitung Per Bulan'!B244,Pivot_!B:B,'Hitung Per Bulan'!C244)</f>
        <v>0</v>
      </c>
      <c r="M244" s="29">
        <f>SUMIFS(Pivot_!D:D,Pivot_!A:A,'Hitung Per Bulan'!B244,Pivot_!B:B,'Hitung Per Bulan'!C244)</f>
        <v>0</v>
      </c>
    </row>
    <row r="245" spans="1:13" x14ac:dyDescent="0.45">
      <c r="A245" t="s">
        <v>12</v>
      </c>
      <c r="B245" t="s">
        <v>28</v>
      </c>
      <c r="C245" t="s">
        <v>26</v>
      </c>
      <c r="D245" s="27">
        <v>0</v>
      </c>
      <c r="E245" s="3" t="s">
        <v>41</v>
      </c>
      <c r="F245" s="23">
        <v>0</v>
      </c>
      <c r="G245" s="3" t="s">
        <v>41</v>
      </c>
      <c r="I245" s="25" t="str">
        <f t="shared" si="36"/>
        <v/>
      </c>
      <c r="J245" s="25" t="str">
        <f t="shared" si="36"/>
        <v/>
      </c>
      <c r="L245" s="3"/>
      <c r="M245" s="3"/>
    </row>
    <row r="246" spans="1:13" x14ac:dyDescent="0.45">
      <c r="A246" t="s">
        <v>13</v>
      </c>
      <c r="B246" t="s">
        <v>28</v>
      </c>
      <c r="C246" t="s">
        <v>26</v>
      </c>
      <c r="D246" s="27">
        <v>0</v>
      </c>
      <c r="E246" s="3" t="s">
        <v>41</v>
      </c>
      <c r="F246" s="23">
        <v>0</v>
      </c>
      <c r="G246" s="3" t="s">
        <v>41</v>
      </c>
      <c r="I246" s="25" t="str">
        <f t="shared" si="36"/>
        <v/>
      </c>
      <c r="J246" s="25" t="str">
        <f t="shared" si="36"/>
        <v/>
      </c>
      <c r="L246" s="3"/>
      <c r="M246" s="3"/>
    </row>
    <row r="247" spans="1:13" x14ac:dyDescent="0.45">
      <c r="A247" t="s">
        <v>14</v>
      </c>
      <c r="B247" t="s">
        <v>28</v>
      </c>
      <c r="C247" t="s">
        <v>26</v>
      </c>
      <c r="D247" s="27">
        <v>0</v>
      </c>
      <c r="E247" s="3" t="s">
        <v>41</v>
      </c>
      <c r="F247" s="23">
        <v>0</v>
      </c>
      <c r="G247" s="3" t="s">
        <v>41</v>
      </c>
      <c r="I247" s="25" t="str">
        <f t="shared" si="36"/>
        <v/>
      </c>
      <c r="J247" s="25" t="str">
        <f t="shared" si="36"/>
        <v/>
      </c>
      <c r="L247" s="3"/>
      <c r="M247" s="3"/>
    </row>
    <row r="248" spans="1:13" x14ac:dyDescent="0.45">
      <c r="A248" t="s">
        <v>15</v>
      </c>
      <c r="B248" t="s">
        <v>28</v>
      </c>
      <c r="C248" t="s">
        <v>26</v>
      </c>
      <c r="D248" s="27">
        <v>0</v>
      </c>
      <c r="E248" s="3" t="s">
        <v>41</v>
      </c>
      <c r="F248" s="23">
        <v>0</v>
      </c>
      <c r="G248" s="3" t="s">
        <v>41</v>
      </c>
      <c r="I248" s="25" t="str">
        <f t="shared" si="36"/>
        <v/>
      </c>
      <c r="J248" s="25" t="str">
        <f t="shared" si="36"/>
        <v/>
      </c>
      <c r="L248" s="3"/>
      <c r="M248" s="3"/>
    </row>
    <row r="249" spans="1:13" x14ac:dyDescent="0.45">
      <c r="A249" t="s">
        <v>16</v>
      </c>
      <c r="B249" t="s">
        <v>28</v>
      </c>
      <c r="C249" t="s">
        <v>26</v>
      </c>
      <c r="D249" s="27">
        <v>0</v>
      </c>
      <c r="E249" s="3" t="s">
        <v>41</v>
      </c>
      <c r="F249" s="23">
        <v>0</v>
      </c>
      <c r="G249" s="3" t="s">
        <v>41</v>
      </c>
      <c r="I249" s="25" t="str">
        <f t="shared" si="36"/>
        <v/>
      </c>
      <c r="J249" s="25" t="str">
        <f t="shared" si="36"/>
        <v/>
      </c>
      <c r="L249" s="3"/>
      <c r="M249" s="3"/>
    </row>
    <row r="250" spans="1:13" x14ac:dyDescent="0.45">
      <c r="A250" t="s">
        <v>17</v>
      </c>
      <c r="B250" t="s">
        <v>28</v>
      </c>
      <c r="C250" t="s">
        <v>26</v>
      </c>
      <c r="D250" s="27">
        <v>0</v>
      </c>
      <c r="E250" s="3" t="s">
        <v>41</v>
      </c>
      <c r="F250" s="23">
        <v>0</v>
      </c>
      <c r="G250" s="3" t="s">
        <v>41</v>
      </c>
      <c r="I250" s="25" t="str">
        <f t="shared" si="36"/>
        <v/>
      </c>
      <c r="J250" s="25" t="str">
        <f t="shared" si="36"/>
        <v/>
      </c>
      <c r="L250" s="3"/>
      <c r="M250" s="3"/>
    </row>
    <row r="251" spans="1:13" x14ac:dyDescent="0.45">
      <c r="A251" t="s">
        <v>18</v>
      </c>
      <c r="B251" t="s">
        <v>28</v>
      </c>
      <c r="C251" t="s">
        <v>26</v>
      </c>
      <c r="D251" s="27">
        <v>0</v>
      </c>
      <c r="E251" s="3" t="s">
        <v>41</v>
      </c>
      <c r="F251" s="23">
        <v>0</v>
      </c>
      <c r="G251" s="3" t="s">
        <v>41</v>
      </c>
      <c r="I251" s="25" t="str">
        <f t="shared" si="36"/>
        <v/>
      </c>
      <c r="J251" s="25" t="str">
        <f t="shared" si="36"/>
        <v/>
      </c>
      <c r="L251" s="3"/>
      <c r="M251" s="3"/>
    </row>
    <row r="252" spans="1:13" x14ac:dyDescent="0.45">
      <c r="A252" t="s">
        <v>19</v>
      </c>
      <c r="B252" t="s">
        <v>28</v>
      </c>
      <c r="C252" t="s">
        <v>26</v>
      </c>
      <c r="D252" s="27">
        <v>0</v>
      </c>
      <c r="E252" s="3" t="s">
        <v>41</v>
      </c>
      <c r="F252" s="23">
        <v>0</v>
      </c>
      <c r="G252" s="3" t="s">
        <v>41</v>
      </c>
      <c r="I252" s="25" t="str">
        <f t="shared" si="36"/>
        <v/>
      </c>
      <c r="J252" s="25" t="str">
        <f t="shared" si="36"/>
        <v/>
      </c>
      <c r="L252" s="3"/>
      <c r="M252" s="3"/>
    </row>
    <row r="253" spans="1:13" x14ac:dyDescent="0.45">
      <c r="A253" t="s">
        <v>20</v>
      </c>
      <c r="B253" t="s">
        <v>28</v>
      </c>
      <c r="C253" t="s">
        <v>26</v>
      </c>
      <c r="D253" s="27">
        <v>0</v>
      </c>
      <c r="E253" s="3" t="s">
        <v>41</v>
      </c>
      <c r="F253" s="23">
        <v>0</v>
      </c>
      <c r="G253" s="3" t="s">
        <v>41</v>
      </c>
      <c r="I253" s="25" t="str">
        <f t="shared" si="36"/>
        <v/>
      </c>
      <c r="J253" s="25" t="str">
        <f t="shared" si="36"/>
        <v/>
      </c>
      <c r="L253" s="3"/>
      <c r="M253" s="3"/>
    </row>
    <row r="254" spans="1:13" x14ac:dyDescent="0.45">
      <c r="A254" t="s">
        <v>7</v>
      </c>
      <c r="B254" t="s">
        <v>29</v>
      </c>
      <c r="C254" t="s">
        <v>9</v>
      </c>
      <c r="D254" s="27">
        <v>355000000</v>
      </c>
      <c r="E254" s="3">
        <v>1724237268</v>
      </c>
      <c r="F254" s="23">
        <v>0</v>
      </c>
      <c r="G254" s="3">
        <v>0</v>
      </c>
      <c r="I254" s="22">
        <f t="shared" ref="I254:J254" si="43">IF(L254="","",L254)</f>
        <v>1724237268</v>
      </c>
      <c r="J254" s="22">
        <f t="shared" si="43"/>
        <v>0</v>
      </c>
      <c r="L254" s="3">
        <v>1724237268</v>
      </c>
      <c r="M254" s="3">
        <v>0</v>
      </c>
    </row>
    <row r="255" spans="1:13" x14ac:dyDescent="0.45">
      <c r="A255" t="s">
        <v>10</v>
      </c>
      <c r="B255" t="s">
        <v>29</v>
      </c>
      <c r="C255" t="s">
        <v>9</v>
      </c>
      <c r="D255" s="28">
        <v>979388000</v>
      </c>
      <c r="E255" s="4">
        <v>3188732296</v>
      </c>
      <c r="F255" s="24">
        <v>355000000</v>
      </c>
      <c r="G255" s="4">
        <v>147536656</v>
      </c>
      <c r="I255" s="25">
        <f t="shared" ref="I255:J255" si="44">IF(L255="","",L255-L254)</f>
        <v>3188732296</v>
      </c>
      <c r="J255" s="25">
        <f t="shared" si="44"/>
        <v>147536656</v>
      </c>
      <c r="L255" s="4">
        <v>4912969564</v>
      </c>
      <c r="M255" s="4">
        <v>147536656</v>
      </c>
    </row>
    <row r="256" spans="1:13" x14ac:dyDescent="0.45">
      <c r="A256" t="s">
        <v>11</v>
      </c>
      <c r="B256" t="s">
        <v>29</v>
      </c>
      <c r="C256" t="s">
        <v>9</v>
      </c>
      <c r="D256" s="27">
        <v>14105523000</v>
      </c>
      <c r="E256" s="3">
        <v>2255650228</v>
      </c>
      <c r="F256" s="23">
        <v>0</v>
      </c>
      <c r="G256" s="3">
        <v>51513108</v>
      </c>
      <c r="I256" s="25">
        <f t="shared" si="36"/>
        <v>10928205693</v>
      </c>
      <c r="J256" s="25">
        <f t="shared" si="36"/>
        <v>51513108</v>
      </c>
      <c r="L256" s="29">
        <f>SUMIFS(Pivot_!C:C,Pivot_!A:A,'Hitung Per Bulan'!B256,Pivot_!B:B,'Hitung Per Bulan'!C256)</f>
        <v>15841175257</v>
      </c>
      <c r="M256" s="29">
        <f>SUMIFS(Pivot_!D:D,Pivot_!A:A,'Hitung Per Bulan'!B256,Pivot_!B:B,'Hitung Per Bulan'!C256)</f>
        <v>199049764</v>
      </c>
    </row>
    <row r="257" spans="1:13" x14ac:dyDescent="0.45">
      <c r="A257" t="s">
        <v>12</v>
      </c>
      <c r="B257" t="s">
        <v>29</v>
      </c>
      <c r="C257" t="s">
        <v>9</v>
      </c>
      <c r="D257" s="27">
        <v>1907791000</v>
      </c>
      <c r="E257" s="3" t="s">
        <v>41</v>
      </c>
      <c r="F257" s="23">
        <v>0</v>
      </c>
      <c r="G257" s="3" t="s">
        <v>41</v>
      </c>
      <c r="I257" s="25" t="str">
        <f t="shared" si="36"/>
        <v/>
      </c>
      <c r="J257" s="25" t="str">
        <f t="shared" si="36"/>
        <v/>
      </c>
      <c r="L257" s="3"/>
      <c r="M257" s="3"/>
    </row>
    <row r="258" spans="1:13" x14ac:dyDescent="0.45">
      <c r="A258" t="s">
        <v>13</v>
      </c>
      <c r="B258" t="s">
        <v>29</v>
      </c>
      <c r="C258" t="s">
        <v>9</v>
      </c>
      <c r="D258" s="27">
        <v>2474359000</v>
      </c>
      <c r="E258" s="3" t="s">
        <v>41</v>
      </c>
      <c r="F258" s="23">
        <v>1458625000</v>
      </c>
      <c r="G258" s="3" t="s">
        <v>41</v>
      </c>
      <c r="I258" s="25" t="str">
        <f t="shared" si="36"/>
        <v/>
      </c>
      <c r="J258" s="25" t="str">
        <f t="shared" si="36"/>
        <v/>
      </c>
      <c r="L258" s="3"/>
      <c r="M258" s="3"/>
    </row>
    <row r="259" spans="1:13" x14ac:dyDescent="0.45">
      <c r="A259" t="s">
        <v>14</v>
      </c>
      <c r="B259" t="s">
        <v>29</v>
      </c>
      <c r="C259" t="s">
        <v>9</v>
      </c>
      <c r="D259" s="27">
        <v>2010656000</v>
      </c>
      <c r="E259" s="3" t="s">
        <v>41</v>
      </c>
      <c r="F259" s="23">
        <v>474426000</v>
      </c>
      <c r="G259" s="3" t="s">
        <v>41</v>
      </c>
      <c r="I259" s="25" t="str">
        <f t="shared" si="36"/>
        <v/>
      </c>
      <c r="J259" s="25" t="str">
        <f t="shared" si="36"/>
        <v/>
      </c>
      <c r="L259" s="3"/>
      <c r="M259" s="3"/>
    </row>
    <row r="260" spans="1:13" x14ac:dyDescent="0.45">
      <c r="A260" t="s">
        <v>15</v>
      </c>
      <c r="B260" t="s">
        <v>29</v>
      </c>
      <c r="C260" t="s">
        <v>9</v>
      </c>
      <c r="D260" s="27">
        <v>355000000</v>
      </c>
      <c r="E260" s="3" t="s">
        <v>41</v>
      </c>
      <c r="F260" s="23">
        <v>2282791000</v>
      </c>
      <c r="G260" s="3" t="s">
        <v>41</v>
      </c>
      <c r="I260" s="25" t="str">
        <f t="shared" si="36"/>
        <v/>
      </c>
      <c r="J260" s="25" t="str">
        <f t="shared" si="36"/>
        <v/>
      </c>
      <c r="L260" s="3"/>
      <c r="M260" s="3"/>
    </row>
    <row r="261" spans="1:13" x14ac:dyDescent="0.45">
      <c r="A261" t="s">
        <v>16</v>
      </c>
      <c r="B261" t="s">
        <v>29</v>
      </c>
      <c r="C261" t="s">
        <v>9</v>
      </c>
      <c r="D261" s="27">
        <v>0</v>
      </c>
      <c r="E261" s="3" t="s">
        <v>41</v>
      </c>
      <c r="F261" s="23">
        <v>2102679000</v>
      </c>
      <c r="G261" s="3" t="s">
        <v>41</v>
      </c>
      <c r="I261" s="25" t="str">
        <f t="shared" si="36"/>
        <v/>
      </c>
      <c r="J261" s="25" t="str">
        <f t="shared" si="36"/>
        <v/>
      </c>
      <c r="L261" s="3"/>
      <c r="M261" s="3"/>
    </row>
    <row r="262" spans="1:13" x14ac:dyDescent="0.45">
      <c r="A262" t="s">
        <v>17</v>
      </c>
      <c r="B262" t="s">
        <v>29</v>
      </c>
      <c r="C262" t="s">
        <v>9</v>
      </c>
      <c r="D262" s="27">
        <v>0</v>
      </c>
      <c r="E262" s="3" t="s">
        <v>41</v>
      </c>
      <c r="F262" s="23">
        <v>2157269000</v>
      </c>
      <c r="G262" s="3" t="s">
        <v>41</v>
      </c>
      <c r="I262" s="25" t="str">
        <f t="shared" si="36"/>
        <v/>
      </c>
      <c r="J262" s="25" t="str">
        <f t="shared" si="36"/>
        <v/>
      </c>
      <c r="L262" s="3"/>
      <c r="M262" s="3"/>
    </row>
    <row r="263" spans="1:13" x14ac:dyDescent="0.45">
      <c r="A263" t="s">
        <v>18</v>
      </c>
      <c r="B263" t="s">
        <v>29</v>
      </c>
      <c r="C263" t="s">
        <v>9</v>
      </c>
      <c r="D263" s="27">
        <v>355000000</v>
      </c>
      <c r="E263" s="3" t="s">
        <v>41</v>
      </c>
      <c r="F263" s="23">
        <v>4830505000</v>
      </c>
      <c r="G263" s="3" t="s">
        <v>41</v>
      </c>
      <c r="I263" s="25" t="str">
        <f t="shared" si="36"/>
        <v/>
      </c>
      <c r="J263" s="25" t="str">
        <f t="shared" si="36"/>
        <v/>
      </c>
      <c r="L263" s="3"/>
      <c r="M263" s="3"/>
    </row>
    <row r="264" spans="1:13" x14ac:dyDescent="0.45">
      <c r="A264" t="s">
        <v>19</v>
      </c>
      <c r="B264" t="s">
        <v>29</v>
      </c>
      <c r="C264" t="s">
        <v>9</v>
      </c>
      <c r="D264" s="27">
        <v>0</v>
      </c>
      <c r="E264" s="3" t="s">
        <v>41</v>
      </c>
      <c r="F264" s="23">
        <v>8881422000</v>
      </c>
      <c r="G264" s="3" t="s">
        <v>41</v>
      </c>
      <c r="I264" s="25" t="str">
        <f t="shared" si="36"/>
        <v/>
      </c>
      <c r="J264" s="25" t="str">
        <f t="shared" si="36"/>
        <v/>
      </c>
      <c r="L264" s="3"/>
      <c r="M264" s="3"/>
    </row>
    <row r="265" spans="1:13" x14ac:dyDescent="0.45">
      <c r="A265" t="s">
        <v>20</v>
      </c>
      <c r="B265" t="s">
        <v>29</v>
      </c>
      <c r="C265" t="s">
        <v>9</v>
      </c>
      <c r="D265" s="27">
        <v>0</v>
      </c>
      <c r="E265" s="3" t="s">
        <v>41</v>
      </c>
      <c r="F265" s="23">
        <v>0</v>
      </c>
      <c r="G265" s="3" t="s">
        <v>41</v>
      </c>
      <c r="I265" s="25" t="str">
        <f t="shared" si="36"/>
        <v/>
      </c>
      <c r="J265" s="25" t="str">
        <f t="shared" si="36"/>
        <v/>
      </c>
      <c r="L265" s="3"/>
      <c r="M265" s="3"/>
    </row>
    <row r="266" spans="1:13" x14ac:dyDescent="0.45">
      <c r="A266" t="s">
        <v>7</v>
      </c>
      <c r="B266" t="s">
        <v>29</v>
      </c>
      <c r="C266" t="s">
        <v>21</v>
      </c>
      <c r="D266" s="27">
        <v>0</v>
      </c>
      <c r="E266" s="3">
        <v>0</v>
      </c>
      <c r="F266" s="23">
        <v>0</v>
      </c>
      <c r="G266" s="3">
        <v>0</v>
      </c>
      <c r="I266" s="22">
        <f t="shared" ref="I266:J266" si="45">IF(L266="","",L266)</f>
        <v>0</v>
      </c>
      <c r="J266" s="22">
        <f t="shared" si="45"/>
        <v>0</v>
      </c>
      <c r="L266" s="3">
        <v>0</v>
      </c>
      <c r="M266" s="3">
        <v>0</v>
      </c>
    </row>
    <row r="267" spans="1:13" x14ac:dyDescent="0.45">
      <c r="A267" t="s">
        <v>10</v>
      </c>
      <c r="B267" t="s">
        <v>29</v>
      </c>
      <c r="C267" t="s">
        <v>21</v>
      </c>
      <c r="D267" s="28">
        <v>0</v>
      </c>
      <c r="E267" s="4">
        <v>0</v>
      </c>
      <c r="F267" s="24">
        <v>0</v>
      </c>
      <c r="G267" s="4">
        <v>0</v>
      </c>
      <c r="I267" s="25">
        <f t="shared" ref="I267:J267" si="46">IF(L267="","",L267-L266)</f>
        <v>0</v>
      </c>
      <c r="J267" s="25">
        <f t="shared" si="46"/>
        <v>0</v>
      </c>
      <c r="L267" s="4">
        <v>0</v>
      </c>
      <c r="M267" s="4">
        <v>0</v>
      </c>
    </row>
    <row r="268" spans="1:13" x14ac:dyDescent="0.45">
      <c r="A268" t="s">
        <v>11</v>
      </c>
      <c r="B268" t="s">
        <v>29</v>
      </c>
      <c r="C268" t="s">
        <v>21</v>
      </c>
      <c r="D268" s="27">
        <v>0</v>
      </c>
      <c r="E268" s="3">
        <v>394079880</v>
      </c>
      <c r="F268" s="23">
        <v>0</v>
      </c>
      <c r="G268" s="3">
        <v>0</v>
      </c>
      <c r="I268" s="25">
        <f t="shared" si="36"/>
        <v>394079880</v>
      </c>
      <c r="J268" s="25">
        <f t="shared" si="36"/>
        <v>0</v>
      </c>
      <c r="L268" s="29">
        <f>SUMIFS(Pivot_!C:C,Pivot_!A:A,'Hitung Per Bulan'!B268,Pivot_!B:B,'Hitung Per Bulan'!C268)</f>
        <v>394079880</v>
      </c>
      <c r="M268" s="29">
        <f>SUMIFS(Pivot_!D:D,Pivot_!A:A,'Hitung Per Bulan'!B268,Pivot_!B:B,'Hitung Per Bulan'!C268)</f>
        <v>0</v>
      </c>
    </row>
    <row r="269" spans="1:13" x14ac:dyDescent="0.45">
      <c r="A269" t="s">
        <v>12</v>
      </c>
      <c r="B269" t="s">
        <v>29</v>
      </c>
      <c r="C269" t="s">
        <v>21</v>
      </c>
      <c r="D269" s="27">
        <v>1150000000</v>
      </c>
      <c r="E269" s="3" t="s">
        <v>41</v>
      </c>
      <c r="F269" s="23">
        <v>0</v>
      </c>
      <c r="G269" s="3" t="s">
        <v>41</v>
      </c>
      <c r="I269" s="25" t="str">
        <f t="shared" si="36"/>
        <v/>
      </c>
      <c r="J269" s="25" t="str">
        <f t="shared" si="36"/>
        <v/>
      </c>
      <c r="L269" s="3"/>
      <c r="M269" s="3"/>
    </row>
    <row r="270" spans="1:13" x14ac:dyDescent="0.45">
      <c r="A270" t="s">
        <v>13</v>
      </c>
      <c r="B270" t="s">
        <v>29</v>
      </c>
      <c r="C270" t="s">
        <v>21</v>
      </c>
      <c r="D270" s="27">
        <v>0</v>
      </c>
      <c r="E270" s="3" t="s">
        <v>41</v>
      </c>
      <c r="F270" s="23">
        <v>0</v>
      </c>
      <c r="G270" s="3" t="s">
        <v>41</v>
      </c>
      <c r="I270" s="25" t="str">
        <f t="shared" si="36"/>
        <v/>
      </c>
      <c r="J270" s="25" t="str">
        <f t="shared" si="36"/>
        <v/>
      </c>
      <c r="L270" s="3"/>
      <c r="M270" s="3"/>
    </row>
    <row r="271" spans="1:13" x14ac:dyDescent="0.45">
      <c r="A271" t="s">
        <v>14</v>
      </c>
      <c r="B271" t="s">
        <v>29</v>
      </c>
      <c r="C271" t="s">
        <v>21</v>
      </c>
      <c r="D271" s="27">
        <v>0</v>
      </c>
      <c r="E271" s="3" t="s">
        <v>41</v>
      </c>
      <c r="F271" s="23">
        <v>700000000</v>
      </c>
      <c r="G271" s="3" t="s">
        <v>41</v>
      </c>
      <c r="I271" s="25" t="str">
        <f t="shared" ref="I271:J334" si="47">IF(L271="","",L271-L270)</f>
        <v/>
      </c>
      <c r="J271" s="25" t="str">
        <f t="shared" si="47"/>
        <v/>
      </c>
      <c r="L271" s="3"/>
      <c r="M271" s="3"/>
    </row>
    <row r="272" spans="1:13" x14ac:dyDescent="0.45">
      <c r="A272" t="s">
        <v>15</v>
      </c>
      <c r="B272" t="s">
        <v>29</v>
      </c>
      <c r="C272" t="s">
        <v>21</v>
      </c>
      <c r="D272" s="27">
        <v>0</v>
      </c>
      <c r="E272" s="3" t="s">
        <v>41</v>
      </c>
      <c r="F272" s="23">
        <v>0</v>
      </c>
      <c r="G272" s="3" t="s">
        <v>41</v>
      </c>
      <c r="I272" s="25" t="str">
        <f t="shared" si="47"/>
        <v/>
      </c>
      <c r="J272" s="25" t="str">
        <f t="shared" si="47"/>
        <v/>
      </c>
      <c r="L272" s="3"/>
      <c r="M272" s="3"/>
    </row>
    <row r="273" spans="1:13" x14ac:dyDescent="0.45">
      <c r="A273" t="s">
        <v>16</v>
      </c>
      <c r="B273" t="s">
        <v>29</v>
      </c>
      <c r="C273" t="s">
        <v>21</v>
      </c>
      <c r="D273" s="27">
        <v>354000000</v>
      </c>
      <c r="E273" s="3" t="s">
        <v>41</v>
      </c>
      <c r="F273" s="23">
        <v>450000000</v>
      </c>
      <c r="G273" s="3" t="s">
        <v>41</v>
      </c>
      <c r="I273" s="25" t="str">
        <f t="shared" si="47"/>
        <v/>
      </c>
      <c r="J273" s="25" t="str">
        <f t="shared" si="47"/>
        <v/>
      </c>
      <c r="L273" s="3"/>
      <c r="M273" s="3"/>
    </row>
    <row r="274" spans="1:13" x14ac:dyDescent="0.45">
      <c r="A274" t="s">
        <v>17</v>
      </c>
      <c r="B274" t="s">
        <v>29</v>
      </c>
      <c r="C274" t="s">
        <v>21</v>
      </c>
      <c r="D274" s="27">
        <v>0</v>
      </c>
      <c r="E274" s="3" t="s">
        <v>41</v>
      </c>
      <c r="F274" s="23">
        <v>0</v>
      </c>
      <c r="G274" s="3" t="s">
        <v>41</v>
      </c>
      <c r="I274" s="25" t="str">
        <f t="shared" si="47"/>
        <v/>
      </c>
      <c r="J274" s="25" t="str">
        <f t="shared" si="47"/>
        <v/>
      </c>
      <c r="L274" s="3"/>
      <c r="M274" s="3"/>
    </row>
    <row r="275" spans="1:13" x14ac:dyDescent="0.45">
      <c r="A275" t="s">
        <v>18</v>
      </c>
      <c r="B275" t="s">
        <v>29</v>
      </c>
      <c r="C275" t="s">
        <v>21</v>
      </c>
      <c r="D275" s="27">
        <v>0</v>
      </c>
      <c r="E275" s="3" t="s">
        <v>41</v>
      </c>
      <c r="F275" s="23">
        <v>354000000</v>
      </c>
      <c r="G275" s="3" t="s">
        <v>41</v>
      </c>
      <c r="I275" s="25" t="str">
        <f t="shared" si="47"/>
        <v/>
      </c>
      <c r="J275" s="25" t="str">
        <f t="shared" si="47"/>
        <v/>
      </c>
      <c r="L275" s="3"/>
      <c r="M275" s="3"/>
    </row>
    <row r="276" spans="1:13" x14ac:dyDescent="0.45">
      <c r="A276" t="s">
        <v>19</v>
      </c>
      <c r="B276" t="s">
        <v>29</v>
      </c>
      <c r="C276" t="s">
        <v>21</v>
      </c>
      <c r="D276" s="27">
        <v>0</v>
      </c>
      <c r="E276" s="3" t="s">
        <v>41</v>
      </c>
      <c r="F276" s="23">
        <v>0</v>
      </c>
      <c r="G276" s="3" t="s">
        <v>41</v>
      </c>
      <c r="I276" s="25" t="str">
        <f t="shared" si="47"/>
        <v/>
      </c>
      <c r="J276" s="25" t="str">
        <f t="shared" si="47"/>
        <v/>
      </c>
      <c r="L276" s="3"/>
      <c r="M276" s="3"/>
    </row>
    <row r="277" spans="1:13" x14ac:dyDescent="0.45">
      <c r="A277" t="s">
        <v>20</v>
      </c>
      <c r="B277" t="s">
        <v>29</v>
      </c>
      <c r="C277" t="s">
        <v>21</v>
      </c>
      <c r="D277" s="27">
        <v>0</v>
      </c>
      <c r="E277" s="3" t="s">
        <v>41</v>
      </c>
      <c r="F277" s="23">
        <v>0</v>
      </c>
      <c r="G277" s="3" t="s">
        <v>41</v>
      </c>
      <c r="I277" s="25" t="str">
        <f t="shared" si="47"/>
        <v/>
      </c>
      <c r="J277" s="25" t="str">
        <f t="shared" si="47"/>
        <v/>
      </c>
      <c r="L277" s="3"/>
      <c r="M277" s="3"/>
    </row>
    <row r="278" spans="1:13" x14ac:dyDescent="0.45">
      <c r="A278" t="s">
        <v>7</v>
      </c>
      <c r="B278" t="s">
        <v>29</v>
      </c>
      <c r="C278" t="s">
        <v>22</v>
      </c>
      <c r="D278" s="27">
        <v>29718750</v>
      </c>
      <c r="E278" s="3">
        <v>0</v>
      </c>
      <c r="F278" s="23">
        <v>0</v>
      </c>
      <c r="G278" s="3">
        <v>0</v>
      </c>
      <c r="I278" s="22">
        <f t="shared" ref="I278:J278" si="48">IF(L278="","",L278)</f>
        <v>0</v>
      </c>
      <c r="J278" s="22">
        <f t="shared" si="48"/>
        <v>0</v>
      </c>
      <c r="L278" s="3">
        <v>0</v>
      </c>
      <c r="M278" s="3">
        <v>0</v>
      </c>
    </row>
    <row r="279" spans="1:13" x14ac:dyDescent="0.45">
      <c r="A279" t="s">
        <v>10</v>
      </c>
      <c r="B279" t="s">
        <v>29</v>
      </c>
      <c r="C279" t="s">
        <v>22</v>
      </c>
      <c r="D279" s="28">
        <v>0</v>
      </c>
      <c r="E279" s="4">
        <v>15775000</v>
      </c>
      <c r="F279" s="24">
        <v>29718750</v>
      </c>
      <c r="G279" s="4">
        <v>0</v>
      </c>
      <c r="I279" s="25">
        <f t="shared" ref="I279:J279" si="49">IF(L279="","",L279-L278)</f>
        <v>15775000</v>
      </c>
      <c r="J279" s="25">
        <f t="shared" si="49"/>
        <v>0</v>
      </c>
      <c r="L279" s="4">
        <v>15775000</v>
      </c>
      <c r="M279" s="4">
        <v>0</v>
      </c>
    </row>
    <row r="280" spans="1:13" x14ac:dyDescent="0.45">
      <c r="A280" t="s">
        <v>11</v>
      </c>
      <c r="B280" t="s">
        <v>29</v>
      </c>
      <c r="C280" t="s">
        <v>22</v>
      </c>
      <c r="D280" s="27">
        <v>0</v>
      </c>
      <c r="E280" s="3">
        <v>0</v>
      </c>
      <c r="F280" s="23">
        <v>0</v>
      </c>
      <c r="G280" s="3">
        <v>2025000</v>
      </c>
      <c r="I280" s="25">
        <f t="shared" si="47"/>
        <v>0</v>
      </c>
      <c r="J280" s="25">
        <f t="shared" si="47"/>
        <v>4050000</v>
      </c>
      <c r="L280" s="29">
        <f>SUMIFS(Pivot_!C:C,Pivot_!A:A,'Hitung Per Bulan'!B280,Pivot_!B:B,'Hitung Per Bulan'!C280)</f>
        <v>15775000</v>
      </c>
      <c r="M280" s="29">
        <f>SUMIFS(Pivot_!D:D,Pivot_!A:A,'Hitung Per Bulan'!B280,Pivot_!B:B,'Hitung Per Bulan'!C280)</f>
        <v>4050000</v>
      </c>
    </row>
    <row r="281" spans="1:13" x14ac:dyDescent="0.45">
      <c r="A281" t="s">
        <v>12</v>
      </c>
      <c r="B281" t="s">
        <v>29</v>
      </c>
      <c r="C281" t="s">
        <v>22</v>
      </c>
      <c r="D281" s="27">
        <v>29718750</v>
      </c>
      <c r="E281" s="3" t="s">
        <v>41</v>
      </c>
      <c r="F281" s="23">
        <v>0</v>
      </c>
      <c r="G281" s="3" t="s">
        <v>41</v>
      </c>
      <c r="I281" s="25" t="str">
        <f t="shared" si="47"/>
        <v/>
      </c>
      <c r="J281" s="25" t="str">
        <f t="shared" si="47"/>
        <v/>
      </c>
      <c r="L281" s="3"/>
      <c r="M281" s="3"/>
    </row>
    <row r="282" spans="1:13" x14ac:dyDescent="0.45">
      <c r="A282" t="s">
        <v>13</v>
      </c>
      <c r="B282" t="s">
        <v>29</v>
      </c>
      <c r="C282" t="s">
        <v>22</v>
      </c>
      <c r="D282" s="27">
        <v>0</v>
      </c>
      <c r="E282" s="3" t="s">
        <v>41</v>
      </c>
      <c r="F282" s="23">
        <v>29718750</v>
      </c>
      <c r="G282" s="3" t="s">
        <v>41</v>
      </c>
      <c r="I282" s="25" t="str">
        <f t="shared" si="47"/>
        <v/>
      </c>
      <c r="J282" s="25" t="str">
        <f t="shared" si="47"/>
        <v/>
      </c>
      <c r="L282" s="3"/>
      <c r="M282" s="3"/>
    </row>
    <row r="283" spans="1:13" x14ac:dyDescent="0.45">
      <c r="A283" t="s">
        <v>14</v>
      </c>
      <c r="B283" t="s">
        <v>29</v>
      </c>
      <c r="C283" t="s">
        <v>22</v>
      </c>
      <c r="D283" s="27">
        <v>0</v>
      </c>
      <c r="E283" s="3" t="s">
        <v>41</v>
      </c>
      <c r="F283" s="23">
        <v>0</v>
      </c>
      <c r="G283" s="3" t="s">
        <v>41</v>
      </c>
      <c r="I283" s="25" t="str">
        <f t="shared" si="47"/>
        <v/>
      </c>
      <c r="J283" s="25" t="str">
        <f t="shared" si="47"/>
        <v/>
      </c>
      <c r="L283" s="3"/>
      <c r="M283" s="3"/>
    </row>
    <row r="284" spans="1:13" x14ac:dyDescent="0.45">
      <c r="A284" t="s">
        <v>15</v>
      </c>
      <c r="B284" t="s">
        <v>29</v>
      </c>
      <c r="C284" t="s">
        <v>22</v>
      </c>
      <c r="D284" s="27">
        <v>29718750</v>
      </c>
      <c r="E284" s="3" t="s">
        <v>41</v>
      </c>
      <c r="F284" s="23">
        <v>0</v>
      </c>
      <c r="G284" s="3" t="s">
        <v>41</v>
      </c>
      <c r="I284" s="25" t="str">
        <f t="shared" si="47"/>
        <v/>
      </c>
      <c r="J284" s="25" t="str">
        <f t="shared" si="47"/>
        <v/>
      </c>
      <c r="L284" s="3"/>
      <c r="M284" s="3"/>
    </row>
    <row r="285" spans="1:13" x14ac:dyDescent="0.45">
      <c r="A285" t="s">
        <v>16</v>
      </c>
      <c r="B285" t="s">
        <v>29</v>
      </c>
      <c r="C285" t="s">
        <v>22</v>
      </c>
      <c r="D285" s="27">
        <v>0</v>
      </c>
      <c r="E285" s="3" t="s">
        <v>41</v>
      </c>
      <c r="F285" s="23">
        <v>29718750</v>
      </c>
      <c r="G285" s="3" t="s">
        <v>41</v>
      </c>
      <c r="I285" s="25" t="str">
        <f t="shared" si="47"/>
        <v/>
      </c>
      <c r="J285" s="25" t="str">
        <f t="shared" si="47"/>
        <v/>
      </c>
      <c r="L285" s="3"/>
      <c r="M285" s="3"/>
    </row>
    <row r="286" spans="1:13" x14ac:dyDescent="0.45">
      <c r="A286" t="s">
        <v>17</v>
      </c>
      <c r="B286" t="s">
        <v>29</v>
      </c>
      <c r="C286" t="s">
        <v>22</v>
      </c>
      <c r="D286" s="27">
        <v>0</v>
      </c>
      <c r="E286" s="3" t="s">
        <v>41</v>
      </c>
      <c r="F286" s="23">
        <v>0</v>
      </c>
      <c r="G286" s="3" t="s">
        <v>41</v>
      </c>
      <c r="I286" s="25" t="str">
        <f t="shared" si="47"/>
        <v/>
      </c>
      <c r="J286" s="25" t="str">
        <f t="shared" si="47"/>
        <v/>
      </c>
      <c r="L286" s="3"/>
      <c r="M286" s="3"/>
    </row>
    <row r="287" spans="1:13" x14ac:dyDescent="0.45">
      <c r="A287" t="s">
        <v>18</v>
      </c>
      <c r="B287" t="s">
        <v>29</v>
      </c>
      <c r="C287" t="s">
        <v>22</v>
      </c>
      <c r="D287" s="27">
        <v>29718750</v>
      </c>
      <c r="E287" s="3" t="s">
        <v>41</v>
      </c>
      <c r="F287" s="23">
        <v>0</v>
      </c>
      <c r="G287" s="3" t="s">
        <v>41</v>
      </c>
      <c r="I287" s="25" t="str">
        <f t="shared" si="47"/>
        <v/>
      </c>
      <c r="J287" s="25" t="str">
        <f t="shared" si="47"/>
        <v/>
      </c>
      <c r="L287" s="3"/>
      <c r="M287" s="3"/>
    </row>
    <row r="288" spans="1:13" x14ac:dyDescent="0.45">
      <c r="A288" t="s">
        <v>19</v>
      </c>
      <c r="B288" t="s">
        <v>29</v>
      </c>
      <c r="C288" t="s">
        <v>22</v>
      </c>
      <c r="D288" s="27">
        <v>0</v>
      </c>
      <c r="E288" s="3" t="s">
        <v>41</v>
      </c>
      <c r="F288" s="23">
        <v>29718750</v>
      </c>
      <c r="G288" s="3" t="s">
        <v>41</v>
      </c>
      <c r="I288" s="25" t="str">
        <f t="shared" si="47"/>
        <v/>
      </c>
      <c r="J288" s="25" t="str">
        <f t="shared" si="47"/>
        <v/>
      </c>
      <c r="L288" s="3"/>
      <c r="M288" s="3"/>
    </row>
    <row r="289" spans="1:13" x14ac:dyDescent="0.45">
      <c r="A289" t="s">
        <v>20</v>
      </c>
      <c r="B289" t="s">
        <v>29</v>
      </c>
      <c r="C289" t="s">
        <v>22</v>
      </c>
      <c r="D289" s="27">
        <v>0</v>
      </c>
      <c r="E289" s="3" t="s">
        <v>41</v>
      </c>
      <c r="F289" s="23">
        <v>0</v>
      </c>
      <c r="G289" s="3" t="s">
        <v>41</v>
      </c>
      <c r="I289" s="25" t="str">
        <f t="shared" si="47"/>
        <v/>
      </c>
      <c r="J289" s="25" t="str">
        <f t="shared" si="47"/>
        <v/>
      </c>
      <c r="L289" s="3"/>
      <c r="M289" s="3"/>
    </row>
    <row r="290" spans="1:13" x14ac:dyDescent="0.45">
      <c r="A290" t="s">
        <v>7</v>
      </c>
      <c r="B290" t="s">
        <v>29</v>
      </c>
      <c r="C290" t="s">
        <v>23</v>
      </c>
      <c r="D290" s="27">
        <v>0</v>
      </c>
      <c r="E290" s="3">
        <v>0</v>
      </c>
      <c r="F290" s="23">
        <v>0</v>
      </c>
      <c r="G290" s="3">
        <v>0</v>
      </c>
      <c r="I290" s="22">
        <f t="shared" ref="I290:J290" si="50">IF(L290="","",L290)</f>
        <v>0</v>
      </c>
      <c r="J290" s="22">
        <f t="shared" si="50"/>
        <v>0</v>
      </c>
      <c r="L290" s="3">
        <v>0</v>
      </c>
      <c r="M290" s="3">
        <v>0</v>
      </c>
    </row>
    <row r="291" spans="1:13" x14ac:dyDescent="0.45">
      <c r="A291" t="s">
        <v>10</v>
      </c>
      <c r="B291" t="s">
        <v>29</v>
      </c>
      <c r="C291" t="s">
        <v>23</v>
      </c>
      <c r="D291" s="28">
        <v>0</v>
      </c>
      <c r="E291" s="4">
        <v>0</v>
      </c>
      <c r="F291" s="24">
        <v>0</v>
      </c>
      <c r="G291" s="4">
        <v>0</v>
      </c>
      <c r="I291" s="25">
        <f t="shared" ref="I291:J291" si="51">IF(L291="","",L291-L290)</f>
        <v>0</v>
      </c>
      <c r="J291" s="25">
        <f t="shared" si="51"/>
        <v>0</v>
      </c>
      <c r="L291" s="4">
        <v>0</v>
      </c>
      <c r="M291" s="4">
        <v>0</v>
      </c>
    </row>
    <row r="292" spans="1:13" x14ac:dyDescent="0.45">
      <c r="A292" t="s">
        <v>11</v>
      </c>
      <c r="B292" t="s">
        <v>29</v>
      </c>
      <c r="C292" t="s">
        <v>23</v>
      </c>
      <c r="D292" s="27">
        <v>0</v>
      </c>
      <c r="E292" s="3">
        <v>0</v>
      </c>
      <c r="F292" s="23">
        <v>0</v>
      </c>
      <c r="G292" s="3">
        <v>0</v>
      </c>
      <c r="I292" s="25">
        <f t="shared" si="47"/>
        <v>0</v>
      </c>
      <c r="J292" s="25">
        <f t="shared" si="47"/>
        <v>0</v>
      </c>
      <c r="L292" s="29">
        <f>SUMIFS(Pivot_!C:C,Pivot_!A:A,'Hitung Per Bulan'!B292,Pivot_!B:B,'Hitung Per Bulan'!C292)</f>
        <v>0</v>
      </c>
      <c r="M292" s="29">
        <f>SUMIFS(Pivot_!D:D,Pivot_!A:A,'Hitung Per Bulan'!B292,Pivot_!B:B,'Hitung Per Bulan'!C292)</f>
        <v>0</v>
      </c>
    </row>
    <row r="293" spans="1:13" x14ac:dyDescent="0.45">
      <c r="A293" t="s">
        <v>12</v>
      </c>
      <c r="B293" t="s">
        <v>29</v>
      </c>
      <c r="C293" t="s">
        <v>23</v>
      </c>
      <c r="D293" s="27">
        <v>0</v>
      </c>
      <c r="E293" s="3" t="s">
        <v>41</v>
      </c>
      <c r="F293" s="23">
        <v>0</v>
      </c>
      <c r="G293" s="3" t="s">
        <v>41</v>
      </c>
      <c r="I293" s="25" t="str">
        <f t="shared" si="47"/>
        <v/>
      </c>
      <c r="J293" s="25" t="str">
        <f t="shared" si="47"/>
        <v/>
      </c>
      <c r="L293" s="3"/>
      <c r="M293" s="3"/>
    </row>
    <row r="294" spans="1:13" x14ac:dyDescent="0.45">
      <c r="A294" t="s">
        <v>13</v>
      </c>
      <c r="B294" t="s">
        <v>29</v>
      </c>
      <c r="C294" t="s">
        <v>23</v>
      </c>
      <c r="D294" s="27">
        <v>705000000</v>
      </c>
      <c r="E294" s="3" t="s">
        <v>41</v>
      </c>
      <c r="F294" s="23">
        <v>0</v>
      </c>
      <c r="G294" s="3" t="s">
        <v>41</v>
      </c>
      <c r="I294" s="25" t="str">
        <f t="shared" si="47"/>
        <v/>
      </c>
      <c r="J294" s="25" t="str">
        <f t="shared" si="47"/>
        <v/>
      </c>
      <c r="L294" s="3"/>
      <c r="M294" s="3"/>
    </row>
    <row r="295" spans="1:13" x14ac:dyDescent="0.45">
      <c r="A295" t="s">
        <v>14</v>
      </c>
      <c r="B295" t="s">
        <v>29</v>
      </c>
      <c r="C295" t="s">
        <v>23</v>
      </c>
      <c r="D295" s="27">
        <v>0</v>
      </c>
      <c r="E295" s="3" t="s">
        <v>41</v>
      </c>
      <c r="F295" s="23">
        <v>0</v>
      </c>
      <c r="G295" s="3" t="s">
        <v>41</v>
      </c>
      <c r="I295" s="25" t="str">
        <f t="shared" si="47"/>
        <v/>
      </c>
      <c r="J295" s="25" t="str">
        <f t="shared" si="47"/>
        <v/>
      </c>
      <c r="L295" s="3"/>
      <c r="M295" s="3"/>
    </row>
    <row r="296" spans="1:13" x14ac:dyDescent="0.45">
      <c r="A296" t="s">
        <v>15</v>
      </c>
      <c r="B296" t="s">
        <v>29</v>
      </c>
      <c r="C296" t="s">
        <v>23</v>
      </c>
      <c r="D296" s="27">
        <v>0</v>
      </c>
      <c r="E296" s="3" t="s">
        <v>41</v>
      </c>
      <c r="F296" s="23">
        <v>0</v>
      </c>
      <c r="G296" s="3" t="s">
        <v>41</v>
      </c>
      <c r="I296" s="25" t="str">
        <f t="shared" si="47"/>
        <v/>
      </c>
      <c r="J296" s="25" t="str">
        <f t="shared" si="47"/>
        <v/>
      </c>
      <c r="L296" s="3"/>
      <c r="M296" s="3"/>
    </row>
    <row r="297" spans="1:13" x14ac:dyDescent="0.45">
      <c r="A297" t="s">
        <v>16</v>
      </c>
      <c r="B297" t="s">
        <v>29</v>
      </c>
      <c r="C297" t="s">
        <v>23</v>
      </c>
      <c r="D297" s="27">
        <v>0</v>
      </c>
      <c r="E297" s="3" t="s">
        <v>41</v>
      </c>
      <c r="F297" s="23">
        <v>705000000</v>
      </c>
      <c r="G297" s="3" t="s">
        <v>41</v>
      </c>
      <c r="I297" s="25" t="str">
        <f t="shared" si="47"/>
        <v/>
      </c>
      <c r="J297" s="25" t="str">
        <f t="shared" si="47"/>
        <v/>
      </c>
      <c r="L297" s="3"/>
      <c r="M297" s="3"/>
    </row>
    <row r="298" spans="1:13" x14ac:dyDescent="0.45">
      <c r="A298" t="s">
        <v>17</v>
      </c>
      <c r="B298" t="s">
        <v>29</v>
      </c>
      <c r="C298" t="s">
        <v>23</v>
      </c>
      <c r="D298" s="27">
        <v>0</v>
      </c>
      <c r="E298" s="3" t="s">
        <v>41</v>
      </c>
      <c r="F298" s="23">
        <v>0</v>
      </c>
      <c r="G298" s="3" t="s">
        <v>41</v>
      </c>
      <c r="I298" s="25" t="str">
        <f t="shared" si="47"/>
        <v/>
      </c>
      <c r="J298" s="25" t="str">
        <f t="shared" si="47"/>
        <v/>
      </c>
      <c r="L298" s="3"/>
      <c r="M298" s="3"/>
    </row>
    <row r="299" spans="1:13" x14ac:dyDescent="0.45">
      <c r="A299" t="s">
        <v>18</v>
      </c>
      <c r="B299" t="s">
        <v>29</v>
      </c>
      <c r="C299" t="s">
        <v>23</v>
      </c>
      <c r="D299" s="27">
        <v>0</v>
      </c>
      <c r="E299" s="3" t="s">
        <v>41</v>
      </c>
      <c r="F299" s="23">
        <v>0</v>
      </c>
      <c r="G299" s="3" t="s">
        <v>41</v>
      </c>
      <c r="I299" s="25" t="str">
        <f t="shared" si="47"/>
        <v/>
      </c>
      <c r="J299" s="25" t="str">
        <f t="shared" si="47"/>
        <v/>
      </c>
      <c r="L299" s="3"/>
      <c r="M299" s="3"/>
    </row>
    <row r="300" spans="1:13" x14ac:dyDescent="0.45">
      <c r="A300" t="s">
        <v>19</v>
      </c>
      <c r="B300" t="s">
        <v>29</v>
      </c>
      <c r="C300" t="s">
        <v>23</v>
      </c>
      <c r="D300" s="27">
        <v>0</v>
      </c>
      <c r="E300" s="3" t="s">
        <v>41</v>
      </c>
      <c r="F300" s="23">
        <v>0</v>
      </c>
      <c r="G300" s="3" t="s">
        <v>41</v>
      </c>
      <c r="I300" s="25" t="str">
        <f t="shared" si="47"/>
        <v/>
      </c>
      <c r="J300" s="25" t="str">
        <f t="shared" si="47"/>
        <v/>
      </c>
      <c r="L300" s="3"/>
      <c r="M300" s="3"/>
    </row>
    <row r="301" spans="1:13" x14ac:dyDescent="0.45">
      <c r="A301" t="s">
        <v>20</v>
      </c>
      <c r="B301" t="s">
        <v>29</v>
      </c>
      <c r="C301" t="s">
        <v>23</v>
      </c>
      <c r="D301" s="27">
        <v>0</v>
      </c>
      <c r="E301" s="3" t="s">
        <v>41</v>
      </c>
      <c r="F301" s="23">
        <v>0</v>
      </c>
      <c r="G301" s="3" t="s">
        <v>41</v>
      </c>
      <c r="I301" s="25" t="str">
        <f t="shared" si="47"/>
        <v/>
      </c>
      <c r="J301" s="25" t="str">
        <f t="shared" si="47"/>
        <v/>
      </c>
      <c r="L301" s="3"/>
      <c r="M301" s="3"/>
    </row>
    <row r="302" spans="1:13" x14ac:dyDescent="0.45">
      <c r="A302" t="s">
        <v>7</v>
      </c>
      <c r="B302" t="s">
        <v>29</v>
      </c>
      <c r="C302" t="s">
        <v>24</v>
      </c>
      <c r="D302" s="27">
        <v>0</v>
      </c>
      <c r="E302" s="3">
        <v>0</v>
      </c>
      <c r="F302" s="23"/>
      <c r="G302" s="3">
        <v>0</v>
      </c>
      <c r="I302" s="22">
        <f t="shared" ref="I302:J302" si="52">IF(L302="","",L302)</f>
        <v>0</v>
      </c>
      <c r="J302" s="22">
        <f t="shared" si="52"/>
        <v>0</v>
      </c>
      <c r="L302" s="3">
        <v>0</v>
      </c>
      <c r="M302" s="3">
        <v>0</v>
      </c>
    </row>
    <row r="303" spans="1:13" x14ac:dyDescent="0.45">
      <c r="A303" t="s">
        <v>10</v>
      </c>
      <c r="B303" t="s">
        <v>29</v>
      </c>
      <c r="C303" t="s">
        <v>24</v>
      </c>
      <c r="D303" s="28">
        <v>0</v>
      </c>
      <c r="E303" s="4">
        <v>0</v>
      </c>
      <c r="G303" s="4">
        <v>0</v>
      </c>
      <c r="I303" s="25">
        <f t="shared" ref="I303:J303" si="53">IF(L303="","",L303-L302)</f>
        <v>0</v>
      </c>
      <c r="J303" s="25">
        <f t="shared" si="53"/>
        <v>0</v>
      </c>
      <c r="L303" s="4">
        <v>0</v>
      </c>
      <c r="M303" s="4">
        <v>0</v>
      </c>
    </row>
    <row r="304" spans="1:13" x14ac:dyDescent="0.45">
      <c r="A304" t="s">
        <v>11</v>
      </c>
      <c r="B304" t="s">
        <v>29</v>
      </c>
      <c r="C304" t="s">
        <v>24</v>
      </c>
      <c r="D304" s="27">
        <v>0</v>
      </c>
      <c r="E304" s="3">
        <v>0</v>
      </c>
      <c r="F304" s="23"/>
      <c r="G304" s="3">
        <v>0</v>
      </c>
      <c r="I304" s="25">
        <f t="shared" si="47"/>
        <v>0</v>
      </c>
      <c r="J304" s="25">
        <f t="shared" si="47"/>
        <v>0</v>
      </c>
      <c r="L304" s="29">
        <f>SUMIFS(Pivot_!C:C,Pivot_!A:A,'Hitung Per Bulan'!B304,Pivot_!B:B,'Hitung Per Bulan'!C304)</f>
        <v>0</v>
      </c>
      <c r="M304" s="29">
        <f>SUMIFS(Pivot_!D:D,Pivot_!A:A,'Hitung Per Bulan'!B304,Pivot_!B:B,'Hitung Per Bulan'!C304)</f>
        <v>0</v>
      </c>
    </row>
    <row r="305" spans="1:13" x14ac:dyDescent="0.45">
      <c r="A305" t="s">
        <v>12</v>
      </c>
      <c r="B305" t="s">
        <v>29</v>
      </c>
      <c r="C305" t="s">
        <v>24</v>
      </c>
      <c r="D305" s="27">
        <v>0</v>
      </c>
      <c r="E305" s="3" t="s">
        <v>41</v>
      </c>
      <c r="F305" s="23"/>
      <c r="G305" s="3" t="s">
        <v>41</v>
      </c>
      <c r="I305" s="25" t="str">
        <f t="shared" si="47"/>
        <v/>
      </c>
      <c r="J305" s="25" t="str">
        <f t="shared" si="47"/>
        <v/>
      </c>
      <c r="L305" s="3"/>
      <c r="M305" s="3"/>
    </row>
    <row r="306" spans="1:13" x14ac:dyDescent="0.45">
      <c r="A306" t="s">
        <v>13</v>
      </c>
      <c r="B306" t="s">
        <v>29</v>
      </c>
      <c r="C306" t="s">
        <v>24</v>
      </c>
      <c r="D306" s="27">
        <v>0</v>
      </c>
      <c r="E306" s="3" t="s">
        <v>41</v>
      </c>
      <c r="F306" s="23"/>
      <c r="G306" s="3" t="s">
        <v>41</v>
      </c>
      <c r="I306" s="25" t="str">
        <f t="shared" si="47"/>
        <v/>
      </c>
      <c r="J306" s="25" t="str">
        <f t="shared" si="47"/>
        <v/>
      </c>
      <c r="L306" s="3"/>
      <c r="M306" s="3"/>
    </row>
    <row r="307" spans="1:13" x14ac:dyDescent="0.45">
      <c r="A307" t="s">
        <v>14</v>
      </c>
      <c r="B307" t="s">
        <v>29</v>
      </c>
      <c r="C307" t="s">
        <v>24</v>
      </c>
      <c r="D307" s="27">
        <v>0</v>
      </c>
      <c r="E307" s="3" t="s">
        <v>41</v>
      </c>
      <c r="F307" s="23"/>
      <c r="G307" s="3" t="s">
        <v>41</v>
      </c>
      <c r="I307" s="25" t="str">
        <f t="shared" si="47"/>
        <v/>
      </c>
      <c r="J307" s="25" t="str">
        <f t="shared" si="47"/>
        <v/>
      </c>
      <c r="L307" s="3"/>
      <c r="M307" s="3"/>
    </row>
    <row r="308" spans="1:13" x14ac:dyDescent="0.45">
      <c r="A308" t="s">
        <v>15</v>
      </c>
      <c r="B308" t="s">
        <v>29</v>
      </c>
      <c r="C308" t="s">
        <v>24</v>
      </c>
      <c r="D308" s="27">
        <v>0</v>
      </c>
      <c r="E308" s="3" t="s">
        <v>41</v>
      </c>
      <c r="F308" s="23"/>
      <c r="G308" s="3" t="s">
        <v>41</v>
      </c>
      <c r="I308" s="25" t="str">
        <f t="shared" si="47"/>
        <v/>
      </c>
      <c r="J308" s="25" t="str">
        <f t="shared" si="47"/>
        <v/>
      </c>
      <c r="L308" s="3"/>
      <c r="M308" s="3"/>
    </row>
    <row r="309" spans="1:13" x14ac:dyDescent="0.45">
      <c r="A309" t="s">
        <v>16</v>
      </c>
      <c r="B309" t="s">
        <v>29</v>
      </c>
      <c r="C309" t="s">
        <v>24</v>
      </c>
      <c r="D309" s="27">
        <v>0</v>
      </c>
      <c r="E309" s="3" t="s">
        <v>41</v>
      </c>
      <c r="F309" s="23"/>
      <c r="G309" s="3" t="s">
        <v>41</v>
      </c>
      <c r="I309" s="25" t="str">
        <f t="shared" si="47"/>
        <v/>
      </c>
      <c r="J309" s="25" t="str">
        <f t="shared" si="47"/>
        <v/>
      </c>
      <c r="L309" s="3"/>
      <c r="M309" s="3"/>
    </row>
    <row r="310" spans="1:13" x14ac:dyDescent="0.45">
      <c r="A310" t="s">
        <v>17</v>
      </c>
      <c r="B310" t="s">
        <v>29</v>
      </c>
      <c r="C310" t="s">
        <v>24</v>
      </c>
      <c r="D310" s="27">
        <v>0</v>
      </c>
      <c r="E310" s="3" t="s">
        <v>41</v>
      </c>
      <c r="F310" s="23"/>
      <c r="G310" s="3" t="s">
        <v>41</v>
      </c>
      <c r="I310" s="25" t="str">
        <f t="shared" si="47"/>
        <v/>
      </c>
      <c r="J310" s="25" t="str">
        <f t="shared" si="47"/>
        <v/>
      </c>
      <c r="L310" s="3"/>
      <c r="M310" s="3"/>
    </row>
    <row r="311" spans="1:13" x14ac:dyDescent="0.45">
      <c r="A311" t="s">
        <v>18</v>
      </c>
      <c r="B311" t="s">
        <v>29</v>
      </c>
      <c r="C311" t="s">
        <v>24</v>
      </c>
      <c r="D311" s="27">
        <v>0</v>
      </c>
      <c r="E311" s="3" t="s">
        <v>41</v>
      </c>
      <c r="F311" s="23"/>
      <c r="G311" s="3" t="s">
        <v>41</v>
      </c>
      <c r="I311" s="25" t="str">
        <f t="shared" si="47"/>
        <v/>
      </c>
      <c r="J311" s="25" t="str">
        <f t="shared" si="47"/>
        <v/>
      </c>
      <c r="L311" s="3"/>
      <c r="M311" s="3"/>
    </row>
    <row r="312" spans="1:13" x14ac:dyDescent="0.45">
      <c r="A312" t="s">
        <v>19</v>
      </c>
      <c r="B312" t="s">
        <v>29</v>
      </c>
      <c r="C312" t="s">
        <v>24</v>
      </c>
      <c r="D312" s="27">
        <v>0</v>
      </c>
      <c r="E312" s="3" t="s">
        <v>41</v>
      </c>
      <c r="F312" s="23"/>
      <c r="G312" s="3" t="s">
        <v>41</v>
      </c>
      <c r="I312" s="25" t="str">
        <f t="shared" si="47"/>
        <v/>
      </c>
      <c r="J312" s="25" t="str">
        <f t="shared" si="47"/>
        <v/>
      </c>
      <c r="L312" s="3"/>
      <c r="M312" s="3"/>
    </row>
    <row r="313" spans="1:13" x14ac:dyDescent="0.45">
      <c r="A313" t="s">
        <v>20</v>
      </c>
      <c r="B313" t="s">
        <v>29</v>
      </c>
      <c r="C313" t="s">
        <v>24</v>
      </c>
      <c r="D313" s="27">
        <v>0</v>
      </c>
      <c r="E313" s="3" t="s">
        <v>41</v>
      </c>
      <c r="F313" s="23"/>
      <c r="G313" s="3" t="s">
        <v>41</v>
      </c>
      <c r="I313" s="25" t="str">
        <f t="shared" si="47"/>
        <v/>
      </c>
      <c r="J313" s="25" t="str">
        <f t="shared" si="47"/>
        <v/>
      </c>
      <c r="L313" s="3"/>
      <c r="M313" s="3"/>
    </row>
    <row r="314" spans="1:13" x14ac:dyDescent="0.45">
      <c r="A314" t="s">
        <v>7</v>
      </c>
      <c r="B314" t="s">
        <v>29</v>
      </c>
      <c r="C314" t="s">
        <v>25</v>
      </c>
      <c r="D314" s="27">
        <v>98435000</v>
      </c>
      <c r="E314" s="3">
        <v>112428554</v>
      </c>
      <c r="F314" s="23">
        <v>98435000</v>
      </c>
      <c r="G314" s="3">
        <v>19564700</v>
      </c>
      <c r="I314" s="22">
        <f t="shared" ref="I314:J314" si="54">IF(L314="","",L314)</f>
        <v>112428554</v>
      </c>
      <c r="J314" s="22">
        <f t="shared" si="54"/>
        <v>19564700</v>
      </c>
      <c r="L314" s="3">
        <v>112428554</v>
      </c>
      <c r="M314" s="3">
        <v>19564700</v>
      </c>
    </row>
    <row r="315" spans="1:13" x14ac:dyDescent="0.45">
      <c r="A315" t="s">
        <v>10</v>
      </c>
      <c r="B315" t="s">
        <v>29</v>
      </c>
      <c r="C315" t="s">
        <v>25</v>
      </c>
      <c r="D315" s="28">
        <v>60854000</v>
      </c>
      <c r="E315" s="4">
        <v>44348055</v>
      </c>
      <c r="F315" s="24">
        <v>60854000</v>
      </c>
      <c r="G315" s="4">
        <v>112098409</v>
      </c>
      <c r="I315" s="25">
        <f t="shared" ref="I315:J315" si="55">IF(L315="","",L315-L314)</f>
        <v>44348055</v>
      </c>
      <c r="J315" s="25">
        <f t="shared" si="55"/>
        <v>112098409</v>
      </c>
      <c r="L315" s="4">
        <v>156776609</v>
      </c>
      <c r="M315" s="4">
        <v>131663109</v>
      </c>
    </row>
    <row r="316" spans="1:13" x14ac:dyDescent="0.45">
      <c r="A316" t="s">
        <v>11</v>
      </c>
      <c r="B316" t="s">
        <v>29</v>
      </c>
      <c r="C316" t="s">
        <v>25</v>
      </c>
      <c r="D316" s="27">
        <v>74364000</v>
      </c>
      <c r="E316" s="3">
        <v>56840280</v>
      </c>
      <c r="F316" s="23">
        <v>74364000</v>
      </c>
      <c r="G316" s="3">
        <v>29803000</v>
      </c>
      <c r="I316" s="25">
        <f t="shared" si="47"/>
        <v>69082780</v>
      </c>
      <c r="J316" s="25">
        <f t="shared" si="47"/>
        <v>36790500</v>
      </c>
      <c r="L316" s="29">
        <f>SUMIFS(Pivot_!C:C,Pivot_!A:A,'Hitung Per Bulan'!B316,Pivot_!B:B,'Hitung Per Bulan'!C316)</f>
        <v>225859389</v>
      </c>
      <c r="M316" s="29">
        <f>SUMIFS(Pivot_!D:D,Pivot_!A:A,'Hitung Per Bulan'!B316,Pivot_!B:B,'Hitung Per Bulan'!C316)</f>
        <v>168453609</v>
      </c>
    </row>
    <row r="317" spans="1:13" x14ac:dyDescent="0.45">
      <c r="A317" t="s">
        <v>12</v>
      </c>
      <c r="B317" t="s">
        <v>29</v>
      </c>
      <c r="C317" t="s">
        <v>25</v>
      </c>
      <c r="D317" s="27">
        <v>67364000</v>
      </c>
      <c r="E317" s="3" t="s">
        <v>41</v>
      </c>
      <c r="F317" s="23">
        <v>67364000</v>
      </c>
      <c r="G317" s="3" t="s">
        <v>41</v>
      </c>
      <c r="I317" s="25" t="str">
        <f t="shared" si="47"/>
        <v/>
      </c>
      <c r="J317" s="25" t="str">
        <f t="shared" si="47"/>
        <v/>
      </c>
      <c r="L317" s="3"/>
      <c r="M317" s="3"/>
    </row>
    <row r="318" spans="1:13" x14ac:dyDescent="0.45">
      <c r="A318" t="s">
        <v>13</v>
      </c>
      <c r="B318" t="s">
        <v>29</v>
      </c>
      <c r="C318" t="s">
        <v>25</v>
      </c>
      <c r="D318" s="27">
        <v>70354000</v>
      </c>
      <c r="E318" s="3" t="s">
        <v>41</v>
      </c>
      <c r="F318" s="23">
        <v>70354000</v>
      </c>
      <c r="G318" s="3" t="s">
        <v>41</v>
      </c>
      <c r="I318" s="25" t="str">
        <f t="shared" si="47"/>
        <v/>
      </c>
      <c r="J318" s="25" t="str">
        <f t="shared" si="47"/>
        <v/>
      </c>
      <c r="L318" s="3"/>
      <c r="M318" s="3"/>
    </row>
    <row r="319" spans="1:13" x14ac:dyDescent="0.45">
      <c r="A319" t="s">
        <v>14</v>
      </c>
      <c r="B319" t="s">
        <v>29</v>
      </c>
      <c r="C319" t="s">
        <v>25</v>
      </c>
      <c r="D319" s="27">
        <v>278064000</v>
      </c>
      <c r="E319" s="3" t="s">
        <v>41</v>
      </c>
      <c r="F319" s="23">
        <v>278064000</v>
      </c>
      <c r="G319" s="3" t="s">
        <v>41</v>
      </c>
      <c r="I319" s="25" t="str">
        <f t="shared" si="47"/>
        <v/>
      </c>
      <c r="J319" s="25" t="str">
        <f t="shared" si="47"/>
        <v/>
      </c>
      <c r="L319" s="3"/>
      <c r="M319" s="3"/>
    </row>
    <row r="320" spans="1:13" x14ac:dyDescent="0.45">
      <c r="A320" t="s">
        <v>15</v>
      </c>
      <c r="B320" t="s">
        <v>29</v>
      </c>
      <c r="C320" t="s">
        <v>25</v>
      </c>
      <c r="D320" s="27">
        <v>117864000</v>
      </c>
      <c r="E320" s="3" t="s">
        <v>41</v>
      </c>
      <c r="F320" s="23">
        <v>117864000</v>
      </c>
      <c r="G320" s="3" t="s">
        <v>41</v>
      </c>
      <c r="I320" s="25" t="str">
        <f t="shared" si="47"/>
        <v/>
      </c>
      <c r="J320" s="25" t="str">
        <f t="shared" si="47"/>
        <v/>
      </c>
      <c r="L320" s="3"/>
      <c r="M320" s="3"/>
    </row>
    <row r="321" spans="1:13" x14ac:dyDescent="0.45">
      <c r="A321" t="s">
        <v>16</v>
      </c>
      <c r="B321" t="s">
        <v>29</v>
      </c>
      <c r="C321" t="s">
        <v>25</v>
      </c>
      <c r="D321" s="27">
        <v>58994000</v>
      </c>
      <c r="E321" s="3" t="s">
        <v>41</v>
      </c>
      <c r="F321" s="23">
        <v>58994000</v>
      </c>
      <c r="G321" s="3" t="s">
        <v>41</v>
      </c>
      <c r="I321" s="25" t="str">
        <f t="shared" si="47"/>
        <v/>
      </c>
      <c r="J321" s="25" t="str">
        <f t="shared" si="47"/>
        <v/>
      </c>
      <c r="L321" s="3"/>
      <c r="M321" s="3"/>
    </row>
    <row r="322" spans="1:13" x14ac:dyDescent="0.45">
      <c r="A322" t="s">
        <v>17</v>
      </c>
      <c r="B322" t="s">
        <v>29</v>
      </c>
      <c r="C322" t="s">
        <v>25</v>
      </c>
      <c r="D322" s="27">
        <v>125004000</v>
      </c>
      <c r="E322" s="3" t="s">
        <v>41</v>
      </c>
      <c r="F322" s="23">
        <v>125004000</v>
      </c>
      <c r="G322" s="3" t="s">
        <v>41</v>
      </c>
      <c r="I322" s="25" t="str">
        <f t="shared" si="47"/>
        <v/>
      </c>
      <c r="J322" s="25" t="str">
        <f t="shared" si="47"/>
        <v/>
      </c>
      <c r="L322" s="3"/>
      <c r="M322" s="3"/>
    </row>
    <row r="323" spans="1:13" x14ac:dyDescent="0.45">
      <c r="A323" t="s">
        <v>18</v>
      </c>
      <c r="B323" t="s">
        <v>29</v>
      </c>
      <c r="C323" t="s">
        <v>25</v>
      </c>
      <c r="D323" s="27">
        <v>53004000</v>
      </c>
      <c r="E323" s="3" t="s">
        <v>41</v>
      </c>
      <c r="F323" s="23">
        <v>53004000</v>
      </c>
      <c r="G323" s="3" t="s">
        <v>41</v>
      </c>
      <c r="I323" s="25" t="str">
        <f t="shared" si="47"/>
        <v/>
      </c>
      <c r="J323" s="25" t="str">
        <f t="shared" si="47"/>
        <v/>
      </c>
      <c r="L323" s="3"/>
      <c r="M323" s="3"/>
    </row>
    <row r="324" spans="1:13" x14ac:dyDescent="0.45">
      <c r="A324" t="s">
        <v>19</v>
      </c>
      <c r="B324" t="s">
        <v>29</v>
      </c>
      <c r="C324" t="s">
        <v>25</v>
      </c>
      <c r="D324" s="27">
        <v>83004000</v>
      </c>
      <c r="E324" s="3" t="s">
        <v>41</v>
      </c>
      <c r="F324" s="23">
        <v>83004000</v>
      </c>
      <c r="G324" s="3" t="s">
        <v>41</v>
      </c>
      <c r="I324" s="25" t="str">
        <f t="shared" si="47"/>
        <v/>
      </c>
      <c r="J324" s="25" t="str">
        <f t="shared" si="47"/>
        <v/>
      </c>
      <c r="L324" s="3"/>
      <c r="M324" s="3"/>
    </row>
    <row r="325" spans="1:13" x14ac:dyDescent="0.45">
      <c r="A325" t="s">
        <v>20</v>
      </c>
      <c r="B325" t="s">
        <v>29</v>
      </c>
      <c r="C325" t="s">
        <v>25</v>
      </c>
      <c r="D325" s="27">
        <v>75015000</v>
      </c>
      <c r="E325" s="3" t="s">
        <v>41</v>
      </c>
      <c r="F325" s="23">
        <v>75015000</v>
      </c>
      <c r="G325" s="3" t="s">
        <v>41</v>
      </c>
      <c r="I325" s="25" t="str">
        <f t="shared" si="47"/>
        <v/>
      </c>
      <c r="J325" s="25" t="str">
        <f t="shared" si="47"/>
        <v/>
      </c>
      <c r="L325" s="3"/>
      <c r="M325" s="3"/>
    </row>
    <row r="326" spans="1:13" x14ac:dyDescent="0.45">
      <c r="A326" t="s">
        <v>7</v>
      </c>
      <c r="B326" t="s">
        <v>29</v>
      </c>
      <c r="C326" t="s">
        <v>26</v>
      </c>
      <c r="D326" s="27">
        <v>188333000</v>
      </c>
      <c r="E326" s="3">
        <v>166384517</v>
      </c>
      <c r="F326" s="23">
        <v>188333000</v>
      </c>
      <c r="G326" s="3">
        <v>166384517</v>
      </c>
      <c r="I326" s="22">
        <f t="shared" ref="I326:J326" si="56">IF(L326="","",L326)</f>
        <v>166384517</v>
      </c>
      <c r="J326" s="22">
        <f t="shared" si="56"/>
        <v>166384517</v>
      </c>
      <c r="L326" s="3">
        <v>166384517</v>
      </c>
      <c r="M326" s="3">
        <v>166384517</v>
      </c>
    </row>
    <row r="327" spans="1:13" x14ac:dyDescent="0.45">
      <c r="A327" t="s">
        <v>10</v>
      </c>
      <c r="B327" t="s">
        <v>29</v>
      </c>
      <c r="C327" t="s">
        <v>26</v>
      </c>
      <c r="D327" s="28">
        <v>188333000</v>
      </c>
      <c r="E327" s="4">
        <v>158708365</v>
      </c>
      <c r="F327" s="24">
        <v>188333000</v>
      </c>
      <c r="G327" s="4">
        <v>158708365</v>
      </c>
      <c r="I327" s="25">
        <f t="shared" ref="I327:J327" si="57">IF(L327="","",L327-L326)</f>
        <v>158708365</v>
      </c>
      <c r="J327" s="25">
        <f t="shared" si="57"/>
        <v>158708365</v>
      </c>
      <c r="L327" s="4">
        <v>325092882</v>
      </c>
      <c r="M327" s="4">
        <v>325092882</v>
      </c>
    </row>
    <row r="328" spans="1:13" x14ac:dyDescent="0.45">
      <c r="A328" t="s">
        <v>11</v>
      </c>
      <c r="B328" t="s">
        <v>29</v>
      </c>
      <c r="C328" t="s">
        <v>26</v>
      </c>
      <c r="D328" s="27">
        <v>188333000</v>
      </c>
      <c r="E328" s="3">
        <v>0</v>
      </c>
      <c r="F328" s="23">
        <v>188333000</v>
      </c>
      <c r="G328" s="3">
        <v>0</v>
      </c>
      <c r="I328" s="25">
        <f t="shared" si="47"/>
        <v>0</v>
      </c>
      <c r="J328" s="25">
        <f t="shared" si="47"/>
        <v>0</v>
      </c>
      <c r="L328" s="29">
        <f>SUMIFS(Pivot_!C:C,Pivot_!A:A,'Hitung Per Bulan'!B328,Pivot_!B:B,'Hitung Per Bulan'!C328)</f>
        <v>325092882</v>
      </c>
      <c r="M328" s="29">
        <f>SUMIFS(Pivot_!D:D,Pivot_!A:A,'Hitung Per Bulan'!B328,Pivot_!B:B,'Hitung Per Bulan'!C328)</f>
        <v>325092882</v>
      </c>
    </row>
    <row r="329" spans="1:13" x14ac:dyDescent="0.45">
      <c r="A329" t="s">
        <v>12</v>
      </c>
      <c r="B329" t="s">
        <v>29</v>
      </c>
      <c r="C329" t="s">
        <v>26</v>
      </c>
      <c r="D329" s="27">
        <v>188333000</v>
      </c>
      <c r="E329" s="3" t="s">
        <v>41</v>
      </c>
      <c r="F329" s="23">
        <v>188333000</v>
      </c>
      <c r="G329" s="3" t="s">
        <v>41</v>
      </c>
      <c r="I329" s="25" t="str">
        <f t="shared" si="47"/>
        <v/>
      </c>
      <c r="J329" s="25" t="str">
        <f t="shared" si="47"/>
        <v/>
      </c>
      <c r="L329" s="3"/>
      <c r="M329" s="3"/>
    </row>
    <row r="330" spans="1:13" x14ac:dyDescent="0.45">
      <c r="A330" t="s">
        <v>13</v>
      </c>
      <c r="B330" t="s">
        <v>29</v>
      </c>
      <c r="C330" t="s">
        <v>26</v>
      </c>
      <c r="D330" s="27">
        <v>188333000</v>
      </c>
      <c r="E330" s="3" t="s">
        <v>41</v>
      </c>
      <c r="F330" s="23">
        <v>188333000</v>
      </c>
      <c r="G330" s="3" t="s">
        <v>41</v>
      </c>
      <c r="I330" s="25" t="str">
        <f t="shared" si="47"/>
        <v/>
      </c>
      <c r="J330" s="25" t="str">
        <f t="shared" si="47"/>
        <v/>
      </c>
      <c r="L330" s="3"/>
      <c r="M330" s="3"/>
    </row>
    <row r="331" spans="1:13" x14ac:dyDescent="0.45">
      <c r="A331" t="s">
        <v>14</v>
      </c>
      <c r="B331" t="s">
        <v>29</v>
      </c>
      <c r="C331" t="s">
        <v>26</v>
      </c>
      <c r="D331" s="27">
        <v>188333000</v>
      </c>
      <c r="E331" s="3" t="s">
        <v>41</v>
      </c>
      <c r="F331" s="23">
        <v>188333000</v>
      </c>
      <c r="G331" s="3" t="s">
        <v>41</v>
      </c>
      <c r="I331" s="25" t="str">
        <f t="shared" si="47"/>
        <v/>
      </c>
      <c r="J331" s="25" t="str">
        <f t="shared" si="47"/>
        <v/>
      </c>
      <c r="L331" s="3"/>
      <c r="M331" s="3"/>
    </row>
    <row r="332" spans="1:13" x14ac:dyDescent="0.45">
      <c r="A332" t="s">
        <v>15</v>
      </c>
      <c r="B332" t="s">
        <v>29</v>
      </c>
      <c r="C332" t="s">
        <v>26</v>
      </c>
      <c r="D332" s="27">
        <v>188333000</v>
      </c>
      <c r="E332" s="3" t="s">
        <v>41</v>
      </c>
      <c r="F332" s="23">
        <v>188333000</v>
      </c>
      <c r="G332" s="3" t="s">
        <v>41</v>
      </c>
      <c r="I332" s="25" t="str">
        <f t="shared" si="47"/>
        <v/>
      </c>
      <c r="J332" s="25" t="str">
        <f t="shared" si="47"/>
        <v/>
      </c>
      <c r="L332" s="3"/>
      <c r="M332" s="3"/>
    </row>
    <row r="333" spans="1:13" x14ac:dyDescent="0.45">
      <c r="A333" t="s">
        <v>16</v>
      </c>
      <c r="B333" t="s">
        <v>29</v>
      </c>
      <c r="C333" t="s">
        <v>26</v>
      </c>
      <c r="D333" s="27">
        <v>188333000</v>
      </c>
      <c r="E333" s="3" t="s">
        <v>41</v>
      </c>
      <c r="F333" s="23">
        <v>188333000</v>
      </c>
      <c r="G333" s="3" t="s">
        <v>41</v>
      </c>
      <c r="I333" s="25" t="str">
        <f t="shared" si="47"/>
        <v/>
      </c>
      <c r="J333" s="25" t="str">
        <f t="shared" si="47"/>
        <v/>
      </c>
      <c r="L333" s="3"/>
      <c r="M333" s="3"/>
    </row>
    <row r="334" spans="1:13" x14ac:dyDescent="0.45">
      <c r="A334" t="s">
        <v>17</v>
      </c>
      <c r="B334" t="s">
        <v>29</v>
      </c>
      <c r="C334" t="s">
        <v>26</v>
      </c>
      <c r="D334" s="27">
        <v>188333000</v>
      </c>
      <c r="E334" s="3" t="s">
        <v>41</v>
      </c>
      <c r="F334" s="23">
        <v>188333000</v>
      </c>
      <c r="G334" s="3" t="s">
        <v>41</v>
      </c>
      <c r="I334" s="25" t="str">
        <f t="shared" si="47"/>
        <v/>
      </c>
      <c r="J334" s="25" t="str">
        <f t="shared" si="47"/>
        <v/>
      </c>
      <c r="L334" s="3"/>
      <c r="M334" s="3"/>
    </row>
    <row r="335" spans="1:13" x14ac:dyDescent="0.45">
      <c r="A335" t="s">
        <v>18</v>
      </c>
      <c r="B335" t="s">
        <v>29</v>
      </c>
      <c r="C335" t="s">
        <v>26</v>
      </c>
      <c r="D335" s="27">
        <v>188333000</v>
      </c>
      <c r="E335" s="3" t="s">
        <v>41</v>
      </c>
      <c r="F335" s="23">
        <v>188333000</v>
      </c>
      <c r="G335" s="3" t="s">
        <v>41</v>
      </c>
      <c r="I335" s="25" t="str">
        <f t="shared" ref="I335:J397" si="58">IF(L335="","",L335-L334)</f>
        <v/>
      </c>
      <c r="J335" s="25" t="str">
        <f t="shared" si="58"/>
        <v/>
      </c>
      <c r="L335" s="3"/>
      <c r="M335" s="3"/>
    </row>
    <row r="336" spans="1:13" x14ac:dyDescent="0.45">
      <c r="A336" t="s">
        <v>19</v>
      </c>
      <c r="B336" t="s">
        <v>29</v>
      </c>
      <c r="C336" t="s">
        <v>26</v>
      </c>
      <c r="D336" s="27">
        <v>188333000</v>
      </c>
      <c r="E336" s="3" t="s">
        <v>41</v>
      </c>
      <c r="F336" s="23">
        <v>188333000</v>
      </c>
      <c r="G336" s="3" t="s">
        <v>41</v>
      </c>
      <c r="I336" s="25" t="str">
        <f t="shared" si="58"/>
        <v/>
      </c>
      <c r="J336" s="25" t="str">
        <f t="shared" si="58"/>
        <v/>
      </c>
      <c r="L336" s="3"/>
      <c r="M336" s="3"/>
    </row>
    <row r="337" spans="1:13" x14ac:dyDescent="0.45">
      <c r="A337" t="s">
        <v>20</v>
      </c>
      <c r="B337" t="s">
        <v>29</v>
      </c>
      <c r="C337" t="s">
        <v>26</v>
      </c>
      <c r="D337" s="27">
        <v>188337000</v>
      </c>
      <c r="E337" s="3" t="s">
        <v>41</v>
      </c>
      <c r="F337" s="23">
        <v>188337000</v>
      </c>
      <c r="G337" s="3" t="s">
        <v>41</v>
      </c>
      <c r="I337" s="25" t="str">
        <f t="shared" si="58"/>
        <v/>
      </c>
      <c r="J337" s="25" t="str">
        <f t="shared" si="58"/>
        <v/>
      </c>
      <c r="L337" s="3"/>
      <c r="M337" s="3"/>
    </row>
    <row r="338" spans="1:13" x14ac:dyDescent="0.45">
      <c r="A338" t="s">
        <v>7</v>
      </c>
      <c r="B338" t="s">
        <v>30</v>
      </c>
      <c r="C338" t="s">
        <v>9</v>
      </c>
      <c r="D338" s="27">
        <v>0</v>
      </c>
      <c r="E338" s="3">
        <v>620219118</v>
      </c>
      <c r="F338" s="23">
        <v>0</v>
      </c>
      <c r="G338" s="3">
        <v>0</v>
      </c>
      <c r="I338" s="22">
        <f t="shared" ref="I338:J338" si="59">IF(L338="","",L338)</f>
        <v>620219118</v>
      </c>
      <c r="J338" s="22">
        <f t="shared" si="59"/>
        <v>0</v>
      </c>
      <c r="L338" s="3">
        <v>620219118</v>
      </c>
      <c r="M338" s="3">
        <v>0</v>
      </c>
    </row>
    <row r="339" spans="1:13" x14ac:dyDescent="0.45">
      <c r="A339" t="s">
        <v>10</v>
      </c>
      <c r="B339" t="s">
        <v>30</v>
      </c>
      <c r="C339" t="s">
        <v>9</v>
      </c>
      <c r="D339" s="28">
        <v>0</v>
      </c>
      <c r="E339" s="4">
        <v>882186785</v>
      </c>
      <c r="F339" s="24">
        <v>0</v>
      </c>
      <c r="G339" s="4">
        <v>28044916</v>
      </c>
      <c r="I339" s="25">
        <f t="shared" ref="I339:J339" si="60">IF(L339="","",L339-L338)</f>
        <v>882186785</v>
      </c>
      <c r="J339" s="25">
        <f t="shared" si="60"/>
        <v>28044916</v>
      </c>
      <c r="L339" s="4">
        <v>1502405903</v>
      </c>
      <c r="M339" s="4">
        <v>28044916</v>
      </c>
    </row>
    <row r="340" spans="1:13" x14ac:dyDescent="0.45">
      <c r="A340" t="s">
        <v>11</v>
      </c>
      <c r="B340" t="s">
        <v>30</v>
      </c>
      <c r="C340" t="s">
        <v>9</v>
      </c>
      <c r="D340" s="27">
        <v>12183513000</v>
      </c>
      <c r="E340" s="3">
        <v>1210443297</v>
      </c>
      <c r="F340" s="23">
        <v>495000000</v>
      </c>
      <c r="G340" s="3">
        <v>59065000</v>
      </c>
      <c r="I340" s="25">
        <f t="shared" si="58"/>
        <v>5569494567</v>
      </c>
      <c r="J340" s="25">
        <f t="shared" si="58"/>
        <v>87172559</v>
      </c>
      <c r="L340" s="29">
        <f>SUMIFS(Pivot_!C:C,Pivot_!A:A,'Hitung Per Bulan'!B340,Pivot_!B:B,'Hitung Per Bulan'!C340)</f>
        <v>7071900470</v>
      </c>
      <c r="M340" s="29">
        <f>SUMIFS(Pivot_!D:D,Pivot_!A:A,'Hitung Per Bulan'!B340,Pivot_!B:B,'Hitung Per Bulan'!C340)</f>
        <v>115217475</v>
      </c>
    </row>
    <row r="341" spans="1:13" x14ac:dyDescent="0.45">
      <c r="A341" t="s">
        <v>12</v>
      </c>
      <c r="B341" t="s">
        <v>30</v>
      </c>
      <c r="C341" t="s">
        <v>9</v>
      </c>
      <c r="D341" s="27">
        <v>3290973000</v>
      </c>
      <c r="E341" s="3" t="s">
        <v>41</v>
      </c>
      <c r="F341" s="23">
        <v>335000000</v>
      </c>
      <c r="G341" s="3" t="s">
        <v>41</v>
      </c>
      <c r="I341" s="25" t="str">
        <f t="shared" si="58"/>
        <v/>
      </c>
      <c r="J341" s="25" t="str">
        <f t="shared" si="58"/>
        <v/>
      </c>
      <c r="L341" s="3"/>
      <c r="M341" s="3"/>
    </row>
    <row r="342" spans="1:13" x14ac:dyDescent="0.45">
      <c r="A342" t="s">
        <v>13</v>
      </c>
      <c r="B342" t="s">
        <v>30</v>
      </c>
      <c r="C342" t="s">
        <v>9</v>
      </c>
      <c r="D342" s="27">
        <v>4196830000</v>
      </c>
      <c r="E342" s="3" t="s">
        <v>41</v>
      </c>
      <c r="F342" s="23">
        <v>450000000</v>
      </c>
      <c r="G342" s="3" t="s">
        <v>41</v>
      </c>
      <c r="I342" s="25" t="str">
        <f t="shared" si="58"/>
        <v/>
      </c>
      <c r="J342" s="25" t="str">
        <f t="shared" si="58"/>
        <v/>
      </c>
      <c r="L342" s="3"/>
      <c r="M342" s="3"/>
    </row>
    <row r="343" spans="1:13" x14ac:dyDescent="0.45">
      <c r="A343" t="s">
        <v>14</v>
      </c>
      <c r="B343" t="s">
        <v>30</v>
      </c>
      <c r="C343" t="s">
        <v>9</v>
      </c>
      <c r="D343" s="27">
        <v>421169000</v>
      </c>
      <c r="E343" s="3" t="s">
        <v>41</v>
      </c>
      <c r="F343" s="23">
        <v>851266000</v>
      </c>
      <c r="G343" s="3" t="s">
        <v>41</v>
      </c>
      <c r="I343" s="25" t="str">
        <f t="shared" si="58"/>
        <v/>
      </c>
      <c r="J343" s="25" t="str">
        <f t="shared" si="58"/>
        <v/>
      </c>
      <c r="L343" s="3"/>
      <c r="M343" s="3"/>
    </row>
    <row r="344" spans="1:13" x14ac:dyDescent="0.45">
      <c r="A344" t="s">
        <v>15</v>
      </c>
      <c r="B344" t="s">
        <v>30</v>
      </c>
      <c r="C344" t="s">
        <v>9</v>
      </c>
      <c r="D344" s="27">
        <v>102990000</v>
      </c>
      <c r="E344" s="3" t="s">
        <v>41</v>
      </c>
      <c r="F344" s="23">
        <v>845041000</v>
      </c>
      <c r="G344" s="3" t="s">
        <v>41</v>
      </c>
      <c r="I344" s="25" t="str">
        <f t="shared" si="58"/>
        <v/>
      </c>
      <c r="J344" s="25" t="str">
        <f t="shared" si="58"/>
        <v/>
      </c>
      <c r="L344" s="3"/>
      <c r="M344" s="3"/>
    </row>
    <row r="345" spans="1:13" x14ac:dyDescent="0.45">
      <c r="A345" t="s">
        <v>16</v>
      </c>
      <c r="B345" t="s">
        <v>30</v>
      </c>
      <c r="C345" t="s">
        <v>9</v>
      </c>
      <c r="D345" s="27">
        <v>350000000</v>
      </c>
      <c r="E345" s="3" t="s">
        <v>41</v>
      </c>
      <c r="F345" s="23">
        <v>544675000</v>
      </c>
      <c r="G345" s="3" t="s">
        <v>41</v>
      </c>
      <c r="I345" s="25" t="str">
        <f t="shared" si="58"/>
        <v/>
      </c>
      <c r="J345" s="25" t="str">
        <f t="shared" si="58"/>
        <v/>
      </c>
      <c r="L345" s="3"/>
      <c r="M345" s="3"/>
    </row>
    <row r="346" spans="1:13" x14ac:dyDescent="0.45">
      <c r="A346" t="s">
        <v>17</v>
      </c>
      <c r="B346" t="s">
        <v>30</v>
      </c>
      <c r="C346" t="s">
        <v>9</v>
      </c>
      <c r="D346" s="27">
        <v>130000000</v>
      </c>
      <c r="E346" s="3" t="s">
        <v>41</v>
      </c>
      <c r="F346" s="23">
        <v>12919483000</v>
      </c>
      <c r="G346" s="3" t="s">
        <v>41</v>
      </c>
      <c r="I346" s="25" t="str">
        <f t="shared" si="58"/>
        <v/>
      </c>
      <c r="J346" s="25" t="str">
        <f t="shared" si="58"/>
        <v/>
      </c>
      <c r="L346" s="3"/>
      <c r="M346" s="3"/>
    </row>
    <row r="347" spans="1:13" x14ac:dyDescent="0.45">
      <c r="A347" t="s">
        <v>18</v>
      </c>
      <c r="B347" t="s">
        <v>30</v>
      </c>
      <c r="C347" t="s">
        <v>9</v>
      </c>
      <c r="D347" s="27">
        <v>0</v>
      </c>
      <c r="E347" s="3" t="s">
        <v>41</v>
      </c>
      <c r="F347" s="23">
        <v>2295330000</v>
      </c>
      <c r="G347" s="3" t="s">
        <v>41</v>
      </c>
      <c r="I347" s="25" t="str">
        <f t="shared" si="58"/>
        <v/>
      </c>
      <c r="J347" s="25" t="str">
        <f t="shared" si="58"/>
        <v/>
      </c>
      <c r="L347" s="3"/>
      <c r="M347" s="3"/>
    </row>
    <row r="348" spans="1:13" x14ac:dyDescent="0.45">
      <c r="A348" t="s">
        <v>19</v>
      </c>
      <c r="B348" t="s">
        <v>30</v>
      </c>
      <c r="C348" t="s">
        <v>9</v>
      </c>
      <c r="D348" s="27">
        <v>0</v>
      </c>
      <c r="E348" s="3" t="s">
        <v>41</v>
      </c>
      <c r="F348" s="23">
        <v>1939680000</v>
      </c>
      <c r="G348" s="3" t="s">
        <v>41</v>
      </c>
      <c r="I348" s="25" t="str">
        <f t="shared" si="58"/>
        <v/>
      </c>
      <c r="J348" s="25" t="str">
        <f t="shared" si="58"/>
        <v/>
      </c>
      <c r="L348" s="3"/>
      <c r="M348" s="3"/>
    </row>
    <row r="349" spans="1:13" x14ac:dyDescent="0.45">
      <c r="A349" t="s">
        <v>20</v>
      </c>
      <c r="B349" t="s">
        <v>30</v>
      </c>
      <c r="C349" t="s">
        <v>9</v>
      </c>
      <c r="D349" s="27">
        <v>130000000</v>
      </c>
      <c r="E349" s="3" t="s">
        <v>41</v>
      </c>
      <c r="F349" s="23">
        <v>130000000</v>
      </c>
      <c r="G349" s="3" t="s">
        <v>41</v>
      </c>
      <c r="I349" s="25" t="str">
        <f t="shared" si="58"/>
        <v/>
      </c>
      <c r="J349" s="25" t="str">
        <f t="shared" si="58"/>
        <v/>
      </c>
      <c r="L349" s="3"/>
      <c r="M349" s="3"/>
    </row>
    <row r="350" spans="1:13" x14ac:dyDescent="0.45">
      <c r="A350" t="s">
        <v>7</v>
      </c>
      <c r="B350" t="s">
        <v>30</v>
      </c>
      <c r="C350" t="s">
        <v>21</v>
      </c>
      <c r="D350" s="27">
        <v>0</v>
      </c>
      <c r="E350" s="3">
        <v>0</v>
      </c>
      <c r="F350" s="23">
        <v>0</v>
      </c>
      <c r="G350" s="3">
        <v>0</v>
      </c>
      <c r="I350" s="22">
        <f t="shared" ref="I350:J350" si="61">IF(L350="","",L350)</f>
        <v>0</v>
      </c>
      <c r="J350" s="22">
        <f t="shared" si="61"/>
        <v>0</v>
      </c>
      <c r="L350" s="3">
        <v>0</v>
      </c>
      <c r="M350" s="3">
        <v>0</v>
      </c>
    </row>
    <row r="351" spans="1:13" x14ac:dyDescent="0.45">
      <c r="A351" t="s">
        <v>10</v>
      </c>
      <c r="B351" t="s">
        <v>30</v>
      </c>
      <c r="C351" t="s">
        <v>21</v>
      </c>
      <c r="D351" s="28">
        <v>0</v>
      </c>
      <c r="E351" s="4">
        <v>28227453</v>
      </c>
      <c r="F351" s="24">
        <v>0</v>
      </c>
      <c r="G351" s="4">
        <v>0</v>
      </c>
      <c r="I351" s="25">
        <f t="shared" ref="I351:J351" si="62">IF(L351="","",L351-L350)</f>
        <v>28227453</v>
      </c>
      <c r="J351" s="25">
        <f t="shared" si="62"/>
        <v>0</v>
      </c>
      <c r="L351" s="4">
        <v>28227453</v>
      </c>
      <c r="M351" s="4">
        <v>0</v>
      </c>
    </row>
    <row r="352" spans="1:13" x14ac:dyDescent="0.45">
      <c r="A352" t="s">
        <v>11</v>
      </c>
      <c r="B352" t="s">
        <v>30</v>
      </c>
      <c r="C352" t="s">
        <v>21</v>
      </c>
      <c r="D352" s="27">
        <v>0</v>
      </c>
      <c r="E352" s="3">
        <v>18630185</v>
      </c>
      <c r="F352" s="23">
        <v>0</v>
      </c>
      <c r="G352" s="3">
        <v>8775138</v>
      </c>
      <c r="I352" s="25">
        <f t="shared" si="58"/>
        <v>18630185</v>
      </c>
      <c r="J352" s="25">
        <f t="shared" si="58"/>
        <v>8775138</v>
      </c>
      <c r="L352" s="29">
        <f>SUMIFS(Pivot_!C:C,Pivot_!A:A,'Hitung Per Bulan'!B352,Pivot_!B:B,'Hitung Per Bulan'!C352)</f>
        <v>46857638</v>
      </c>
      <c r="M352" s="29">
        <f>SUMIFS(Pivot_!D:D,Pivot_!A:A,'Hitung Per Bulan'!B352,Pivot_!B:B,'Hitung Per Bulan'!C352)</f>
        <v>8775138</v>
      </c>
    </row>
    <row r="353" spans="1:13" x14ac:dyDescent="0.45">
      <c r="A353" t="s">
        <v>12</v>
      </c>
      <c r="B353" t="s">
        <v>30</v>
      </c>
      <c r="C353" t="s">
        <v>21</v>
      </c>
      <c r="D353" s="27">
        <v>128898000</v>
      </c>
      <c r="E353" s="3" t="s">
        <v>41</v>
      </c>
      <c r="F353" s="23">
        <v>128898000</v>
      </c>
      <c r="G353" s="3" t="s">
        <v>41</v>
      </c>
      <c r="I353" s="25" t="str">
        <f t="shared" si="58"/>
        <v/>
      </c>
      <c r="J353" s="25" t="str">
        <f t="shared" si="58"/>
        <v/>
      </c>
      <c r="L353" s="3"/>
      <c r="M353" s="3"/>
    </row>
    <row r="354" spans="1:13" x14ac:dyDescent="0.45">
      <c r="A354" t="s">
        <v>13</v>
      </c>
      <c r="B354" t="s">
        <v>30</v>
      </c>
      <c r="C354" t="s">
        <v>21</v>
      </c>
      <c r="D354" s="27">
        <v>532377000</v>
      </c>
      <c r="E354" s="3" t="s">
        <v>41</v>
      </c>
      <c r="F354" s="23">
        <v>50000000</v>
      </c>
      <c r="G354" s="3" t="s">
        <v>41</v>
      </c>
      <c r="I354" s="25" t="str">
        <f t="shared" si="58"/>
        <v/>
      </c>
      <c r="J354" s="25" t="str">
        <f t="shared" si="58"/>
        <v/>
      </c>
      <c r="L354" s="3"/>
      <c r="M354" s="3"/>
    </row>
    <row r="355" spans="1:13" x14ac:dyDescent="0.45">
      <c r="A355" t="s">
        <v>14</v>
      </c>
      <c r="B355" t="s">
        <v>30</v>
      </c>
      <c r="C355" t="s">
        <v>21</v>
      </c>
      <c r="D355" s="27">
        <v>435565000</v>
      </c>
      <c r="E355" s="3" t="s">
        <v>41</v>
      </c>
      <c r="F355" s="23">
        <v>50000000</v>
      </c>
      <c r="G355" s="3" t="s">
        <v>41</v>
      </c>
      <c r="I355" s="25" t="str">
        <f t="shared" si="58"/>
        <v/>
      </c>
      <c r="J355" s="25" t="str">
        <f t="shared" si="58"/>
        <v/>
      </c>
      <c r="L355" s="3"/>
      <c r="M355" s="3"/>
    </row>
    <row r="356" spans="1:13" x14ac:dyDescent="0.45">
      <c r="A356" t="s">
        <v>15</v>
      </c>
      <c r="B356" t="s">
        <v>30</v>
      </c>
      <c r="C356" t="s">
        <v>21</v>
      </c>
      <c r="D356" s="27">
        <v>50000000</v>
      </c>
      <c r="E356" s="3" t="s">
        <v>41</v>
      </c>
      <c r="F356" s="23">
        <v>50000000</v>
      </c>
      <c r="G356" s="3" t="s">
        <v>41</v>
      </c>
      <c r="I356" s="25" t="str">
        <f t="shared" si="58"/>
        <v/>
      </c>
      <c r="J356" s="25" t="str">
        <f t="shared" si="58"/>
        <v/>
      </c>
      <c r="L356" s="3"/>
      <c r="M356" s="3"/>
    </row>
    <row r="357" spans="1:13" x14ac:dyDescent="0.45">
      <c r="A357" t="s">
        <v>16</v>
      </c>
      <c r="B357" t="s">
        <v>30</v>
      </c>
      <c r="C357" t="s">
        <v>21</v>
      </c>
      <c r="D357" s="27">
        <v>50000000</v>
      </c>
      <c r="E357" s="3" t="s">
        <v>41</v>
      </c>
      <c r="F357" s="23">
        <v>532377000</v>
      </c>
      <c r="G357" s="3" t="s">
        <v>41</v>
      </c>
      <c r="I357" s="25" t="str">
        <f t="shared" si="58"/>
        <v/>
      </c>
      <c r="J357" s="25" t="str">
        <f t="shared" si="58"/>
        <v/>
      </c>
      <c r="L357" s="3"/>
      <c r="M357" s="3"/>
    </row>
    <row r="358" spans="1:13" x14ac:dyDescent="0.45">
      <c r="A358" t="s">
        <v>17</v>
      </c>
      <c r="B358" t="s">
        <v>30</v>
      </c>
      <c r="C358" t="s">
        <v>21</v>
      </c>
      <c r="D358" s="27">
        <v>50000000</v>
      </c>
      <c r="E358" s="3" t="s">
        <v>41</v>
      </c>
      <c r="F358" s="23">
        <v>435565000</v>
      </c>
      <c r="G358" s="3" t="s">
        <v>41</v>
      </c>
      <c r="I358" s="25" t="str">
        <f t="shared" si="58"/>
        <v/>
      </c>
      <c r="J358" s="25" t="str">
        <f t="shared" si="58"/>
        <v/>
      </c>
      <c r="L358" s="3"/>
      <c r="M358" s="3"/>
    </row>
    <row r="359" spans="1:13" x14ac:dyDescent="0.45">
      <c r="A359" t="s">
        <v>18</v>
      </c>
      <c r="B359" t="s">
        <v>30</v>
      </c>
      <c r="C359" t="s">
        <v>21</v>
      </c>
      <c r="D359" s="27">
        <v>100000000</v>
      </c>
      <c r="E359" s="3" t="s">
        <v>41</v>
      </c>
      <c r="F359" s="23">
        <v>100000000</v>
      </c>
      <c r="G359" s="3" t="s">
        <v>41</v>
      </c>
      <c r="I359" s="25" t="str">
        <f t="shared" si="58"/>
        <v/>
      </c>
      <c r="J359" s="25" t="str">
        <f t="shared" si="58"/>
        <v/>
      </c>
      <c r="L359" s="3"/>
      <c r="M359" s="3"/>
    </row>
    <row r="360" spans="1:13" x14ac:dyDescent="0.45">
      <c r="A360" t="s">
        <v>19</v>
      </c>
      <c r="B360" t="s">
        <v>30</v>
      </c>
      <c r="C360" t="s">
        <v>21</v>
      </c>
      <c r="D360" s="27">
        <v>100000000</v>
      </c>
      <c r="E360" s="3" t="s">
        <v>41</v>
      </c>
      <c r="F360" s="23">
        <v>100000000</v>
      </c>
      <c r="G360" s="3" t="s">
        <v>41</v>
      </c>
      <c r="I360" s="25" t="str">
        <f t="shared" si="58"/>
        <v/>
      </c>
      <c r="J360" s="25" t="str">
        <f t="shared" si="58"/>
        <v/>
      </c>
      <c r="L360" s="3"/>
      <c r="M360" s="3"/>
    </row>
    <row r="361" spans="1:13" x14ac:dyDescent="0.45">
      <c r="A361" t="s">
        <v>20</v>
      </c>
      <c r="B361" t="s">
        <v>30</v>
      </c>
      <c r="C361" t="s">
        <v>21</v>
      </c>
      <c r="D361" s="27">
        <v>0</v>
      </c>
      <c r="E361" s="3" t="s">
        <v>41</v>
      </c>
      <c r="F361" s="23">
        <v>0</v>
      </c>
      <c r="G361" s="3" t="s">
        <v>41</v>
      </c>
      <c r="I361" s="25" t="str">
        <f t="shared" si="58"/>
        <v/>
      </c>
      <c r="J361" s="25" t="str">
        <f t="shared" si="58"/>
        <v/>
      </c>
      <c r="L361" s="3"/>
      <c r="M361" s="3"/>
    </row>
    <row r="362" spans="1:13" x14ac:dyDescent="0.45">
      <c r="A362" t="s">
        <v>7</v>
      </c>
      <c r="B362" t="s">
        <v>30</v>
      </c>
      <c r="C362" t="s">
        <v>22</v>
      </c>
      <c r="D362" s="27">
        <v>0</v>
      </c>
      <c r="E362" s="3">
        <v>0</v>
      </c>
      <c r="F362" s="23">
        <v>0</v>
      </c>
      <c r="G362" s="3">
        <v>0</v>
      </c>
      <c r="I362" s="22">
        <f t="shared" ref="I362:J362" si="63">IF(L362="","",L362)</f>
        <v>0</v>
      </c>
      <c r="J362" s="22">
        <f t="shared" si="63"/>
        <v>0</v>
      </c>
      <c r="L362" s="3">
        <v>0</v>
      </c>
      <c r="M362" s="3">
        <v>0</v>
      </c>
    </row>
    <row r="363" spans="1:13" x14ac:dyDescent="0.45">
      <c r="A363" t="s">
        <v>10</v>
      </c>
      <c r="B363" t="s">
        <v>30</v>
      </c>
      <c r="C363" t="s">
        <v>22</v>
      </c>
      <c r="D363" s="28">
        <v>30030000</v>
      </c>
      <c r="E363" s="4">
        <v>11205000</v>
      </c>
      <c r="F363" s="24">
        <v>30030000</v>
      </c>
      <c r="G363" s="4">
        <v>0</v>
      </c>
      <c r="I363" s="25">
        <f t="shared" ref="I363:J363" si="64">IF(L363="","",L363-L362)</f>
        <v>11205000</v>
      </c>
      <c r="J363" s="25">
        <f t="shared" si="64"/>
        <v>0</v>
      </c>
      <c r="L363" s="4">
        <v>11205000</v>
      </c>
      <c r="M363" s="4">
        <v>0</v>
      </c>
    </row>
    <row r="364" spans="1:13" x14ac:dyDescent="0.45">
      <c r="A364" t="s">
        <v>11</v>
      </c>
      <c r="B364" t="s">
        <v>30</v>
      </c>
      <c r="C364" t="s">
        <v>22</v>
      </c>
      <c r="D364" s="27">
        <v>0</v>
      </c>
      <c r="E364" s="3">
        <v>0</v>
      </c>
      <c r="F364" s="23">
        <v>0</v>
      </c>
      <c r="G364" s="3">
        <v>0</v>
      </c>
      <c r="I364" s="25">
        <f t="shared" si="58"/>
        <v>0</v>
      </c>
      <c r="J364" s="25">
        <f t="shared" si="58"/>
        <v>0</v>
      </c>
      <c r="L364" s="29">
        <f>SUMIFS(Pivot_!C:C,Pivot_!A:A,'Hitung Per Bulan'!B364,Pivot_!B:B,'Hitung Per Bulan'!C364)</f>
        <v>11205000</v>
      </c>
      <c r="M364" s="29">
        <f>SUMIFS(Pivot_!D:D,Pivot_!A:A,'Hitung Per Bulan'!B364,Pivot_!B:B,'Hitung Per Bulan'!C364)</f>
        <v>0</v>
      </c>
    </row>
    <row r="365" spans="1:13" x14ac:dyDescent="0.45">
      <c r="A365" t="s">
        <v>12</v>
      </c>
      <c r="B365" t="s">
        <v>30</v>
      </c>
      <c r="C365" t="s">
        <v>22</v>
      </c>
      <c r="D365" s="27">
        <v>0</v>
      </c>
      <c r="E365" s="3" t="s">
        <v>41</v>
      </c>
      <c r="F365" s="23">
        <v>0</v>
      </c>
      <c r="G365" s="3" t="s">
        <v>41</v>
      </c>
      <c r="I365" s="25" t="str">
        <f t="shared" si="58"/>
        <v/>
      </c>
      <c r="J365" s="25" t="str">
        <f t="shared" si="58"/>
        <v/>
      </c>
      <c r="L365" s="3"/>
      <c r="M365" s="3"/>
    </row>
    <row r="366" spans="1:13" x14ac:dyDescent="0.45">
      <c r="A366" t="s">
        <v>13</v>
      </c>
      <c r="B366" t="s">
        <v>30</v>
      </c>
      <c r="C366" t="s">
        <v>22</v>
      </c>
      <c r="D366" s="27">
        <v>0</v>
      </c>
      <c r="E366" s="3" t="s">
        <v>41</v>
      </c>
      <c r="F366" s="23">
        <v>0</v>
      </c>
      <c r="G366" s="3" t="s">
        <v>41</v>
      </c>
      <c r="I366" s="25" t="str">
        <f t="shared" si="58"/>
        <v/>
      </c>
      <c r="J366" s="25" t="str">
        <f t="shared" si="58"/>
        <v/>
      </c>
      <c r="L366" s="3"/>
      <c r="M366" s="3"/>
    </row>
    <row r="367" spans="1:13" x14ac:dyDescent="0.45">
      <c r="A367" t="s">
        <v>14</v>
      </c>
      <c r="B367" t="s">
        <v>30</v>
      </c>
      <c r="C367" t="s">
        <v>22</v>
      </c>
      <c r="D367" s="27">
        <v>30030000</v>
      </c>
      <c r="E367" s="3" t="s">
        <v>41</v>
      </c>
      <c r="F367" s="23">
        <v>30030000</v>
      </c>
      <c r="G367" s="3" t="s">
        <v>41</v>
      </c>
      <c r="I367" s="25" t="str">
        <f t="shared" si="58"/>
        <v/>
      </c>
      <c r="J367" s="25" t="str">
        <f t="shared" si="58"/>
        <v/>
      </c>
      <c r="L367" s="3"/>
      <c r="M367" s="3"/>
    </row>
    <row r="368" spans="1:13" x14ac:dyDescent="0.45">
      <c r="A368" t="s">
        <v>15</v>
      </c>
      <c r="B368" t="s">
        <v>30</v>
      </c>
      <c r="C368" t="s">
        <v>22</v>
      </c>
      <c r="D368" s="27">
        <v>0</v>
      </c>
      <c r="E368" s="3" t="s">
        <v>41</v>
      </c>
      <c r="F368" s="23">
        <v>0</v>
      </c>
      <c r="G368" s="3" t="s">
        <v>41</v>
      </c>
      <c r="I368" s="25" t="str">
        <f t="shared" si="58"/>
        <v/>
      </c>
      <c r="J368" s="25" t="str">
        <f t="shared" si="58"/>
        <v/>
      </c>
      <c r="L368" s="3"/>
      <c r="M368" s="3"/>
    </row>
    <row r="369" spans="1:13" x14ac:dyDescent="0.45">
      <c r="A369" t="s">
        <v>16</v>
      </c>
      <c r="B369" t="s">
        <v>30</v>
      </c>
      <c r="C369" t="s">
        <v>22</v>
      </c>
      <c r="D369" s="27">
        <v>0</v>
      </c>
      <c r="E369" s="3" t="s">
        <v>41</v>
      </c>
      <c r="F369" s="23">
        <v>0</v>
      </c>
      <c r="G369" s="3" t="s">
        <v>41</v>
      </c>
      <c r="I369" s="25" t="str">
        <f t="shared" si="58"/>
        <v/>
      </c>
      <c r="J369" s="25" t="str">
        <f t="shared" si="58"/>
        <v/>
      </c>
      <c r="L369" s="3"/>
      <c r="M369" s="3"/>
    </row>
    <row r="370" spans="1:13" x14ac:dyDescent="0.45">
      <c r="A370" t="s">
        <v>17</v>
      </c>
      <c r="B370" t="s">
        <v>30</v>
      </c>
      <c r="C370" t="s">
        <v>22</v>
      </c>
      <c r="D370" s="27">
        <v>0</v>
      </c>
      <c r="E370" s="3" t="s">
        <v>41</v>
      </c>
      <c r="F370" s="23">
        <v>0</v>
      </c>
      <c r="G370" s="3" t="s">
        <v>41</v>
      </c>
      <c r="I370" s="25" t="str">
        <f t="shared" si="58"/>
        <v/>
      </c>
      <c r="J370" s="25" t="str">
        <f t="shared" si="58"/>
        <v/>
      </c>
      <c r="L370" s="3"/>
      <c r="M370" s="3"/>
    </row>
    <row r="371" spans="1:13" x14ac:dyDescent="0.45">
      <c r="A371" t="s">
        <v>18</v>
      </c>
      <c r="B371" t="s">
        <v>30</v>
      </c>
      <c r="C371" t="s">
        <v>22</v>
      </c>
      <c r="D371" s="27">
        <v>0</v>
      </c>
      <c r="E371" s="3" t="s">
        <v>41</v>
      </c>
      <c r="F371" s="23">
        <v>0</v>
      </c>
      <c r="G371" s="3" t="s">
        <v>41</v>
      </c>
      <c r="I371" s="25" t="str">
        <f t="shared" si="58"/>
        <v/>
      </c>
      <c r="J371" s="25" t="str">
        <f t="shared" si="58"/>
        <v/>
      </c>
      <c r="L371" s="3"/>
      <c r="M371" s="3"/>
    </row>
    <row r="372" spans="1:13" x14ac:dyDescent="0.45">
      <c r="A372" t="s">
        <v>19</v>
      </c>
      <c r="B372" t="s">
        <v>30</v>
      </c>
      <c r="C372" t="s">
        <v>22</v>
      </c>
      <c r="D372" s="27">
        <v>30030000</v>
      </c>
      <c r="E372" s="3" t="s">
        <v>41</v>
      </c>
      <c r="F372" s="23">
        <v>30030000</v>
      </c>
      <c r="G372" s="3" t="s">
        <v>41</v>
      </c>
      <c r="I372" s="25" t="str">
        <f t="shared" si="58"/>
        <v/>
      </c>
      <c r="J372" s="25" t="str">
        <f t="shared" si="58"/>
        <v/>
      </c>
      <c r="L372" s="3"/>
      <c r="M372" s="3"/>
    </row>
    <row r="373" spans="1:13" x14ac:dyDescent="0.45">
      <c r="A373" t="s">
        <v>20</v>
      </c>
      <c r="B373" t="s">
        <v>30</v>
      </c>
      <c r="C373" t="s">
        <v>22</v>
      </c>
      <c r="D373" s="27">
        <v>0</v>
      </c>
      <c r="E373" s="3" t="s">
        <v>41</v>
      </c>
      <c r="F373" s="23">
        <v>0</v>
      </c>
      <c r="G373" s="3" t="s">
        <v>41</v>
      </c>
      <c r="I373" s="25" t="str">
        <f t="shared" si="58"/>
        <v/>
      </c>
      <c r="J373" s="25" t="str">
        <f t="shared" si="58"/>
        <v/>
      </c>
      <c r="L373" s="3"/>
      <c r="M373" s="3"/>
    </row>
    <row r="374" spans="1:13" x14ac:dyDescent="0.45">
      <c r="A374" t="s">
        <v>7</v>
      </c>
      <c r="B374" t="s">
        <v>30</v>
      </c>
      <c r="C374" t="s">
        <v>23</v>
      </c>
      <c r="D374" s="27">
        <v>0</v>
      </c>
      <c r="E374" s="3">
        <v>0</v>
      </c>
      <c r="F374" s="23">
        <v>0</v>
      </c>
      <c r="G374" s="3">
        <v>0</v>
      </c>
      <c r="I374" s="22">
        <f t="shared" ref="I374:J374" si="65">IF(L374="","",L374)</f>
        <v>0</v>
      </c>
      <c r="J374" s="22">
        <f t="shared" si="65"/>
        <v>0</v>
      </c>
      <c r="L374" s="3">
        <v>0</v>
      </c>
      <c r="M374" s="3">
        <v>0</v>
      </c>
    </row>
    <row r="375" spans="1:13" x14ac:dyDescent="0.45">
      <c r="A375" t="s">
        <v>10</v>
      </c>
      <c r="B375" t="s">
        <v>30</v>
      </c>
      <c r="C375" t="s">
        <v>23</v>
      </c>
      <c r="D375" s="28">
        <v>0</v>
      </c>
      <c r="E375" s="4">
        <v>0</v>
      </c>
      <c r="F375" s="24">
        <v>0</v>
      </c>
      <c r="G375" s="4">
        <v>0</v>
      </c>
      <c r="I375" s="25">
        <f t="shared" ref="I375:J375" si="66">IF(L375="","",L375-L374)</f>
        <v>0</v>
      </c>
      <c r="J375" s="25">
        <f t="shared" si="66"/>
        <v>0</v>
      </c>
      <c r="L375" s="4">
        <v>0</v>
      </c>
      <c r="M375" s="4">
        <v>0</v>
      </c>
    </row>
    <row r="376" spans="1:13" x14ac:dyDescent="0.45">
      <c r="A376" t="s">
        <v>11</v>
      </c>
      <c r="B376" t="s">
        <v>30</v>
      </c>
      <c r="C376" t="s">
        <v>23</v>
      </c>
      <c r="D376" s="27">
        <v>0</v>
      </c>
      <c r="E376" s="3">
        <v>0</v>
      </c>
      <c r="F376" s="23">
        <v>0</v>
      </c>
      <c r="G376" s="3">
        <v>0</v>
      </c>
      <c r="I376" s="25">
        <f t="shared" si="58"/>
        <v>0</v>
      </c>
      <c r="J376" s="25">
        <f t="shared" si="58"/>
        <v>0</v>
      </c>
      <c r="L376" s="29">
        <f>SUMIFS(Pivot_!C:C,Pivot_!A:A,'Hitung Per Bulan'!B376,Pivot_!B:B,'Hitung Per Bulan'!C376)</f>
        <v>0</v>
      </c>
      <c r="M376" s="29">
        <f>SUMIFS(Pivot_!D:D,Pivot_!A:A,'Hitung Per Bulan'!B376,Pivot_!B:B,'Hitung Per Bulan'!C376)</f>
        <v>0</v>
      </c>
    </row>
    <row r="377" spans="1:13" x14ac:dyDescent="0.45">
      <c r="A377" t="s">
        <v>12</v>
      </c>
      <c r="B377" t="s">
        <v>30</v>
      </c>
      <c r="C377" t="s">
        <v>23</v>
      </c>
      <c r="D377" s="27">
        <v>0</v>
      </c>
      <c r="E377" s="3" t="s">
        <v>41</v>
      </c>
      <c r="F377" s="23">
        <v>0</v>
      </c>
      <c r="G377" s="3" t="s">
        <v>41</v>
      </c>
      <c r="I377" s="25" t="str">
        <f t="shared" si="58"/>
        <v/>
      </c>
      <c r="J377" s="25" t="str">
        <f t="shared" si="58"/>
        <v/>
      </c>
      <c r="L377" s="3"/>
      <c r="M377" s="3"/>
    </row>
    <row r="378" spans="1:13" x14ac:dyDescent="0.45">
      <c r="A378" t="s">
        <v>13</v>
      </c>
      <c r="B378" t="s">
        <v>30</v>
      </c>
      <c r="C378" t="s">
        <v>23</v>
      </c>
      <c r="D378" s="27">
        <v>60000000</v>
      </c>
      <c r="E378" s="3" t="s">
        <v>41</v>
      </c>
      <c r="F378" s="23">
        <v>60000000</v>
      </c>
      <c r="G378" s="3" t="s">
        <v>41</v>
      </c>
      <c r="I378" s="25" t="str">
        <f t="shared" si="58"/>
        <v/>
      </c>
      <c r="J378" s="25" t="str">
        <f t="shared" si="58"/>
        <v/>
      </c>
      <c r="L378" s="3"/>
      <c r="M378" s="3"/>
    </row>
    <row r="379" spans="1:13" x14ac:dyDescent="0.45">
      <c r="A379" t="s">
        <v>14</v>
      </c>
      <c r="B379" t="s">
        <v>30</v>
      </c>
      <c r="C379" t="s">
        <v>23</v>
      </c>
      <c r="D379" s="27">
        <v>30000000</v>
      </c>
      <c r="E379" s="3" t="s">
        <v>41</v>
      </c>
      <c r="F379" s="23">
        <v>30000000</v>
      </c>
      <c r="G379" s="3" t="s">
        <v>41</v>
      </c>
      <c r="I379" s="25" t="str">
        <f t="shared" si="58"/>
        <v/>
      </c>
      <c r="J379" s="25" t="str">
        <f t="shared" si="58"/>
        <v/>
      </c>
      <c r="L379" s="3"/>
      <c r="M379" s="3"/>
    </row>
    <row r="380" spans="1:13" x14ac:dyDescent="0.45">
      <c r="A380" t="s">
        <v>15</v>
      </c>
      <c r="B380" t="s">
        <v>30</v>
      </c>
      <c r="C380" t="s">
        <v>23</v>
      </c>
      <c r="D380" s="27">
        <v>160000000</v>
      </c>
      <c r="E380" s="3" t="s">
        <v>41</v>
      </c>
      <c r="F380" s="23">
        <v>0</v>
      </c>
      <c r="G380" s="3" t="s">
        <v>41</v>
      </c>
      <c r="I380" s="25" t="str">
        <f t="shared" si="58"/>
        <v/>
      </c>
      <c r="J380" s="25" t="str">
        <f t="shared" si="58"/>
        <v/>
      </c>
      <c r="L380" s="3"/>
      <c r="M380" s="3"/>
    </row>
    <row r="381" spans="1:13" x14ac:dyDescent="0.45">
      <c r="A381" t="s">
        <v>16</v>
      </c>
      <c r="B381" t="s">
        <v>30</v>
      </c>
      <c r="C381" t="s">
        <v>23</v>
      </c>
      <c r="D381" s="27">
        <v>0</v>
      </c>
      <c r="E381" s="3" t="s">
        <v>41</v>
      </c>
      <c r="F381" s="23">
        <v>0</v>
      </c>
      <c r="G381" s="3" t="s">
        <v>41</v>
      </c>
      <c r="I381" s="25" t="str">
        <f t="shared" si="58"/>
        <v/>
      </c>
      <c r="J381" s="25" t="str">
        <f t="shared" si="58"/>
        <v/>
      </c>
      <c r="L381" s="3"/>
      <c r="M381" s="3"/>
    </row>
    <row r="382" spans="1:13" x14ac:dyDescent="0.45">
      <c r="A382" t="s">
        <v>17</v>
      </c>
      <c r="B382" t="s">
        <v>30</v>
      </c>
      <c r="C382" t="s">
        <v>23</v>
      </c>
      <c r="D382" s="27">
        <v>0</v>
      </c>
      <c r="E382" s="3" t="s">
        <v>41</v>
      </c>
      <c r="F382" s="23">
        <v>0</v>
      </c>
      <c r="G382" s="3" t="s">
        <v>41</v>
      </c>
      <c r="I382" s="25" t="str">
        <f t="shared" si="58"/>
        <v/>
      </c>
      <c r="J382" s="25" t="str">
        <f t="shared" si="58"/>
        <v/>
      </c>
      <c r="L382" s="3"/>
      <c r="M382" s="3"/>
    </row>
    <row r="383" spans="1:13" x14ac:dyDescent="0.45">
      <c r="A383" t="s">
        <v>18</v>
      </c>
      <c r="B383" t="s">
        <v>30</v>
      </c>
      <c r="C383" t="s">
        <v>23</v>
      </c>
      <c r="D383" s="27">
        <v>0</v>
      </c>
      <c r="E383" s="3" t="s">
        <v>41</v>
      </c>
      <c r="F383" s="23">
        <v>160000000</v>
      </c>
      <c r="G383" s="3" t="s">
        <v>41</v>
      </c>
      <c r="I383" s="25" t="str">
        <f t="shared" si="58"/>
        <v/>
      </c>
      <c r="J383" s="25" t="str">
        <f t="shared" si="58"/>
        <v/>
      </c>
      <c r="L383" s="3"/>
      <c r="M383" s="3"/>
    </row>
    <row r="384" spans="1:13" x14ac:dyDescent="0.45">
      <c r="A384" t="s">
        <v>19</v>
      </c>
      <c r="B384" t="s">
        <v>30</v>
      </c>
      <c r="C384" t="s">
        <v>23</v>
      </c>
      <c r="D384" s="27">
        <v>0</v>
      </c>
      <c r="E384" s="3" t="s">
        <v>41</v>
      </c>
      <c r="F384" s="23">
        <v>0</v>
      </c>
      <c r="G384" s="3" t="s">
        <v>41</v>
      </c>
      <c r="I384" s="25" t="str">
        <f t="shared" si="58"/>
        <v/>
      </c>
      <c r="J384" s="25" t="str">
        <f t="shared" si="58"/>
        <v/>
      </c>
      <c r="L384" s="3"/>
      <c r="M384" s="3"/>
    </row>
    <row r="385" spans="1:13" x14ac:dyDescent="0.45">
      <c r="A385" t="s">
        <v>20</v>
      </c>
      <c r="B385" t="s">
        <v>30</v>
      </c>
      <c r="C385" t="s">
        <v>23</v>
      </c>
      <c r="D385" s="27">
        <v>0</v>
      </c>
      <c r="E385" s="3" t="s">
        <v>41</v>
      </c>
      <c r="F385" s="23">
        <v>0</v>
      </c>
      <c r="G385" s="3" t="s">
        <v>41</v>
      </c>
      <c r="I385" s="25" t="str">
        <f t="shared" si="58"/>
        <v/>
      </c>
      <c r="J385" s="25" t="str">
        <f t="shared" si="58"/>
        <v/>
      </c>
      <c r="L385" s="3"/>
      <c r="M385" s="3"/>
    </row>
    <row r="386" spans="1:13" x14ac:dyDescent="0.45">
      <c r="A386" t="s">
        <v>7</v>
      </c>
      <c r="B386" t="s">
        <v>30</v>
      </c>
      <c r="C386" t="s">
        <v>24</v>
      </c>
      <c r="D386" s="27">
        <v>0</v>
      </c>
      <c r="E386" s="3">
        <v>0</v>
      </c>
      <c r="F386" s="23">
        <v>0</v>
      </c>
      <c r="G386" s="3">
        <v>0</v>
      </c>
      <c r="I386" s="22">
        <f t="shared" ref="I386:J386" si="67">IF(L386="","",L386)</f>
        <v>0</v>
      </c>
      <c r="J386" s="22">
        <f t="shared" si="67"/>
        <v>0</v>
      </c>
      <c r="L386" s="3">
        <v>0</v>
      </c>
      <c r="M386" s="3">
        <v>0</v>
      </c>
    </row>
    <row r="387" spans="1:13" x14ac:dyDescent="0.45">
      <c r="A387" t="s">
        <v>10</v>
      </c>
      <c r="B387" t="s">
        <v>30</v>
      </c>
      <c r="C387" t="s">
        <v>24</v>
      </c>
      <c r="D387" s="28">
        <v>0</v>
      </c>
      <c r="E387" s="4">
        <v>0</v>
      </c>
      <c r="F387" s="24">
        <v>0</v>
      </c>
      <c r="G387" s="4">
        <v>0</v>
      </c>
      <c r="I387" s="25">
        <f t="shared" ref="I387:J387" si="68">IF(L387="","",L387-L386)</f>
        <v>0</v>
      </c>
      <c r="J387" s="25">
        <f t="shared" si="68"/>
        <v>0</v>
      </c>
      <c r="L387" s="4">
        <v>0</v>
      </c>
      <c r="M387" s="4">
        <v>0</v>
      </c>
    </row>
    <row r="388" spans="1:13" x14ac:dyDescent="0.45">
      <c r="A388" t="s">
        <v>11</v>
      </c>
      <c r="B388" t="s">
        <v>30</v>
      </c>
      <c r="C388" t="s">
        <v>24</v>
      </c>
      <c r="D388" s="27">
        <v>0</v>
      </c>
      <c r="E388" s="3">
        <v>0</v>
      </c>
      <c r="F388" s="23">
        <v>0</v>
      </c>
      <c r="G388" s="3">
        <v>0</v>
      </c>
      <c r="I388" s="25">
        <f t="shared" si="58"/>
        <v>0</v>
      </c>
      <c r="J388" s="25">
        <f t="shared" si="58"/>
        <v>0</v>
      </c>
      <c r="L388" s="29">
        <f>SUMIFS(Pivot_!C:C,Pivot_!A:A,'Hitung Per Bulan'!B388,Pivot_!B:B,'Hitung Per Bulan'!C388)</f>
        <v>0</v>
      </c>
      <c r="M388" s="29">
        <f>SUMIFS(Pivot_!D:D,Pivot_!A:A,'Hitung Per Bulan'!B388,Pivot_!B:B,'Hitung Per Bulan'!C388)</f>
        <v>0</v>
      </c>
    </row>
    <row r="389" spans="1:13" x14ac:dyDescent="0.45">
      <c r="A389" t="s">
        <v>12</v>
      </c>
      <c r="B389" t="s">
        <v>30</v>
      </c>
      <c r="C389" t="s">
        <v>24</v>
      </c>
      <c r="D389" s="27">
        <v>0</v>
      </c>
      <c r="E389" s="3" t="s">
        <v>41</v>
      </c>
      <c r="F389" s="23">
        <v>0</v>
      </c>
      <c r="G389" s="3" t="s">
        <v>41</v>
      </c>
      <c r="I389" s="25" t="str">
        <f t="shared" si="58"/>
        <v/>
      </c>
      <c r="J389" s="25" t="str">
        <f t="shared" si="58"/>
        <v/>
      </c>
      <c r="L389" s="3"/>
      <c r="M389" s="3"/>
    </row>
    <row r="390" spans="1:13" x14ac:dyDescent="0.45">
      <c r="A390" t="s">
        <v>13</v>
      </c>
      <c r="B390" t="s">
        <v>30</v>
      </c>
      <c r="C390" t="s">
        <v>24</v>
      </c>
      <c r="D390" s="27">
        <v>0</v>
      </c>
      <c r="E390" s="3" t="s">
        <v>41</v>
      </c>
      <c r="F390" s="23">
        <v>0</v>
      </c>
      <c r="G390" s="3" t="s">
        <v>41</v>
      </c>
      <c r="I390" s="25" t="str">
        <f t="shared" si="58"/>
        <v/>
      </c>
      <c r="J390" s="25" t="str">
        <f t="shared" si="58"/>
        <v/>
      </c>
      <c r="L390" s="3"/>
      <c r="M390" s="3"/>
    </row>
    <row r="391" spans="1:13" x14ac:dyDescent="0.45">
      <c r="A391" t="s">
        <v>14</v>
      </c>
      <c r="B391" t="s">
        <v>30</v>
      </c>
      <c r="C391" t="s">
        <v>24</v>
      </c>
      <c r="D391" s="27">
        <v>0</v>
      </c>
      <c r="E391" s="3" t="s">
        <v>41</v>
      </c>
      <c r="F391" s="23">
        <v>0</v>
      </c>
      <c r="G391" s="3" t="s">
        <v>41</v>
      </c>
      <c r="I391" s="25" t="str">
        <f t="shared" si="58"/>
        <v/>
      </c>
      <c r="J391" s="25" t="str">
        <f t="shared" si="58"/>
        <v/>
      </c>
      <c r="L391" s="3"/>
      <c r="M391" s="3"/>
    </row>
    <row r="392" spans="1:13" x14ac:dyDescent="0.45">
      <c r="A392" t="s">
        <v>15</v>
      </c>
      <c r="B392" t="s">
        <v>30</v>
      </c>
      <c r="C392" t="s">
        <v>24</v>
      </c>
      <c r="D392" s="27">
        <v>0</v>
      </c>
      <c r="E392" s="3" t="s">
        <v>41</v>
      </c>
      <c r="F392" s="23">
        <v>0</v>
      </c>
      <c r="G392" s="3" t="s">
        <v>41</v>
      </c>
      <c r="I392" s="25" t="str">
        <f t="shared" si="58"/>
        <v/>
      </c>
      <c r="J392" s="25" t="str">
        <f t="shared" si="58"/>
        <v/>
      </c>
      <c r="L392" s="3"/>
      <c r="M392" s="3"/>
    </row>
    <row r="393" spans="1:13" x14ac:dyDescent="0.45">
      <c r="A393" t="s">
        <v>16</v>
      </c>
      <c r="B393" t="s">
        <v>30</v>
      </c>
      <c r="C393" t="s">
        <v>24</v>
      </c>
      <c r="D393" s="27">
        <v>0</v>
      </c>
      <c r="E393" s="3" t="s">
        <v>41</v>
      </c>
      <c r="F393" s="23">
        <v>0</v>
      </c>
      <c r="G393" s="3" t="s">
        <v>41</v>
      </c>
      <c r="I393" s="25" t="str">
        <f t="shared" si="58"/>
        <v/>
      </c>
      <c r="J393" s="25" t="str">
        <f t="shared" si="58"/>
        <v/>
      </c>
      <c r="L393" s="3"/>
      <c r="M393" s="3"/>
    </row>
    <row r="394" spans="1:13" x14ac:dyDescent="0.45">
      <c r="A394" t="s">
        <v>17</v>
      </c>
      <c r="B394" t="s">
        <v>30</v>
      </c>
      <c r="C394" t="s">
        <v>24</v>
      </c>
      <c r="D394" s="27">
        <v>0</v>
      </c>
      <c r="E394" s="3" t="s">
        <v>41</v>
      </c>
      <c r="F394" s="23">
        <v>0</v>
      </c>
      <c r="G394" s="3" t="s">
        <v>41</v>
      </c>
      <c r="I394" s="25" t="str">
        <f t="shared" si="58"/>
        <v/>
      </c>
      <c r="J394" s="25" t="str">
        <f t="shared" si="58"/>
        <v/>
      </c>
      <c r="L394" s="3"/>
      <c r="M394" s="3"/>
    </row>
    <row r="395" spans="1:13" x14ac:dyDescent="0.45">
      <c r="A395" t="s">
        <v>18</v>
      </c>
      <c r="B395" t="s">
        <v>30</v>
      </c>
      <c r="C395" t="s">
        <v>24</v>
      </c>
      <c r="D395" s="27">
        <v>0</v>
      </c>
      <c r="E395" s="3" t="s">
        <v>41</v>
      </c>
      <c r="F395" s="23">
        <v>0</v>
      </c>
      <c r="G395" s="3" t="s">
        <v>41</v>
      </c>
      <c r="I395" s="25" t="str">
        <f t="shared" si="58"/>
        <v/>
      </c>
      <c r="J395" s="25" t="str">
        <f t="shared" si="58"/>
        <v/>
      </c>
      <c r="L395" s="3"/>
      <c r="M395" s="3"/>
    </row>
    <row r="396" spans="1:13" x14ac:dyDescent="0.45">
      <c r="A396" t="s">
        <v>19</v>
      </c>
      <c r="B396" t="s">
        <v>30</v>
      </c>
      <c r="C396" t="s">
        <v>24</v>
      </c>
      <c r="D396" s="27">
        <v>0</v>
      </c>
      <c r="E396" s="3" t="s">
        <v>41</v>
      </c>
      <c r="F396" s="23">
        <v>0</v>
      </c>
      <c r="G396" s="3" t="s">
        <v>41</v>
      </c>
      <c r="I396" s="25" t="str">
        <f t="shared" si="58"/>
        <v/>
      </c>
      <c r="J396" s="25" t="str">
        <f t="shared" si="58"/>
        <v/>
      </c>
      <c r="L396" s="3"/>
      <c r="M396" s="3"/>
    </row>
    <row r="397" spans="1:13" x14ac:dyDescent="0.45">
      <c r="A397" t="s">
        <v>20</v>
      </c>
      <c r="B397" t="s">
        <v>30</v>
      </c>
      <c r="C397" t="s">
        <v>24</v>
      </c>
      <c r="D397" s="27">
        <v>0</v>
      </c>
      <c r="E397" s="3" t="s">
        <v>41</v>
      </c>
      <c r="F397" s="23">
        <v>0</v>
      </c>
      <c r="G397" s="3" t="s">
        <v>41</v>
      </c>
      <c r="I397" s="25" t="str">
        <f t="shared" si="58"/>
        <v/>
      </c>
      <c r="J397" s="25" t="str">
        <f t="shared" si="58"/>
        <v/>
      </c>
      <c r="L397" s="3"/>
      <c r="M397" s="3"/>
    </row>
    <row r="398" spans="1:13" x14ac:dyDescent="0.45">
      <c r="A398" t="s">
        <v>7</v>
      </c>
      <c r="B398" t="s">
        <v>30</v>
      </c>
      <c r="C398" t="s">
        <v>25</v>
      </c>
      <c r="D398" s="27">
        <v>50834000</v>
      </c>
      <c r="E398" s="3">
        <v>107373135</v>
      </c>
      <c r="F398" s="23">
        <v>50834000</v>
      </c>
      <c r="G398" s="3">
        <v>29120235</v>
      </c>
      <c r="I398" s="22">
        <f t="shared" ref="I398:J398" si="69">IF(L398="","",L398)</f>
        <v>107373135</v>
      </c>
      <c r="J398" s="22">
        <f t="shared" si="69"/>
        <v>29120235</v>
      </c>
      <c r="L398" s="3">
        <v>107373135</v>
      </c>
      <c r="M398" s="3">
        <v>29120235</v>
      </c>
    </row>
    <row r="399" spans="1:13" x14ac:dyDescent="0.45">
      <c r="A399" t="s">
        <v>10</v>
      </c>
      <c r="B399" t="s">
        <v>30</v>
      </c>
      <c r="C399" t="s">
        <v>25</v>
      </c>
      <c r="D399" s="28">
        <v>70834000</v>
      </c>
      <c r="E399" s="4">
        <v>132788748</v>
      </c>
      <c r="F399" s="24">
        <v>70834000</v>
      </c>
      <c r="G399" s="4">
        <v>60489500</v>
      </c>
      <c r="I399" s="25">
        <f t="shared" ref="I399:J462" si="70">IF(L399="","",L399-L398)</f>
        <v>132788748</v>
      </c>
      <c r="J399" s="25">
        <f t="shared" si="70"/>
        <v>60489500</v>
      </c>
      <c r="L399" s="4">
        <v>240161883</v>
      </c>
      <c r="M399" s="4">
        <v>89609735</v>
      </c>
    </row>
    <row r="400" spans="1:13" x14ac:dyDescent="0.45">
      <c r="A400" t="s">
        <v>11</v>
      </c>
      <c r="B400" t="s">
        <v>30</v>
      </c>
      <c r="C400" t="s">
        <v>25</v>
      </c>
      <c r="D400" s="27">
        <v>302184000</v>
      </c>
      <c r="E400" s="3">
        <v>18195000</v>
      </c>
      <c r="F400" s="23">
        <v>302184000</v>
      </c>
      <c r="G400" s="3">
        <v>28151400</v>
      </c>
      <c r="I400" s="25">
        <f t="shared" si="70"/>
        <v>109543583</v>
      </c>
      <c r="J400" s="25">
        <f t="shared" si="70"/>
        <v>53941900</v>
      </c>
      <c r="L400" s="29">
        <f>SUMIFS(Pivot_!C:C,Pivot_!A:A,'Hitung Per Bulan'!B400,Pivot_!B:B,'Hitung Per Bulan'!C400)</f>
        <v>349705466</v>
      </c>
      <c r="M400" s="29">
        <f>SUMIFS(Pivot_!D:D,Pivot_!A:A,'Hitung Per Bulan'!B400,Pivot_!B:B,'Hitung Per Bulan'!C400)</f>
        <v>143551635</v>
      </c>
    </row>
    <row r="401" spans="1:13" x14ac:dyDescent="0.45">
      <c r="A401" t="s">
        <v>12</v>
      </c>
      <c r="B401" t="s">
        <v>30</v>
      </c>
      <c r="C401" t="s">
        <v>25</v>
      </c>
      <c r="D401" s="27">
        <v>313833000</v>
      </c>
      <c r="E401" s="3" t="s">
        <v>41</v>
      </c>
      <c r="F401" s="23">
        <v>313833000</v>
      </c>
      <c r="G401" s="3" t="s">
        <v>41</v>
      </c>
      <c r="I401" s="25" t="str">
        <f t="shared" si="70"/>
        <v/>
      </c>
      <c r="J401" s="25" t="str">
        <f t="shared" si="70"/>
        <v/>
      </c>
      <c r="L401" s="3"/>
      <c r="M401" s="3"/>
    </row>
    <row r="402" spans="1:13" x14ac:dyDescent="0.45">
      <c r="A402" t="s">
        <v>13</v>
      </c>
      <c r="B402" t="s">
        <v>30</v>
      </c>
      <c r="C402" t="s">
        <v>25</v>
      </c>
      <c r="D402" s="27">
        <v>187833000</v>
      </c>
      <c r="E402" s="3" t="s">
        <v>41</v>
      </c>
      <c r="F402" s="23">
        <v>187833000</v>
      </c>
      <c r="G402" s="3" t="s">
        <v>41</v>
      </c>
      <c r="I402" s="25" t="str">
        <f t="shared" si="70"/>
        <v/>
      </c>
      <c r="J402" s="25" t="str">
        <f t="shared" si="70"/>
        <v/>
      </c>
      <c r="L402" s="3"/>
      <c r="M402" s="3"/>
    </row>
    <row r="403" spans="1:13" x14ac:dyDescent="0.45">
      <c r="A403" t="s">
        <v>14</v>
      </c>
      <c r="B403" t="s">
        <v>30</v>
      </c>
      <c r="C403" t="s">
        <v>25</v>
      </c>
      <c r="D403" s="27">
        <v>274383000</v>
      </c>
      <c r="E403" s="3" t="s">
        <v>41</v>
      </c>
      <c r="F403" s="23">
        <v>274383000</v>
      </c>
      <c r="G403" s="3" t="s">
        <v>41</v>
      </c>
      <c r="I403" s="25" t="str">
        <f t="shared" si="70"/>
        <v/>
      </c>
      <c r="J403" s="25" t="str">
        <f t="shared" si="70"/>
        <v/>
      </c>
      <c r="L403" s="3"/>
      <c r="M403" s="3"/>
    </row>
    <row r="404" spans="1:13" x14ac:dyDescent="0.45">
      <c r="A404" t="s">
        <v>15</v>
      </c>
      <c r="B404" t="s">
        <v>30</v>
      </c>
      <c r="C404" t="s">
        <v>25</v>
      </c>
      <c r="D404" s="27">
        <v>53833000</v>
      </c>
      <c r="E404" s="3" t="s">
        <v>41</v>
      </c>
      <c r="F404" s="23">
        <v>53833000</v>
      </c>
      <c r="G404" s="3" t="s">
        <v>41</v>
      </c>
      <c r="I404" s="25" t="str">
        <f t="shared" si="70"/>
        <v/>
      </c>
      <c r="J404" s="25" t="str">
        <f t="shared" si="70"/>
        <v/>
      </c>
      <c r="L404" s="3"/>
      <c r="M404" s="3"/>
    </row>
    <row r="405" spans="1:13" x14ac:dyDescent="0.45">
      <c r="A405" t="s">
        <v>16</v>
      </c>
      <c r="B405" t="s">
        <v>30</v>
      </c>
      <c r="C405" t="s">
        <v>25</v>
      </c>
      <c r="D405" s="27">
        <v>90833000</v>
      </c>
      <c r="E405" s="3" t="s">
        <v>41</v>
      </c>
      <c r="F405" s="23">
        <v>90833000</v>
      </c>
      <c r="G405" s="3" t="s">
        <v>41</v>
      </c>
      <c r="I405" s="25" t="str">
        <f t="shared" si="70"/>
        <v/>
      </c>
      <c r="J405" s="25" t="str">
        <f t="shared" si="70"/>
        <v/>
      </c>
      <c r="L405" s="3"/>
      <c r="M405" s="3"/>
    </row>
    <row r="406" spans="1:13" x14ac:dyDescent="0.45">
      <c r="A406" t="s">
        <v>17</v>
      </c>
      <c r="B406" t="s">
        <v>30</v>
      </c>
      <c r="C406" t="s">
        <v>25</v>
      </c>
      <c r="D406" s="27">
        <v>97183000</v>
      </c>
      <c r="E406" s="3" t="s">
        <v>41</v>
      </c>
      <c r="F406" s="23">
        <v>97183000</v>
      </c>
      <c r="G406" s="3" t="s">
        <v>41</v>
      </c>
      <c r="I406" s="25" t="str">
        <f t="shared" si="70"/>
        <v/>
      </c>
      <c r="J406" s="25" t="str">
        <f t="shared" si="70"/>
        <v/>
      </c>
      <c r="L406" s="3"/>
      <c r="M406" s="3"/>
    </row>
    <row r="407" spans="1:13" x14ac:dyDescent="0.45">
      <c r="A407" t="s">
        <v>18</v>
      </c>
      <c r="B407" t="s">
        <v>30</v>
      </c>
      <c r="C407" t="s">
        <v>25</v>
      </c>
      <c r="D407" s="27">
        <v>65834000</v>
      </c>
      <c r="E407" s="3" t="s">
        <v>41</v>
      </c>
      <c r="F407" s="23">
        <v>65834000</v>
      </c>
      <c r="G407" s="3" t="s">
        <v>41</v>
      </c>
      <c r="I407" s="25" t="str">
        <f t="shared" si="70"/>
        <v/>
      </c>
      <c r="J407" s="25" t="str">
        <f t="shared" si="70"/>
        <v/>
      </c>
      <c r="L407" s="3"/>
      <c r="M407" s="3"/>
    </row>
    <row r="408" spans="1:13" x14ac:dyDescent="0.45">
      <c r="A408" t="s">
        <v>19</v>
      </c>
      <c r="B408" t="s">
        <v>30</v>
      </c>
      <c r="C408" t="s">
        <v>25</v>
      </c>
      <c r="D408" s="27">
        <v>62834000</v>
      </c>
      <c r="E408" s="3" t="s">
        <v>41</v>
      </c>
      <c r="F408" s="23">
        <v>62834000</v>
      </c>
      <c r="G408" s="3" t="s">
        <v>41</v>
      </c>
      <c r="I408" s="25" t="str">
        <f t="shared" si="70"/>
        <v/>
      </c>
      <c r="J408" s="25" t="str">
        <f t="shared" si="70"/>
        <v/>
      </c>
      <c r="L408" s="3"/>
      <c r="M408" s="3"/>
    </row>
    <row r="409" spans="1:13" x14ac:dyDescent="0.45">
      <c r="A409" t="s">
        <v>20</v>
      </c>
      <c r="B409" t="s">
        <v>30</v>
      </c>
      <c r="C409" t="s">
        <v>25</v>
      </c>
      <c r="D409" s="27">
        <v>112184000</v>
      </c>
      <c r="E409" s="3" t="s">
        <v>41</v>
      </c>
      <c r="F409" s="23">
        <v>112184000</v>
      </c>
      <c r="G409" s="3" t="s">
        <v>41</v>
      </c>
      <c r="I409" s="25" t="str">
        <f t="shared" si="70"/>
        <v/>
      </c>
      <c r="J409" s="25" t="str">
        <f t="shared" si="70"/>
        <v/>
      </c>
      <c r="L409" s="3"/>
      <c r="M409" s="3"/>
    </row>
    <row r="410" spans="1:13" x14ac:dyDescent="0.45">
      <c r="A410" t="s">
        <v>7</v>
      </c>
      <c r="B410" t="s">
        <v>30</v>
      </c>
      <c r="C410" t="s">
        <v>26</v>
      </c>
      <c r="D410" s="27">
        <v>208442000</v>
      </c>
      <c r="E410" s="3">
        <v>180318716</v>
      </c>
      <c r="F410" s="23">
        <v>208442000</v>
      </c>
      <c r="G410" s="3">
        <v>180294464</v>
      </c>
      <c r="I410" s="22">
        <f t="shared" ref="I410:J410" si="71">IF(L410="","",L410)</f>
        <v>180318716</v>
      </c>
      <c r="J410" s="22">
        <f t="shared" si="71"/>
        <v>180294464</v>
      </c>
      <c r="L410" s="3">
        <v>180318716</v>
      </c>
      <c r="M410" s="3">
        <v>180294464</v>
      </c>
    </row>
    <row r="411" spans="1:13" x14ac:dyDescent="0.45">
      <c r="A411" t="s">
        <v>10</v>
      </c>
      <c r="B411" t="s">
        <v>30</v>
      </c>
      <c r="C411" t="s">
        <v>26</v>
      </c>
      <c r="D411" s="28">
        <v>208442000</v>
      </c>
      <c r="E411" s="4">
        <v>165926590</v>
      </c>
      <c r="F411" s="24">
        <v>208442000</v>
      </c>
      <c r="G411" s="4">
        <v>165950842</v>
      </c>
      <c r="I411" s="25">
        <f t="shared" ref="I411:J411" si="72">IF(L411="","",L411-L410)</f>
        <v>165926590</v>
      </c>
      <c r="J411" s="25">
        <f t="shared" si="72"/>
        <v>165950842</v>
      </c>
      <c r="L411" s="4">
        <v>346245306</v>
      </c>
      <c r="M411" s="4">
        <v>346245306</v>
      </c>
    </row>
    <row r="412" spans="1:13" x14ac:dyDescent="0.45">
      <c r="A412" t="s">
        <v>11</v>
      </c>
      <c r="B412" t="s">
        <v>30</v>
      </c>
      <c r="C412" t="s">
        <v>26</v>
      </c>
      <c r="D412" s="27">
        <v>208442000</v>
      </c>
      <c r="E412" s="3">
        <v>0</v>
      </c>
      <c r="F412" s="23">
        <v>208442000</v>
      </c>
      <c r="G412" s="3">
        <v>0</v>
      </c>
      <c r="I412" s="25">
        <f t="shared" si="70"/>
        <v>269200</v>
      </c>
      <c r="J412" s="25">
        <f t="shared" si="70"/>
        <v>0</v>
      </c>
      <c r="L412" s="29">
        <f>SUMIFS(Pivot_!C:C,Pivot_!A:A,'Hitung Per Bulan'!B412,Pivot_!B:B,'Hitung Per Bulan'!C412)</f>
        <v>346514506</v>
      </c>
      <c r="M412" s="29">
        <f>SUMIFS(Pivot_!D:D,Pivot_!A:A,'Hitung Per Bulan'!B412,Pivot_!B:B,'Hitung Per Bulan'!C412)</f>
        <v>346245306</v>
      </c>
    </row>
    <row r="413" spans="1:13" x14ac:dyDescent="0.45">
      <c r="A413" t="s">
        <v>12</v>
      </c>
      <c r="B413" t="s">
        <v>30</v>
      </c>
      <c r="C413" t="s">
        <v>26</v>
      </c>
      <c r="D413" s="27">
        <v>208442000</v>
      </c>
      <c r="E413" s="3" t="s">
        <v>41</v>
      </c>
      <c r="F413" s="23">
        <v>208442000</v>
      </c>
      <c r="G413" s="3" t="s">
        <v>41</v>
      </c>
      <c r="I413" s="25" t="str">
        <f t="shared" si="70"/>
        <v/>
      </c>
      <c r="J413" s="25" t="str">
        <f t="shared" si="70"/>
        <v/>
      </c>
      <c r="L413" s="3"/>
      <c r="M413" s="3"/>
    </row>
    <row r="414" spans="1:13" x14ac:dyDescent="0.45">
      <c r="A414" t="s">
        <v>13</v>
      </c>
      <c r="B414" t="s">
        <v>30</v>
      </c>
      <c r="C414" t="s">
        <v>26</v>
      </c>
      <c r="D414" s="27">
        <v>208442000</v>
      </c>
      <c r="E414" s="3" t="s">
        <v>41</v>
      </c>
      <c r="F414" s="23">
        <v>208442000</v>
      </c>
      <c r="G414" s="3" t="s">
        <v>41</v>
      </c>
      <c r="I414" s="25" t="str">
        <f t="shared" si="70"/>
        <v/>
      </c>
      <c r="J414" s="25" t="str">
        <f t="shared" si="70"/>
        <v/>
      </c>
      <c r="L414" s="3"/>
      <c r="M414" s="3"/>
    </row>
    <row r="415" spans="1:13" x14ac:dyDescent="0.45">
      <c r="A415" t="s">
        <v>14</v>
      </c>
      <c r="B415" t="s">
        <v>30</v>
      </c>
      <c r="C415" t="s">
        <v>26</v>
      </c>
      <c r="D415" s="27">
        <v>208442000</v>
      </c>
      <c r="E415" s="3" t="s">
        <v>41</v>
      </c>
      <c r="F415" s="23">
        <v>208442000</v>
      </c>
      <c r="G415" s="3" t="s">
        <v>41</v>
      </c>
      <c r="I415" s="25" t="str">
        <f t="shared" si="70"/>
        <v/>
      </c>
      <c r="J415" s="25" t="str">
        <f t="shared" si="70"/>
        <v/>
      </c>
      <c r="L415" s="3"/>
      <c r="M415" s="3"/>
    </row>
    <row r="416" spans="1:13" x14ac:dyDescent="0.45">
      <c r="A416" t="s">
        <v>15</v>
      </c>
      <c r="B416" t="s">
        <v>30</v>
      </c>
      <c r="C416" t="s">
        <v>26</v>
      </c>
      <c r="D416" s="27">
        <v>208442000</v>
      </c>
      <c r="E416" s="3" t="s">
        <v>41</v>
      </c>
      <c r="F416" s="23">
        <v>208442000</v>
      </c>
      <c r="G416" s="3" t="s">
        <v>41</v>
      </c>
      <c r="I416" s="25" t="str">
        <f t="shared" si="70"/>
        <v/>
      </c>
      <c r="J416" s="25" t="str">
        <f t="shared" si="70"/>
        <v/>
      </c>
      <c r="L416" s="3"/>
      <c r="M416" s="3"/>
    </row>
    <row r="417" spans="1:13" x14ac:dyDescent="0.45">
      <c r="A417" t="s">
        <v>16</v>
      </c>
      <c r="B417" t="s">
        <v>30</v>
      </c>
      <c r="C417" t="s">
        <v>26</v>
      </c>
      <c r="D417" s="27">
        <v>208442000</v>
      </c>
      <c r="E417" s="3" t="s">
        <v>41</v>
      </c>
      <c r="F417" s="23">
        <v>208442000</v>
      </c>
      <c r="G417" s="3" t="s">
        <v>41</v>
      </c>
      <c r="I417" s="25" t="str">
        <f t="shared" si="70"/>
        <v/>
      </c>
      <c r="J417" s="25" t="str">
        <f t="shared" si="70"/>
        <v/>
      </c>
      <c r="L417" s="3"/>
      <c r="M417" s="3"/>
    </row>
    <row r="418" spans="1:13" x14ac:dyDescent="0.45">
      <c r="A418" t="s">
        <v>17</v>
      </c>
      <c r="B418" t="s">
        <v>30</v>
      </c>
      <c r="C418" t="s">
        <v>26</v>
      </c>
      <c r="D418" s="27">
        <v>208441000</v>
      </c>
      <c r="E418" s="3" t="s">
        <v>41</v>
      </c>
      <c r="F418" s="23">
        <v>208441000</v>
      </c>
      <c r="G418" s="3" t="s">
        <v>41</v>
      </c>
      <c r="I418" s="25" t="str">
        <f t="shared" si="70"/>
        <v/>
      </c>
      <c r="J418" s="25" t="str">
        <f t="shared" si="70"/>
        <v/>
      </c>
      <c r="L418" s="3"/>
      <c r="M418" s="3"/>
    </row>
    <row r="419" spans="1:13" x14ac:dyDescent="0.45">
      <c r="A419" t="s">
        <v>18</v>
      </c>
      <c r="B419" t="s">
        <v>30</v>
      </c>
      <c r="C419" t="s">
        <v>26</v>
      </c>
      <c r="D419" s="27">
        <v>208441000</v>
      </c>
      <c r="E419" s="3" t="s">
        <v>41</v>
      </c>
      <c r="F419" s="23">
        <v>208441000</v>
      </c>
      <c r="G419" s="3" t="s">
        <v>41</v>
      </c>
      <c r="I419" s="25" t="str">
        <f t="shared" si="70"/>
        <v/>
      </c>
      <c r="J419" s="25" t="str">
        <f t="shared" si="70"/>
        <v/>
      </c>
      <c r="L419" s="3"/>
      <c r="M419" s="3"/>
    </row>
    <row r="420" spans="1:13" x14ac:dyDescent="0.45">
      <c r="A420" t="s">
        <v>19</v>
      </c>
      <c r="B420" t="s">
        <v>30</v>
      </c>
      <c r="C420" t="s">
        <v>26</v>
      </c>
      <c r="D420" s="27">
        <v>208441000</v>
      </c>
      <c r="E420" s="3" t="s">
        <v>41</v>
      </c>
      <c r="F420" s="23">
        <v>208441000</v>
      </c>
      <c r="G420" s="3" t="s">
        <v>41</v>
      </c>
      <c r="I420" s="25" t="str">
        <f t="shared" si="70"/>
        <v/>
      </c>
      <c r="J420" s="25" t="str">
        <f t="shared" si="70"/>
        <v/>
      </c>
      <c r="L420" s="3"/>
      <c r="M420" s="3"/>
    </row>
    <row r="421" spans="1:13" x14ac:dyDescent="0.45">
      <c r="A421" t="s">
        <v>20</v>
      </c>
      <c r="B421" t="s">
        <v>30</v>
      </c>
      <c r="C421" t="s">
        <v>26</v>
      </c>
      <c r="D421" s="27">
        <v>208441000</v>
      </c>
      <c r="E421" s="3" t="s">
        <v>41</v>
      </c>
      <c r="F421" s="23">
        <v>208441000</v>
      </c>
      <c r="G421" s="3" t="s">
        <v>41</v>
      </c>
      <c r="I421" s="25" t="str">
        <f t="shared" si="70"/>
        <v/>
      </c>
      <c r="J421" s="25" t="str">
        <f t="shared" si="70"/>
        <v/>
      </c>
      <c r="L421" s="3"/>
      <c r="M421" s="3"/>
    </row>
    <row r="422" spans="1:13" x14ac:dyDescent="0.45">
      <c r="A422" t="s">
        <v>7</v>
      </c>
      <c r="B422" t="s">
        <v>31</v>
      </c>
      <c r="C422" t="s">
        <v>9</v>
      </c>
      <c r="D422" s="27">
        <v>100000000</v>
      </c>
      <c r="E422" s="3">
        <v>656537346</v>
      </c>
      <c r="F422" s="23">
        <v>0</v>
      </c>
      <c r="G422" s="3">
        <v>0</v>
      </c>
      <c r="I422" s="22">
        <f t="shared" ref="I422:J422" si="73">IF(L422="","",L422)</f>
        <v>656537346</v>
      </c>
      <c r="J422" s="22">
        <f t="shared" si="73"/>
        <v>0</v>
      </c>
      <c r="L422" s="3">
        <v>656537346</v>
      </c>
      <c r="M422" s="3">
        <v>0</v>
      </c>
    </row>
    <row r="423" spans="1:13" x14ac:dyDescent="0.45">
      <c r="A423" t="s">
        <v>10</v>
      </c>
      <c r="B423" t="s">
        <v>31</v>
      </c>
      <c r="C423" t="s">
        <v>9</v>
      </c>
      <c r="D423" s="28">
        <v>235000000</v>
      </c>
      <c r="E423" s="4">
        <v>683351141</v>
      </c>
      <c r="F423" s="24">
        <v>185000000</v>
      </c>
      <c r="G423" s="4">
        <v>93332500</v>
      </c>
      <c r="I423" s="25">
        <f t="shared" ref="I423:J423" si="74">IF(L423="","",L423-L422)</f>
        <v>683351141</v>
      </c>
      <c r="J423" s="25">
        <f t="shared" si="74"/>
        <v>93332500</v>
      </c>
      <c r="L423" s="4">
        <v>1339888487</v>
      </c>
      <c r="M423" s="4">
        <v>93332500</v>
      </c>
    </row>
    <row r="424" spans="1:13" x14ac:dyDescent="0.45">
      <c r="A424" t="s">
        <v>11</v>
      </c>
      <c r="B424" t="s">
        <v>31</v>
      </c>
      <c r="C424" t="s">
        <v>9</v>
      </c>
      <c r="D424" s="27">
        <v>9354173000</v>
      </c>
      <c r="E424" s="3">
        <v>3192088872</v>
      </c>
      <c r="F424" s="23">
        <v>500000000</v>
      </c>
      <c r="G424" s="3">
        <v>80204846</v>
      </c>
      <c r="I424" s="25">
        <f t="shared" si="70"/>
        <v>3258084172</v>
      </c>
      <c r="J424" s="25">
        <f t="shared" si="70"/>
        <v>80204846</v>
      </c>
      <c r="L424" s="29">
        <f>SUMIFS(Pivot_!C:C,Pivot_!A:A,'Hitung Per Bulan'!B424,Pivot_!B:B,'Hitung Per Bulan'!C424)</f>
        <v>4597972659</v>
      </c>
      <c r="M424" s="29">
        <f>SUMIFS(Pivot_!D:D,Pivot_!A:A,'Hitung Per Bulan'!B424,Pivot_!B:B,'Hitung Per Bulan'!C424)</f>
        <v>173537346</v>
      </c>
    </row>
    <row r="425" spans="1:13" x14ac:dyDescent="0.45">
      <c r="A425" t="s">
        <v>12</v>
      </c>
      <c r="B425" t="s">
        <v>31</v>
      </c>
      <c r="C425" t="s">
        <v>9</v>
      </c>
      <c r="D425" s="27">
        <v>459550000</v>
      </c>
      <c r="E425" s="3" t="s">
        <v>41</v>
      </c>
      <c r="F425" s="23">
        <v>521650000</v>
      </c>
      <c r="G425" s="3" t="s">
        <v>41</v>
      </c>
      <c r="I425" s="25" t="str">
        <f t="shared" si="70"/>
        <v/>
      </c>
      <c r="J425" s="25" t="str">
        <f t="shared" si="70"/>
        <v/>
      </c>
      <c r="L425" s="3"/>
      <c r="M425" s="3"/>
    </row>
    <row r="426" spans="1:13" x14ac:dyDescent="0.45">
      <c r="A426" t="s">
        <v>13</v>
      </c>
      <c r="B426" t="s">
        <v>31</v>
      </c>
      <c r="C426" t="s">
        <v>9</v>
      </c>
      <c r="D426" s="27">
        <v>4070366975</v>
      </c>
      <c r="E426" s="3" t="s">
        <v>41</v>
      </c>
      <c r="F426" s="23">
        <v>190000000</v>
      </c>
      <c r="G426" s="3" t="s">
        <v>41</v>
      </c>
      <c r="I426" s="25" t="str">
        <f t="shared" si="70"/>
        <v/>
      </c>
      <c r="J426" s="25" t="str">
        <f t="shared" si="70"/>
        <v/>
      </c>
      <c r="L426" s="3"/>
      <c r="M426" s="3"/>
    </row>
    <row r="427" spans="1:13" x14ac:dyDescent="0.45">
      <c r="A427" t="s">
        <v>14</v>
      </c>
      <c r="B427" t="s">
        <v>31</v>
      </c>
      <c r="C427" t="s">
        <v>9</v>
      </c>
      <c r="D427" s="27">
        <v>1051500000</v>
      </c>
      <c r="E427" s="3" t="s">
        <v>41</v>
      </c>
      <c r="F427" s="23">
        <v>419000000</v>
      </c>
      <c r="G427" s="3" t="s">
        <v>41</v>
      </c>
      <c r="I427" s="25" t="str">
        <f t="shared" si="70"/>
        <v/>
      </c>
      <c r="J427" s="25" t="str">
        <f t="shared" si="70"/>
        <v/>
      </c>
      <c r="L427" s="3"/>
      <c r="M427" s="3"/>
    </row>
    <row r="428" spans="1:13" x14ac:dyDescent="0.45">
      <c r="A428" t="s">
        <v>15</v>
      </c>
      <c r="B428" t="s">
        <v>31</v>
      </c>
      <c r="C428" t="s">
        <v>9</v>
      </c>
      <c r="D428" s="27">
        <v>925000000</v>
      </c>
      <c r="E428" s="3" t="s">
        <v>41</v>
      </c>
      <c r="F428" s="23">
        <v>1383295000</v>
      </c>
      <c r="G428" s="3" t="s">
        <v>41</v>
      </c>
      <c r="I428" s="25" t="str">
        <f t="shared" si="70"/>
        <v/>
      </c>
      <c r="J428" s="25" t="str">
        <f t="shared" si="70"/>
        <v/>
      </c>
      <c r="L428" s="3"/>
      <c r="M428" s="3"/>
    </row>
    <row r="429" spans="1:13" x14ac:dyDescent="0.45">
      <c r="A429" t="s">
        <v>16</v>
      </c>
      <c r="B429" t="s">
        <v>31</v>
      </c>
      <c r="C429" t="s">
        <v>9</v>
      </c>
      <c r="D429" s="27">
        <v>391246320</v>
      </c>
      <c r="E429" s="3" t="s">
        <v>41</v>
      </c>
      <c r="F429" s="23">
        <v>882913000</v>
      </c>
      <c r="G429" s="3" t="s">
        <v>41</v>
      </c>
      <c r="I429" s="25" t="str">
        <f t="shared" si="70"/>
        <v/>
      </c>
      <c r="J429" s="25" t="str">
        <f t="shared" si="70"/>
        <v/>
      </c>
      <c r="L429" s="3"/>
      <c r="M429" s="3"/>
    </row>
    <row r="430" spans="1:13" x14ac:dyDescent="0.45">
      <c r="A430" t="s">
        <v>17</v>
      </c>
      <c r="B430" t="s">
        <v>31</v>
      </c>
      <c r="C430" t="s">
        <v>9</v>
      </c>
      <c r="D430" s="27">
        <v>447666665.99999994</v>
      </c>
      <c r="E430" s="3" t="s">
        <v>41</v>
      </c>
      <c r="F430" s="23">
        <v>3610437000</v>
      </c>
      <c r="G430" s="3" t="s">
        <v>41</v>
      </c>
      <c r="I430" s="25" t="str">
        <f t="shared" si="70"/>
        <v/>
      </c>
      <c r="J430" s="25" t="str">
        <f t="shared" si="70"/>
        <v/>
      </c>
      <c r="L430" s="3"/>
      <c r="M430" s="3"/>
    </row>
    <row r="431" spans="1:13" x14ac:dyDescent="0.45">
      <c r="A431" t="s">
        <v>18</v>
      </c>
      <c r="B431" t="s">
        <v>31</v>
      </c>
      <c r="C431" t="s">
        <v>9</v>
      </c>
      <c r="D431" s="27">
        <v>197666660</v>
      </c>
      <c r="E431" s="3" t="s">
        <v>41</v>
      </c>
      <c r="F431" s="23">
        <v>943622000</v>
      </c>
      <c r="G431" s="3" t="s">
        <v>41</v>
      </c>
      <c r="I431" s="25" t="str">
        <f t="shared" si="70"/>
        <v/>
      </c>
      <c r="J431" s="25" t="str">
        <f t="shared" si="70"/>
        <v/>
      </c>
      <c r="L431" s="3"/>
      <c r="M431" s="3"/>
    </row>
    <row r="432" spans="1:13" x14ac:dyDescent="0.45">
      <c r="A432" t="s">
        <v>19</v>
      </c>
      <c r="B432" t="s">
        <v>31</v>
      </c>
      <c r="C432" t="s">
        <v>9</v>
      </c>
      <c r="D432" s="27">
        <v>66666660</v>
      </c>
      <c r="E432" s="3" t="s">
        <v>41</v>
      </c>
      <c r="F432" s="23">
        <v>4123624560</v>
      </c>
      <c r="G432" s="3" t="s">
        <v>41</v>
      </c>
      <c r="I432" s="25" t="str">
        <f t="shared" si="70"/>
        <v/>
      </c>
      <c r="J432" s="25" t="str">
        <f t="shared" si="70"/>
        <v/>
      </c>
      <c r="L432" s="3"/>
      <c r="M432" s="3"/>
    </row>
    <row r="433" spans="1:13" x14ac:dyDescent="0.45">
      <c r="A433" t="s">
        <v>20</v>
      </c>
      <c r="B433" t="s">
        <v>31</v>
      </c>
      <c r="C433" t="s">
        <v>9</v>
      </c>
      <c r="D433" s="27">
        <v>66666660</v>
      </c>
      <c r="E433" s="3" t="s">
        <v>41</v>
      </c>
      <c r="F433" s="23">
        <v>4605962307</v>
      </c>
      <c r="G433" s="3" t="s">
        <v>41</v>
      </c>
      <c r="I433" s="25" t="str">
        <f t="shared" si="70"/>
        <v/>
      </c>
      <c r="J433" s="25" t="str">
        <f t="shared" si="70"/>
        <v/>
      </c>
      <c r="L433" s="3"/>
      <c r="M433" s="3"/>
    </row>
    <row r="434" spans="1:13" x14ac:dyDescent="0.45">
      <c r="A434" t="s">
        <v>7</v>
      </c>
      <c r="B434" t="s">
        <v>31</v>
      </c>
      <c r="C434" t="s">
        <v>21</v>
      </c>
      <c r="D434" s="27">
        <v>0</v>
      </c>
      <c r="E434" s="3">
        <v>0</v>
      </c>
      <c r="F434" s="23">
        <v>0</v>
      </c>
      <c r="G434" s="3">
        <v>0</v>
      </c>
      <c r="I434" s="22">
        <f t="shared" ref="I434:J434" si="75">IF(L434="","",L434)</f>
        <v>0</v>
      </c>
      <c r="J434" s="22">
        <f t="shared" si="75"/>
        <v>0</v>
      </c>
      <c r="L434" s="3">
        <v>0</v>
      </c>
      <c r="M434" s="3">
        <v>0</v>
      </c>
    </row>
    <row r="435" spans="1:13" x14ac:dyDescent="0.45">
      <c r="A435" t="s">
        <v>10</v>
      </c>
      <c r="B435" t="s">
        <v>31</v>
      </c>
      <c r="C435" t="s">
        <v>21</v>
      </c>
      <c r="D435" s="28">
        <v>10000000</v>
      </c>
      <c r="E435" s="4">
        <v>0</v>
      </c>
      <c r="F435" s="24">
        <v>0</v>
      </c>
      <c r="G435" s="4">
        <v>0</v>
      </c>
      <c r="I435" s="25">
        <f t="shared" ref="I435:J435" si="76">IF(L435="","",L435-L434)</f>
        <v>0</v>
      </c>
      <c r="J435" s="25">
        <f t="shared" si="76"/>
        <v>0</v>
      </c>
      <c r="L435" s="4">
        <v>0</v>
      </c>
      <c r="M435" s="4">
        <v>0</v>
      </c>
    </row>
    <row r="436" spans="1:13" x14ac:dyDescent="0.45">
      <c r="A436" t="s">
        <v>11</v>
      </c>
      <c r="B436" t="s">
        <v>31</v>
      </c>
      <c r="C436" t="s">
        <v>21</v>
      </c>
      <c r="D436" s="27">
        <v>0</v>
      </c>
      <c r="E436" s="3">
        <v>24707600</v>
      </c>
      <c r="F436" s="23">
        <v>10000000</v>
      </c>
      <c r="G436" s="3">
        <v>0</v>
      </c>
      <c r="I436" s="25">
        <f t="shared" si="70"/>
        <v>24707600</v>
      </c>
      <c r="J436" s="25">
        <f t="shared" si="70"/>
        <v>0</v>
      </c>
      <c r="L436" s="29">
        <f>SUMIFS(Pivot_!C:C,Pivot_!A:A,'Hitung Per Bulan'!B436,Pivot_!B:B,'Hitung Per Bulan'!C436)</f>
        <v>24707600</v>
      </c>
      <c r="M436" s="29">
        <f>SUMIFS(Pivot_!D:D,Pivot_!A:A,'Hitung Per Bulan'!B436,Pivot_!B:B,'Hitung Per Bulan'!C436)</f>
        <v>0</v>
      </c>
    </row>
    <row r="437" spans="1:13" x14ac:dyDescent="0.45">
      <c r="A437" t="s">
        <v>12</v>
      </c>
      <c r="B437" t="s">
        <v>31</v>
      </c>
      <c r="C437" t="s">
        <v>21</v>
      </c>
      <c r="D437" s="27">
        <v>0</v>
      </c>
      <c r="E437" s="3" t="s">
        <v>41</v>
      </c>
      <c r="F437" s="23">
        <v>0</v>
      </c>
      <c r="G437" s="3" t="s">
        <v>41</v>
      </c>
      <c r="I437" s="25" t="str">
        <f t="shared" si="70"/>
        <v/>
      </c>
      <c r="J437" s="25" t="str">
        <f t="shared" si="70"/>
        <v/>
      </c>
      <c r="L437" s="3"/>
      <c r="M437" s="3"/>
    </row>
    <row r="438" spans="1:13" x14ac:dyDescent="0.45">
      <c r="A438" t="s">
        <v>13</v>
      </c>
      <c r="B438" t="s">
        <v>31</v>
      </c>
      <c r="C438" t="s">
        <v>21</v>
      </c>
      <c r="D438" s="27">
        <v>10000000</v>
      </c>
      <c r="E438" s="3" t="s">
        <v>41</v>
      </c>
      <c r="F438" s="23">
        <v>0</v>
      </c>
      <c r="G438" s="3" t="s">
        <v>41</v>
      </c>
      <c r="I438" s="25" t="str">
        <f t="shared" si="70"/>
        <v/>
      </c>
      <c r="J438" s="25" t="str">
        <f t="shared" si="70"/>
        <v/>
      </c>
      <c r="L438" s="3"/>
      <c r="M438" s="3"/>
    </row>
    <row r="439" spans="1:13" x14ac:dyDescent="0.45">
      <c r="A439" t="s">
        <v>14</v>
      </c>
      <c r="B439" t="s">
        <v>31</v>
      </c>
      <c r="C439" t="s">
        <v>21</v>
      </c>
      <c r="D439" s="27">
        <v>50000000</v>
      </c>
      <c r="E439" s="3" t="s">
        <v>41</v>
      </c>
      <c r="F439" s="23">
        <v>10000000</v>
      </c>
      <c r="G439" s="3" t="s">
        <v>41</v>
      </c>
      <c r="I439" s="25" t="str">
        <f t="shared" si="70"/>
        <v/>
      </c>
      <c r="J439" s="25" t="str">
        <f t="shared" si="70"/>
        <v/>
      </c>
      <c r="L439" s="3"/>
      <c r="M439" s="3"/>
    </row>
    <row r="440" spans="1:13" x14ac:dyDescent="0.45">
      <c r="A440" t="s">
        <v>15</v>
      </c>
      <c r="B440" t="s">
        <v>31</v>
      </c>
      <c r="C440" t="s">
        <v>21</v>
      </c>
      <c r="D440" s="27">
        <v>509000000</v>
      </c>
      <c r="E440" s="3" t="s">
        <v>41</v>
      </c>
      <c r="F440" s="23">
        <v>50000000</v>
      </c>
      <c r="G440" s="3" t="s">
        <v>41</v>
      </c>
      <c r="I440" s="25" t="str">
        <f t="shared" si="70"/>
        <v/>
      </c>
      <c r="J440" s="25" t="str">
        <f t="shared" si="70"/>
        <v/>
      </c>
      <c r="L440" s="3"/>
      <c r="M440" s="3"/>
    </row>
    <row r="441" spans="1:13" x14ac:dyDescent="0.45">
      <c r="A441" t="s">
        <v>16</v>
      </c>
      <c r="B441" t="s">
        <v>31</v>
      </c>
      <c r="C441" t="s">
        <v>21</v>
      </c>
      <c r="D441" s="27">
        <v>10000000</v>
      </c>
      <c r="E441" s="3" t="s">
        <v>41</v>
      </c>
      <c r="F441" s="23">
        <v>0</v>
      </c>
      <c r="G441" s="3" t="s">
        <v>41</v>
      </c>
      <c r="I441" s="25" t="str">
        <f t="shared" si="70"/>
        <v/>
      </c>
      <c r="J441" s="25" t="str">
        <f t="shared" si="70"/>
        <v/>
      </c>
      <c r="L441" s="3"/>
      <c r="M441" s="3"/>
    </row>
    <row r="442" spans="1:13" x14ac:dyDescent="0.45">
      <c r="A442" t="s">
        <v>17</v>
      </c>
      <c r="B442" t="s">
        <v>31</v>
      </c>
      <c r="C442" t="s">
        <v>21</v>
      </c>
      <c r="D442" s="27">
        <v>50000000</v>
      </c>
      <c r="E442" s="3" t="s">
        <v>41</v>
      </c>
      <c r="F442" s="23">
        <v>10000000</v>
      </c>
      <c r="G442" s="3" t="s">
        <v>41</v>
      </c>
      <c r="I442" s="25" t="str">
        <f t="shared" si="70"/>
        <v/>
      </c>
      <c r="J442" s="25" t="str">
        <f t="shared" si="70"/>
        <v/>
      </c>
      <c r="L442" s="3"/>
      <c r="M442" s="3"/>
    </row>
    <row r="443" spans="1:13" x14ac:dyDescent="0.45">
      <c r="A443" t="s">
        <v>18</v>
      </c>
      <c r="B443" t="s">
        <v>31</v>
      </c>
      <c r="C443" t="s">
        <v>21</v>
      </c>
      <c r="D443" s="27">
        <v>0</v>
      </c>
      <c r="E443" s="3" t="s">
        <v>41</v>
      </c>
      <c r="F443" s="23">
        <v>50000000</v>
      </c>
      <c r="G443" s="3" t="s">
        <v>41</v>
      </c>
      <c r="I443" s="25" t="str">
        <f t="shared" si="70"/>
        <v/>
      </c>
      <c r="J443" s="25" t="str">
        <f t="shared" si="70"/>
        <v/>
      </c>
      <c r="L443" s="3"/>
      <c r="M443" s="3"/>
    </row>
    <row r="444" spans="1:13" x14ac:dyDescent="0.45">
      <c r="A444" t="s">
        <v>19</v>
      </c>
      <c r="B444" t="s">
        <v>31</v>
      </c>
      <c r="C444" t="s">
        <v>21</v>
      </c>
      <c r="D444" s="27">
        <v>10000000</v>
      </c>
      <c r="E444" s="3" t="s">
        <v>41</v>
      </c>
      <c r="F444" s="23">
        <v>0</v>
      </c>
      <c r="G444" s="3" t="s">
        <v>41</v>
      </c>
      <c r="I444" s="25" t="str">
        <f t="shared" si="70"/>
        <v/>
      </c>
      <c r="J444" s="25" t="str">
        <f t="shared" si="70"/>
        <v/>
      </c>
      <c r="L444" s="3"/>
      <c r="M444" s="3"/>
    </row>
    <row r="445" spans="1:13" x14ac:dyDescent="0.45">
      <c r="A445" t="s">
        <v>20</v>
      </c>
      <c r="B445" t="s">
        <v>31</v>
      </c>
      <c r="C445" t="s">
        <v>21</v>
      </c>
      <c r="D445" s="27">
        <v>0</v>
      </c>
      <c r="E445" s="3" t="s">
        <v>41</v>
      </c>
      <c r="F445" s="23">
        <v>519000000</v>
      </c>
      <c r="G445" s="3" t="s">
        <v>41</v>
      </c>
      <c r="I445" s="25" t="str">
        <f t="shared" si="70"/>
        <v/>
      </c>
      <c r="J445" s="25" t="str">
        <f t="shared" si="70"/>
        <v/>
      </c>
      <c r="L445" s="3"/>
      <c r="M445" s="3"/>
    </row>
    <row r="446" spans="1:13" x14ac:dyDescent="0.45">
      <c r="A446" t="s">
        <v>7</v>
      </c>
      <c r="B446" t="s">
        <v>31</v>
      </c>
      <c r="C446" t="s">
        <v>22</v>
      </c>
      <c r="D446" s="27">
        <v>0</v>
      </c>
      <c r="E446" s="3">
        <v>0</v>
      </c>
      <c r="F446" s="23">
        <v>0</v>
      </c>
      <c r="G446" s="3">
        <v>0</v>
      </c>
      <c r="I446" s="22">
        <f t="shared" ref="I446:J446" si="77">IF(L446="","",L446)</f>
        <v>0</v>
      </c>
      <c r="J446" s="22">
        <f t="shared" si="77"/>
        <v>0</v>
      </c>
      <c r="L446" s="3">
        <v>0</v>
      </c>
      <c r="M446" s="3">
        <v>0</v>
      </c>
    </row>
    <row r="447" spans="1:13" x14ac:dyDescent="0.45">
      <c r="A447" t="s">
        <v>10</v>
      </c>
      <c r="B447" t="s">
        <v>31</v>
      </c>
      <c r="C447" t="s">
        <v>22</v>
      </c>
      <c r="D447" s="28">
        <v>80025000</v>
      </c>
      <c r="E447" s="4">
        <v>71775000</v>
      </c>
      <c r="F447" s="24">
        <v>0</v>
      </c>
      <c r="G447" s="4">
        <v>0</v>
      </c>
      <c r="I447" s="25">
        <f t="shared" ref="I447:J447" si="78">IF(L447="","",L447-L446)</f>
        <v>71775000</v>
      </c>
      <c r="J447" s="25">
        <f t="shared" si="78"/>
        <v>0</v>
      </c>
      <c r="L447" s="4">
        <v>71775000</v>
      </c>
      <c r="M447" s="4">
        <v>0</v>
      </c>
    </row>
    <row r="448" spans="1:13" x14ac:dyDescent="0.45">
      <c r="A448" t="s">
        <v>11</v>
      </c>
      <c r="B448" t="s">
        <v>31</v>
      </c>
      <c r="C448" t="s">
        <v>22</v>
      </c>
      <c r="D448" s="27">
        <v>0</v>
      </c>
      <c r="E448" s="3">
        <v>0</v>
      </c>
      <c r="F448" s="23">
        <v>80025000</v>
      </c>
      <c r="G448" s="3">
        <v>0</v>
      </c>
      <c r="I448" s="25">
        <f t="shared" si="70"/>
        <v>0</v>
      </c>
      <c r="J448" s="25">
        <f t="shared" si="70"/>
        <v>27250000</v>
      </c>
      <c r="L448" s="29">
        <f>SUMIFS(Pivot_!C:C,Pivot_!A:A,'Hitung Per Bulan'!B448,Pivot_!B:B,'Hitung Per Bulan'!C448)</f>
        <v>71775000</v>
      </c>
      <c r="M448" s="29">
        <f>SUMIFS(Pivot_!D:D,Pivot_!A:A,'Hitung Per Bulan'!B448,Pivot_!B:B,'Hitung Per Bulan'!C448)</f>
        <v>27250000</v>
      </c>
    </row>
    <row r="449" spans="1:13" x14ac:dyDescent="0.45">
      <c r="A449" t="s">
        <v>12</v>
      </c>
      <c r="B449" t="s">
        <v>31</v>
      </c>
      <c r="C449" t="s">
        <v>22</v>
      </c>
      <c r="D449" s="27">
        <v>0</v>
      </c>
      <c r="E449" s="3" t="s">
        <v>41</v>
      </c>
      <c r="F449" s="23">
        <v>0</v>
      </c>
      <c r="G449" s="3" t="s">
        <v>41</v>
      </c>
      <c r="I449" s="25" t="str">
        <f t="shared" si="70"/>
        <v/>
      </c>
      <c r="J449" s="25" t="str">
        <f t="shared" si="70"/>
        <v/>
      </c>
      <c r="L449" s="3"/>
      <c r="M449" s="3"/>
    </row>
    <row r="450" spans="1:13" x14ac:dyDescent="0.45">
      <c r="A450" t="s">
        <v>13</v>
      </c>
      <c r="B450" t="s">
        <v>31</v>
      </c>
      <c r="C450" t="s">
        <v>22</v>
      </c>
      <c r="D450" s="27">
        <v>80025000</v>
      </c>
      <c r="E450" s="3" t="s">
        <v>41</v>
      </c>
      <c r="F450" s="23">
        <v>0</v>
      </c>
      <c r="G450" s="3" t="s">
        <v>41</v>
      </c>
      <c r="I450" s="25" t="str">
        <f t="shared" si="70"/>
        <v/>
      </c>
      <c r="J450" s="25" t="str">
        <f t="shared" si="70"/>
        <v/>
      </c>
      <c r="L450" s="3"/>
      <c r="M450" s="3"/>
    </row>
    <row r="451" spans="1:13" x14ac:dyDescent="0.45">
      <c r="A451" t="s">
        <v>14</v>
      </c>
      <c r="B451" t="s">
        <v>31</v>
      </c>
      <c r="C451" t="s">
        <v>22</v>
      </c>
      <c r="D451" s="27">
        <v>0</v>
      </c>
      <c r="E451" s="3" t="s">
        <v>41</v>
      </c>
      <c r="F451" s="23">
        <v>80025000</v>
      </c>
      <c r="G451" s="3" t="s">
        <v>41</v>
      </c>
      <c r="I451" s="25" t="str">
        <f t="shared" si="70"/>
        <v/>
      </c>
      <c r="J451" s="25" t="str">
        <f t="shared" si="70"/>
        <v/>
      </c>
      <c r="L451" s="3"/>
      <c r="M451" s="3"/>
    </row>
    <row r="452" spans="1:13" x14ac:dyDescent="0.45">
      <c r="A452" t="s">
        <v>15</v>
      </c>
      <c r="B452" t="s">
        <v>31</v>
      </c>
      <c r="C452" t="s">
        <v>22</v>
      </c>
      <c r="D452" s="27">
        <v>0</v>
      </c>
      <c r="E452" s="3" t="s">
        <v>41</v>
      </c>
      <c r="F452" s="23">
        <v>0</v>
      </c>
      <c r="G452" s="3" t="s">
        <v>41</v>
      </c>
      <c r="I452" s="25" t="str">
        <f t="shared" si="70"/>
        <v/>
      </c>
      <c r="J452" s="25" t="str">
        <f t="shared" si="70"/>
        <v/>
      </c>
      <c r="L452" s="3"/>
      <c r="M452" s="3"/>
    </row>
    <row r="453" spans="1:13" x14ac:dyDescent="0.45">
      <c r="A453" t="s">
        <v>16</v>
      </c>
      <c r="B453" t="s">
        <v>31</v>
      </c>
      <c r="C453" t="s">
        <v>22</v>
      </c>
      <c r="D453" s="27">
        <v>80025000</v>
      </c>
      <c r="E453" s="3" t="s">
        <v>41</v>
      </c>
      <c r="F453" s="23">
        <v>0</v>
      </c>
      <c r="G453" s="3" t="s">
        <v>41</v>
      </c>
      <c r="I453" s="25" t="str">
        <f t="shared" si="70"/>
        <v/>
      </c>
      <c r="J453" s="25" t="str">
        <f t="shared" si="70"/>
        <v/>
      </c>
      <c r="L453" s="3"/>
      <c r="M453" s="3"/>
    </row>
    <row r="454" spans="1:13" x14ac:dyDescent="0.45">
      <c r="A454" t="s">
        <v>17</v>
      </c>
      <c r="B454" t="s">
        <v>31</v>
      </c>
      <c r="C454" t="s">
        <v>22</v>
      </c>
      <c r="D454" s="27">
        <v>0</v>
      </c>
      <c r="E454" s="3" t="s">
        <v>41</v>
      </c>
      <c r="F454" s="23">
        <v>80025000</v>
      </c>
      <c r="G454" s="3" t="s">
        <v>41</v>
      </c>
      <c r="I454" s="25" t="str">
        <f t="shared" si="70"/>
        <v/>
      </c>
      <c r="J454" s="25" t="str">
        <f t="shared" si="70"/>
        <v/>
      </c>
      <c r="L454" s="3"/>
      <c r="M454" s="3"/>
    </row>
    <row r="455" spans="1:13" x14ac:dyDescent="0.45">
      <c r="A455" t="s">
        <v>18</v>
      </c>
      <c r="B455" t="s">
        <v>31</v>
      </c>
      <c r="C455" t="s">
        <v>22</v>
      </c>
      <c r="D455" s="27">
        <v>0</v>
      </c>
      <c r="E455" s="3" t="s">
        <v>41</v>
      </c>
      <c r="F455" s="23">
        <v>0</v>
      </c>
      <c r="G455" s="3" t="s">
        <v>41</v>
      </c>
      <c r="I455" s="25" t="str">
        <f t="shared" si="70"/>
        <v/>
      </c>
      <c r="J455" s="25" t="str">
        <f t="shared" si="70"/>
        <v/>
      </c>
      <c r="L455" s="3"/>
      <c r="M455" s="3"/>
    </row>
    <row r="456" spans="1:13" x14ac:dyDescent="0.45">
      <c r="A456" t="s">
        <v>19</v>
      </c>
      <c r="B456" t="s">
        <v>31</v>
      </c>
      <c r="C456" t="s">
        <v>22</v>
      </c>
      <c r="D456" s="27">
        <v>80025000</v>
      </c>
      <c r="E456" s="3" t="s">
        <v>41</v>
      </c>
      <c r="F456" s="23">
        <v>0</v>
      </c>
      <c r="G456" s="3" t="s">
        <v>41</v>
      </c>
      <c r="I456" s="25" t="str">
        <f t="shared" si="70"/>
        <v/>
      </c>
      <c r="J456" s="25" t="str">
        <f t="shared" si="70"/>
        <v/>
      </c>
      <c r="L456" s="3"/>
      <c r="M456" s="3"/>
    </row>
    <row r="457" spans="1:13" x14ac:dyDescent="0.45">
      <c r="A457" t="s">
        <v>20</v>
      </c>
      <c r="B457" t="s">
        <v>31</v>
      </c>
      <c r="C457" t="s">
        <v>22</v>
      </c>
      <c r="D457" s="27">
        <v>0</v>
      </c>
      <c r="E457" s="3" t="s">
        <v>41</v>
      </c>
      <c r="F457" s="23">
        <v>80025000</v>
      </c>
      <c r="G457" s="3" t="s">
        <v>41</v>
      </c>
      <c r="I457" s="25" t="str">
        <f t="shared" si="70"/>
        <v/>
      </c>
      <c r="J457" s="25" t="str">
        <f t="shared" si="70"/>
        <v/>
      </c>
      <c r="L457" s="3"/>
      <c r="M457" s="3"/>
    </row>
    <row r="458" spans="1:13" x14ac:dyDescent="0.45">
      <c r="A458" t="s">
        <v>7</v>
      </c>
      <c r="B458" t="s">
        <v>31</v>
      </c>
      <c r="C458" t="s">
        <v>23</v>
      </c>
      <c r="D458" s="27">
        <v>0</v>
      </c>
      <c r="E458" s="3">
        <v>46460160</v>
      </c>
      <c r="F458" s="23">
        <v>0</v>
      </c>
      <c r="G458" s="3">
        <v>0</v>
      </c>
      <c r="I458" s="22">
        <f t="shared" ref="I458:J458" si="79">IF(L458="","",L458)</f>
        <v>46460160</v>
      </c>
      <c r="J458" s="22">
        <f t="shared" si="79"/>
        <v>0</v>
      </c>
      <c r="L458" s="3">
        <v>46460160</v>
      </c>
      <c r="M458" s="3">
        <v>0</v>
      </c>
    </row>
    <row r="459" spans="1:13" x14ac:dyDescent="0.45">
      <c r="A459" t="s">
        <v>10</v>
      </c>
      <c r="B459" t="s">
        <v>31</v>
      </c>
      <c r="C459" t="s">
        <v>23</v>
      </c>
      <c r="D459" s="28">
        <v>50000000</v>
      </c>
      <c r="E459" s="4">
        <v>0</v>
      </c>
      <c r="F459" s="24">
        <v>0</v>
      </c>
      <c r="G459" s="4">
        <v>0</v>
      </c>
      <c r="I459" s="25">
        <f t="shared" ref="I459:J459" si="80">IF(L459="","",L459-L458)</f>
        <v>0</v>
      </c>
      <c r="J459" s="25">
        <f t="shared" si="80"/>
        <v>0</v>
      </c>
      <c r="L459" s="4">
        <v>46460160</v>
      </c>
      <c r="M459" s="4">
        <v>0</v>
      </c>
    </row>
    <row r="460" spans="1:13" x14ac:dyDescent="0.45">
      <c r="A460" t="s">
        <v>11</v>
      </c>
      <c r="B460" t="s">
        <v>31</v>
      </c>
      <c r="C460" t="s">
        <v>23</v>
      </c>
      <c r="D460" s="27">
        <v>0</v>
      </c>
      <c r="E460" s="3">
        <v>-4604160</v>
      </c>
      <c r="F460" s="23">
        <v>50000000</v>
      </c>
      <c r="G460" s="3">
        <v>41856000</v>
      </c>
      <c r="I460" s="25">
        <f t="shared" si="70"/>
        <v>-4604160</v>
      </c>
      <c r="J460" s="25">
        <f t="shared" si="70"/>
        <v>41856000</v>
      </c>
      <c r="L460" s="29">
        <f>SUMIFS(Pivot_!C:C,Pivot_!A:A,'Hitung Per Bulan'!B460,Pivot_!B:B,'Hitung Per Bulan'!C460)</f>
        <v>41856000</v>
      </c>
      <c r="M460" s="29">
        <f>SUMIFS(Pivot_!D:D,Pivot_!A:A,'Hitung Per Bulan'!B460,Pivot_!B:B,'Hitung Per Bulan'!C460)</f>
        <v>41856000</v>
      </c>
    </row>
    <row r="461" spans="1:13" x14ac:dyDescent="0.45">
      <c r="A461" t="s">
        <v>12</v>
      </c>
      <c r="B461" t="s">
        <v>31</v>
      </c>
      <c r="C461" t="s">
        <v>23</v>
      </c>
      <c r="D461" s="27">
        <v>0</v>
      </c>
      <c r="E461" s="3" t="s">
        <v>41</v>
      </c>
      <c r="F461" s="23">
        <v>0</v>
      </c>
      <c r="G461" s="3" t="s">
        <v>41</v>
      </c>
      <c r="I461" s="25" t="str">
        <f t="shared" si="70"/>
        <v/>
      </c>
      <c r="J461" s="25" t="str">
        <f t="shared" si="70"/>
        <v/>
      </c>
      <c r="L461" s="3"/>
      <c r="M461" s="3"/>
    </row>
    <row r="462" spans="1:13" x14ac:dyDescent="0.45">
      <c r="A462" t="s">
        <v>13</v>
      </c>
      <c r="B462" t="s">
        <v>31</v>
      </c>
      <c r="C462" t="s">
        <v>23</v>
      </c>
      <c r="D462" s="27">
        <v>0</v>
      </c>
      <c r="E462" s="3" t="s">
        <v>41</v>
      </c>
      <c r="F462" s="23">
        <v>0</v>
      </c>
      <c r="G462" s="3" t="s">
        <v>41</v>
      </c>
      <c r="I462" s="25" t="str">
        <f t="shared" si="70"/>
        <v/>
      </c>
      <c r="J462" s="25" t="str">
        <f t="shared" si="70"/>
        <v/>
      </c>
      <c r="L462" s="3"/>
      <c r="M462" s="3"/>
    </row>
    <row r="463" spans="1:13" x14ac:dyDescent="0.45">
      <c r="A463" t="s">
        <v>14</v>
      </c>
      <c r="B463" t="s">
        <v>31</v>
      </c>
      <c r="C463" t="s">
        <v>23</v>
      </c>
      <c r="D463" s="27">
        <v>0</v>
      </c>
      <c r="E463" s="3" t="s">
        <v>41</v>
      </c>
      <c r="F463" s="23">
        <v>0</v>
      </c>
      <c r="G463" s="3" t="s">
        <v>41</v>
      </c>
      <c r="I463" s="25" t="str">
        <f t="shared" ref="I463:J526" si="81">IF(L463="","",L463-L462)</f>
        <v/>
      </c>
      <c r="J463" s="25" t="str">
        <f t="shared" si="81"/>
        <v/>
      </c>
      <c r="L463" s="3"/>
      <c r="M463" s="3"/>
    </row>
    <row r="464" spans="1:13" x14ac:dyDescent="0.45">
      <c r="A464" t="s">
        <v>15</v>
      </c>
      <c r="B464" t="s">
        <v>31</v>
      </c>
      <c r="C464" t="s">
        <v>23</v>
      </c>
      <c r="D464" s="27">
        <v>50000000</v>
      </c>
      <c r="E464" s="3" t="s">
        <v>41</v>
      </c>
      <c r="F464" s="23">
        <v>0</v>
      </c>
      <c r="G464" s="3" t="s">
        <v>41</v>
      </c>
      <c r="I464" s="25" t="str">
        <f t="shared" si="81"/>
        <v/>
      </c>
      <c r="J464" s="25" t="str">
        <f t="shared" si="81"/>
        <v/>
      </c>
      <c r="L464" s="3"/>
      <c r="M464" s="3"/>
    </row>
    <row r="465" spans="1:13" x14ac:dyDescent="0.45">
      <c r="A465" t="s">
        <v>16</v>
      </c>
      <c r="B465" t="s">
        <v>31</v>
      </c>
      <c r="C465" t="s">
        <v>23</v>
      </c>
      <c r="D465" s="27">
        <v>0</v>
      </c>
      <c r="E465" s="3" t="s">
        <v>41</v>
      </c>
      <c r="F465" s="23">
        <v>50000000</v>
      </c>
      <c r="G465" s="3" t="s">
        <v>41</v>
      </c>
      <c r="I465" s="25" t="str">
        <f t="shared" si="81"/>
        <v/>
      </c>
      <c r="J465" s="25" t="str">
        <f t="shared" si="81"/>
        <v/>
      </c>
      <c r="L465" s="3"/>
      <c r="M465" s="3"/>
    </row>
    <row r="466" spans="1:13" x14ac:dyDescent="0.45">
      <c r="A466" t="s">
        <v>17</v>
      </c>
      <c r="B466" t="s">
        <v>31</v>
      </c>
      <c r="C466" t="s">
        <v>23</v>
      </c>
      <c r="D466" s="27">
        <v>0</v>
      </c>
      <c r="E466" s="3" t="s">
        <v>41</v>
      </c>
      <c r="F466" s="23">
        <v>0</v>
      </c>
      <c r="G466" s="3" t="s">
        <v>41</v>
      </c>
      <c r="I466" s="25" t="str">
        <f t="shared" si="81"/>
        <v/>
      </c>
      <c r="J466" s="25" t="str">
        <f t="shared" si="81"/>
        <v/>
      </c>
      <c r="L466" s="3"/>
      <c r="M466" s="3"/>
    </row>
    <row r="467" spans="1:13" x14ac:dyDescent="0.45">
      <c r="A467" t="s">
        <v>18</v>
      </c>
      <c r="B467" t="s">
        <v>31</v>
      </c>
      <c r="C467" t="s">
        <v>23</v>
      </c>
      <c r="D467" s="27">
        <v>50000000</v>
      </c>
      <c r="E467" s="3" t="s">
        <v>41</v>
      </c>
      <c r="F467" s="23">
        <v>0</v>
      </c>
      <c r="G467" s="3" t="s">
        <v>41</v>
      </c>
      <c r="I467" s="25" t="str">
        <f t="shared" si="81"/>
        <v/>
      </c>
      <c r="J467" s="25" t="str">
        <f t="shared" si="81"/>
        <v/>
      </c>
      <c r="L467" s="3"/>
      <c r="M467" s="3"/>
    </row>
    <row r="468" spans="1:13" x14ac:dyDescent="0.45">
      <c r="A468" t="s">
        <v>19</v>
      </c>
      <c r="B468" t="s">
        <v>31</v>
      </c>
      <c r="C468" t="s">
        <v>23</v>
      </c>
      <c r="D468" s="27">
        <v>0</v>
      </c>
      <c r="E468" s="3" t="s">
        <v>41</v>
      </c>
      <c r="F468" s="23">
        <v>50000000</v>
      </c>
      <c r="G468" s="3" t="s">
        <v>41</v>
      </c>
      <c r="I468" s="25" t="str">
        <f t="shared" si="81"/>
        <v/>
      </c>
      <c r="J468" s="25" t="str">
        <f t="shared" si="81"/>
        <v/>
      </c>
      <c r="L468" s="3"/>
      <c r="M468" s="3"/>
    </row>
    <row r="469" spans="1:13" x14ac:dyDescent="0.45">
      <c r="A469" t="s">
        <v>20</v>
      </c>
      <c r="B469" t="s">
        <v>31</v>
      </c>
      <c r="C469" t="s">
        <v>23</v>
      </c>
      <c r="D469" s="27">
        <v>0</v>
      </c>
      <c r="E469" s="3" t="s">
        <v>41</v>
      </c>
      <c r="F469" s="23">
        <v>0</v>
      </c>
      <c r="G469" s="3" t="s">
        <v>41</v>
      </c>
      <c r="I469" s="25" t="str">
        <f t="shared" si="81"/>
        <v/>
      </c>
      <c r="J469" s="25" t="str">
        <f t="shared" si="81"/>
        <v/>
      </c>
      <c r="L469" s="3"/>
      <c r="M469" s="3"/>
    </row>
    <row r="470" spans="1:13" x14ac:dyDescent="0.45">
      <c r="A470" t="s">
        <v>7</v>
      </c>
      <c r="B470" t="s">
        <v>31</v>
      </c>
      <c r="C470" t="s">
        <v>24</v>
      </c>
      <c r="D470" s="27">
        <v>0</v>
      </c>
      <c r="E470" s="3">
        <v>0</v>
      </c>
      <c r="F470" s="23">
        <v>0</v>
      </c>
      <c r="G470" s="3">
        <v>0</v>
      </c>
      <c r="I470" s="22">
        <f t="shared" ref="I470:J470" si="82">IF(L470="","",L470)</f>
        <v>0</v>
      </c>
      <c r="J470" s="22">
        <f t="shared" si="82"/>
        <v>0</v>
      </c>
      <c r="L470" s="3">
        <v>0</v>
      </c>
      <c r="M470" s="3">
        <v>0</v>
      </c>
    </row>
    <row r="471" spans="1:13" x14ac:dyDescent="0.45">
      <c r="A471" t="s">
        <v>10</v>
      </c>
      <c r="B471" t="s">
        <v>31</v>
      </c>
      <c r="C471" t="s">
        <v>24</v>
      </c>
      <c r="D471" s="28">
        <v>0</v>
      </c>
      <c r="E471" s="4">
        <v>0</v>
      </c>
      <c r="F471" s="24">
        <v>0</v>
      </c>
      <c r="G471" s="4">
        <v>0</v>
      </c>
      <c r="I471" s="25">
        <f t="shared" ref="I471:J471" si="83">IF(L471="","",L471-L470)</f>
        <v>0</v>
      </c>
      <c r="J471" s="25">
        <f t="shared" si="83"/>
        <v>0</v>
      </c>
      <c r="L471" s="4">
        <v>0</v>
      </c>
      <c r="M471" s="4">
        <v>0</v>
      </c>
    </row>
    <row r="472" spans="1:13" x14ac:dyDescent="0.45">
      <c r="A472" t="s">
        <v>11</v>
      </c>
      <c r="B472" t="s">
        <v>31</v>
      </c>
      <c r="C472" t="s">
        <v>24</v>
      </c>
      <c r="D472" s="27">
        <v>0</v>
      </c>
      <c r="E472" s="3">
        <v>0</v>
      </c>
      <c r="F472" s="23">
        <v>0</v>
      </c>
      <c r="G472" s="3">
        <v>0</v>
      </c>
      <c r="I472" s="25">
        <f t="shared" si="81"/>
        <v>0</v>
      </c>
      <c r="J472" s="25">
        <f t="shared" si="81"/>
        <v>0</v>
      </c>
      <c r="L472" s="29">
        <f>SUMIFS(Pivot_!C:C,Pivot_!A:A,'Hitung Per Bulan'!B472,Pivot_!B:B,'Hitung Per Bulan'!C472)</f>
        <v>0</v>
      </c>
      <c r="M472" s="29">
        <f>SUMIFS(Pivot_!D:D,Pivot_!A:A,'Hitung Per Bulan'!B472,Pivot_!B:B,'Hitung Per Bulan'!C472)</f>
        <v>0</v>
      </c>
    </row>
    <row r="473" spans="1:13" x14ac:dyDescent="0.45">
      <c r="A473" t="s">
        <v>12</v>
      </c>
      <c r="B473" t="s">
        <v>31</v>
      </c>
      <c r="C473" t="s">
        <v>24</v>
      </c>
      <c r="D473" s="27">
        <v>0</v>
      </c>
      <c r="E473" s="3" t="s">
        <v>41</v>
      </c>
      <c r="F473" s="23">
        <v>0</v>
      </c>
      <c r="G473" s="3" t="s">
        <v>41</v>
      </c>
      <c r="I473" s="25" t="str">
        <f t="shared" si="81"/>
        <v/>
      </c>
      <c r="J473" s="25" t="str">
        <f t="shared" si="81"/>
        <v/>
      </c>
      <c r="L473" s="3"/>
      <c r="M473" s="3"/>
    </row>
    <row r="474" spans="1:13" x14ac:dyDescent="0.45">
      <c r="A474" t="s">
        <v>13</v>
      </c>
      <c r="B474" t="s">
        <v>31</v>
      </c>
      <c r="C474" t="s">
        <v>24</v>
      </c>
      <c r="D474" s="27">
        <v>0</v>
      </c>
      <c r="E474" s="3" t="s">
        <v>41</v>
      </c>
      <c r="F474" s="23">
        <v>0</v>
      </c>
      <c r="G474" s="3" t="s">
        <v>41</v>
      </c>
      <c r="I474" s="25" t="str">
        <f t="shared" si="81"/>
        <v/>
      </c>
      <c r="J474" s="25" t="str">
        <f t="shared" si="81"/>
        <v/>
      </c>
      <c r="L474" s="3"/>
      <c r="M474" s="3"/>
    </row>
    <row r="475" spans="1:13" x14ac:dyDescent="0.45">
      <c r="A475" t="s">
        <v>14</v>
      </c>
      <c r="B475" t="s">
        <v>31</v>
      </c>
      <c r="C475" t="s">
        <v>24</v>
      </c>
      <c r="D475" s="27">
        <v>0</v>
      </c>
      <c r="E475" s="3" t="s">
        <v>41</v>
      </c>
      <c r="F475" s="23">
        <v>0</v>
      </c>
      <c r="G475" s="3" t="s">
        <v>41</v>
      </c>
      <c r="I475" s="25" t="str">
        <f t="shared" si="81"/>
        <v/>
      </c>
      <c r="J475" s="25" t="str">
        <f t="shared" si="81"/>
        <v/>
      </c>
      <c r="L475" s="3"/>
      <c r="M475" s="3"/>
    </row>
    <row r="476" spans="1:13" x14ac:dyDescent="0.45">
      <c r="A476" t="s">
        <v>15</v>
      </c>
      <c r="B476" t="s">
        <v>31</v>
      </c>
      <c r="C476" t="s">
        <v>24</v>
      </c>
      <c r="D476" s="27">
        <v>0</v>
      </c>
      <c r="E476" s="3" t="s">
        <v>41</v>
      </c>
      <c r="F476" s="23">
        <v>0</v>
      </c>
      <c r="G476" s="3" t="s">
        <v>41</v>
      </c>
      <c r="I476" s="25" t="str">
        <f t="shared" si="81"/>
        <v/>
      </c>
      <c r="J476" s="25" t="str">
        <f t="shared" si="81"/>
        <v/>
      </c>
      <c r="L476" s="3"/>
      <c r="M476" s="3"/>
    </row>
    <row r="477" spans="1:13" x14ac:dyDescent="0.45">
      <c r="A477" t="s">
        <v>16</v>
      </c>
      <c r="B477" t="s">
        <v>31</v>
      </c>
      <c r="C477" t="s">
        <v>24</v>
      </c>
      <c r="D477" s="27">
        <v>0</v>
      </c>
      <c r="E477" s="3" t="s">
        <v>41</v>
      </c>
      <c r="F477" s="23">
        <v>0</v>
      </c>
      <c r="G477" s="3" t="s">
        <v>41</v>
      </c>
      <c r="I477" s="25" t="str">
        <f t="shared" si="81"/>
        <v/>
      </c>
      <c r="J477" s="25" t="str">
        <f t="shared" si="81"/>
        <v/>
      </c>
      <c r="L477" s="3"/>
      <c r="M477" s="3"/>
    </row>
    <row r="478" spans="1:13" x14ac:dyDescent="0.45">
      <c r="A478" t="s">
        <v>17</v>
      </c>
      <c r="B478" t="s">
        <v>31</v>
      </c>
      <c r="C478" t="s">
        <v>24</v>
      </c>
      <c r="D478" s="27">
        <v>0</v>
      </c>
      <c r="E478" s="3" t="s">
        <v>41</v>
      </c>
      <c r="F478" s="23">
        <v>0</v>
      </c>
      <c r="G478" s="3" t="s">
        <v>41</v>
      </c>
      <c r="I478" s="25" t="str">
        <f t="shared" si="81"/>
        <v/>
      </c>
      <c r="J478" s="25" t="str">
        <f t="shared" si="81"/>
        <v/>
      </c>
      <c r="L478" s="3"/>
      <c r="M478" s="3"/>
    </row>
    <row r="479" spans="1:13" x14ac:dyDescent="0.45">
      <c r="A479" t="s">
        <v>18</v>
      </c>
      <c r="B479" t="s">
        <v>31</v>
      </c>
      <c r="C479" t="s">
        <v>24</v>
      </c>
      <c r="D479" s="27">
        <v>0</v>
      </c>
      <c r="E479" s="3" t="s">
        <v>41</v>
      </c>
      <c r="F479" s="23">
        <v>0</v>
      </c>
      <c r="G479" s="3" t="s">
        <v>41</v>
      </c>
      <c r="I479" s="25" t="str">
        <f t="shared" si="81"/>
        <v/>
      </c>
      <c r="J479" s="25" t="str">
        <f t="shared" si="81"/>
        <v/>
      </c>
      <c r="L479" s="3"/>
      <c r="M479" s="3"/>
    </row>
    <row r="480" spans="1:13" x14ac:dyDescent="0.45">
      <c r="A480" t="s">
        <v>19</v>
      </c>
      <c r="B480" t="s">
        <v>31</v>
      </c>
      <c r="C480" t="s">
        <v>24</v>
      </c>
      <c r="D480" s="27">
        <v>0</v>
      </c>
      <c r="E480" s="3" t="s">
        <v>41</v>
      </c>
      <c r="F480" s="23">
        <v>0</v>
      </c>
      <c r="G480" s="3" t="s">
        <v>41</v>
      </c>
      <c r="I480" s="25" t="str">
        <f t="shared" si="81"/>
        <v/>
      </c>
      <c r="J480" s="25" t="str">
        <f t="shared" si="81"/>
        <v/>
      </c>
      <c r="L480" s="3"/>
      <c r="M480" s="3"/>
    </row>
    <row r="481" spans="1:13" x14ac:dyDescent="0.45">
      <c r="A481" t="s">
        <v>20</v>
      </c>
      <c r="B481" t="s">
        <v>31</v>
      </c>
      <c r="C481" t="s">
        <v>24</v>
      </c>
      <c r="D481" s="27">
        <v>0</v>
      </c>
      <c r="E481" s="3" t="s">
        <v>41</v>
      </c>
      <c r="F481" s="23">
        <v>0</v>
      </c>
      <c r="G481" s="3" t="s">
        <v>41</v>
      </c>
      <c r="I481" s="25" t="str">
        <f t="shared" si="81"/>
        <v/>
      </c>
      <c r="J481" s="25" t="str">
        <f t="shared" si="81"/>
        <v/>
      </c>
      <c r="L481" s="3"/>
      <c r="M481" s="3"/>
    </row>
    <row r="482" spans="1:13" x14ac:dyDescent="0.45">
      <c r="A482" t="s">
        <v>7</v>
      </c>
      <c r="B482" t="s">
        <v>31</v>
      </c>
      <c r="C482" t="s">
        <v>25</v>
      </c>
      <c r="D482" s="27">
        <v>142200000</v>
      </c>
      <c r="E482" s="3">
        <v>125678941</v>
      </c>
      <c r="F482" s="23">
        <v>8750000</v>
      </c>
      <c r="G482" s="3">
        <v>17499750</v>
      </c>
      <c r="I482" s="22">
        <f t="shared" ref="I482:J482" si="84">IF(L482="","",L482)</f>
        <v>125678941</v>
      </c>
      <c r="J482" s="22">
        <f t="shared" si="84"/>
        <v>17499750</v>
      </c>
      <c r="L482" s="3">
        <v>125678941</v>
      </c>
      <c r="M482" s="3">
        <v>17499750</v>
      </c>
    </row>
    <row r="483" spans="1:13" x14ac:dyDescent="0.45">
      <c r="A483" t="s">
        <v>10</v>
      </c>
      <c r="B483" t="s">
        <v>31</v>
      </c>
      <c r="C483" t="s">
        <v>25</v>
      </c>
      <c r="D483" s="28">
        <v>268250000</v>
      </c>
      <c r="E483" s="4">
        <v>82708000</v>
      </c>
      <c r="F483" s="24">
        <v>142200000</v>
      </c>
      <c r="G483" s="4">
        <v>92994741</v>
      </c>
      <c r="I483" s="25">
        <f t="shared" ref="I483:J483" si="85">IF(L483="","",L483-L482)</f>
        <v>82708000</v>
      </c>
      <c r="J483" s="25">
        <f t="shared" si="85"/>
        <v>92994741</v>
      </c>
      <c r="L483" s="4">
        <v>208386941</v>
      </c>
      <c r="M483" s="4">
        <v>110494491</v>
      </c>
    </row>
    <row r="484" spans="1:13" x14ac:dyDescent="0.45">
      <c r="A484" t="s">
        <v>11</v>
      </c>
      <c r="B484" t="s">
        <v>31</v>
      </c>
      <c r="C484" t="s">
        <v>25</v>
      </c>
      <c r="D484" s="27">
        <v>143250000</v>
      </c>
      <c r="E484" s="3">
        <v>16817230</v>
      </c>
      <c r="F484" s="23">
        <v>268250000</v>
      </c>
      <c r="G484" s="3">
        <v>55068680</v>
      </c>
      <c r="I484" s="25">
        <f t="shared" si="81"/>
        <v>25104730</v>
      </c>
      <c r="J484" s="25">
        <f t="shared" si="81"/>
        <v>63356180</v>
      </c>
      <c r="L484" s="29">
        <f>SUMIFS(Pivot_!C:C,Pivot_!A:A,'Hitung Per Bulan'!B484,Pivot_!B:B,'Hitung Per Bulan'!C484)</f>
        <v>233491671</v>
      </c>
      <c r="M484" s="29">
        <f>SUMIFS(Pivot_!D:D,Pivot_!A:A,'Hitung Per Bulan'!B484,Pivot_!B:B,'Hitung Per Bulan'!C484)</f>
        <v>173850671</v>
      </c>
    </row>
    <row r="485" spans="1:13" x14ac:dyDescent="0.45">
      <c r="A485" t="s">
        <v>12</v>
      </c>
      <c r="B485" t="s">
        <v>31</v>
      </c>
      <c r="C485" t="s">
        <v>25</v>
      </c>
      <c r="D485" s="27">
        <v>319346000</v>
      </c>
      <c r="E485" s="3" t="s">
        <v>41</v>
      </c>
      <c r="F485" s="23">
        <v>143250000</v>
      </c>
      <c r="G485" s="3" t="s">
        <v>41</v>
      </c>
      <c r="I485" s="25" t="str">
        <f t="shared" si="81"/>
        <v/>
      </c>
      <c r="J485" s="25" t="str">
        <f t="shared" si="81"/>
        <v/>
      </c>
      <c r="L485" s="3"/>
      <c r="M485" s="3"/>
    </row>
    <row r="486" spans="1:13" x14ac:dyDescent="0.45">
      <c r="A486" t="s">
        <v>13</v>
      </c>
      <c r="B486" t="s">
        <v>31</v>
      </c>
      <c r="C486" t="s">
        <v>25</v>
      </c>
      <c r="D486" s="27">
        <v>58250000</v>
      </c>
      <c r="E486" s="3" t="s">
        <v>41</v>
      </c>
      <c r="F486" s="23">
        <v>319346000</v>
      </c>
      <c r="G486" s="3" t="s">
        <v>41</v>
      </c>
      <c r="I486" s="25" t="str">
        <f t="shared" si="81"/>
        <v/>
      </c>
      <c r="J486" s="25" t="str">
        <f t="shared" si="81"/>
        <v/>
      </c>
      <c r="L486" s="3"/>
      <c r="M486" s="3"/>
    </row>
    <row r="487" spans="1:13" x14ac:dyDescent="0.45">
      <c r="A487" t="s">
        <v>14</v>
      </c>
      <c r="B487" t="s">
        <v>31</v>
      </c>
      <c r="C487" t="s">
        <v>25</v>
      </c>
      <c r="D487" s="27">
        <v>108250000</v>
      </c>
      <c r="E487" s="3" t="s">
        <v>41</v>
      </c>
      <c r="F487" s="23">
        <v>58250000</v>
      </c>
      <c r="G487" s="3" t="s">
        <v>41</v>
      </c>
      <c r="I487" s="25" t="str">
        <f t="shared" si="81"/>
        <v/>
      </c>
      <c r="J487" s="25" t="str">
        <f t="shared" si="81"/>
        <v/>
      </c>
      <c r="L487" s="3"/>
      <c r="M487" s="3"/>
    </row>
    <row r="488" spans="1:13" x14ac:dyDescent="0.45">
      <c r="A488" t="s">
        <v>15</v>
      </c>
      <c r="B488" t="s">
        <v>31</v>
      </c>
      <c r="C488" t="s">
        <v>25</v>
      </c>
      <c r="D488" s="27">
        <v>313250000</v>
      </c>
      <c r="E488" s="3" t="s">
        <v>41</v>
      </c>
      <c r="F488" s="23">
        <v>108250000</v>
      </c>
      <c r="G488" s="3" t="s">
        <v>41</v>
      </c>
      <c r="I488" s="25" t="str">
        <f t="shared" si="81"/>
        <v/>
      </c>
      <c r="J488" s="25" t="str">
        <f t="shared" si="81"/>
        <v/>
      </c>
      <c r="L488" s="3"/>
      <c r="M488" s="3"/>
    </row>
    <row r="489" spans="1:13" x14ac:dyDescent="0.45">
      <c r="A489" t="s">
        <v>16</v>
      </c>
      <c r="B489" t="s">
        <v>31</v>
      </c>
      <c r="C489" t="s">
        <v>25</v>
      </c>
      <c r="D489" s="27">
        <v>98250000</v>
      </c>
      <c r="E489" s="3" t="s">
        <v>41</v>
      </c>
      <c r="F489" s="23">
        <v>313250000</v>
      </c>
      <c r="G489" s="3" t="s">
        <v>41</v>
      </c>
      <c r="I489" s="25" t="str">
        <f t="shared" si="81"/>
        <v/>
      </c>
      <c r="J489" s="25" t="str">
        <f t="shared" si="81"/>
        <v/>
      </c>
      <c r="L489" s="3"/>
      <c r="M489" s="3"/>
    </row>
    <row r="490" spans="1:13" x14ac:dyDescent="0.45">
      <c r="A490" t="s">
        <v>17</v>
      </c>
      <c r="B490" t="s">
        <v>31</v>
      </c>
      <c r="C490" t="s">
        <v>25</v>
      </c>
      <c r="D490" s="27">
        <v>58250000</v>
      </c>
      <c r="E490" s="3" t="s">
        <v>41</v>
      </c>
      <c r="F490" s="23">
        <v>98250000</v>
      </c>
      <c r="G490" s="3" t="s">
        <v>41</v>
      </c>
      <c r="I490" s="25" t="str">
        <f t="shared" si="81"/>
        <v/>
      </c>
      <c r="J490" s="25" t="str">
        <f t="shared" si="81"/>
        <v/>
      </c>
      <c r="L490" s="3"/>
      <c r="M490" s="3"/>
    </row>
    <row r="491" spans="1:13" x14ac:dyDescent="0.45">
      <c r="A491" t="s">
        <v>18</v>
      </c>
      <c r="B491" t="s">
        <v>31</v>
      </c>
      <c r="C491" t="s">
        <v>25</v>
      </c>
      <c r="D491" s="27">
        <v>58250000</v>
      </c>
      <c r="E491" s="3" t="s">
        <v>41</v>
      </c>
      <c r="F491" s="23">
        <v>58250000</v>
      </c>
      <c r="G491" s="3" t="s">
        <v>41</v>
      </c>
      <c r="I491" s="25" t="str">
        <f t="shared" si="81"/>
        <v/>
      </c>
      <c r="J491" s="25" t="str">
        <f t="shared" si="81"/>
        <v/>
      </c>
      <c r="L491" s="3"/>
      <c r="M491" s="3"/>
    </row>
    <row r="492" spans="1:13" x14ac:dyDescent="0.45">
      <c r="A492" t="s">
        <v>19</v>
      </c>
      <c r="B492" t="s">
        <v>31</v>
      </c>
      <c r="C492" t="s">
        <v>25</v>
      </c>
      <c r="D492" s="27">
        <v>58250000</v>
      </c>
      <c r="E492" s="3" t="s">
        <v>41</v>
      </c>
      <c r="F492" s="23">
        <v>58250000</v>
      </c>
      <c r="G492" s="3" t="s">
        <v>41</v>
      </c>
      <c r="I492" s="25" t="str">
        <f t="shared" si="81"/>
        <v/>
      </c>
      <c r="J492" s="25" t="str">
        <f t="shared" si="81"/>
        <v/>
      </c>
      <c r="L492" s="3"/>
      <c r="M492" s="3"/>
    </row>
    <row r="493" spans="1:13" x14ac:dyDescent="0.45">
      <c r="A493" t="s">
        <v>20</v>
      </c>
      <c r="B493" t="s">
        <v>31</v>
      </c>
      <c r="C493" t="s">
        <v>25</v>
      </c>
      <c r="D493" s="27">
        <v>58250000</v>
      </c>
      <c r="E493" s="3" t="s">
        <v>41</v>
      </c>
      <c r="F493" s="23">
        <v>107750000</v>
      </c>
      <c r="G493" s="3" t="s">
        <v>41</v>
      </c>
      <c r="I493" s="25" t="str">
        <f t="shared" si="81"/>
        <v/>
      </c>
      <c r="J493" s="25" t="str">
        <f t="shared" si="81"/>
        <v/>
      </c>
      <c r="L493" s="3"/>
      <c r="M493" s="3"/>
    </row>
    <row r="494" spans="1:13" x14ac:dyDescent="0.45">
      <c r="A494" t="s">
        <v>7</v>
      </c>
      <c r="B494" t="s">
        <v>31</v>
      </c>
      <c r="C494" t="s">
        <v>26</v>
      </c>
      <c r="D494" s="27">
        <v>214166666.66666666</v>
      </c>
      <c r="E494" s="3">
        <v>201478069</v>
      </c>
      <c r="F494" s="23">
        <v>214166666.66666666</v>
      </c>
      <c r="G494" s="3">
        <v>201478069</v>
      </c>
      <c r="I494" s="22">
        <f t="shared" ref="I494:J494" si="86">IF(L494="","",L494)</f>
        <v>201478069</v>
      </c>
      <c r="J494" s="22">
        <f t="shared" si="86"/>
        <v>201478069</v>
      </c>
      <c r="L494" s="3">
        <v>201478069</v>
      </c>
      <c r="M494" s="3">
        <v>201478069</v>
      </c>
    </row>
    <row r="495" spans="1:13" x14ac:dyDescent="0.45">
      <c r="A495" t="s">
        <v>10</v>
      </c>
      <c r="B495" t="s">
        <v>31</v>
      </c>
      <c r="C495" t="s">
        <v>26</v>
      </c>
      <c r="D495" s="28">
        <v>214166666.66666666</v>
      </c>
      <c r="E495" s="4">
        <v>193379527</v>
      </c>
      <c r="F495" s="24">
        <v>214166666.66666666</v>
      </c>
      <c r="G495" s="4">
        <v>193379527</v>
      </c>
      <c r="I495" s="25">
        <f t="shared" ref="I495:J495" si="87">IF(L495="","",L495-L494)</f>
        <v>193379527</v>
      </c>
      <c r="J495" s="25">
        <f t="shared" si="87"/>
        <v>193379527</v>
      </c>
      <c r="L495" s="4">
        <v>394857596</v>
      </c>
      <c r="M495" s="4">
        <v>394857596</v>
      </c>
    </row>
    <row r="496" spans="1:13" x14ac:dyDescent="0.45">
      <c r="A496" t="s">
        <v>11</v>
      </c>
      <c r="B496" t="s">
        <v>31</v>
      </c>
      <c r="C496" t="s">
        <v>26</v>
      </c>
      <c r="D496" s="27">
        <v>214166666.66666666</v>
      </c>
      <c r="E496" s="3">
        <v>0</v>
      </c>
      <c r="F496" s="23">
        <v>214166666.66666666</v>
      </c>
      <c r="G496" s="3">
        <v>0</v>
      </c>
      <c r="I496" s="25">
        <f t="shared" si="81"/>
        <v>0</v>
      </c>
      <c r="J496" s="25">
        <f t="shared" si="81"/>
        <v>0</v>
      </c>
      <c r="L496" s="29">
        <f>SUMIFS(Pivot_!C:C,Pivot_!A:A,'Hitung Per Bulan'!B496,Pivot_!B:B,'Hitung Per Bulan'!C496)</f>
        <v>394857596</v>
      </c>
      <c r="M496" s="29">
        <f>SUMIFS(Pivot_!D:D,Pivot_!A:A,'Hitung Per Bulan'!B496,Pivot_!B:B,'Hitung Per Bulan'!C496)</f>
        <v>394857596</v>
      </c>
    </row>
    <row r="497" spans="1:13" x14ac:dyDescent="0.45">
      <c r="A497" t="s">
        <v>12</v>
      </c>
      <c r="B497" t="s">
        <v>31</v>
      </c>
      <c r="C497" t="s">
        <v>26</v>
      </c>
      <c r="D497" s="27">
        <v>214166666.66666666</v>
      </c>
      <c r="E497" s="3" t="s">
        <v>41</v>
      </c>
      <c r="F497" s="23">
        <v>214166666.66666666</v>
      </c>
      <c r="G497" s="3" t="s">
        <v>41</v>
      </c>
      <c r="I497" s="25" t="str">
        <f t="shared" si="81"/>
        <v/>
      </c>
      <c r="J497" s="25" t="str">
        <f t="shared" si="81"/>
        <v/>
      </c>
      <c r="L497" s="3"/>
      <c r="M497" s="3"/>
    </row>
    <row r="498" spans="1:13" x14ac:dyDescent="0.45">
      <c r="A498" t="s">
        <v>13</v>
      </c>
      <c r="B498" t="s">
        <v>31</v>
      </c>
      <c r="C498" t="s">
        <v>26</v>
      </c>
      <c r="D498" s="27">
        <v>214166666.66666666</v>
      </c>
      <c r="E498" s="3" t="s">
        <v>41</v>
      </c>
      <c r="F498" s="23">
        <v>214166666.66666666</v>
      </c>
      <c r="G498" s="3" t="s">
        <v>41</v>
      </c>
      <c r="I498" s="25" t="str">
        <f t="shared" si="81"/>
        <v/>
      </c>
      <c r="J498" s="25" t="str">
        <f t="shared" si="81"/>
        <v/>
      </c>
      <c r="L498" s="3"/>
      <c r="M498" s="3"/>
    </row>
    <row r="499" spans="1:13" x14ac:dyDescent="0.45">
      <c r="A499" t="s">
        <v>14</v>
      </c>
      <c r="B499" t="s">
        <v>31</v>
      </c>
      <c r="C499" t="s">
        <v>26</v>
      </c>
      <c r="D499" s="27">
        <v>214166666.66666666</v>
      </c>
      <c r="E499" s="3" t="s">
        <v>41</v>
      </c>
      <c r="F499" s="23">
        <v>214166666.66666666</v>
      </c>
      <c r="G499" s="3" t="s">
        <v>41</v>
      </c>
      <c r="I499" s="25" t="str">
        <f t="shared" si="81"/>
        <v/>
      </c>
      <c r="J499" s="25" t="str">
        <f t="shared" si="81"/>
        <v/>
      </c>
      <c r="L499" s="3"/>
      <c r="M499" s="3"/>
    </row>
    <row r="500" spans="1:13" x14ac:dyDescent="0.45">
      <c r="A500" t="s">
        <v>15</v>
      </c>
      <c r="B500" t="s">
        <v>31</v>
      </c>
      <c r="C500" t="s">
        <v>26</v>
      </c>
      <c r="D500" s="27">
        <v>214166666.66666666</v>
      </c>
      <c r="E500" s="3" t="s">
        <v>41</v>
      </c>
      <c r="F500" s="23">
        <v>214166666.66666666</v>
      </c>
      <c r="G500" s="3" t="s">
        <v>41</v>
      </c>
      <c r="I500" s="25" t="str">
        <f t="shared" si="81"/>
        <v/>
      </c>
      <c r="J500" s="25" t="str">
        <f t="shared" si="81"/>
        <v/>
      </c>
      <c r="L500" s="3"/>
      <c r="M500" s="3"/>
    </row>
    <row r="501" spans="1:13" x14ac:dyDescent="0.45">
      <c r="A501" t="s">
        <v>16</v>
      </c>
      <c r="B501" t="s">
        <v>31</v>
      </c>
      <c r="C501" t="s">
        <v>26</v>
      </c>
      <c r="D501" s="27">
        <v>214166666.66666666</v>
      </c>
      <c r="E501" s="3" t="s">
        <v>41</v>
      </c>
      <c r="F501" s="23">
        <v>214166666.66666666</v>
      </c>
      <c r="G501" s="3" t="s">
        <v>41</v>
      </c>
      <c r="I501" s="25" t="str">
        <f t="shared" si="81"/>
        <v/>
      </c>
      <c r="J501" s="25" t="str">
        <f t="shared" si="81"/>
        <v/>
      </c>
      <c r="L501" s="3"/>
      <c r="M501" s="3"/>
    </row>
    <row r="502" spans="1:13" x14ac:dyDescent="0.45">
      <c r="A502" t="s">
        <v>17</v>
      </c>
      <c r="B502" t="s">
        <v>31</v>
      </c>
      <c r="C502" t="s">
        <v>26</v>
      </c>
      <c r="D502" s="27">
        <v>214166666.66666666</v>
      </c>
      <c r="E502" s="3" t="s">
        <v>41</v>
      </c>
      <c r="F502" s="23">
        <v>214166666.66666666</v>
      </c>
      <c r="G502" s="3" t="s">
        <v>41</v>
      </c>
      <c r="I502" s="25" t="str">
        <f t="shared" si="81"/>
        <v/>
      </c>
      <c r="J502" s="25" t="str">
        <f t="shared" si="81"/>
        <v/>
      </c>
      <c r="L502" s="3"/>
      <c r="M502" s="3"/>
    </row>
    <row r="503" spans="1:13" x14ac:dyDescent="0.45">
      <c r="A503" t="s">
        <v>18</v>
      </c>
      <c r="B503" t="s">
        <v>31</v>
      </c>
      <c r="C503" t="s">
        <v>26</v>
      </c>
      <c r="D503" s="27">
        <v>214166666.66666666</v>
      </c>
      <c r="E503" s="3" t="s">
        <v>41</v>
      </c>
      <c r="F503" s="23">
        <v>214166666.66666666</v>
      </c>
      <c r="G503" s="3" t="s">
        <v>41</v>
      </c>
      <c r="I503" s="25" t="str">
        <f t="shared" si="81"/>
        <v/>
      </c>
      <c r="J503" s="25" t="str">
        <f t="shared" si="81"/>
        <v/>
      </c>
      <c r="L503" s="3"/>
      <c r="M503" s="3"/>
    </row>
    <row r="504" spans="1:13" x14ac:dyDescent="0.45">
      <c r="A504" t="s">
        <v>19</v>
      </c>
      <c r="B504" t="s">
        <v>31</v>
      </c>
      <c r="C504" t="s">
        <v>26</v>
      </c>
      <c r="D504" s="27">
        <v>214166666.66666666</v>
      </c>
      <c r="E504" s="3" t="s">
        <v>41</v>
      </c>
      <c r="F504" s="23">
        <v>214166666.66666666</v>
      </c>
      <c r="G504" s="3" t="s">
        <v>41</v>
      </c>
      <c r="I504" s="25" t="str">
        <f t="shared" si="81"/>
        <v/>
      </c>
      <c r="J504" s="25" t="str">
        <f t="shared" si="81"/>
        <v/>
      </c>
      <c r="L504" s="3"/>
      <c r="M504" s="3"/>
    </row>
    <row r="505" spans="1:13" x14ac:dyDescent="0.45">
      <c r="A505" t="s">
        <v>20</v>
      </c>
      <c r="B505" t="s">
        <v>31</v>
      </c>
      <c r="C505" t="s">
        <v>26</v>
      </c>
      <c r="D505" s="27">
        <v>214166666.66666666</v>
      </c>
      <c r="E505" s="3" t="s">
        <v>41</v>
      </c>
      <c r="F505" s="23">
        <v>214166666.66666666</v>
      </c>
      <c r="G505" s="3" t="s">
        <v>41</v>
      </c>
      <c r="I505" s="25" t="str">
        <f t="shared" si="81"/>
        <v/>
      </c>
      <c r="J505" s="25" t="str">
        <f t="shared" si="81"/>
        <v/>
      </c>
      <c r="L505" s="3"/>
      <c r="M505" s="3"/>
    </row>
    <row r="506" spans="1:13" x14ac:dyDescent="0.45">
      <c r="A506" t="s">
        <v>7</v>
      </c>
      <c r="B506" t="s">
        <v>32</v>
      </c>
      <c r="C506" t="s">
        <v>9</v>
      </c>
      <c r="D506" s="27">
        <v>90000000</v>
      </c>
      <c r="E506" s="3">
        <v>218226790</v>
      </c>
      <c r="F506" s="23">
        <v>0</v>
      </c>
      <c r="G506" s="3">
        <v>0</v>
      </c>
      <c r="I506" s="22">
        <f t="shared" ref="I506:J506" si="88">IF(L506="","",L506)</f>
        <v>218226790</v>
      </c>
      <c r="J506" s="22">
        <f t="shared" si="88"/>
        <v>0</v>
      </c>
      <c r="L506" s="3">
        <v>218226790</v>
      </c>
      <c r="M506" s="3">
        <v>0</v>
      </c>
    </row>
    <row r="507" spans="1:13" x14ac:dyDescent="0.45">
      <c r="A507" t="s">
        <v>10</v>
      </c>
      <c r="B507" t="s">
        <v>32</v>
      </c>
      <c r="C507" t="s">
        <v>9</v>
      </c>
      <c r="D507" s="28">
        <v>2756633000</v>
      </c>
      <c r="E507" s="4">
        <v>2975215110</v>
      </c>
      <c r="F507" s="24">
        <v>90000000</v>
      </c>
      <c r="G507" s="4">
        <v>258244550</v>
      </c>
      <c r="I507" s="25">
        <f t="shared" ref="I507:J507" si="89">IF(L507="","",L507-L506)</f>
        <v>2975215110</v>
      </c>
      <c r="J507" s="25">
        <f t="shared" si="89"/>
        <v>258244550</v>
      </c>
      <c r="L507" s="4">
        <v>3193441900</v>
      </c>
      <c r="M507" s="4">
        <v>258244550</v>
      </c>
    </row>
    <row r="508" spans="1:13" x14ac:dyDescent="0.45">
      <c r="A508" t="s">
        <v>11</v>
      </c>
      <c r="B508" t="s">
        <v>32</v>
      </c>
      <c r="C508" t="s">
        <v>9</v>
      </c>
      <c r="D508" s="27">
        <v>10272212000</v>
      </c>
      <c r="E508" s="3">
        <v>488863038</v>
      </c>
      <c r="F508" s="23">
        <v>66667000</v>
      </c>
      <c r="G508" s="3">
        <v>43181000</v>
      </c>
      <c r="I508" s="25">
        <f t="shared" si="81"/>
        <v>8049466761</v>
      </c>
      <c r="J508" s="25">
        <f t="shared" si="81"/>
        <v>79211000</v>
      </c>
      <c r="L508" s="29">
        <f>SUMIFS(Pivot_!C:C,Pivot_!A:A,'Hitung Per Bulan'!B508,Pivot_!B:B,'Hitung Per Bulan'!C508)</f>
        <v>11242908661</v>
      </c>
      <c r="M508" s="29">
        <f>SUMIFS(Pivot_!D:D,Pivot_!A:A,'Hitung Per Bulan'!B508,Pivot_!B:B,'Hitung Per Bulan'!C508)</f>
        <v>337455550</v>
      </c>
    </row>
    <row r="509" spans="1:13" x14ac:dyDescent="0.45">
      <c r="A509" t="s">
        <v>12</v>
      </c>
      <c r="B509" t="s">
        <v>32</v>
      </c>
      <c r="C509" t="s">
        <v>9</v>
      </c>
      <c r="D509" s="27">
        <v>1843977000</v>
      </c>
      <c r="E509" s="3" t="s">
        <v>41</v>
      </c>
      <c r="F509" s="23">
        <v>687000000</v>
      </c>
      <c r="G509" s="3" t="s">
        <v>41</v>
      </c>
      <c r="I509" s="25" t="str">
        <f t="shared" si="81"/>
        <v/>
      </c>
      <c r="J509" s="25" t="str">
        <f t="shared" si="81"/>
        <v/>
      </c>
      <c r="L509" s="3"/>
      <c r="M509" s="3"/>
    </row>
    <row r="510" spans="1:13" x14ac:dyDescent="0.45">
      <c r="A510" t="s">
        <v>13</v>
      </c>
      <c r="B510" t="s">
        <v>32</v>
      </c>
      <c r="C510" t="s">
        <v>9</v>
      </c>
      <c r="D510" s="27">
        <v>635000000</v>
      </c>
      <c r="E510" s="3" t="s">
        <v>41</v>
      </c>
      <c r="F510" s="23">
        <v>1127667000</v>
      </c>
      <c r="G510" s="3" t="s">
        <v>41</v>
      </c>
      <c r="I510" s="25" t="str">
        <f t="shared" si="81"/>
        <v/>
      </c>
      <c r="J510" s="25" t="str">
        <f t="shared" si="81"/>
        <v/>
      </c>
      <c r="L510" s="3"/>
      <c r="M510" s="3"/>
    </row>
    <row r="511" spans="1:13" x14ac:dyDescent="0.45">
      <c r="A511" t="s">
        <v>14</v>
      </c>
      <c r="B511" t="s">
        <v>32</v>
      </c>
      <c r="C511" t="s">
        <v>9</v>
      </c>
      <c r="D511" s="27">
        <v>1030408000</v>
      </c>
      <c r="E511" s="3" t="s">
        <v>41</v>
      </c>
      <c r="F511" s="23">
        <v>2050710000</v>
      </c>
      <c r="G511" s="3" t="s">
        <v>41</v>
      </c>
      <c r="I511" s="25" t="str">
        <f t="shared" si="81"/>
        <v/>
      </c>
      <c r="J511" s="25" t="str">
        <f t="shared" si="81"/>
        <v/>
      </c>
      <c r="L511" s="3"/>
      <c r="M511" s="3"/>
    </row>
    <row r="512" spans="1:13" x14ac:dyDescent="0.45">
      <c r="A512" t="s">
        <v>15</v>
      </c>
      <c r="B512" t="s">
        <v>32</v>
      </c>
      <c r="C512" t="s">
        <v>9</v>
      </c>
      <c r="D512" s="27">
        <v>621650000</v>
      </c>
      <c r="E512" s="3" t="s">
        <v>41</v>
      </c>
      <c r="F512" s="23">
        <v>3754636000</v>
      </c>
      <c r="G512" s="3" t="s">
        <v>41</v>
      </c>
      <c r="I512" s="25" t="str">
        <f t="shared" si="81"/>
        <v/>
      </c>
      <c r="J512" s="25" t="str">
        <f t="shared" si="81"/>
        <v/>
      </c>
      <c r="L512" s="3"/>
      <c r="M512" s="3"/>
    </row>
    <row r="513" spans="1:13" x14ac:dyDescent="0.45">
      <c r="A513" t="s">
        <v>16</v>
      </c>
      <c r="B513" t="s">
        <v>32</v>
      </c>
      <c r="C513" t="s">
        <v>9</v>
      </c>
      <c r="D513" s="27">
        <v>2136262000</v>
      </c>
      <c r="E513" s="3" t="s">
        <v>41</v>
      </c>
      <c r="F513" s="23">
        <v>1016136000</v>
      </c>
      <c r="G513" s="3" t="s">
        <v>41</v>
      </c>
      <c r="I513" s="25" t="str">
        <f t="shared" si="81"/>
        <v/>
      </c>
      <c r="J513" s="25" t="str">
        <f t="shared" si="81"/>
        <v/>
      </c>
      <c r="L513" s="3"/>
      <c r="M513" s="3"/>
    </row>
    <row r="514" spans="1:13" x14ac:dyDescent="0.45">
      <c r="A514" t="s">
        <v>17</v>
      </c>
      <c r="B514" t="s">
        <v>32</v>
      </c>
      <c r="C514" t="s">
        <v>9</v>
      </c>
      <c r="D514" s="27">
        <v>275000000</v>
      </c>
      <c r="E514" s="3" t="s">
        <v>41</v>
      </c>
      <c r="F514" s="23">
        <v>3410123000</v>
      </c>
      <c r="G514" s="3" t="s">
        <v>41</v>
      </c>
      <c r="I514" s="25" t="str">
        <f t="shared" si="81"/>
        <v/>
      </c>
      <c r="J514" s="25" t="str">
        <f t="shared" si="81"/>
        <v/>
      </c>
      <c r="L514" s="3"/>
      <c r="M514" s="3"/>
    </row>
    <row r="515" spans="1:13" x14ac:dyDescent="0.45">
      <c r="A515" t="s">
        <v>18</v>
      </c>
      <c r="B515" t="s">
        <v>32</v>
      </c>
      <c r="C515" t="s">
        <v>9</v>
      </c>
      <c r="D515" s="27">
        <v>134561000</v>
      </c>
      <c r="E515" s="3" t="s">
        <v>41</v>
      </c>
      <c r="F515" s="23">
        <v>1952489000</v>
      </c>
      <c r="G515" s="3" t="s">
        <v>41</v>
      </c>
      <c r="I515" s="25" t="str">
        <f t="shared" si="81"/>
        <v/>
      </c>
      <c r="J515" s="25" t="str">
        <f t="shared" si="81"/>
        <v/>
      </c>
      <c r="L515" s="3"/>
      <c r="M515" s="3"/>
    </row>
    <row r="516" spans="1:13" x14ac:dyDescent="0.45">
      <c r="A516" t="s">
        <v>19</v>
      </c>
      <c r="B516" t="s">
        <v>32</v>
      </c>
      <c r="C516" t="s">
        <v>9</v>
      </c>
      <c r="D516" s="27">
        <v>224998000</v>
      </c>
      <c r="E516" s="3" t="s">
        <v>41</v>
      </c>
      <c r="F516" s="23">
        <v>5640275000</v>
      </c>
      <c r="G516" s="3" t="s">
        <v>41</v>
      </c>
      <c r="I516" s="25" t="str">
        <f t="shared" si="81"/>
        <v/>
      </c>
      <c r="J516" s="25" t="str">
        <f t="shared" si="81"/>
        <v/>
      </c>
      <c r="L516" s="3"/>
      <c r="M516" s="3"/>
    </row>
    <row r="517" spans="1:13" x14ac:dyDescent="0.45">
      <c r="A517" t="s">
        <v>20</v>
      </c>
      <c r="B517" t="s">
        <v>32</v>
      </c>
      <c r="C517" t="s">
        <v>9</v>
      </c>
      <c r="D517" s="27">
        <v>66667000</v>
      </c>
      <c r="E517" s="3" t="s">
        <v>41</v>
      </c>
      <c r="F517" s="23">
        <v>291665000</v>
      </c>
      <c r="G517" s="3" t="s">
        <v>41</v>
      </c>
      <c r="I517" s="25" t="str">
        <f t="shared" si="81"/>
        <v/>
      </c>
      <c r="J517" s="25" t="str">
        <f t="shared" si="81"/>
        <v/>
      </c>
      <c r="L517" s="3"/>
      <c r="M517" s="3"/>
    </row>
    <row r="518" spans="1:13" x14ac:dyDescent="0.45">
      <c r="A518" t="s">
        <v>7</v>
      </c>
      <c r="B518" t="s">
        <v>32</v>
      </c>
      <c r="C518" t="s">
        <v>21</v>
      </c>
      <c r="D518" s="27">
        <v>0</v>
      </c>
      <c r="E518" s="3">
        <v>0</v>
      </c>
      <c r="F518" s="23">
        <v>0</v>
      </c>
      <c r="G518" s="3">
        <v>0</v>
      </c>
      <c r="I518" s="22">
        <f t="shared" ref="I518:J518" si="90">IF(L518="","",L518)</f>
        <v>0</v>
      </c>
      <c r="J518" s="22">
        <f t="shared" si="90"/>
        <v>0</v>
      </c>
      <c r="L518" s="3">
        <v>0</v>
      </c>
      <c r="M518" s="3">
        <v>0</v>
      </c>
    </row>
    <row r="519" spans="1:13" x14ac:dyDescent="0.45">
      <c r="A519" t="s">
        <v>10</v>
      </c>
      <c r="B519" t="s">
        <v>32</v>
      </c>
      <c r="C519" t="s">
        <v>21</v>
      </c>
      <c r="D519" s="28">
        <v>0</v>
      </c>
      <c r="E519" s="4">
        <v>0</v>
      </c>
      <c r="F519" s="24">
        <v>0</v>
      </c>
      <c r="G519" s="4">
        <v>0</v>
      </c>
      <c r="I519" s="25">
        <f t="shared" ref="I519:J519" si="91">IF(L519="","",L519-L518)</f>
        <v>0</v>
      </c>
      <c r="J519" s="25">
        <f t="shared" si="91"/>
        <v>0</v>
      </c>
      <c r="L519" s="4">
        <v>0</v>
      </c>
      <c r="M519" s="4">
        <v>0</v>
      </c>
    </row>
    <row r="520" spans="1:13" x14ac:dyDescent="0.45">
      <c r="A520" t="s">
        <v>11</v>
      </c>
      <c r="B520" t="s">
        <v>32</v>
      </c>
      <c r="C520" t="s">
        <v>21</v>
      </c>
      <c r="D520" s="27">
        <v>0</v>
      </c>
      <c r="E520" s="3">
        <v>495830000</v>
      </c>
      <c r="F520" s="23">
        <v>0</v>
      </c>
      <c r="G520" s="3">
        <v>0</v>
      </c>
      <c r="I520" s="25">
        <f t="shared" si="81"/>
        <v>495830000</v>
      </c>
      <c r="J520" s="25">
        <f t="shared" si="81"/>
        <v>0</v>
      </c>
      <c r="L520" s="29">
        <f>SUMIFS(Pivot_!C:C,Pivot_!A:A,'Hitung Per Bulan'!B520,Pivot_!B:B,'Hitung Per Bulan'!C520)</f>
        <v>495830000</v>
      </c>
      <c r="M520" s="29">
        <f>SUMIFS(Pivot_!D:D,Pivot_!A:A,'Hitung Per Bulan'!B520,Pivot_!B:B,'Hitung Per Bulan'!C520)</f>
        <v>0</v>
      </c>
    </row>
    <row r="521" spans="1:13" x14ac:dyDescent="0.45">
      <c r="A521" t="s">
        <v>12</v>
      </c>
      <c r="B521" t="s">
        <v>32</v>
      </c>
      <c r="C521" t="s">
        <v>21</v>
      </c>
      <c r="D521" s="27">
        <v>0</v>
      </c>
      <c r="E521" s="3" t="s">
        <v>41</v>
      </c>
      <c r="F521" s="23">
        <v>0</v>
      </c>
      <c r="G521" s="3" t="s">
        <v>41</v>
      </c>
      <c r="I521" s="25" t="str">
        <f t="shared" si="81"/>
        <v/>
      </c>
      <c r="J521" s="25" t="str">
        <f t="shared" si="81"/>
        <v/>
      </c>
      <c r="L521" s="3"/>
      <c r="M521" s="3"/>
    </row>
    <row r="522" spans="1:13" x14ac:dyDescent="0.45">
      <c r="A522" t="s">
        <v>13</v>
      </c>
      <c r="B522" t="s">
        <v>32</v>
      </c>
      <c r="C522" t="s">
        <v>21</v>
      </c>
      <c r="D522" s="27">
        <v>1155000000</v>
      </c>
      <c r="E522" s="3" t="s">
        <v>41</v>
      </c>
      <c r="F522" s="23">
        <v>0</v>
      </c>
      <c r="G522" s="3" t="s">
        <v>41</v>
      </c>
      <c r="I522" s="25" t="str">
        <f t="shared" si="81"/>
        <v/>
      </c>
      <c r="J522" s="25" t="str">
        <f t="shared" si="81"/>
        <v/>
      </c>
      <c r="L522" s="3"/>
      <c r="M522" s="3"/>
    </row>
    <row r="523" spans="1:13" x14ac:dyDescent="0.45">
      <c r="A523" t="s">
        <v>14</v>
      </c>
      <c r="B523" t="s">
        <v>32</v>
      </c>
      <c r="C523" t="s">
        <v>21</v>
      </c>
      <c r="D523" s="27">
        <v>30000000</v>
      </c>
      <c r="E523" s="3" t="s">
        <v>41</v>
      </c>
      <c r="F523" s="23">
        <v>0</v>
      </c>
      <c r="G523" s="3" t="s">
        <v>41</v>
      </c>
      <c r="I523" s="25" t="str">
        <f t="shared" si="81"/>
        <v/>
      </c>
      <c r="J523" s="25" t="str">
        <f t="shared" si="81"/>
        <v/>
      </c>
      <c r="L523" s="3"/>
      <c r="M523" s="3"/>
    </row>
    <row r="524" spans="1:13" x14ac:dyDescent="0.45">
      <c r="A524" t="s">
        <v>15</v>
      </c>
      <c r="B524" t="s">
        <v>32</v>
      </c>
      <c r="C524" t="s">
        <v>21</v>
      </c>
      <c r="D524" s="27">
        <v>0</v>
      </c>
      <c r="E524" s="3" t="s">
        <v>41</v>
      </c>
      <c r="F524" s="23">
        <v>30000000</v>
      </c>
      <c r="G524" s="3" t="s">
        <v>41</v>
      </c>
      <c r="I524" s="25" t="str">
        <f t="shared" si="81"/>
        <v/>
      </c>
      <c r="J524" s="25" t="str">
        <f t="shared" si="81"/>
        <v/>
      </c>
      <c r="L524" s="3"/>
      <c r="M524" s="3"/>
    </row>
    <row r="525" spans="1:13" x14ac:dyDescent="0.45">
      <c r="A525" t="s">
        <v>16</v>
      </c>
      <c r="B525" t="s">
        <v>32</v>
      </c>
      <c r="C525" t="s">
        <v>21</v>
      </c>
      <c r="D525" s="27">
        <v>0</v>
      </c>
      <c r="E525" s="3" t="s">
        <v>41</v>
      </c>
      <c r="F525" s="23">
        <v>1155000000</v>
      </c>
      <c r="G525" s="3" t="s">
        <v>41</v>
      </c>
      <c r="I525" s="25" t="str">
        <f t="shared" si="81"/>
        <v/>
      </c>
      <c r="J525" s="25" t="str">
        <f t="shared" si="81"/>
        <v/>
      </c>
      <c r="L525" s="3"/>
      <c r="M525" s="3"/>
    </row>
    <row r="526" spans="1:13" x14ac:dyDescent="0.45">
      <c r="A526" t="s">
        <v>17</v>
      </c>
      <c r="B526" t="s">
        <v>32</v>
      </c>
      <c r="C526" t="s">
        <v>21</v>
      </c>
      <c r="D526" s="27">
        <v>0</v>
      </c>
      <c r="E526" s="3" t="s">
        <v>41</v>
      </c>
      <c r="F526" s="23">
        <v>0</v>
      </c>
      <c r="G526" s="3" t="s">
        <v>41</v>
      </c>
      <c r="I526" s="25" t="str">
        <f t="shared" si="81"/>
        <v/>
      </c>
      <c r="J526" s="25" t="str">
        <f t="shared" si="81"/>
        <v/>
      </c>
      <c r="L526" s="3"/>
      <c r="M526" s="3"/>
    </row>
    <row r="527" spans="1:13" x14ac:dyDescent="0.45">
      <c r="A527" t="s">
        <v>18</v>
      </c>
      <c r="B527" t="s">
        <v>32</v>
      </c>
      <c r="C527" t="s">
        <v>21</v>
      </c>
      <c r="D527" s="27">
        <v>0</v>
      </c>
      <c r="E527" s="3" t="s">
        <v>41</v>
      </c>
      <c r="F527" s="23">
        <v>0</v>
      </c>
      <c r="G527" s="3" t="s">
        <v>41</v>
      </c>
      <c r="I527" s="25" t="str">
        <f t="shared" ref="I527:J589" si="92">IF(L527="","",L527-L526)</f>
        <v/>
      </c>
      <c r="J527" s="25" t="str">
        <f t="shared" si="92"/>
        <v/>
      </c>
      <c r="L527" s="3"/>
      <c r="M527" s="3"/>
    </row>
    <row r="528" spans="1:13" x14ac:dyDescent="0.45">
      <c r="A528" t="s">
        <v>19</v>
      </c>
      <c r="B528" t="s">
        <v>32</v>
      </c>
      <c r="C528" t="s">
        <v>21</v>
      </c>
      <c r="D528" s="27">
        <v>0</v>
      </c>
      <c r="E528" s="3" t="s">
        <v>41</v>
      </c>
      <c r="F528" s="23">
        <v>0</v>
      </c>
      <c r="G528" s="3" t="s">
        <v>41</v>
      </c>
      <c r="I528" s="25" t="str">
        <f t="shared" si="92"/>
        <v/>
      </c>
      <c r="J528" s="25" t="str">
        <f t="shared" si="92"/>
        <v/>
      </c>
      <c r="L528" s="3"/>
      <c r="M528" s="3"/>
    </row>
    <row r="529" spans="1:13" x14ac:dyDescent="0.45">
      <c r="A529" t="s">
        <v>20</v>
      </c>
      <c r="B529" t="s">
        <v>32</v>
      </c>
      <c r="C529" t="s">
        <v>21</v>
      </c>
      <c r="D529" s="27">
        <v>0</v>
      </c>
      <c r="E529" s="3" t="s">
        <v>41</v>
      </c>
      <c r="F529" s="23">
        <v>0</v>
      </c>
      <c r="G529" s="3" t="s">
        <v>41</v>
      </c>
      <c r="I529" s="25" t="str">
        <f t="shared" si="92"/>
        <v/>
      </c>
      <c r="J529" s="25" t="str">
        <f t="shared" si="92"/>
        <v/>
      </c>
      <c r="L529" s="3"/>
      <c r="M529" s="3"/>
    </row>
    <row r="530" spans="1:13" x14ac:dyDescent="0.45">
      <c r="A530" t="s">
        <v>7</v>
      </c>
      <c r="B530" t="s">
        <v>32</v>
      </c>
      <c r="C530" t="s">
        <v>22</v>
      </c>
      <c r="D530" s="27">
        <v>0</v>
      </c>
      <c r="E530" s="3">
        <v>0</v>
      </c>
      <c r="F530" s="23">
        <v>0</v>
      </c>
      <c r="G530" s="3">
        <v>0</v>
      </c>
      <c r="I530" s="22">
        <f t="shared" ref="I530:J530" si="93">IF(L530="","",L530)</f>
        <v>0</v>
      </c>
      <c r="J530" s="22">
        <f t="shared" si="93"/>
        <v>0</v>
      </c>
      <c r="L530" s="3">
        <v>0</v>
      </c>
      <c r="M530" s="3">
        <v>0</v>
      </c>
    </row>
    <row r="531" spans="1:13" x14ac:dyDescent="0.45">
      <c r="A531" t="s">
        <v>10</v>
      </c>
      <c r="B531" t="s">
        <v>32</v>
      </c>
      <c r="C531" t="s">
        <v>22</v>
      </c>
      <c r="D531" s="28">
        <v>50000000</v>
      </c>
      <c r="E531" s="4">
        <v>32848750</v>
      </c>
      <c r="F531" s="24">
        <v>0</v>
      </c>
      <c r="G531" s="4">
        <v>0</v>
      </c>
      <c r="I531" s="25">
        <f t="shared" ref="I531:J531" si="94">IF(L531="","",L531-L530)</f>
        <v>32848750</v>
      </c>
      <c r="J531" s="25">
        <f t="shared" si="94"/>
        <v>0</v>
      </c>
      <c r="L531" s="4">
        <v>32848750</v>
      </c>
      <c r="M531" s="4">
        <v>0</v>
      </c>
    </row>
    <row r="532" spans="1:13" x14ac:dyDescent="0.45">
      <c r="A532" t="s">
        <v>11</v>
      </c>
      <c r="B532" t="s">
        <v>32</v>
      </c>
      <c r="C532" t="s">
        <v>22</v>
      </c>
      <c r="D532" s="27">
        <v>0</v>
      </c>
      <c r="E532" s="3">
        <v>0</v>
      </c>
      <c r="F532" s="23">
        <v>50000000</v>
      </c>
      <c r="G532" s="3">
        <v>0</v>
      </c>
      <c r="I532" s="25">
        <f t="shared" si="92"/>
        <v>0</v>
      </c>
      <c r="J532" s="25">
        <f t="shared" si="92"/>
        <v>0</v>
      </c>
      <c r="L532" s="29">
        <f>SUMIFS(Pivot_!C:C,Pivot_!A:A,'Hitung Per Bulan'!B532,Pivot_!B:B,'Hitung Per Bulan'!C532)</f>
        <v>32848750</v>
      </c>
      <c r="M532" s="29">
        <f>SUMIFS(Pivot_!D:D,Pivot_!A:A,'Hitung Per Bulan'!B532,Pivot_!B:B,'Hitung Per Bulan'!C532)</f>
        <v>0</v>
      </c>
    </row>
    <row r="533" spans="1:13" x14ac:dyDescent="0.45">
      <c r="A533" t="s">
        <v>12</v>
      </c>
      <c r="B533" t="s">
        <v>32</v>
      </c>
      <c r="C533" t="s">
        <v>22</v>
      </c>
      <c r="D533" s="27">
        <v>0</v>
      </c>
      <c r="E533" s="3" t="s">
        <v>41</v>
      </c>
      <c r="F533" s="23">
        <v>0</v>
      </c>
      <c r="G533" s="3" t="s">
        <v>41</v>
      </c>
      <c r="I533" s="25" t="str">
        <f t="shared" si="92"/>
        <v/>
      </c>
      <c r="J533" s="25" t="str">
        <f t="shared" si="92"/>
        <v/>
      </c>
      <c r="L533" s="3"/>
      <c r="M533" s="3"/>
    </row>
    <row r="534" spans="1:13" x14ac:dyDescent="0.45">
      <c r="A534" t="s">
        <v>13</v>
      </c>
      <c r="B534" t="s">
        <v>32</v>
      </c>
      <c r="C534" t="s">
        <v>22</v>
      </c>
      <c r="D534" s="27">
        <v>50000000</v>
      </c>
      <c r="E534" s="3" t="s">
        <v>41</v>
      </c>
      <c r="F534" s="23">
        <v>0</v>
      </c>
      <c r="G534" s="3" t="s">
        <v>41</v>
      </c>
      <c r="I534" s="25" t="str">
        <f t="shared" si="92"/>
        <v/>
      </c>
      <c r="J534" s="25" t="str">
        <f t="shared" si="92"/>
        <v/>
      </c>
      <c r="L534" s="3"/>
      <c r="M534" s="3"/>
    </row>
    <row r="535" spans="1:13" x14ac:dyDescent="0.45">
      <c r="A535" t="s">
        <v>14</v>
      </c>
      <c r="B535" t="s">
        <v>32</v>
      </c>
      <c r="C535" t="s">
        <v>22</v>
      </c>
      <c r="D535" s="27">
        <v>0</v>
      </c>
      <c r="E535" s="3" t="s">
        <v>41</v>
      </c>
      <c r="F535" s="23">
        <v>50000000</v>
      </c>
      <c r="G535" s="3" t="s">
        <v>41</v>
      </c>
      <c r="I535" s="25" t="str">
        <f t="shared" si="92"/>
        <v/>
      </c>
      <c r="J535" s="25" t="str">
        <f t="shared" si="92"/>
        <v/>
      </c>
      <c r="L535" s="3"/>
      <c r="M535" s="3"/>
    </row>
    <row r="536" spans="1:13" x14ac:dyDescent="0.45">
      <c r="A536" t="s">
        <v>15</v>
      </c>
      <c r="B536" t="s">
        <v>32</v>
      </c>
      <c r="C536" t="s">
        <v>22</v>
      </c>
      <c r="D536" s="27">
        <v>0</v>
      </c>
      <c r="E536" s="3" t="s">
        <v>41</v>
      </c>
      <c r="F536" s="23">
        <v>0</v>
      </c>
      <c r="G536" s="3" t="s">
        <v>41</v>
      </c>
      <c r="I536" s="25" t="str">
        <f t="shared" si="92"/>
        <v/>
      </c>
      <c r="J536" s="25" t="str">
        <f t="shared" si="92"/>
        <v/>
      </c>
      <c r="L536" s="3"/>
      <c r="M536" s="3"/>
    </row>
    <row r="537" spans="1:13" x14ac:dyDescent="0.45">
      <c r="A537" t="s">
        <v>16</v>
      </c>
      <c r="B537" t="s">
        <v>32</v>
      </c>
      <c r="C537" t="s">
        <v>22</v>
      </c>
      <c r="D537" s="27">
        <v>50000000</v>
      </c>
      <c r="E537" s="3" t="s">
        <v>41</v>
      </c>
      <c r="F537" s="23">
        <v>0</v>
      </c>
      <c r="G537" s="3" t="s">
        <v>41</v>
      </c>
      <c r="I537" s="25" t="str">
        <f t="shared" si="92"/>
        <v/>
      </c>
      <c r="J537" s="25" t="str">
        <f t="shared" si="92"/>
        <v/>
      </c>
      <c r="L537" s="3"/>
      <c r="M537" s="3"/>
    </row>
    <row r="538" spans="1:13" x14ac:dyDescent="0.45">
      <c r="A538" t="s">
        <v>17</v>
      </c>
      <c r="B538" t="s">
        <v>32</v>
      </c>
      <c r="C538" t="s">
        <v>22</v>
      </c>
      <c r="D538" s="27">
        <v>0</v>
      </c>
      <c r="E538" s="3" t="s">
        <v>41</v>
      </c>
      <c r="F538" s="23">
        <v>50000000</v>
      </c>
      <c r="G538" s="3" t="s">
        <v>41</v>
      </c>
      <c r="I538" s="25" t="str">
        <f t="shared" si="92"/>
        <v/>
      </c>
      <c r="J538" s="25" t="str">
        <f t="shared" si="92"/>
        <v/>
      </c>
      <c r="L538" s="3"/>
      <c r="M538" s="3"/>
    </row>
    <row r="539" spans="1:13" x14ac:dyDescent="0.45">
      <c r="A539" t="s">
        <v>18</v>
      </c>
      <c r="B539" t="s">
        <v>32</v>
      </c>
      <c r="C539" t="s">
        <v>22</v>
      </c>
      <c r="D539" s="27">
        <v>50000000</v>
      </c>
      <c r="E539" s="3" t="s">
        <v>41</v>
      </c>
      <c r="F539" s="23">
        <v>0</v>
      </c>
      <c r="G539" s="3" t="s">
        <v>41</v>
      </c>
      <c r="I539" s="25" t="str">
        <f t="shared" si="92"/>
        <v/>
      </c>
      <c r="J539" s="25" t="str">
        <f t="shared" si="92"/>
        <v/>
      </c>
      <c r="L539" s="3"/>
      <c r="M539" s="3"/>
    </row>
    <row r="540" spans="1:13" x14ac:dyDescent="0.45">
      <c r="A540" t="s">
        <v>19</v>
      </c>
      <c r="B540" t="s">
        <v>32</v>
      </c>
      <c r="C540" t="s">
        <v>22</v>
      </c>
      <c r="D540" s="27">
        <v>0</v>
      </c>
      <c r="E540" s="3" t="s">
        <v>41</v>
      </c>
      <c r="F540" s="23">
        <v>50000000</v>
      </c>
      <c r="G540" s="3" t="s">
        <v>41</v>
      </c>
      <c r="I540" s="25" t="str">
        <f t="shared" si="92"/>
        <v/>
      </c>
      <c r="J540" s="25" t="str">
        <f t="shared" si="92"/>
        <v/>
      </c>
      <c r="L540" s="3"/>
      <c r="M540" s="3"/>
    </row>
    <row r="541" spans="1:13" x14ac:dyDescent="0.45">
      <c r="A541" t="s">
        <v>20</v>
      </c>
      <c r="B541" t="s">
        <v>32</v>
      </c>
      <c r="C541" t="s">
        <v>22</v>
      </c>
      <c r="D541" s="27">
        <v>50000000</v>
      </c>
      <c r="E541" s="3" t="s">
        <v>41</v>
      </c>
      <c r="F541" s="23">
        <v>50000000</v>
      </c>
      <c r="G541" s="3" t="s">
        <v>41</v>
      </c>
      <c r="I541" s="25" t="str">
        <f t="shared" si="92"/>
        <v/>
      </c>
      <c r="J541" s="25" t="str">
        <f t="shared" si="92"/>
        <v/>
      </c>
      <c r="L541" s="3"/>
      <c r="M541" s="3"/>
    </row>
    <row r="542" spans="1:13" x14ac:dyDescent="0.45">
      <c r="A542" t="s">
        <v>7</v>
      </c>
      <c r="B542" t="s">
        <v>32</v>
      </c>
      <c r="C542" t="s">
        <v>23</v>
      </c>
      <c r="D542" s="27">
        <v>0</v>
      </c>
      <c r="E542" s="3">
        <v>0</v>
      </c>
      <c r="F542" s="23">
        <v>0</v>
      </c>
      <c r="G542" s="3">
        <v>0</v>
      </c>
      <c r="I542" s="22">
        <f t="shared" ref="I542:J542" si="95">IF(L542="","",L542)</f>
        <v>0</v>
      </c>
      <c r="J542" s="22">
        <f t="shared" si="95"/>
        <v>0</v>
      </c>
      <c r="L542" s="3">
        <v>0</v>
      </c>
      <c r="M542" s="3">
        <v>0</v>
      </c>
    </row>
    <row r="543" spans="1:13" x14ac:dyDescent="0.45">
      <c r="A543" t="s">
        <v>10</v>
      </c>
      <c r="B543" t="s">
        <v>32</v>
      </c>
      <c r="C543" t="s">
        <v>23</v>
      </c>
      <c r="D543" s="28">
        <v>0</v>
      </c>
      <c r="E543" s="4">
        <v>0</v>
      </c>
      <c r="F543" s="24">
        <v>0</v>
      </c>
      <c r="G543" s="4">
        <v>0</v>
      </c>
      <c r="I543" s="25">
        <f t="shared" ref="I543:J543" si="96">IF(L543="","",L543-L542)</f>
        <v>0</v>
      </c>
      <c r="J543" s="25">
        <f t="shared" si="96"/>
        <v>0</v>
      </c>
      <c r="L543" s="4">
        <v>0</v>
      </c>
      <c r="M543" s="4">
        <v>0</v>
      </c>
    </row>
    <row r="544" spans="1:13" x14ac:dyDescent="0.45">
      <c r="A544" t="s">
        <v>11</v>
      </c>
      <c r="B544" t="s">
        <v>32</v>
      </c>
      <c r="C544" t="s">
        <v>23</v>
      </c>
      <c r="D544" s="27">
        <v>200000000</v>
      </c>
      <c r="E544" s="3">
        <v>0</v>
      </c>
      <c r="F544" s="23">
        <v>0</v>
      </c>
      <c r="G544" s="3">
        <v>0</v>
      </c>
      <c r="I544" s="25">
        <f t="shared" si="92"/>
        <v>0</v>
      </c>
      <c r="J544" s="25">
        <f t="shared" si="92"/>
        <v>0</v>
      </c>
      <c r="L544" s="29">
        <f>SUMIFS(Pivot_!C:C,Pivot_!A:A,'Hitung Per Bulan'!B544,Pivot_!B:B,'Hitung Per Bulan'!C544)</f>
        <v>0</v>
      </c>
      <c r="M544" s="29">
        <f>SUMIFS(Pivot_!D:D,Pivot_!A:A,'Hitung Per Bulan'!B544,Pivot_!B:B,'Hitung Per Bulan'!C544)</f>
        <v>0</v>
      </c>
    </row>
    <row r="545" spans="1:13" x14ac:dyDescent="0.45">
      <c r="A545" t="s">
        <v>12</v>
      </c>
      <c r="B545" t="s">
        <v>32</v>
      </c>
      <c r="C545" t="s">
        <v>23</v>
      </c>
      <c r="D545" s="27">
        <v>0</v>
      </c>
      <c r="E545" s="3" t="s">
        <v>41</v>
      </c>
      <c r="F545" s="23">
        <v>0</v>
      </c>
      <c r="G545" s="3" t="s">
        <v>41</v>
      </c>
      <c r="I545" s="25" t="str">
        <f t="shared" si="92"/>
        <v/>
      </c>
      <c r="J545" s="25" t="str">
        <f t="shared" si="92"/>
        <v/>
      </c>
      <c r="L545" s="3"/>
      <c r="M545" s="3"/>
    </row>
    <row r="546" spans="1:13" x14ac:dyDescent="0.45">
      <c r="A546" t="s">
        <v>13</v>
      </c>
      <c r="B546" t="s">
        <v>32</v>
      </c>
      <c r="C546" t="s">
        <v>23</v>
      </c>
      <c r="D546" s="27">
        <v>340000000</v>
      </c>
      <c r="E546" s="3" t="s">
        <v>41</v>
      </c>
      <c r="F546" s="23">
        <v>200000000</v>
      </c>
      <c r="G546" s="3" t="s">
        <v>41</v>
      </c>
      <c r="I546" s="25" t="str">
        <f t="shared" si="92"/>
        <v/>
      </c>
      <c r="J546" s="25" t="str">
        <f t="shared" si="92"/>
        <v/>
      </c>
      <c r="L546" s="3"/>
      <c r="M546" s="3"/>
    </row>
    <row r="547" spans="1:13" x14ac:dyDescent="0.45">
      <c r="A547" t="s">
        <v>14</v>
      </c>
      <c r="B547" t="s">
        <v>32</v>
      </c>
      <c r="C547" t="s">
        <v>23</v>
      </c>
      <c r="D547" s="27">
        <v>0</v>
      </c>
      <c r="E547" s="3" t="s">
        <v>41</v>
      </c>
      <c r="F547" s="23">
        <v>0</v>
      </c>
      <c r="G547" s="3" t="s">
        <v>41</v>
      </c>
      <c r="I547" s="25" t="str">
        <f t="shared" si="92"/>
        <v/>
      </c>
      <c r="J547" s="25" t="str">
        <f t="shared" si="92"/>
        <v/>
      </c>
      <c r="L547" s="3"/>
      <c r="M547" s="3"/>
    </row>
    <row r="548" spans="1:13" x14ac:dyDescent="0.45">
      <c r="A548" t="s">
        <v>15</v>
      </c>
      <c r="B548" t="s">
        <v>32</v>
      </c>
      <c r="C548" t="s">
        <v>23</v>
      </c>
      <c r="D548" s="27">
        <v>0</v>
      </c>
      <c r="E548" s="3" t="s">
        <v>41</v>
      </c>
      <c r="F548" s="23">
        <v>340000000</v>
      </c>
      <c r="G548" s="3" t="s">
        <v>41</v>
      </c>
      <c r="I548" s="25" t="str">
        <f t="shared" si="92"/>
        <v/>
      </c>
      <c r="J548" s="25" t="str">
        <f t="shared" si="92"/>
        <v/>
      </c>
      <c r="L548" s="3"/>
      <c r="M548" s="3"/>
    </row>
    <row r="549" spans="1:13" x14ac:dyDescent="0.45">
      <c r="A549" t="s">
        <v>16</v>
      </c>
      <c r="B549" t="s">
        <v>32</v>
      </c>
      <c r="C549" t="s">
        <v>23</v>
      </c>
      <c r="D549" s="27">
        <v>500000000</v>
      </c>
      <c r="E549" s="3" t="s">
        <v>41</v>
      </c>
      <c r="F549" s="23">
        <v>0</v>
      </c>
      <c r="G549" s="3" t="s">
        <v>41</v>
      </c>
      <c r="I549" s="25" t="str">
        <f t="shared" si="92"/>
        <v/>
      </c>
      <c r="J549" s="25" t="str">
        <f t="shared" si="92"/>
        <v/>
      </c>
      <c r="L549" s="3"/>
      <c r="M549" s="3"/>
    </row>
    <row r="550" spans="1:13" x14ac:dyDescent="0.45">
      <c r="A550" t="s">
        <v>17</v>
      </c>
      <c r="B550" t="s">
        <v>32</v>
      </c>
      <c r="C550" t="s">
        <v>23</v>
      </c>
      <c r="D550" s="27">
        <v>0</v>
      </c>
      <c r="E550" s="3" t="s">
        <v>41</v>
      </c>
      <c r="F550" s="23">
        <v>0</v>
      </c>
      <c r="G550" s="3" t="s">
        <v>41</v>
      </c>
      <c r="I550" s="25" t="str">
        <f t="shared" si="92"/>
        <v/>
      </c>
      <c r="J550" s="25" t="str">
        <f t="shared" si="92"/>
        <v/>
      </c>
      <c r="L550" s="3"/>
      <c r="M550" s="3"/>
    </row>
    <row r="551" spans="1:13" x14ac:dyDescent="0.45">
      <c r="A551" t="s">
        <v>18</v>
      </c>
      <c r="B551" t="s">
        <v>32</v>
      </c>
      <c r="C551" t="s">
        <v>23</v>
      </c>
      <c r="D551" s="27">
        <v>0</v>
      </c>
      <c r="E551" s="3" t="s">
        <v>41</v>
      </c>
      <c r="F551" s="23">
        <v>500000000</v>
      </c>
      <c r="G551" s="3" t="s">
        <v>41</v>
      </c>
      <c r="I551" s="25" t="str">
        <f t="shared" si="92"/>
        <v/>
      </c>
      <c r="J551" s="25" t="str">
        <f t="shared" si="92"/>
        <v/>
      </c>
      <c r="L551" s="3"/>
      <c r="M551" s="3"/>
    </row>
    <row r="552" spans="1:13" x14ac:dyDescent="0.45">
      <c r="A552" t="s">
        <v>19</v>
      </c>
      <c r="B552" t="s">
        <v>32</v>
      </c>
      <c r="C552" t="s">
        <v>23</v>
      </c>
      <c r="D552" s="27">
        <v>0</v>
      </c>
      <c r="E552" s="3" t="s">
        <v>41</v>
      </c>
      <c r="F552" s="23">
        <v>0</v>
      </c>
      <c r="G552" s="3" t="s">
        <v>41</v>
      </c>
      <c r="I552" s="25" t="str">
        <f t="shared" si="92"/>
        <v/>
      </c>
      <c r="J552" s="25" t="str">
        <f t="shared" si="92"/>
        <v/>
      </c>
      <c r="L552" s="3"/>
      <c r="M552" s="3"/>
    </row>
    <row r="553" spans="1:13" x14ac:dyDescent="0.45">
      <c r="A553" t="s">
        <v>20</v>
      </c>
      <c r="B553" t="s">
        <v>32</v>
      </c>
      <c r="C553" t="s">
        <v>23</v>
      </c>
      <c r="D553" s="27">
        <v>0</v>
      </c>
      <c r="E553" s="3" t="s">
        <v>41</v>
      </c>
      <c r="F553" s="23">
        <v>0</v>
      </c>
      <c r="G553" s="3" t="s">
        <v>41</v>
      </c>
      <c r="I553" s="25" t="str">
        <f t="shared" si="92"/>
        <v/>
      </c>
      <c r="J553" s="25" t="str">
        <f t="shared" si="92"/>
        <v/>
      </c>
      <c r="L553" s="3"/>
      <c r="M553" s="3"/>
    </row>
    <row r="554" spans="1:13" x14ac:dyDescent="0.45">
      <c r="A554" t="s">
        <v>7</v>
      </c>
      <c r="B554" t="s">
        <v>32</v>
      </c>
      <c r="C554" t="s">
        <v>24</v>
      </c>
      <c r="D554" s="27">
        <v>0</v>
      </c>
      <c r="E554" s="3">
        <v>0</v>
      </c>
      <c r="F554" s="23">
        <v>0</v>
      </c>
      <c r="G554" s="3">
        <v>0</v>
      </c>
      <c r="I554" s="22">
        <f t="shared" ref="I554:J554" si="97">IF(L554="","",L554)</f>
        <v>0</v>
      </c>
      <c r="J554" s="22">
        <f t="shared" si="97"/>
        <v>0</v>
      </c>
      <c r="L554" s="3">
        <v>0</v>
      </c>
      <c r="M554" s="3">
        <v>0</v>
      </c>
    </row>
    <row r="555" spans="1:13" x14ac:dyDescent="0.45">
      <c r="A555" t="s">
        <v>10</v>
      </c>
      <c r="B555" t="s">
        <v>32</v>
      </c>
      <c r="C555" t="s">
        <v>24</v>
      </c>
      <c r="D555" s="28">
        <v>0</v>
      </c>
      <c r="E555" s="4">
        <v>0</v>
      </c>
      <c r="F555" s="24">
        <v>0</v>
      </c>
      <c r="G555" s="4">
        <v>0</v>
      </c>
      <c r="I555" s="25">
        <f t="shared" ref="I555:J555" si="98">IF(L555="","",L555-L554)</f>
        <v>0</v>
      </c>
      <c r="J555" s="25">
        <f t="shared" si="98"/>
        <v>0</v>
      </c>
      <c r="L555" s="4">
        <v>0</v>
      </c>
      <c r="M555" s="4">
        <v>0</v>
      </c>
    </row>
    <row r="556" spans="1:13" x14ac:dyDescent="0.45">
      <c r="A556" t="s">
        <v>11</v>
      </c>
      <c r="B556" t="s">
        <v>32</v>
      </c>
      <c r="C556" t="s">
        <v>24</v>
      </c>
      <c r="D556" s="27">
        <v>0</v>
      </c>
      <c r="E556" s="3">
        <v>0</v>
      </c>
      <c r="F556" s="23">
        <v>0</v>
      </c>
      <c r="G556" s="3">
        <v>0</v>
      </c>
      <c r="I556" s="25">
        <f t="shared" si="92"/>
        <v>0</v>
      </c>
      <c r="J556" s="25">
        <f t="shared" si="92"/>
        <v>0</v>
      </c>
      <c r="L556" s="29">
        <f>SUMIFS(Pivot_!C:C,Pivot_!A:A,'Hitung Per Bulan'!B556,Pivot_!B:B,'Hitung Per Bulan'!C556)</f>
        <v>0</v>
      </c>
      <c r="M556" s="29">
        <f>SUMIFS(Pivot_!D:D,Pivot_!A:A,'Hitung Per Bulan'!B556,Pivot_!B:B,'Hitung Per Bulan'!C556)</f>
        <v>0</v>
      </c>
    </row>
    <row r="557" spans="1:13" x14ac:dyDescent="0.45">
      <c r="A557" t="s">
        <v>12</v>
      </c>
      <c r="B557" t="s">
        <v>32</v>
      </c>
      <c r="C557" t="s">
        <v>24</v>
      </c>
      <c r="D557" s="27">
        <v>0</v>
      </c>
      <c r="E557" s="3" t="s">
        <v>41</v>
      </c>
      <c r="F557" s="23">
        <v>0</v>
      </c>
      <c r="G557" s="3" t="s">
        <v>41</v>
      </c>
      <c r="I557" s="25" t="str">
        <f t="shared" si="92"/>
        <v/>
      </c>
      <c r="J557" s="25" t="str">
        <f t="shared" si="92"/>
        <v/>
      </c>
      <c r="L557" s="3"/>
      <c r="M557" s="3"/>
    </row>
    <row r="558" spans="1:13" x14ac:dyDescent="0.45">
      <c r="A558" t="s">
        <v>13</v>
      </c>
      <c r="B558" t="s">
        <v>32</v>
      </c>
      <c r="C558" t="s">
        <v>24</v>
      </c>
      <c r="D558" s="27">
        <v>0</v>
      </c>
      <c r="E558" s="3" t="s">
        <v>41</v>
      </c>
      <c r="F558" s="23">
        <v>0</v>
      </c>
      <c r="G558" s="3" t="s">
        <v>41</v>
      </c>
      <c r="I558" s="25" t="str">
        <f t="shared" si="92"/>
        <v/>
      </c>
      <c r="J558" s="25" t="str">
        <f t="shared" si="92"/>
        <v/>
      </c>
      <c r="L558" s="3"/>
      <c r="M558" s="3"/>
    </row>
    <row r="559" spans="1:13" x14ac:dyDescent="0.45">
      <c r="A559" t="s">
        <v>14</v>
      </c>
      <c r="B559" t="s">
        <v>32</v>
      </c>
      <c r="C559" t="s">
        <v>24</v>
      </c>
      <c r="D559" s="27">
        <v>0</v>
      </c>
      <c r="E559" s="3" t="s">
        <v>41</v>
      </c>
      <c r="F559" s="23">
        <v>0</v>
      </c>
      <c r="G559" s="3" t="s">
        <v>41</v>
      </c>
      <c r="I559" s="25" t="str">
        <f t="shared" si="92"/>
        <v/>
      </c>
      <c r="J559" s="25" t="str">
        <f t="shared" si="92"/>
        <v/>
      </c>
      <c r="L559" s="3"/>
      <c r="M559" s="3"/>
    </row>
    <row r="560" spans="1:13" x14ac:dyDescent="0.45">
      <c r="A560" t="s">
        <v>15</v>
      </c>
      <c r="B560" t="s">
        <v>32</v>
      </c>
      <c r="C560" t="s">
        <v>24</v>
      </c>
      <c r="D560" s="27">
        <v>0</v>
      </c>
      <c r="E560" s="3" t="s">
        <v>41</v>
      </c>
      <c r="F560" s="23">
        <v>0</v>
      </c>
      <c r="G560" s="3" t="s">
        <v>41</v>
      </c>
      <c r="I560" s="25" t="str">
        <f t="shared" si="92"/>
        <v/>
      </c>
      <c r="J560" s="25" t="str">
        <f t="shared" si="92"/>
        <v/>
      </c>
      <c r="L560" s="3"/>
      <c r="M560" s="3"/>
    </row>
    <row r="561" spans="1:13" x14ac:dyDescent="0.45">
      <c r="A561" t="s">
        <v>16</v>
      </c>
      <c r="B561" t="s">
        <v>32</v>
      </c>
      <c r="C561" t="s">
        <v>24</v>
      </c>
      <c r="D561" s="27">
        <v>0</v>
      </c>
      <c r="E561" s="3" t="s">
        <v>41</v>
      </c>
      <c r="F561" s="23">
        <v>0</v>
      </c>
      <c r="G561" s="3" t="s">
        <v>41</v>
      </c>
      <c r="I561" s="25" t="str">
        <f t="shared" si="92"/>
        <v/>
      </c>
      <c r="J561" s="25" t="str">
        <f t="shared" si="92"/>
        <v/>
      </c>
      <c r="L561" s="3"/>
      <c r="M561" s="3"/>
    </row>
    <row r="562" spans="1:13" x14ac:dyDescent="0.45">
      <c r="A562" t="s">
        <v>17</v>
      </c>
      <c r="B562" t="s">
        <v>32</v>
      </c>
      <c r="C562" t="s">
        <v>24</v>
      </c>
      <c r="D562" s="27">
        <v>0</v>
      </c>
      <c r="E562" s="3" t="s">
        <v>41</v>
      </c>
      <c r="F562" s="23">
        <v>0</v>
      </c>
      <c r="G562" s="3" t="s">
        <v>41</v>
      </c>
      <c r="I562" s="25" t="str">
        <f t="shared" si="92"/>
        <v/>
      </c>
      <c r="J562" s="25" t="str">
        <f t="shared" si="92"/>
        <v/>
      </c>
      <c r="L562" s="3"/>
      <c r="M562" s="3"/>
    </row>
    <row r="563" spans="1:13" x14ac:dyDescent="0.45">
      <c r="A563" t="s">
        <v>18</v>
      </c>
      <c r="B563" t="s">
        <v>32</v>
      </c>
      <c r="C563" t="s">
        <v>24</v>
      </c>
      <c r="D563" s="27">
        <v>0</v>
      </c>
      <c r="E563" s="3" t="s">
        <v>41</v>
      </c>
      <c r="F563" s="23">
        <v>0</v>
      </c>
      <c r="G563" s="3" t="s">
        <v>41</v>
      </c>
      <c r="I563" s="25" t="str">
        <f t="shared" si="92"/>
        <v/>
      </c>
      <c r="J563" s="25" t="str">
        <f t="shared" si="92"/>
        <v/>
      </c>
      <c r="L563" s="3"/>
      <c r="M563" s="3"/>
    </row>
    <row r="564" spans="1:13" x14ac:dyDescent="0.45">
      <c r="A564" t="s">
        <v>19</v>
      </c>
      <c r="B564" t="s">
        <v>32</v>
      </c>
      <c r="C564" t="s">
        <v>24</v>
      </c>
      <c r="D564" s="27">
        <v>0</v>
      </c>
      <c r="E564" s="3" t="s">
        <v>41</v>
      </c>
      <c r="F564" s="23">
        <v>0</v>
      </c>
      <c r="G564" s="3" t="s">
        <v>41</v>
      </c>
      <c r="I564" s="25" t="str">
        <f t="shared" si="92"/>
        <v/>
      </c>
      <c r="J564" s="25" t="str">
        <f t="shared" si="92"/>
        <v/>
      </c>
      <c r="L564" s="3"/>
      <c r="M564" s="3"/>
    </row>
    <row r="565" spans="1:13" x14ac:dyDescent="0.45">
      <c r="A565" t="s">
        <v>20</v>
      </c>
      <c r="B565" t="s">
        <v>32</v>
      </c>
      <c r="C565" t="s">
        <v>24</v>
      </c>
      <c r="D565" s="27">
        <v>0</v>
      </c>
      <c r="E565" s="3" t="s">
        <v>41</v>
      </c>
      <c r="F565" s="23">
        <v>0</v>
      </c>
      <c r="G565" s="3" t="s">
        <v>41</v>
      </c>
      <c r="I565" s="25" t="str">
        <f t="shared" si="92"/>
        <v/>
      </c>
      <c r="J565" s="25" t="str">
        <f t="shared" si="92"/>
        <v/>
      </c>
      <c r="L565" s="3"/>
      <c r="M565" s="3"/>
    </row>
    <row r="566" spans="1:13" x14ac:dyDescent="0.45">
      <c r="A566" t="s">
        <v>7</v>
      </c>
      <c r="B566" t="s">
        <v>32</v>
      </c>
      <c r="C566" t="s">
        <v>25</v>
      </c>
      <c r="D566" s="27">
        <v>62259333.333333336</v>
      </c>
      <c r="E566" s="3">
        <v>106646150</v>
      </c>
      <c r="F566" s="23">
        <v>0</v>
      </c>
      <c r="G566" s="3">
        <v>19578750</v>
      </c>
      <c r="I566" s="22">
        <f t="shared" ref="I566:J566" si="99">IF(L566="","",L566)</f>
        <v>106646150</v>
      </c>
      <c r="J566" s="22">
        <f t="shared" si="99"/>
        <v>19578750</v>
      </c>
      <c r="L566" s="3">
        <v>106646150</v>
      </c>
      <c r="M566" s="3">
        <v>19578750</v>
      </c>
    </row>
    <row r="567" spans="1:13" x14ac:dyDescent="0.45">
      <c r="A567" t="s">
        <v>10</v>
      </c>
      <c r="B567" t="s">
        <v>32</v>
      </c>
      <c r="C567" t="s">
        <v>25</v>
      </c>
      <c r="D567" s="28">
        <v>81686766.666666657</v>
      </c>
      <c r="E567" s="4">
        <v>124319935</v>
      </c>
      <c r="F567" s="24">
        <v>62259333.333333328</v>
      </c>
      <c r="G567" s="4">
        <v>94911900</v>
      </c>
      <c r="I567" s="25">
        <f t="shared" ref="I567:J567" si="100">IF(L567="","",L567-L566)</f>
        <v>124319935</v>
      </c>
      <c r="J567" s="25">
        <f t="shared" si="100"/>
        <v>94911900</v>
      </c>
      <c r="L567" s="4">
        <v>230966085</v>
      </c>
      <c r="M567" s="4">
        <v>114490650</v>
      </c>
    </row>
    <row r="568" spans="1:13" x14ac:dyDescent="0.45">
      <c r="A568" t="s">
        <v>11</v>
      </c>
      <c r="B568" t="s">
        <v>32</v>
      </c>
      <c r="C568" t="s">
        <v>25</v>
      </c>
      <c r="D568" s="27">
        <v>89759333.333333343</v>
      </c>
      <c r="E568" s="3">
        <v>22471000</v>
      </c>
      <c r="F568" s="23">
        <v>81686766.666666597</v>
      </c>
      <c r="G568" s="3">
        <v>22471000</v>
      </c>
      <c r="I568" s="25">
        <f t="shared" si="92"/>
        <v>685227737</v>
      </c>
      <c r="J568" s="25">
        <f t="shared" si="92"/>
        <v>41040500</v>
      </c>
      <c r="L568" s="29">
        <f>SUMIFS(Pivot_!C:C,Pivot_!A:A,'Hitung Per Bulan'!B568,Pivot_!B:B,'Hitung Per Bulan'!C568)</f>
        <v>916193822</v>
      </c>
      <c r="M568" s="29">
        <f>SUMIFS(Pivot_!D:D,Pivot_!A:A,'Hitung Per Bulan'!B568,Pivot_!B:B,'Hitung Per Bulan'!C568)</f>
        <v>155531150</v>
      </c>
    </row>
    <row r="569" spans="1:13" x14ac:dyDescent="0.45">
      <c r="A569" t="s">
        <v>12</v>
      </c>
      <c r="B569" t="s">
        <v>32</v>
      </c>
      <c r="C569" t="s">
        <v>25</v>
      </c>
      <c r="D569" s="27">
        <v>64603433.333333336</v>
      </c>
      <c r="E569" s="3" t="s">
        <v>41</v>
      </c>
      <c r="F569" s="23">
        <v>89759333.333333328</v>
      </c>
      <c r="G569" s="3" t="s">
        <v>41</v>
      </c>
      <c r="I569" s="25" t="str">
        <f t="shared" si="92"/>
        <v/>
      </c>
      <c r="J569" s="25" t="str">
        <f t="shared" si="92"/>
        <v/>
      </c>
      <c r="L569" s="3"/>
      <c r="M569" s="3"/>
    </row>
    <row r="570" spans="1:13" x14ac:dyDescent="0.45">
      <c r="A570" t="s">
        <v>13</v>
      </c>
      <c r="B570" t="s">
        <v>32</v>
      </c>
      <c r="C570" t="s">
        <v>25</v>
      </c>
      <c r="D570" s="27">
        <v>301686766.66666669</v>
      </c>
      <c r="E570" s="3" t="s">
        <v>41</v>
      </c>
      <c r="F570" s="23">
        <v>784603433.33333337</v>
      </c>
      <c r="G570" s="3" t="s">
        <v>41</v>
      </c>
      <c r="I570" s="25" t="str">
        <f t="shared" si="92"/>
        <v/>
      </c>
      <c r="J570" s="25" t="str">
        <f t="shared" si="92"/>
        <v/>
      </c>
      <c r="L570" s="3"/>
      <c r="M570" s="3"/>
    </row>
    <row r="571" spans="1:13" x14ac:dyDescent="0.45">
      <c r="A571" t="s">
        <v>14</v>
      </c>
      <c r="B571" t="s">
        <v>32</v>
      </c>
      <c r="C571" t="s">
        <v>25</v>
      </c>
      <c r="D571" s="27">
        <v>599917433.33333337</v>
      </c>
      <c r="E571" s="3" t="s">
        <v>41</v>
      </c>
      <c r="F571" s="23">
        <v>81686766.666666597</v>
      </c>
      <c r="G571" s="3" t="s">
        <v>41</v>
      </c>
      <c r="I571" s="25" t="str">
        <f t="shared" si="92"/>
        <v/>
      </c>
      <c r="J571" s="25" t="str">
        <f t="shared" si="92"/>
        <v/>
      </c>
      <c r="L571" s="3"/>
      <c r="M571" s="3"/>
    </row>
    <row r="572" spans="1:13" x14ac:dyDescent="0.45">
      <c r="A572" t="s">
        <v>15</v>
      </c>
      <c r="B572" t="s">
        <v>32</v>
      </c>
      <c r="C572" t="s">
        <v>25</v>
      </c>
      <c r="D572" s="27">
        <v>64603433.333333336</v>
      </c>
      <c r="E572" s="3" t="s">
        <v>41</v>
      </c>
      <c r="F572" s="23">
        <v>99917433.333333299</v>
      </c>
      <c r="G572" s="3" t="s">
        <v>41</v>
      </c>
      <c r="I572" s="25" t="str">
        <f t="shared" si="92"/>
        <v/>
      </c>
      <c r="J572" s="25" t="str">
        <f t="shared" si="92"/>
        <v/>
      </c>
      <c r="L572" s="3"/>
      <c r="M572" s="3"/>
    </row>
    <row r="573" spans="1:13" x14ac:dyDescent="0.45">
      <c r="A573" t="s">
        <v>16</v>
      </c>
      <c r="B573" t="s">
        <v>32</v>
      </c>
      <c r="C573" t="s">
        <v>25</v>
      </c>
      <c r="D573" s="27">
        <v>81686766.666666657</v>
      </c>
      <c r="E573" s="3" t="s">
        <v>41</v>
      </c>
      <c r="F573" s="23">
        <v>64603433.333333299</v>
      </c>
      <c r="G573" s="3" t="s">
        <v>41</v>
      </c>
      <c r="I573" s="25" t="str">
        <f t="shared" si="92"/>
        <v/>
      </c>
      <c r="J573" s="25" t="str">
        <f t="shared" si="92"/>
        <v/>
      </c>
      <c r="L573" s="3"/>
      <c r="M573" s="3"/>
    </row>
    <row r="574" spans="1:13" x14ac:dyDescent="0.45">
      <c r="A574" t="s">
        <v>17</v>
      </c>
      <c r="B574" t="s">
        <v>32</v>
      </c>
      <c r="C574" t="s">
        <v>25</v>
      </c>
      <c r="D574" s="27">
        <v>233835433.33333334</v>
      </c>
      <c r="E574" s="3" t="s">
        <v>41</v>
      </c>
      <c r="F574" s="23">
        <v>81686766.666666597</v>
      </c>
      <c r="G574" s="3" t="s">
        <v>41</v>
      </c>
      <c r="I574" s="25" t="str">
        <f t="shared" si="92"/>
        <v/>
      </c>
      <c r="J574" s="25" t="str">
        <f t="shared" si="92"/>
        <v/>
      </c>
      <c r="L574" s="3"/>
      <c r="M574" s="3"/>
    </row>
    <row r="575" spans="1:13" x14ac:dyDescent="0.45">
      <c r="A575" t="s">
        <v>18</v>
      </c>
      <c r="B575" t="s">
        <v>32</v>
      </c>
      <c r="C575" t="s">
        <v>25</v>
      </c>
      <c r="D575" s="27">
        <v>64603433.333333336</v>
      </c>
      <c r="E575" s="3" t="s">
        <v>41</v>
      </c>
      <c r="F575" s="23">
        <v>233835433.33333328</v>
      </c>
      <c r="G575" s="3" t="s">
        <v>41</v>
      </c>
      <c r="I575" s="25" t="str">
        <f t="shared" si="92"/>
        <v/>
      </c>
      <c r="J575" s="25" t="str">
        <f t="shared" si="92"/>
        <v/>
      </c>
      <c r="L575" s="3"/>
      <c r="M575" s="3"/>
    </row>
    <row r="576" spans="1:13" x14ac:dyDescent="0.45">
      <c r="A576" t="s">
        <v>19</v>
      </c>
      <c r="B576" t="s">
        <v>32</v>
      </c>
      <c r="C576" t="s">
        <v>25</v>
      </c>
      <c r="D576" s="27">
        <v>78353433.333333328</v>
      </c>
      <c r="E576" s="3" t="s">
        <v>41</v>
      </c>
      <c r="F576" s="23">
        <v>64603433.333333299</v>
      </c>
      <c r="G576" s="3" t="s">
        <v>41</v>
      </c>
      <c r="I576" s="25" t="str">
        <f t="shared" si="92"/>
        <v/>
      </c>
      <c r="J576" s="25" t="str">
        <f t="shared" si="92"/>
        <v/>
      </c>
      <c r="L576" s="3"/>
      <c r="M576" s="3"/>
    </row>
    <row r="577" spans="1:13" x14ac:dyDescent="0.45">
      <c r="A577" t="s">
        <v>20</v>
      </c>
      <c r="B577" t="s">
        <v>32</v>
      </c>
      <c r="C577" t="s">
        <v>25</v>
      </c>
      <c r="D577" s="27">
        <v>99917433.333333328</v>
      </c>
      <c r="E577" s="3" t="s">
        <v>41</v>
      </c>
      <c r="F577" s="23">
        <v>178270866.66666669</v>
      </c>
      <c r="G577" s="3" t="s">
        <v>41</v>
      </c>
      <c r="I577" s="25" t="str">
        <f t="shared" si="92"/>
        <v/>
      </c>
      <c r="J577" s="25" t="str">
        <f t="shared" si="92"/>
        <v/>
      </c>
      <c r="L577" s="3"/>
      <c r="M577" s="3"/>
    </row>
    <row r="578" spans="1:13" x14ac:dyDescent="0.45">
      <c r="A578" t="s">
        <v>7</v>
      </c>
      <c r="B578" t="s">
        <v>32</v>
      </c>
      <c r="C578" t="s">
        <v>26</v>
      </c>
      <c r="D578" s="27">
        <v>255298000</v>
      </c>
      <c r="E578" s="3">
        <v>199624421</v>
      </c>
      <c r="F578" s="23">
        <v>255298000</v>
      </c>
      <c r="G578" s="3">
        <v>199624421</v>
      </c>
      <c r="I578" s="22">
        <f t="shared" ref="I578:J578" si="101">IF(L578="","",L578)</f>
        <v>199624421</v>
      </c>
      <c r="J578" s="22">
        <f t="shared" si="101"/>
        <v>199624421</v>
      </c>
      <c r="L578" s="3">
        <v>199624421</v>
      </c>
      <c r="M578" s="3">
        <v>199624421</v>
      </c>
    </row>
    <row r="579" spans="1:13" x14ac:dyDescent="0.45">
      <c r="A579" t="s">
        <v>10</v>
      </c>
      <c r="B579" t="s">
        <v>32</v>
      </c>
      <c r="C579" t="s">
        <v>26</v>
      </c>
      <c r="D579" s="28">
        <v>255298000</v>
      </c>
      <c r="E579" s="4">
        <v>197235478</v>
      </c>
      <c r="F579" s="24">
        <v>255298000</v>
      </c>
      <c r="G579" s="4">
        <v>197235478</v>
      </c>
      <c r="I579" s="25">
        <f t="shared" ref="I579:J579" si="102">IF(L579="","",L579-L578)</f>
        <v>197235478</v>
      </c>
      <c r="J579" s="25">
        <f t="shared" si="102"/>
        <v>197235478</v>
      </c>
      <c r="L579" s="4">
        <v>396859899</v>
      </c>
      <c r="M579" s="4">
        <v>396859899</v>
      </c>
    </row>
    <row r="580" spans="1:13" x14ac:dyDescent="0.45">
      <c r="A580" t="s">
        <v>11</v>
      </c>
      <c r="B580" t="s">
        <v>32</v>
      </c>
      <c r="C580" t="s">
        <v>26</v>
      </c>
      <c r="D580" s="27">
        <v>255298000</v>
      </c>
      <c r="E580" s="3">
        <v>0</v>
      </c>
      <c r="F580" s="23">
        <v>255298000</v>
      </c>
      <c r="G580" s="3">
        <v>0</v>
      </c>
      <c r="I580" s="25">
        <f t="shared" si="92"/>
        <v>0</v>
      </c>
      <c r="J580" s="25">
        <f t="shared" si="92"/>
        <v>0</v>
      </c>
      <c r="L580" s="29">
        <f>SUMIFS(Pivot_!C:C,Pivot_!A:A,'Hitung Per Bulan'!B580,Pivot_!B:B,'Hitung Per Bulan'!C580)</f>
        <v>396859899</v>
      </c>
      <c r="M580" s="29">
        <f>SUMIFS(Pivot_!D:D,Pivot_!A:A,'Hitung Per Bulan'!B580,Pivot_!B:B,'Hitung Per Bulan'!C580)</f>
        <v>396859899</v>
      </c>
    </row>
    <row r="581" spans="1:13" x14ac:dyDescent="0.45">
      <c r="A581" t="s">
        <v>12</v>
      </c>
      <c r="B581" t="s">
        <v>32</v>
      </c>
      <c r="C581" t="s">
        <v>26</v>
      </c>
      <c r="D581" s="27">
        <v>255298000</v>
      </c>
      <c r="E581" s="3" t="s">
        <v>41</v>
      </c>
      <c r="F581" s="23">
        <v>255298000</v>
      </c>
      <c r="G581" s="3" t="s">
        <v>41</v>
      </c>
      <c r="I581" s="25" t="str">
        <f t="shared" si="92"/>
        <v/>
      </c>
      <c r="J581" s="25" t="str">
        <f t="shared" si="92"/>
        <v/>
      </c>
      <c r="L581" s="3"/>
      <c r="M581" s="3"/>
    </row>
    <row r="582" spans="1:13" x14ac:dyDescent="0.45">
      <c r="A582" t="s">
        <v>13</v>
      </c>
      <c r="B582" t="s">
        <v>32</v>
      </c>
      <c r="C582" t="s">
        <v>26</v>
      </c>
      <c r="D582" s="27">
        <v>255298000</v>
      </c>
      <c r="E582" s="3" t="s">
        <v>41</v>
      </c>
      <c r="F582" s="23">
        <v>255298000</v>
      </c>
      <c r="G582" s="3" t="s">
        <v>41</v>
      </c>
      <c r="I582" s="25" t="str">
        <f t="shared" si="92"/>
        <v/>
      </c>
      <c r="J582" s="25" t="str">
        <f t="shared" si="92"/>
        <v/>
      </c>
      <c r="L582" s="3"/>
      <c r="M582" s="3"/>
    </row>
    <row r="583" spans="1:13" x14ac:dyDescent="0.45">
      <c r="A583" t="s">
        <v>14</v>
      </c>
      <c r="B583" t="s">
        <v>32</v>
      </c>
      <c r="C583" t="s">
        <v>26</v>
      </c>
      <c r="D583" s="27">
        <v>255298000</v>
      </c>
      <c r="E583" s="3" t="s">
        <v>41</v>
      </c>
      <c r="F583" s="23">
        <v>255298000</v>
      </c>
      <c r="G583" s="3" t="s">
        <v>41</v>
      </c>
      <c r="I583" s="25" t="str">
        <f t="shared" si="92"/>
        <v/>
      </c>
      <c r="J583" s="25" t="str">
        <f t="shared" si="92"/>
        <v/>
      </c>
      <c r="L583" s="3"/>
      <c r="M583" s="3"/>
    </row>
    <row r="584" spans="1:13" x14ac:dyDescent="0.45">
      <c r="A584" t="s">
        <v>15</v>
      </c>
      <c r="B584" t="s">
        <v>32</v>
      </c>
      <c r="C584" t="s">
        <v>26</v>
      </c>
      <c r="D584" s="27">
        <v>255298000</v>
      </c>
      <c r="E584" s="3" t="s">
        <v>41</v>
      </c>
      <c r="F584" s="23">
        <v>255298000</v>
      </c>
      <c r="G584" s="3" t="s">
        <v>41</v>
      </c>
      <c r="I584" s="25" t="str">
        <f t="shared" si="92"/>
        <v/>
      </c>
      <c r="J584" s="25" t="str">
        <f t="shared" si="92"/>
        <v/>
      </c>
      <c r="L584" s="3"/>
      <c r="M584" s="3"/>
    </row>
    <row r="585" spans="1:13" x14ac:dyDescent="0.45">
      <c r="A585" t="s">
        <v>16</v>
      </c>
      <c r="B585" t="s">
        <v>32</v>
      </c>
      <c r="C585" t="s">
        <v>26</v>
      </c>
      <c r="D585" s="27">
        <v>255298000</v>
      </c>
      <c r="E585" s="3" t="s">
        <v>41</v>
      </c>
      <c r="F585" s="23">
        <v>255298000</v>
      </c>
      <c r="G585" s="3" t="s">
        <v>41</v>
      </c>
      <c r="I585" s="25" t="str">
        <f t="shared" si="92"/>
        <v/>
      </c>
      <c r="J585" s="25" t="str">
        <f t="shared" si="92"/>
        <v/>
      </c>
      <c r="L585" s="3"/>
      <c r="M585" s="3"/>
    </row>
    <row r="586" spans="1:13" x14ac:dyDescent="0.45">
      <c r="A586" t="s">
        <v>17</v>
      </c>
      <c r="B586" t="s">
        <v>32</v>
      </c>
      <c r="C586" t="s">
        <v>26</v>
      </c>
      <c r="D586" s="27">
        <v>255298000</v>
      </c>
      <c r="E586" s="3" t="s">
        <v>41</v>
      </c>
      <c r="F586" s="23">
        <v>255298000</v>
      </c>
      <c r="G586" s="3" t="s">
        <v>41</v>
      </c>
      <c r="I586" s="25" t="str">
        <f t="shared" si="92"/>
        <v/>
      </c>
      <c r="J586" s="25" t="str">
        <f t="shared" si="92"/>
        <v/>
      </c>
      <c r="L586" s="3"/>
      <c r="M586" s="3"/>
    </row>
    <row r="587" spans="1:13" x14ac:dyDescent="0.45">
      <c r="A587" t="s">
        <v>18</v>
      </c>
      <c r="B587" t="s">
        <v>32</v>
      </c>
      <c r="C587" t="s">
        <v>26</v>
      </c>
      <c r="D587" s="27">
        <v>255298000</v>
      </c>
      <c r="E587" s="3" t="s">
        <v>41</v>
      </c>
      <c r="F587" s="23">
        <v>255298000</v>
      </c>
      <c r="G587" s="3" t="s">
        <v>41</v>
      </c>
      <c r="I587" s="25" t="str">
        <f t="shared" si="92"/>
        <v/>
      </c>
      <c r="J587" s="25" t="str">
        <f t="shared" si="92"/>
        <v/>
      </c>
      <c r="L587" s="3"/>
      <c r="M587" s="3"/>
    </row>
    <row r="588" spans="1:13" x14ac:dyDescent="0.45">
      <c r="A588" t="s">
        <v>19</v>
      </c>
      <c r="B588" t="s">
        <v>32</v>
      </c>
      <c r="C588" t="s">
        <v>26</v>
      </c>
      <c r="D588" s="27">
        <v>255298000</v>
      </c>
      <c r="E588" s="3" t="s">
        <v>41</v>
      </c>
      <c r="F588" s="23">
        <v>255298000</v>
      </c>
      <c r="G588" s="3" t="s">
        <v>41</v>
      </c>
      <c r="I588" s="25" t="str">
        <f t="shared" si="92"/>
        <v/>
      </c>
      <c r="J588" s="25" t="str">
        <f t="shared" si="92"/>
        <v/>
      </c>
      <c r="L588" s="3"/>
      <c r="M588" s="3"/>
    </row>
    <row r="589" spans="1:13" x14ac:dyDescent="0.45">
      <c r="A589" t="s">
        <v>20</v>
      </c>
      <c r="B589" t="s">
        <v>32</v>
      </c>
      <c r="C589" t="s">
        <v>26</v>
      </c>
      <c r="D589" s="27">
        <v>255298000</v>
      </c>
      <c r="E589" s="3" t="s">
        <v>41</v>
      </c>
      <c r="F589" s="23">
        <v>255298000</v>
      </c>
      <c r="G589" s="3" t="s">
        <v>41</v>
      </c>
      <c r="I589" s="25" t="str">
        <f t="shared" si="92"/>
        <v/>
      </c>
      <c r="J589" s="25" t="str">
        <f t="shared" si="92"/>
        <v/>
      </c>
      <c r="L589" s="3"/>
      <c r="M589" s="3"/>
    </row>
    <row r="590" spans="1:13" x14ac:dyDescent="0.45">
      <c r="A590" t="s">
        <v>7</v>
      </c>
      <c r="B590" t="s">
        <v>33</v>
      </c>
      <c r="C590" t="s">
        <v>9</v>
      </c>
      <c r="D590" s="27">
        <v>0</v>
      </c>
      <c r="E590" s="3">
        <v>31467000</v>
      </c>
      <c r="F590" s="23">
        <v>0</v>
      </c>
      <c r="G590" s="3">
        <v>0</v>
      </c>
      <c r="I590" s="22">
        <f t="shared" ref="I590:J590" si="103">IF(L590="","",L590)</f>
        <v>31467000</v>
      </c>
      <c r="J590" s="22">
        <f t="shared" si="103"/>
        <v>0</v>
      </c>
      <c r="L590" s="3">
        <v>31467000</v>
      </c>
      <c r="M590" s="3">
        <v>0</v>
      </c>
    </row>
    <row r="591" spans="1:13" x14ac:dyDescent="0.45">
      <c r="A591" t="s">
        <v>10</v>
      </c>
      <c r="B591" t="s">
        <v>33</v>
      </c>
      <c r="C591" t="s">
        <v>9</v>
      </c>
      <c r="D591" s="28">
        <v>0</v>
      </c>
      <c r="E591" s="4">
        <v>4701283132</v>
      </c>
      <c r="F591" s="24">
        <v>0</v>
      </c>
      <c r="G591" s="4">
        <v>24650000</v>
      </c>
      <c r="I591" s="25">
        <f t="shared" ref="I591:J654" si="104">IF(L591="","",L591-L590)</f>
        <v>4701283132</v>
      </c>
      <c r="J591" s="25">
        <f t="shared" si="104"/>
        <v>24650000</v>
      </c>
      <c r="L591" s="4">
        <v>4732750132</v>
      </c>
      <c r="M591" s="4">
        <v>24650000</v>
      </c>
    </row>
    <row r="592" spans="1:13" x14ac:dyDescent="0.45">
      <c r="A592" t="s">
        <v>11</v>
      </c>
      <c r="B592" t="s">
        <v>33</v>
      </c>
      <c r="C592" t="s">
        <v>9</v>
      </c>
      <c r="D592" s="27">
        <v>1399586000</v>
      </c>
      <c r="E592" s="3">
        <v>1988511744</v>
      </c>
      <c r="F592" s="23">
        <v>1199586000</v>
      </c>
      <c r="G592" s="3">
        <v>105142000</v>
      </c>
      <c r="I592" s="25">
        <f t="shared" si="104"/>
        <v>2134492348</v>
      </c>
      <c r="J592" s="25">
        <f t="shared" si="104"/>
        <v>255122000</v>
      </c>
      <c r="L592" s="29">
        <f>SUMIFS(Pivot_!C:C,Pivot_!A:A,'Hitung Per Bulan'!B592,Pivot_!B:B,'Hitung Per Bulan'!C592)</f>
        <v>6867242480</v>
      </c>
      <c r="M592" s="29">
        <f>SUMIFS(Pivot_!D:D,Pivot_!A:A,'Hitung Per Bulan'!B592,Pivot_!B:B,'Hitung Per Bulan'!C592)</f>
        <v>279772000</v>
      </c>
    </row>
    <row r="593" spans="1:13" x14ac:dyDescent="0.45">
      <c r="A593" t="s">
        <v>12</v>
      </c>
      <c r="B593" t="s">
        <v>33</v>
      </c>
      <c r="C593" t="s">
        <v>9</v>
      </c>
      <c r="D593" s="27">
        <v>5262021000</v>
      </c>
      <c r="E593" s="3" t="s">
        <v>41</v>
      </c>
      <c r="F593" s="23">
        <v>2256407000</v>
      </c>
      <c r="G593" s="3" t="s">
        <v>41</v>
      </c>
      <c r="I593" s="25" t="str">
        <f t="shared" si="104"/>
        <v/>
      </c>
      <c r="J593" s="25" t="str">
        <f t="shared" si="104"/>
        <v/>
      </c>
      <c r="L593" s="3"/>
      <c r="M593" s="3"/>
    </row>
    <row r="594" spans="1:13" x14ac:dyDescent="0.45">
      <c r="A594" t="s">
        <v>13</v>
      </c>
      <c r="B594" t="s">
        <v>33</v>
      </c>
      <c r="C594" t="s">
        <v>9</v>
      </c>
      <c r="D594" s="27">
        <v>6315352000</v>
      </c>
      <c r="E594" s="3" t="s">
        <v>41</v>
      </c>
      <c r="F594" s="23">
        <v>2554922000</v>
      </c>
      <c r="G594" s="3" t="s">
        <v>41</v>
      </c>
      <c r="I594" s="25" t="str">
        <f t="shared" si="104"/>
        <v/>
      </c>
      <c r="J594" s="25" t="str">
        <f t="shared" si="104"/>
        <v/>
      </c>
      <c r="L594" s="3"/>
      <c r="M594" s="3"/>
    </row>
    <row r="595" spans="1:13" x14ac:dyDescent="0.45">
      <c r="A595" t="s">
        <v>14</v>
      </c>
      <c r="B595" t="s">
        <v>33</v>
      </c>
      <c r="C595" t="s">
        <v>9</v>
      </c>
      <c r="D595" s="27">
        <v>3401417000</v>
      </c>
      <c r="E595" s="3" t="s">
        <v>41</v>
      </c>
      <c r="F595" s="23">
        <v>3401417000</v>
      </c>
      <c r="G595" s="3" t="s">
        <v>41</v>
      </c>
      <c r="I595" s="25" t="str">
        <f t="shared" si="104"/>
        <v/>
      </c>
      <c r="J595" s="25" t="str">
        <f t="shared" si="104"/>
        <v/>
      </c>
      <c r="L595" s="3"/>
      <c r="M595" s="3"/>
    </row>
    <row r="596" spans="1:13" x14ac:dyDescent="0.45">
      <c r="A596" t="s">
        <v>15</v>
      </c>
      <c r="B596" t="s">
        <v>33</v>
      </c>
      <c r="C596" t="s">
        <v>9</v>
      </c>
      <c r="D596" s="27">
        <v>3315327000</v>
      </c>
      <c r="E596" s="3" t="s">
        <v>41</v>
      </c>
      <c r="F596" s="23">
        <v>4549327000</v>
      </c>
      <c r="G596" s="3" t="s">
        <v>41</v>
      </c>
      <c r="I596" s="25" t="str">
        <f t="shared" si="104"/>
        <v/>
      </c>
      <c r="J596" s="25" t="str">
        <f t="shared" si="104"/>
        <v/>
      </c>
      <c r="L596" s="3"/>
      <c r="M596" s="3"/>
    </row>
    <row r="597" spans="1:13" x14ac:dyDescent="0.45">
      <c r="A597" t="s">
        <v>16</v>
      </c>
      <c r="B597" t="s">
        <v>33</v>
      </c>
      <c r="C597" t="s">
        <v>9</v>
      </c>
      <c r="D597" s="27">
        <v>3890302000</v>
      </c>
      <c r="E597" s="3" t="s">
        <v>41</v>
      </c>
      <c r="F597" s="23">
        <v>5420302000</v>
      </c>
      <c r="G597" s="3" t="s">
        <v>41</v>
      </c>
      <c r="I597" s="25" t="str">
        <f t="shared" si="104"/>
        <v/>
      </c>
      <c r="J597" s="25" t="str">
        <f t="shared" si="104"/>
        <v/>
      </c>
      <c r="L597" s="3"/>
      <c r="M597" s="3"/>
    </row>
    <row r="598" spans="1:13" x14ac:dyDescent="0.45">
      <c r="A598" t="s">
        <v>17</v>
      </c>
      <c r="B598" t="s">
        <v>33</v>
      </c>
      <c r="C598" t="s">
        <v>9</v>
      </c>
      <c r="D598" s="27">
        <v>3131133000</v>
      </c>
      <c r="E598" s="3" t="s">
        <v>41</v>
      </c>
      <c r="F598" s="23">
        <v>4606747000</v>
      </c>
      <c r="G598" s="3" t="s">
        <v>41</v>
      </c>
      <c r="I598" s="25" t="str">
        <f t="shared" si="104"/>
        <v/>
      </c>
      <c r="J598" s="25" t="str">
        <f t="shared" si="104"/>
        <v/>
      </c>
      <c r="L598" s="3"/>
      <c r="M598" s="3"/>
    </row>
    <row r="599" spans="1:13" x14ac:dyDescent="0.45">
      <c r="A599" t="s">
        <v>18</v>
      </c>
      <c r="B599" t="s">
        <v>33</v>
      </c>
      <c r="C599" t="s">
        <v>9</v>
      </c>
      <c r="D599" s="27">
        <v>1448551000</v>
      </c>
      <c r="E599" s="3" t="s">
        <v>41</v>
      </c>
      <c r="F599" s="23">
        <v>3974981000</v>
      </c>
      <c r="G599" s="3" t="s">
        <v>41</v>
      </c>
      <c r="I599" s="25" t="str">
        <f t="shared" si="104"/>
        <v/>
      </c>
      <c r="J599" s="25" t="str">
        <f t="shared" si="104"/>
        <v/>
      </c>
      <c r="L599" s="3"/>
      <c r="M599" s="3"/>
    </row>
    <row r="600" spans="1:13" x14ac:dyDescent="0.45">
      <c r="A600" t="s">
        <v>19</v>
      </c>
      <c r="B600" t="s">
        <v>33</v>
      </c>
      <c r="C600" t="s">
        <v>9</v>
      </c>
      <c r="D600" s="27">
        <v>375000000</v>
      </c>
      <c r="E600" s="3" t="s">
        <v>41</v>
      </c>
      <c r="F600" s="23">
        <v>375000000</v>
      </c>
      <c r="G600" s="3" t="s">
        <v>41</v>
      </c>
      <c r="I600" s="25" t="str">
        <f t="shared" si="104"/>
        <v/>
      </c>
      <c r="J600" s="25" t="str">
        <f t="shared" si="104"/>
        <v/>
      </c>
      <c r="L600" s="3"/>
      <c r="M600" s="3"/>
    </row>
    <row r="601" spans="1:13" x14ac:dyDescent="0.45">
      <c r="A601" t="s">
        <v>20</v>
      </c>
      <c r="B601" t="s">
        <v>33</v>
      </c>
      <c r="C601" t="s">
        <v>9</v>
      </c>
      <c r="D601" s="27">
        <v>0</v>
      </c>
      <c r="E601" s="3" t="s">
        <v>41</v>
      </c>
      <c r="F601" s="23">
        <v>200000000</v>
      </c>
      <c r="G601" s="3" t="s">
        <v>41</v>
      </c>
      <c r="I601" s="25" t="str">
        <f t="shared" si="104"/>
        <v/>
      </c>
      <c r="J601" s="25" t="str">
        <f t="shared" si="104"/>
        <v/>
      </c>
      <c r="L601" s="3"/>
      <c r="M601" s="3"/>
    </row>
    <row r="602" spans="1:13" x14ac:dyDescent="0.45">
      <c r="A602" t="s">
        <v>7</v>
      </c>
      <c r="B602" t="s">
        <v>33</v>
      </c>
      <c r="C602" t="s">
        <v>21</v>
      </c>
      <c r="D602" s="27">
        <v>0</v>
      </c>
      <c r="E602" s="3">
        <v>36500000</v>
      </c>
      <c r="F602" s="23">
        <v>0</v>
      </c>
      <c r="G602" s="3">
        <v>0</v>
      </c>
      <c r="I602" s="22">
        <f t="shared" ref="I602:J602" si="105">IF(L602="","",L602)</f>
        <v>36500000</v>
      </c>
      <c r="J602" s="22">
        <f t="shared" si="105"/>
        <v>0</v>
      </c>
      <c r="L602" s="3">
        <v>36500000</v>
      </c>
      <c r="M602" s="3">
        <v>0</v>
      </c>
    </row>
    <row r="603" spans="1:13" x14ac:dyDescent="0.45">
      <c r="A603" t="s">
        <v>10</v>
      </c>
      <c r="B603" t="s">
        <v>33</v>
      </c>
      <c r="C603" t="s">
        <v>21</v>
      </c>
      <c r="D603" s="28">
        <v>0</v>
      </c>
      <c r="E603" s="4">
        <v>0</v>
      </c>
      <c r="F603" s="24">
        <v>0</v>
      </c>
      <c r="G603" s="4">
        <v>36500000</v>
      </c>
      <c r="I603" s="25">
        <f t="shared" ref="I603:J603" si="106">IF(L603="","",L603-L602)</f>
        <v>0</v>
      </c>
      <c r="J603" s="25">
        <f t="shared" si="106"/>
        <v>36500000</v>
      </c>
      <c r="L603" s="4">
        <v>36500000</v>
      </c>
      <c r="M603" s="4">
        <v>36500000</v>
      </c>
    </row>
    <row r="604" spans="1:13" x14ac:dyDescent="0.45">
      <c r="A604" t="s">
        <v>11</v>
      </c>
      <c r="B604" t="s">
        <v>33</v>
      </c>
      <c r="C604" t="s">
        <v>21</v>
      </c>
      <c r="D604" s="27">
        <v>0</v>
      </c>
      <c r="E604" s="3">
        <v>0</v>
      </c>
      <c r="F604" s="23">
        <v>0</v>
      </c>
      <c r="G604" s="3">
        <v>0</v>
      </c>
      <c r="I604" s="25">
        <f t="shared" si="104"/>
        <v>8959000</v>
      </c>
      <c r="J604" s="25">
        <f t="shared" si="104"/>
        <v>0</v>
      </c>
      <c r="L604" s="29">
        <f>SUMIFS(Pivot_!C:C,Pivot_!A:A,'Hitung Per Bulan'!B604,Pivot_!B:B,'Hitung Per Bulan'!C604)</f>
        <v>45459000</v>
      </c>
      <c r="M604" s="29">
        <f>SUMIFS(Pivot_!D:D,Pivot_!A:A,'Hitung Per Bulan'!B604,Pivot_!B:B,'Hitung Per Bulan'!C604)</f>
        <v>36500000</v>
      </c>
    </row>
    <row r="605" spans="1:13" x14ac:dyDescent="0.45">
      <c r="A605" t="s">
        <v>12</v>
      </c>
      <c r="B605" t="s">
        <v>33</v>
      </c>
      <c r="C605" t="s">
        <v>21</v>
      </c>
      <c r="D605" s="27">
        <v>300000000</v>
      </c>
      <c r="E605" s="3" t="s">
        <v>41</v>
      </c>
      <c r="F605" s="23">
        <v>300000000</v>
      </c>
      <c r="G605" s="3" t="s">
        <v>41</v>
      </c>
      <c r="I605" s="25" t="str">
        <f t="shared" si="104"/>
        <v/>
      </c>
      <c r="J605" s="25" t="str">
        <f t="shared" si="104"/>
        <v/>
      </c>
      <c r="L605" s="3"/>
      <c r="M605" s="3"/>
    </row>
    <row r="606" spans="1:13" x14ac:dyDescent="0.45">
      <c r="A606" t="s">
        <v>13</v>
      </c>
      <c r="B606" t="s">
        <v>33</v>
      </c>
      <c r="C606" t="s">
        <v>21</v>
      </c>
      <c r="D606" s="27">
        <v>772000000</v>
      </c>
      <c r="E606" s="3" t="s">
        <v>41</v>
      </c>
      <c r="F606" s="23">
        <v>772000000</v>
      </c>
      <c r="G606" s="3" t="s">
        <v>41</v>
      </c>
      <c r="I606" s="25" t="str">
        <f t="shared" si="104"/>
        <v/>
      </c>
      <c r="J606" s="25" t="str">
        <f t="shared" si="104"/>
        <v/>
      </c>
      <c r="L606" s="3"/>
      <c r="M606" s="3"/>
    </row>
    <row r="607" spans="1:13" x14ac:dyDescent="0.45">
      <c r="A607" t="s">
        <v>14</v>
      </c>
      <c r="B607" t="s">
        <v>33</v>
      </c>
      <c r="C607" t="s">
        <v>21</v>
      </c>
      <c r="D607" s="27">
        <v>360000000</v>
      </c>
      <c r="E607" s="3" t="s">
        <v>41</v>
      </c>
      <c r="F607" s="23">
        <v>360000000</v>
      </c>
      <c r="G607" s="3" t="s">
        <v>41</v>
      </c>
      <c r="I607" s="25" t="str">
        <f t="shared" si="104"/>
        <v/>
      </c>
      <c r="J607" s="25" t="str">
        <f t="shared" si="104"/>
        <v/>
      </c>
      <c r="L607" s="3"/>
      <c r="M607" s="3"/>
    </row>
    <row r="608" spans="1:13" x14ac:dyDescent="0.45">
      <c r="A608" t="s">
        <v>15</v>
      </c>
      <c r="B608" t="s">
        <v>33</v>
      </c>
      <c r="C608" t="s">
        <v>21</v>
      </c>
      <c r="D608" s="27">
        <v>360000000</v>
      </c>
      <c r="E608" s="3" t="s">
        <v>41</v>
      </c>
      <c r="F608" s="23">
        <v>360000000</v>
      </c>
      <c r="G608" s="3" t="s">
        <v>41</v>
      </c>
      <c r="I608" s="25" t="str">
        <f t="shared" si="104"/>
        <v/>
      </c>
      <c r="J608" s="25" t="str">
        <f t="shared" si="104"/>
        <v/>
      </c>
      <c r="L608" s="3"/>
      <c r="M608" s="3"/>
    </row>
    <row r="609" spans="1:13" x14ac:dyDescent="0.45">
      <c r="A609" t="s">
        <v>16</v>
      </c>
      <c r="B609" t="s">
        <v>33</v>
      </c>
      <c r="C609" t="s">
        <v>21</v>
      </c>
      <c r="D609" s="27">
        <v>450000000</v>
      </c>
      <c r="E609" s="3" t="s">
        <v>41</v>
      </c>
      <c r="F609" s="23">
        <v>450000000</v>
      </c>
      <c r="G609" s="3" t="s">
        <v>41</v>
      </c>
      <c r="I609" s="25" t="str">
        <f t="shared" si="104"/>
        <v/>
      </c>
      <c r="J609" s="25" t="str">
        <f t="shared" si="104"/>
        <v/>
      </c>
      <c r="L609" s="3"/>
      <c r="M609" s="3"/>
    </row>
    <row r="610" spans="1:13" x14ac:dyDescent="0.45">
      <c r="A610" t="s">
        <v>17</v>
      </c>
      <c r="B610" t="s">
        <v>33</v>
      </c>
      <c r="C610" t="s">
        <v>21</v>
      </c>
      <c r="D610" s="27">
        <v>0</v>
      </c>
      <c r="E610" s="3" t="s">
        <v>41</v>
      </c>
      <c r="F610" s="23">
        <v>0</v>
      </c>
      <c r="G610" s="3" t="s">
        <v>41</v>
      </c>
      <c r="I610" s="25" t="str">
        <f t="shared" si="104"/>
        <v/>
      </c>
      <c r="J610" s="25" t="str">
        <f t="shared" si="104"/>
        <v/>
      </c>
      <c r="L610" s="3"/>
      <c r="M610" s="3"/>
    </row>
    <row r="611" spans="1:13" x14ac:dyDescent="0.45">
      <c r="A611" t="s">
        <v>18</v>
      </c>
      <c r="B611" t="s">
        <v>33</v>
      </c>
      <c r="C611" t="s">
        <v>21</v>
      </c>
      <c r="D611" s="27">
        <v>0</v>
      </c>
      <c r="E611" s="3" t="s">
        <v>41</v>
      </c>
      <c r="F611" s="23">
        <v>0</v>
      </c>
      <c r="G611" s="3" t="s">
        <v>41</v>
      </c>
      <c r="I611" s="25" t="str">
        <f t="shared" si="104"/>
        <v/>
      </c>
      <c r="J611" s="25" t="str">
        <f t="shared" si="104"/>
        <v/>
      </c>
      <c r="L611" s="3"/>
      <c r="M611" s="3"/>
    </row>
    <row r="612" spans="1:13" x14ac:dyDescent="0.45">
      <c r="A612" t="s">
        <v>19</v>
      </c>
      <c r="B612" t="s">
        <v>33</v>
      </c>
      <c r="C612" t="s">
        <v>21</v>
      </c>
      <c r="D612" s="27">
        <v>0</v>
      </c>
      <c r="E612" s="3" t="s">
        <v>41</v>
      </c>
      <c r="F612" s="23">
        <v>0</v>
      </c>
      <c r="G612" s="3" t="s">
        <v>41</v>
      </c>
      <c r="I612" s="25" t="str">
        <f t="shared" si="104"/>
        <v/>
      </c>
      <c r="J612" s="25" t="str">
        <f t="shared" si="104"/>
        <v/>
      </c>
      <c r="L612" s="3"/>
      <c r="M612" s="3"/>
    </row>
    <row r="613" spans="1:13" x14ac:dyDescent="0.45">
      <c r="A613" t="s">
        <v>20</v>
      </c>
      <c r="B613" t="s">
        <v>33</v>
      </c>
      <c r="C613" t="s">
        <v>21</v>
      </c>
      <c r="D613" s="27">
        <v>0</v>
      </c>
      <c r="E613" s="3" t="s">
        <v>41</v>
      </c>
      <c r="F613" s="23">
        <v>0</v>
      </c>
      <c r="G613" s="3" t="s">
        <v>41</v>
      </c>
      <c r="I613" s="25" t="str">
        <f t="shared" si="104"/>
        <v/>
      </c>
      <c r="J613" s="25" t="str">
        <f t="shared" si="104"/>
        <v/>
      </c>
      <c r="L613" s="3"/>
      <c r="M613" s="3"/>
    </row>
    <row r="614" spans="1:13" x14ac:dyDescent="0.45">
      <c r="A614" t="s">
        <v>7</v>
      </c>
      <c r="B614" t="s">
        <v>33</v>
      </c>
      <c r="C614" t="s">
        <v>22</v>
      </c>
      <c r="D614" s="27">
        <v>0</v>
      </c>
      <c r="E614" s="3">
        <v>62100000</v>
      </c>
      <c r="F614" s="23">
        <v>0</v>
      </c>
      <c r="G614" s="3">
        <v>0</v>
      </c>
      <c r="I614" s="22">
        <f t="shared" ref="I614:J614" si="107">IF(L614="","",L614)</f>
        <v>62100000</v>
      </c>
      <c r="J614" s="22">
        <f t="shared" si="107"/>
        <v>0</v>
      </c>
      <c r="L614" s="3">
        <v>62100000</v>
      </c>
      <c r="M614" s="3">
        <v>0</v>
      </c>
    </row>
    <row r="615" spans="1:13" x14ac:dyDescent="0.45">
      <c r="A615" t="s">
        <v>10</v>
      </c>
      <c r="B615" t="s">
        <v>33</v>
      </c>
      <c r="C615" t="s">
        <v>22</v>
      </c>
      <c r="D615" s="28">
        <v>0</v>
      </c>
      <c r="E615" s="4">
        <v>0</v>
      </c>
      <c r="F615" s="24">
        <v>0</v>
      </c>
      <c r="G615" s="4">
        <v>62100000</v>
      </c>
      <c r="I615" s="25">
        <f t="shared" ref="I615:J615" si="108">IF(L615="","",L615-L614)</f>
        <v>0</v>
      </c>
      <c r="J615" s="25">
        <f t="shared" si="108"/>
        <v>62100000</v>
      </c>
      <c r="L615" s="4">
        <v>62100000</v>
      </c>
      <c r="M615" s="4">
        <v>62100000</v>
      </c>
    </row>
    <row r="616" spans="1:13" x14ac:dyDescent="0.45">
      <c r="A616" t="s">
        <v>11</v>
      </c>
      <c r="B616" t="s">
        <v>33</v>
      </c>
      <c r="C616" t="s">
        <v>22</v>
      </c>
      <c r="D616" s="27">
        <v>86594000</v>
      </c>
      <c r="E616" s="3">
        <v>0</v>
      </c>
      <c r="F616" s="23">
        <v>86594000</v>
      </c>
      <c r="G616" s="3">
        <v>0</v>
      </c>
      <c r="I616" s="25">
        <f t="shared" si="104"/>
        <v>1160000</v>
      </c>
      <c r="J616" s="25">
        <f t="shared" si="104"/>
        <v>0</v>
      </c>
      <c r="L616" s="29">
        <f>SUMIFS(Pivot_!C:C,Pivot_!A:A,'Hitung Per Bulan'!B616,Pivot_!B:B,'Hitung Per Bulan'!C616)</f>
        <v>63260000</v>
      </c>
      <c r="M616" s="29">
        <f>SUMIFS(Pivot_!D:D,Pivot_!A:A,'Hitung Per Bulan'!B616,Pivot_!B:B,'Hitung Per Bulan'!C616)</f>
        <v>62100000</v>
      </c>
    </row>
    <row r="617" spans="1:13" x14ac:dyDescent="0.45">
      <c r="A617" t="s">
        <v>12</v>
      </c>
      <c r="B617" t="s">
        <v>33</v>
      </c>
      <c r="C617" t="s">
        <v>22</v>
      </c>
      <c r="D617" s="27">
        <v>0</v>
      </c>
      <c r="E617" s="3" t="s">
        <v>41</v>
      </c>
      <c r="F617" s="23">
        <v>0</v>
      </c>
      <c r="G617" s="3" t="s">
        <v>41</v>
      </c>
      <c r="I617" s="25" t="str">
        <f t="shared" si="104"/>
        <v/>
      </c>
      <c r="J617" s="25" t="str">
        <f t="shared" si="104"/>
        <v/>
      </c>
      <c r="L617" s="3"/>
      <c r="M617" s="3"/>
    </row>
    <row r="618" spans="1:13" x14ac:dyDescent="0.45">
      <c r="A618" t="s">
        <v>13</v>
      </c>
      <c r="B618" t="s">
        <v>33</v>
      </c>
      <c r="C618" t="s">
        <v>22</v>
      </c>
      <c r="D618" s="27">
        <v>86594000</v>
      </c>
      <c r="E618" s="3" t="s">
        <v>41</v>
      </c>
      <c r="F618" s="23">
        <v>86594000</v>
      </c>
      <c r="G618" s="3" t="s">
        <v>41</v>
      </c>
      <c r="I618" s="25" t="str">
        <f t="shared" si="104"/>
        <v/>
      </c>
      <c r="J618" s="25" t="str">
        <f t="shared" si="104"/>
        <v/>
      </c>
      <c r="L618" s="3"/>
      <c r="M618" s="3"/>
    </row>
    <row r="619" spans="1:13" x14ac:dyDescent="0.45">
      <c r="A619" t="s">
        <v>14</v>
      </c>
      <c r="B619" t="s">
        <v>33</v>
      </c>
      <c r="C619" t="s">
        <v>22</v>
      </c>
      <c r="D619" s="27">
        <v>0</v>
      </c>
      <c r="E619" s="3" t="s">
        <v>41</v>
      </c>
      <c r="F619" s="23">
        <v>0</v>
      </c>
      <c r="G619" s="3" t="s">
        <v>41</v>
      </c>
      <c r="I619" s="25" t="str">
        <f t="shared" si="104"/>
        <v/>
      </c>
      <c r="J619" s="25" t="str">
        <f t="shared" si="104"/>
        <v/>
      </c>
      <c r="L619" s="3"/>
      <c r="M619" s="3"/>
    </row>
    <row r="620" spans="1:13" x14ac:dyDescent="0.45">
      <c r="A620" t="s">
        <v>15</v>
      </c>
      <c r="B620" t="s">
        <v>33</v>
      </c>
      <c r="C620" t="s">
        <v>22</v>
      </c>
      <c r="D620" s="27">
        <v>86594000</v>
      </c>
      <c r="E620" s="3" t="s">
        <v>41</v>
      </c>
      <c r="F620" s="23">
        <v>86594000</v>
      </c>
      <c r="G620" s="3" t="s">
        <v>41</v>
      </c>
      <c r="I620" s="25" t="str">
        <f t="shared" si="104"/>
        <v/>
      </c>
      <c r="J620" s="25" t="str">
        <f t="shared" si="104"/>
        <v/>
      </c>
      <c r="L620" s="3"/>
      <c r="M620" s="3"/>
    </row>
    <row r="621" spans="1:13" x14ac:dyDescent="0.45">
      <c r="A621" t="s">
        <v>16</v>
      </c>
      <c r="B621" t="s">
        <v>33</v>
      </c>
      <c r="C621" t="s">
        <v>22</v>
      </c>
      <c r="D621" s="27">
        <v>0</v>
      </c>
      <c r="E621" s="3" t="s">
        <v>41</v>
      </c>
      <c r="F621" s="23">
        <v>0</v>
      </c>
      <c r="G621" s="3" t="s">
        <v>41</v>
      </c>
      <c r="I621" s="25" t="str">
        <f t="shared" si="104"/>
        <v/>
      </c>
      <c r="J621" s="25" t="str">
        <f t="shared" si="104"/>
        <v/>
      </c>
      <c r="L621" s="3"/>
      <c r="M621" s="3"/>
    </row>
    <row r="622" spans="1:13" x14ac:dyDescent="0.45">
      <c r="A622" t="s">
        <v>17</v>
      </c>
      <c r="B622" t="s">
        <v>33</v>
      </c>
      <c r="C622" t="s">
        <v>22</v>
      </c>
      <c r="D622" s="27">
        <v>86596000</v>
      </c>
      <c r="E622" s="3" t="s">
        <v>41</v>
      </c>
      <c r="F622" s="23">
        <v>86596000</v>
      </c>
      <c r="G622" s="3" t="s">
        <v>41</v>
      </c>
      <c r="I622" s="25" t="str">
        <f t="shared" si="104"/>
        <v/>
      </c>
      <c r="J622" s="25" t="str">
        <f t="shared" si="104"/>
        <v/>
      </c>
      <c r="L622" s="3"/>
      <c r="M622" s="3"/>
    </row>
    <row r="623" spans="1:13" x14ac:dyDescent="0.45">
      <c r="A623" t="s">
        <v>18</v>
      </c>
      <c r="B623" t="s">
        <v>33</v>
      </c>
      <c r="C623" t="s">
        <v>22</v>
      </c>
      <c r="D623" s="27">
        <v>0</v>
      </c>
      <c r="E623" s="3" t="s">
        <v>41</v>
      </c>
      <c r="F623" s="23">
        <v>0</v>
      </c>
      <c r="G623" s="3" t="s">
        <v>41</v>
      </c>
      <c r="I623" s="25" t="str">
        <f t="shared" si="104"/>
        <v/>
      </c>
      <c r="J623" s="25" t="str">
        <f t="shared" si="104"/>
        <v/>
      </c>
      <c r="L623" s="3"/>
      <c r="M623" s="3"/>
    </row>
    <row r="624" spans="1:13" x14ac:dyDescent="0.45">
      <c r="A624" t="s">
        <v>19</v>
      </c>
      <c r="B624" t="s">
        <v>33</v>
      </c>
      <c r="C624" t="s">
        <v>22</v>
      </c>
      <c r="D624" s="27">
        <v>0</v>
      </c>
      <c r="E624" s="3" t="s">
        <v>41</v>
      </c>
      <c r="F624" s="23">
        <v>0</v>
      </c>
      <c r="G624" s="3" t="s">
        <v>41</v>
      </c>
      <c r="I624" s="25" t="str">
        <f t="shared" si="104"/>
        <v/>
      </c>
      <c r="J624" s="25" t="str">
        <f t="shared" si="104"/>
        <v/>
      </c>
      <c r="L624" s="3"/>
      <c r="M624" s="3"/>
    </row>
    <row r="625" spans="1:13" x14ac:dyDescent="0.45">
      <c r="A625" t="s">
        <v>20</v>
      </c>
      <c r="B625" t="s">
        <v>33</v>
      </c>
      <c r="C625" t="s">
        <v>22</v>
      </c>
      <c r="D625" s="27">
        <v>0</v>
      </c>
      <c r="E625" s="3" t="s">
        <v>41</v>
      </c>
      <c r="F625" s="23">
        <v>0</v>
      </c>
      <c r="G625" s="3" t="s">
        <v>41</v>
      </c>
      <c r="I625" s="25" t="str">
        <f t="shared" si="104"/>
        <v/>
      </c>
      <c r="J625" s="25" t="str">
        <f t="shared" si="104"/>
        <v/>
      </c>
      <c r="L625" s="3"/>
      <c r="M625" s="3"/>
    </row>
    <row r="626" spans="1:13" x14ac:dyDescent="0.45">
      <c r="A626" t="s">
        <v>7</v>
      </c>
      <c r="B626" t="s">
        <v>33</v>
      </c>
      <c r="C626" t="s">
        <v>23</v>
      </c>
      <c r="D626" s="27">
        <v>0</v>
      </c>
      <c r="E626" s="3">
        <v>0</v>
      </c>
      <c r="F626" s="23">
        <v>0</v>
      </c>
      <c r="G626" s="3">
        <v>0</v>
      </c>
      <c r="I626" s="22">
        <f t="shared" ref="I626:J626" si="109">IF(L626="","",L626)</f>
        <v>0</v>
      </c>
      <c r="J626" s="22">
        <f t="shared" si="109"/>
        <v>0</v>
      </c>
      <c r="L626" s="3">
        <v>0</v>
      </c>
      <c r="M626" s="3">
        <v>0</v>
      </c>
    </row>
    <row r="627" spans="1:13" x14ac:dyDescent="0.45">
      <c r="A627" t="s">
        <v>10</v>
      </c>
      <c r="B627" t="s">
        <v>33</v>
      </c>
      <c r="C627" t="s">
        <v>23</v>
      </c>
      <c r="D627" s="28">
        <v>0</v>
      </c>
      <c r="E627" s="4">
        <v>0</v>
      </c>
      <c r="F627" s="24">
        <v>0</v>
      </c>
      <c r="G627" s="4">
        <v>0</v>
      </c>
      <c r="I627" s="25">
        <f t="shared" ref="I627:J627" si="110">IF(L627="","",L627-L626)</f>
        <v>0</v>
      </c>
      <c r="J627" s="25">
        <f t="shared" si="110"/>
        <v>0</v>
      </c>
      <c r="L627" s="4">
        <v>0</v>
      </c>
      <c r="M627" s="4">
        <v>0</v>
      </c>
    </row>
    <row r="628" spans="1:13" x14ac:dyDescent="0.45">
      <c r="A628" t="s">
        <v>11</v>
      </c>
      <c r="B628" t="s">
        <v>33</v>
      </c>
      <c r="C628" t="s">
        <v>23</v>
      </c>
      <c r="D628" s="27">
        <v>0</v>
      </c>
      <c r="E628" s="3">
        <v>0</v>
      </c>
      <c r="F628" s="23">
        <v>0</v>
      </c>
      <c r="G628" s="3">
        <v>0</v>
      </c>
      <c r="I628" s="25">
        <f t="shared" si="104"/>
        <v>0</v>
      </c>
      <c r="J628" s="25">
        <f t="shared" si="104"/>
        <v>0</v>
      </c>
      <c r="L628" s="29">
        <f>SUMIFS(Pivot_!C:C,Pivot_!A:A,'Hitung Per Bulan'!B628,Pivot_!B:B,'Hitung Per Bulan'!C628)</f>
        <v>0</v>
      </c>
      <c r="M628" s="29">
        <f>SUMIFS(Pivot_!D:D,Pivot_!A:A,'Hitung Per Bulan'!B628,Pivot_!B:B,'Hitung Per Bulan'!C628)</f>
        <v>0</v>
      </c>
    </row>
    <row r="629" spans="1:13" x14ac:dyDescent="0.45">
      <c r="A629" t="s">
        <v>12</v>
      </c>
      <c r="B629" t="s">
        <v>33</v>
      </c>
      <c r="C629" t="s">
        <v>23</v>
      </c>
      <c r="D629" s="27">
        <v>50000000</v>
      </c>
      <c r="E629" s="3" t="s">
        <v>41</v>
      </c>
      <c r="F629" s="23">
        <v>50000000</v>
      </c>
      <c r="G629" s="3" t="s">
        <v>41</v>
      </c>
      <c r="I629" s="25" t="str">
        <f t="shared" si="104"/>
        <v/>
      </c>
      <c r="J629" s="25" t="str">
        <f t="shared" si="104"/>
        <v/>
      </c>
      <c r="L629" s="3"/>
      <c r="M629" s="3"/>
    </row>
    <row r="630" spans="1:13" x14ac:dyDescent="0.45">
      <c r="A630" t="s">
        <v>13</v>
      </c>
      <c r="B630" t="s">
        <v>33</v>
      </c>
      <c r="C630" t="s">
        <v>23</v>
      </c>
      <c r="D630" s="27">
        <v>0</v>
      </c>
      <c r="E630" s="3" t="s">
        <v>41</v>
      </c>
      <c r="F630" s="23">
        <v>0</v>
      </c>
      <c r="G630" s="3" t="s">
        <v>41</v>
      </c>
      <c r="I630" s="25" t="str">
        <f t="shared" si="104"/>
        <v/>
      </c>
      <c r="J630" s="25" t="str">
        <f t="shared" si="104"/>
        <v/>
      </c>
      <c r="L630" s="3"/>
      <c r="M630" s="3"/>
    </row>
    <row r="631" spans="1:13" x14ac:dyDescent="0.45">
      <c r="A631" t="s">
        <v>14</v>
      </c>
      <c r="B631" t="s">
        <v>33</v>
      </c>
      <c r="C631" t="s">
        <v>23</v>
      </c>
      <c r="D631" s="27">
        <v>50000000</v>
      </c>
      <c r="E631" s="3" t="s">
        <v>41</v>
      </c>
      <c r="F631" s="23">
        <v>50000000</v>
      </c>
      <c r="G631" s="3" t="s">
        <v>41</v>
      </c>
      <c r="I631" s="25" t="str">
        <f t="shared" si="104"/>
        <v/>
      </c>
      <c r="J631" s="25" t="str">
        <f t="shared" si="104"/>
        <v/>
      </c>
      <c r="L631" s="3"/>
      <c r="M631" s="3"/>
    </row>
    <row r="632" spans="1:13" x14ac:dyDescent="0.45">
      <c r="A632" t="s">
        <v>15</v>
      </c>
      <c r="B632" t="s">
        <v>33</v>
      </c>
      <c r="C632" t="s">
        <v>23</v>
      </c>
      <c r="D632" s="27">
        <v>0</v>
      </c>
      <c r="E632" s="3" t="s">
        <v>41</v>
      </c>
      <c r="F632" s="23">
        <v>0</v>
      </c>
      <c r="G632" s="3" t="s">
        <v>41</v>
      </c>
      <c r="I632" s="25" t="str">
        <f t="shared" si="104"/>
        <v/>
      </c>
      <c r="J632" s="25" t="str">
        <f t="shared" si="104"/>
        <v/>
      </c>
      <c r="L632" s="3"/>
      <c r="M632" s="3"/>
    </row>
    <row r="633" spans="1:13" x14ac:dyDescent="0.45">
      <c r="A633" t="s">
        <v>16</v>
      </c>
      <c r="B633" t="s">
        <v>33</v>
      </c>
      <c r="C633" t="s">
        <v>23</v>
      </c>
      <c r="D633" s="27">
        <v>50000000</v>
      </c>
      <c r="E633" s="3" t="s">
        <v>41</v>
      </c>
      <c r="F633" s="23">
        <v>50000000</v>
      </c>
      <c r="G633" s="3" t="s">
        <v>41</v>
      </c>
      <c r="I633" s="25" t="str">
        <f t="shared" si="104"/>
        <v/>
      </c>
      <c r="J633" s="25" t="str">
        <f t="shared" si="104"/>
        <v/>
      </c>
      <c r="L633" s="3"/>
      <c r="M633" s="3"/>
    </row>
    <row r="634" spans="1:13" x14ac:dyDescent="0.45">
      <c r="A634" t="s">
        <v>17</v>
      </c>
      <c r="B634" t="s">
        <v>33</v>
      </c>
      <c r="C634" t="s">
        <v>23</v>
      </c>
      <c r="D634" s="27">
        <v>0</v>
      </c>
      <c r="E634" s="3" t="s">
        <v>41</v>
      </c>
      <c r="F634" s="23">
        <v>0</v>
      </c>
      <c r="G634" s="3" t="s">
        <v>41</v>
      </c>
      <c r="I634" s="25" t="str">
        <f t="shared" si="104"/>
        <v/>
      </c>
      <c r="J634" s="25" t="str">
        <f t="shared" si="104"/>
        <v/>
      </c>
      <c r="L634" s="3"/>
      <c r="M634" s="3"/>
    </row>
    <row r="635" spans="1:13" x14ac:dyDescent="0.45">
      <c r="A635" t="s">
        <v>18</v>
      </c>
      <c r="B635" t="s">
        <v>33</v>
      </c>
      <c r="C635" t="s">
        <v>23</v>
      </c>
      <c r="D635" s="27">
        <v>50000000</v>
      </c>
      <c r="E635" s="3" t="s">
        <v>41</v>
      </c>
      <c r="F635" s="23">
        <v>50000000</v>
      </c>
      <c r="G635" s="3" t="s">
        <v>41</v>
      </c>
      <c r="I635" s="25" t="str">
        <f t="shared" si="104"/>
        <v/>
      </c>
      <c r="J635" s="25" t="str">
        <f t="shared" si="104"/>
        <v/>
      </c>
      <c r="L635" s="3"/>
      <c r="M635" s="3"/>
    </row>
    <row r="636" spans="1:13" x14ac:dyDescent="0.45">
      <c r="A636" t="s">
        <v>19</v>
      </c>
      <c r="B636" t="s">
        <v>33</v>
      </c>
      <c r="C636" t="s">
        <v>23</v>
      </c>
      <c r="D636" s="27">
        <v>0</v>
      </c>
      <c r="E636" s="3" t="s">
        <v>41</v>
      </c>
      <c r="F636" s="23">
        <v>0</v>
      </c>
      <c r="G636" s="3" t="s">
        <v>41</v>
      </c>
      <c r="I636" s="25" t="str">
        <f t="shared" si="104"/>
        <v/>
      </c>
      <c r="J636" s="25" t="str">
        <f t="shared" si="104"/>
        <v/>
      </c>
      <c r="L636" s="3"/>
      <c r="M636" s="3"/>
    </row>
    <row r="637" spans="1:13" x14ac:dyDescent="0.45">
      <c r="A637" t="s">
        <v>20</v>
      </c>
      <c r="B637" t="s">
        <v>33</v>
      </c>
      <c r="C637" t="s">
        <v>23</v>
      </c>
      <c r="D637" s="27">
        <v>0</v>
      </c>
      <c r="E637" s="3" t="s">
        <v>41</v>
      </c>
      <c r="F637" s="23">
        <v>0</v>
      </c>
      <c r="G637" s="3" t="s">
        <v>41</v>
      </c>
      <c r="I637" s="25" t="str">
        <f t="shared" si="104"/>
        <v/>
      </c>
      <c r="J637" s="25" t="str">
        <f t="shared" si="104"/>
        <v/>
      </c>
      <c r="L637" s="3"/>
      <c r="M637" s="3"/>
    </row>
    <row r="638" spans="1:13" x14ac:dyDescent="0.45">
      <c r="A638" t="s">
        <v>7</v>
      </c>
      <c r="B638" t="s">
        <v>33</v>
      </c>
      <c r="C638" t="s">
        <v>24</v>
      </c>
      <c r="D638" s="27">
        <v>0</v>
      </c>
      <c r="E638" s="3">
        <v>0</v>
      </c>
      <c r="F638" s="23">
        <v>0</v>
      </c>
      <c r="G638" s="3">
        <v>0</v>
      </c>
      <c r="I638" s="22">
        <f t="shared" ref="I638:J638" si="111">IF(L638="","",L638)</f>
        <v>0</v>
      </c>
      <c r="J638" s="22">
        <f t="shared" si="111"/>
        <v>0</v>
      </c>
      <c r="L638" s="3">
        <v>0</v>
      </c>
      <c r="M638" s="3">
        <v>0</v>
      </c>
    </row>
    <row r="639" spans="1:13" x14ac:dyDescent="0.45">
      <c r="A639" t="s">
        <v>10</v>
      </c>
      <c r="B639" t="s">
        <v>33</v>
      </c>
      <c r="C639" t="s">
        <v>24</v>
      </c>
      <c r="D639" s="28">
        <v>0</v>
      </c>
      <c r="E639" s="4">
        <v>0</v>
      </c>
      <c r="F639" s="24">
        <v>0</v>
      </c>
      <c r="G639" s="4">
        <v>0</v>
      </c>
      <c r="I639" s="25">
        <f t="shared" ref="I639:J639" si="112">IF(L639="","",L639-L638)</f>
        <v>0</v>
      </c>
      <c r="J639" s="25">
        <f t="shared" si="112"/>
        <v>0</v>
      </c>
      <c r="L639" s="4">
        <v>0</v>
      </c>
      <c r="M639" s="4">
        <v>0</v>
      </c>
    </row>
    <row r="640" spans="1:13" x14ac:dyDescent="0.45">
      <c r="A640" t="s">
        <v>11</v>
      </c>
      <c r="B640" t="s">
        <v>33</v>
      </c>
      <c r="C640" t="s">
        <v>24</v>
      </c>
      <c r="D640" s="27">
        <v>0</v>
      </c>
      <c r="E640" s="3">
        <v>0</v>
      </c>
      <c r="F640" s="23">
        <v>0</v>
      </c>
      <c r="G640" s="3">
        <v>0</v>
      </c>
      <c r="I640" s="25">
        <f t="shared" si="104"/>
        <v>0</v>
      </c>
      <c r="J640" s="25">
        <f t="shared" si="104"/>
        <v>0</v>
      </c>
      <c r="L640" s="29">
        <f>SUMIFS(Pivot_!C:C,Pivot_!A:A,'Hitung Per Bulan'!B640,Pivot_!B:B,'Hitung Per Bulan'!C640)</f>
        <v>0</v>
      </c>
      <c r="M640" s="29">
        <f>SUMIFS(Pivot_!D:D,Pivot_!A:A,'Hitung Per Bulan'!B640,Pivot_!B:B,'Hitung Per Bulan'!C640)</f>
        <v>0</v>
      </c>
    </row>
    <row r="641" spans="1:13" x14ac:dyDescent="0.45">
      <c r="A641" t="s">
        <v>12</v>
      </c>
      <c r="B641" t="s">
        <v>33</v>
      </c>
      <c r="C641" t="s">
        <v>24</v>
      </c>
      <c r="D641" s="27">
        <v>0</v>
      </c>
      <c r="E641" s="3" t="s">
        <v>41</v>
      </c>
      <c r="F641" s="23">
        <v>0</v>
      </c>
      <c r="G641" s="3" t="s">
        <v>41</v>
      </c>
      <c r="I641" s="25" t="str">
        <f t="shared" si="104"/>
        <v/>
      </c>
      <c r="J641" s="25" t="str">
        <f t="shared" si="104"/>
        <v/>
      </c>
      <c r="L641" s="3"/>
      <c r="M641" s="3"/>
    </row>
    <row r="642" spans="1:13" x14ac:dyDescent="0.45">
      <c r="A642" t="s">
        <v>13</v>
      </c>
      <c r="B642" t="s">
        <v>33</v>
      </c>
      <c r="C642" t="s">
        <v>24</v>
      </c>
      <c r="D642" s="27">
        <v>0</v>
      </c>
      <c r="E642" s="3" t="s">
        <v>41</v>
      </c>
      <c r="F642" s="23">
        <v>0</v>
      </c>
      <c r="G642" s="3" t="s">
        <v>41</v>
      </c>
      <c r="I642" s="25" t="str">
        <f t="shared" si="104"/>
        <v/>
      </c>
      <c r="J642" s="25" t="str">
        <f t="shared" si="104"/>
        <v/>
      </c>
      <c r="L642" s="3"/>
      <c r="M642" s="3"/>
    </row>
    <row r="643" spans="1:13" x14ac:dyDescent="0.45">
      <c r="A643" t="s">
        <v>14</v>
      </c>
      <c r="B643" t="s">
        <v>33</v>
      </c>
      <c r="C643" t="s">
        <v>24</v>
      </c>
      <c r="D643" s="27">
        <v>0</v>
      </c>
      <c r="E643" s="3" t="s">
        <v>41</v>
      </c>
      <c r="F643" s="23">
        <v>0</v>
      </c>
      <c r="G643" s="3" t="s">
        <v>41</v>
      </c>
      <c r="I643" s="25" t="str">
        <f t="shared" si="104"/>
        <v/>
      </c>
      <c r="J643" s="25" t="str">
        <f t="shared" si="104"/>
        <v/>
      </c>
      <c r="L643" s="3"/>
      <c r="M643" s="3"/>
    </row>
    <row r="644" spans="1:13" x14ac:dyDescent="0.45">
      <c r="A644" t="s">
        <v>15</v>
      </c>
      <c r="B644" t="s">
        <v>33</v>
      </c>
      <c r="C644" t="s">
        <v>24</v>
      </c>
      <c r="D644" s="27">
        <v>0</v>
      </c>
      <c r="E644" s="3" t="s">
        <v>41</v>
      </c>
      <c r="F644" s="23">
        <v>0</v>
      </c>
      <c r="G644" s="3" t="s">
        <v>41</v>
      </c>
      <c r="I644" s="25" t="str">
        <f t="shared" si="104"/>
        <v/>
      </c>
      <c r="J644" s="25" t="str">
        <f t="shared" si="104"/>
        <v/>
      </c>
      <c r="L644" s="3"/>
      <c r="M644" s="3"/>
    </row>
    <row r="645" spans="1:13" x14ac:dyDescent="0.45">
      <c r="A645" t="s">
        <v>16</v>
      </c>
      <c r="B645" t="s">
        <v>33</v>
      </c>
      <c r="C645" t="s">
        <v>24</v>
      </c>
      <c r="D645" s="27">
        <v>0</v>
      </c>
      <c r="E645" s="3" t="s">
        <v>41</v>
      </c>
      <c r="F645" s="23">
        <v>0</v>
      </c>
      <c r="G645" s="3" t="s">
        <v>41</v>
      </c>
      <c r="I645" s="25" t="str">
        <f t="shared" si="104"/>
        <v/>
      </c>
      <c r="J645" s="25" t="str">
        <f t="shared" si="104"/>
        <v/>
      </c>
      <c r="L645" s="3"/>
      <c r="M645" s="3"/>
    </row>
    <row r="646" spans="1:13" x14ac:dyDescent="0.45">
      <c r="A646" t="s">
        <v>17</v>
      </c>
      <c r="B646" t="s">
        <v>33</v>
      </c>
      <c r="C646" t="s">
        <v>24</v>
      </c>
      <c r="D646" s="27">
        <v>0</v>
      </c>
      <c r="E646" s="3" t="s">
        <v>41</v>
      </c>
      <c r="F646" s="23">
        <v>0</v>
      </c>
      <c r="G646" s="3" t="s">
        <v>41</v>
      </c>
      <c r="I646" s="25" t="str">
        <f t="shared" si="104"/>
        <v/>
      </c>
      <c r="J646" s="25" t="str">
        <f t="shared" si="104"/>
        <v/>
      </c>
      <c r="L646" s="3"/>
      <c r="M646" s="3"/>
    </row>
    <row r="647" spans="1:13" x14ac:dyDescent="0.45">
      <c r="A647" t="s">
        <v>18</v>
      </c>
      <c r="B647" t="s">
        <v>33</v>
      </c>
      <c r="C647" t="s">
        <v>24</v>
      </c>
      <c r="D647" s="27">
        <v>0</v>
      </c>
      <c r="E647" s="3" t="s">
        <v>41</v>
      </c>
      <c r="F647" s="23">
        <v>0</v>
      </c>
      <c r="G647" s="3" t="s">
        <v>41</v>
      </c>
      <c r="I647" s="25" t="str">
        <f t="shared" si="104"/>
        <v/>
      </c>
      <c r="J647" s="25" t="str">
        <f t="shared" si="104"/>
        <v/>
      </c>
      <c r="L647" s="3"/>
      <c r="M647" s="3"/>
    </row>
    <row r="648" spans="1:13" x14ac:dyDescent="0.45">
      <c r="A648" t="s">
        <v>19</v>
      </c>
      <c r="B648" t="s">
        <v>33</v>
      </c>
      <c r="C648" t="s">
        <v>24</v>
      </c>
      <c r="D648" s="27">
        <v>0</v>
      </c>
      <c r="E648" s="3" t="s">
        <v>41</v>
      </c>
      <c r="F648" s="23">
        <v>0</v>
      </c>
      <c r="G648" s="3" t="s">
        <v>41</v>
      </c>
      <c r="I648" s="25" t="str">
        <f t="shared" si="104"/>
        <v/>
      </c>
      <c r="J648" s="25" t="str">
        <f t="shared" si="104"/>
        <v/>
      </c>
      <c r="L648" s="3"/>
      <c r="M648" s="3"/>
    </row>
    <row r="649" spans="1:13" x14ac:dyDescent="0.45">
      <c r="A649" t="s">
        <v>20</v>
      </c>
      <c r="B649" t="s">
        <v>33</v>
      </c>
      <c r="C649" t="s">
        <v>24</v>
      </c>
      <c r="D649" s="27">
        <v>0</v>
      </c>
      <c r="E649" s="3" t="s">
        <v>41</v>
      </c>
      <c r="F649" s="23">
        <v>0</v>
      </c>
      <c r="G649" s="3" t="s">
        <v>41</v>
      </c>
      <c r="I649" s="25" t="str">
        <f t="shared" si="104"/>
        <v/>
      </c>
      <c r="J649" s="25" t="str">
        <f t="shared" si="104"/>
        <v/>
      </c>
      <c r="L649" s="3"/>
      <c r="M649" s="3"/>
    </row>
    <row r="650" spans="1:13" x14ac:dyDescent="0.45">
      <c r="A650" t="s">
        <v>7</v>
      </c>
      <c r="B650" t="s">
        <v>33</v>
      </c>
      <c r="C650" t="s">
        <v>25</v>
      </c>
      <c r="D650" s="27">
        <v>103716000</v>
      </c>
      <c r="E650" s="3">
        <v>120480816</v>
      </c>
      <c r="F650" s="23">
        <v>103716000</v>
      </c>
      <c r="G650" s="3">
        <v>16907009</v>
      </c>
      <c r="I650" s="22">
        <f t="shared" ref="I650:J650" si="113">IF(L650="","",L650)</f>
        <v>120480816</v>
      </c>
      <c r="J650" s="22">
        <f t="shared" si="113"/>
        <v>16907009</v>
      </c>
      <c r="L650" s="3">
        <v>120480816</v>
      </c>
      <c r="M650" s="3">
        <v>16907009</v>
      </c>
    </row>
    <row r="651" spans="1:13" x14ac:dyDescent="0.45">
      <c r="A651" t="s">
        <v>10</v>
      </c>
      <c r="B651" t="s">
        <v>33</v>
      </c>
      <c r="C651" t="s">
        <v>25</v>
      </c>
      <c r="D651" s="28">
        <v>92092000</v>
      </c>
      <c r="E651" s="4">
        <v>80820599</v>
      </c>
      <c r="F651" s="24">
        <v>92092000</v>
      </c>
      <c r="G651" s="4">
        <v>137491406</v>
      </c>
      <c r="I651" s="25">
        <f t="shared" ref="I651:J651" si="114">IF(L651="","",L651-L650)</f>
        <v>80820599</v>
      </c>
      <c r="J651" s="25">
        <f t="shared" si="114"/>
        <v>137491406</v>
      </c>
      <c r="L651" s="4">
        <v>201301415</v>
      </c>
      <c r="M651" s="4">
        <v>154398415</v>
      </c>
    </row>
    <row r="652" spans="1:13" x14ac:dyDescent="0.45">
      <c r="A652" t="s">
        <v>11</v>
      </c>
      <c r="B652" t="s">
        <v>33</v>
      </c>
      <c r="C652" t="s">
        <v>25</v>
      </c>
      <c r="D652" s="27">
        <v>92092000</v>
      </c>
      <c r="E652" s="3">
        <v>10986500</v>
      </c>
      <c r="F652" s="23">
        <v>92092000</v>
      </c>
      <c r="G652" s="3">
        <v>10986500</v>
      </c>
      <c r="I652" s="25">
        <f t="shared" si="104"/>
        <v>69192500</v>
      </c>
      <c r="J652" s="25">
        <f t="shared" si="104"/>
        <v>25203000</v>
      </c>
      <c r="L652" s="29">
        <f>SUMIFS(Pivot_!C:C,Pivot_!A:A,'Hitung Per Bulan'!B652,Pivot_!B:B,'Hitung Per Bulan'!C652)</f>
        <v>270493915</v>
      </c>
      <c r="M652" s="29">
        <f>SUMIFS(Pivot_!D:D,Pivot_!A:A,'Hitung Per Bulan'!B652,Pivot_!B:B,'Hitung Per Bulan'!C652)</f>
        <v>179601415</v>
      </c>
    </row>
    <row r="653" spans="1:13" x14ac:dyDescent="0.45">
      <c r="A653" t="s">
        <v>12</v>
      </c>
      <c r="B653" t="s">
        <v>33</v>
      </c>
      <c r="C653" t="s">
        <v>25</v>
      </c>
      <c r="D653" s="27">
        <v>103716000</v>
      </c>
      <c r="E653" s="3" t="s">
        <v>41</v>
      </c>
      <c r="F653" s="23">
        <v>103716000</v>
      </c>
      <c r="G653" s="3" t="s">
        <v>41</v>
      </c>
      <c r="I653" s="25" t="str">
        <f t="shared" si="104"/>
        <v/>
      </c>
      <c r="J653" s="25" t="str">
        <f t="shared" si="104"/>
        <v/>
      </c>
      <c r="L653" s="3"/>
      <c r="M653" s="3"/>
    </row>
    <row r="654" spans="1:13" x14ac:dyDescent="0.45">
      <c r="A654" t="s">
        <v>13</v>
      </c>
      <c r="B654" t="s">
        <v>33</v>
      </c>
      <c r="C654" t="s">
        <v>25</v>
      </c>
      <c r="D654" s="27">
        <v>92092000</v>
      </c>
      <c r="E654" s="3" t="s">
        <v>41</v>
      </c>
      <c r="F654" s="23">
        <v>92092000</v>
      </c>
      <c r="G654" s="3" t="s">
        <v>41</v>
      </c>
      <c r="I654" s="25" t="str">
        <f t="shared" si="104"/>
        <v/>
      </c>
      <c r="J654" s="25" t="str">
        <f t="shared" si="104"/>
        <v/>
      </c>
      <c r="L654" s="3"/>
      <c r="M654" s="3"/>
    </row>
    <row r="655" spans="1:13" x14ac:dyDescent="0.45">
      <c r="A655" t="s">
        <v>14</v>
      </c>
      <c r="B655" t="s">
        <v>33</v>
      </c>
      <c r="C655" t="s">
        <v>25</v>
      </c>
      <c r="D655" s="27">
        <v>92092000</v>
      </c>
      <c r="E655" s="3" t="s">
        <v>41</v>
      </c>
      <c r="F655" s="23">
        <v>92092000</v>
      </c>
      <c r="G655" s="3" t="s">
        <v>41</v>
      </c>
      <c r="I655" s="25" t="str">
        <f t="shared" ref="I655:J718" si="115">IF(L655="","",L655-L654)</f>
        <v/>
      </c>
      <c r="J655" s="25" t="str">
        <f t="shared" si="115"/>
        <v/>
      </c>
      <c r="L655" s="3"/>
      <c r="M655" s="3"/>
    </row>
    <row r="656" spans="1:13" x14ac:dyDescent="0.45">
      <c r="A656" t="s">
        <v>15</v>
      </c>
      <c r="B656" t="s">
        <v>33</v>
      </c>
      <c r="C656" t="s">
        <v>25</v>
      </c>
      <c r="D656" s="27">
        <v>469238000</v>
      </c>
      <c r="E656" s="3" t="s">
        <v>41</v>
      </c>
      <c r="F656" s="23">
        <v>469238000</v>
      </c>
      <c r="G656" s="3" t="s">
        <v>41</v>
      </c>
      <c r="I656" s="25" t="str">
        <f t="shared" si="115"/>
        <v/>
      </c>
      <c r="J656" s="25" t="str">
        <f t="shared" si="115"/>
        <v/>
      </c>
      <c r="L656" s="3"/>
      <c r="M656" s="3"/>
    </row>
    <row r="657" spans="1:13" x14ac:dyDescent="0.45">
      <c r="A657" t="s">
        <v>16</v>
      </c>
      <c r="B657" t="s">
        <v>33</v>
      </c>
      <c r="C657" t="s">
        <v>25</v>
      </c>
      <c r="D657" s="27">
        <v>142092000</v>
      </c>
      <c r="E657" s="3" t="s">
        <v>41</v>
      </c>
      <c r="F657" s="23">
        <v>142092000</v>
      </c>
      <c r="G657" s="3" t="s">
        <v>41</v>
      </c>
      <c r="I657" s="25" t="str">
        <f t="shared" si="115"/>
        <v/>
      </c>
      <c r="J657" s="25" t="str">
        <f t="shared" si="115"/>
        <v/>
      </c>
      <c r="L657" s="3"/>
      <c r="M657" s="3"/>
    </row>
    <row r="658" spans="1:13" x14ac:dyDescent="0.45">
      <c r="A658" t="s">
        <v>17</v>
      </c>
      <c r="B658" t="s">
        <v>33</v>
      </c>
      <c r="C658" t="s">
        <v>25</v>
      </c>
      <c r="D658" s="27">
        <v>407092000</v>
      </c>
      <c r="E658" s="3" t="s">
        <v>41</v>
      </c>
      <c r="F658" s="23">
        <v>407092000</v>
      </c>
      <c r="G658" s="3" t="s">
        <v>41</v>
      </c>
      <c r="I658" s="25" t="str">
        <f t="shared" si="115"/>
        <v/>
      </c>
      <c r="J658" s="25" t="str">
        <f t="shared" si="115"/>
        <v/>
      </c>
      <c r="L658" s="3"/>
      <c r="M658" s="3"/>
    </row>
    <row r="659" spans="1:13" x14ac:dyDescent="0.45">
      <c r="A659" t="s">
        <v>18</v>
      </c>
      <c r="B659" t="s">
        <v>33</v>
      </c>
      <c r="C659" t="s">
        <v>25</v>
      </c>
      <c r="D659" s="27">
        <v>103717000</v>
      </c>
      <c r="E659" s="3" t="s">
        <v>41</v>
      </c>
      <c r="F659" s="23">
        <v>103717000</v>
      </c>
      <c r="G659" s="3" t="s">
        <v>41</v>
      </c>
      <c r="I659" s="25" t="str">
        <f t="shared" si="115"/>
        <v/>
      </c>
      <c r="J659" s="25" t="str">
        <f t="shared" si="115"/>
        <v/>
      </c>
      <c r="L659" s="3"/>
      <c r="M659" s="3"/>
    </row>
    <row r="660" spans="1:13" x14ac:dyDescent="0.45">
      <c r="A660" t="s">
        <v>19</v>
      </c>
      <c r="B660" t="s">
        <v>33</v>
      </c>
      <c r="C660" t="s">
        <v>25</v>
      </c>
      <c r="D660" s="27">
        <v>92092000</v>
      </c>
      <c r="E660" s="3" t="s">
        <v>41</v>
      </c>
      <c r="F660" s="23">
        <v>92092000</v>
      </c>
      <c r="G660" s="3" t="s">
        <v>41</v>
      </c>
      <c r="I660" s="25" t="str">
        <f t="shared" si="115"/>
        <v/>
      </c>
      <c r="J660" s="25" t="str">
        <f t="shared" si="115"/>
        <v/>
      </c>
      <c r="L660" s="3"/>
      <c r="M660" s="3"/>
    </row>
    <row r="661" spans="1:13" x14ac:dyDescent="0.45">
      <c r="A661" t="s">
        <v>20</v>
      </c>
      <c r="B661" t="s">
        <v>33</v>
      </c>
      <c r="C661" t="s">
        <v>25</v>
      </c>
      <c r="D661" s="27">
        <v>92097000</v>
      </c>
      <c r="E661" s="3" t="s">
        <v>41</v>
      </c>
      <c r="F661" s="23">
        <v>92097000</v>
      </c>
      <c r="G661" s="3" t="s">
        <v>41</v>
      </c>
      <c r="I661" s="25" t="str">
        <f t="shared" si="115"/>
        <v/>
      </c>
      <c r="J661" s="25" t="str">
        <f t="shared" si="115"/>
        <v/>
      </c>
      <c r="L661" s="3"/>
      <c r="M661" s="3"/>
    </row>
    <row r="662" spans="1:13" x14ac:dyDescent="0.45">
      <c r="A662" t="s">
        <v>7</v>
      </c>
      <c r="B662" t="s">
        <v>33</v>
      </c>
      <c r="C662" t="s">
        <v>26</v>
      </c>
      <c r="D662" s="27">
        <v>182113333.33333334</v>
      </c>
      <c r="E662" s="3">
        <v>162001884</v>
      </c>
      <c r="F662" s="23">
        <v>182113333.33333334</v>
      </c>
      <c r="G662" s="3">
        <v>162001884</v>
      </c>
      <c r="I662" s="22">
        <f t="shared" ref="I662:J662" si="116">IF(L662="","",L662)</f>
        <v>162001884</v>
      </c>
      <c r="J662" s="22">
        <f t="shared" si="116"/>
        <v>162001884</v>
      </c>
      <c r="L662" s="3">
        <v>162001884</v>
      </c>
      <c r="M662" s="3">
        <v>162001884</v>
      </c>
    </row>
    <row r="663" spans="1:13" x14ac:dyDescent="0.45">
      <c r="A663" t="s">
        <v>10</v>
      </c>
      <c r="B663" t="s">
        <v>33</v>
      </c>
      <c r="C663" t="s">
        <v>26</v>
      </c>
      <c r="D663" s="28">
        <v>182113000</v>
      </c>
      <c r="E663" s="4">
        <v>158370071</v>
      </c>
      <c r="F663" s="24">
        <v>182113000</v>
      </c>
      <c r="G663" s="4">
        <v>158370071</v>
      </c>
      <c r="I663" s="25">
        <f t="shared" ref="I663:J663" si="117">IF(L663="","",L663-L662)</f>
        <v>158370071</v>
      </c>
      <c r="J663" s="25">
        <f t="shared" si="117"/>
        <v>158370071</v>
      </c>
      <c r="L663" s="4">
        <v>320371955</v>
      </c>
      <c r="M663" s="4">
        <v>320371955</v>
      </c>
    </row>
    <row r="664" spans="1:13" x14ac:dyDescent="0.45">
      <c r="A664" t="s">
        <v>11</v>
      </c>
      <c r="B664" t="s">
        <v>33</v>
      </c>
      <c r="C664" t="s">
        <v>26</v>
      </c>
      <c r="D664" s="27">
        <v>182113000</v>
      </c>
      <c r="E664" s="3">
        <v>0</v>
      </c>
      <c r="F664" s="23">
        <v>182113000</v>
      </c>
      <c r="G664" s="3">
        <v>0</v>
      </c>
      <c r="I664" s="25">
        <f t="shared" si="115"/>
        <v>0</v>
      </c>
      <c r="J664" s="25">
        <f t="shared" si="115"/>
        <v>0</v>
      </c>
      <c r="L664" s="29">
        <f>SUMIFS(Pivot_!C:C,Pivot_!A:A,'Hitung Per Bulan'!B664,Pivot_!B:B,'Hitung Per Bulan'!C664)</f>
        <v>320371955</v>
      </c>
      <c r="M664" s="29">
        <f>SUMIFS(Pivot_!D:D,Pivot_!A:A,'Hitung Per Bulan'!B664,Pivot_!B:B,'Hitung Per Bulan'!C664)</f>
        <v>320371955</v>
      </c>
    </row>
    <row r="665" spans="1:13" x14ac:dyDescent="0.45">
      <c r="A665" t="s">
        <v>12</v>
      </c>
      <c r="B665" t="s">
        <v>33</v>
      </c>
      <c r="C665" t="s">
        <v>26</v>
      </c>
      <c r="D665" s="27">
        <v>182113000</v>
      </c>
      <c r="E665" s="3" t="s">
        <v>41</v>
      </c>
      <c r="F665" s="23">
        <v>182113000</v>
      </c>
      <c r="G665" s="3" t="s">
        <v>41</v>
      </c>
      <c r="I665" s="25" t="str">
        <f t="shared" si="115"/>
        <v/>
      </c>
      <c r="J665" s="25" t="str">
        <f t="shared" si="115"/>
        <v/>
      </c>
      <c r="L665" s="3"/>
      <c r="M665" s="3"/>
    </row>
    <row r="666" spans="1:13" x14ac:dyDescent="0.45">
      <c r="A666" t="s">
        <v>13</v>
      </c>
      <c r="B666" t="s">
        <v>33</v>
      </c>
      <c r="C666" t="s">
        <v>26</v>
      </c>
      <c r="D666" s="27">
        <v>182113000</v>
      </c>
      <c r="E666" s="3" t="s">
        <v>41</v>
      </c>
      <c r="F666" s="23">
        <v>182113000</v>
      </c>
      <c r="G666" s="3" t="s">
        <v>41</v>
      </c>
      <c r="I666" s="25" t="str">
        <f t="shared" si="115"/>
        <v/>
      </c>
      <c r="J666" s="25" t="str">
        <f t="shared" si="115"/>
        <v/>
      </c>
      <c r="L666" s="3"/>
      <c r="M666" s="3"/>
    </row>
    <row r="667" spans="1:13" x14ac:dyDescent="0.45">
      <c r="A667" t="s">
        <v>14</v>
      </c>
      <c r="B667" t="s">
        <v>33</v>
      </c>
      <c r="C667" t="s">
        <v>26</v>
      </c>
      <c r="D667" s="27">
        <v>182113000</v>
      </c>
      <c r="E667" s="3" t="s">
        <v>41</v>
      </c>
      <c r="F667" s="23">
        <v>182113000</v>
      </c>
      <c r="G667" s="3" t="s">
        <v>41</v>
      </c>
      <c r="I667" s="25" t="str">
        <f t="shared" si="115"/>
        <v/>
      </c>
      <c r="J667" s="25" t="str">
        <f t="shared" si="115"/>
        <v/>
      </c>
      <c r="L667" s="3"/>
      <c r="M667" s="3"/>
    </row>
    <row r="668" spans="1:13" x14ac:dyDescent="0.45">
      <c r="A668" t="s">
        <v>15</v>
      </c>
      <c r="B668" t="s">
        <v>33</v>
      </c>
      <c r="C668" t="s">
        <v>26</v>
      </c>
      <c r="D668" s="27">
        <v>182113000</v>
      </c>
      <c r="E668" s="3" t="s">
        <v>41</v>
      </c>
      <c r="F668" s="23">
        <v>182113000</v>
      </c>
      <c r="G668" s="3" t="s">
        <v>41</v>
      </c>
      <c r="I668" s="25" t="str">
        <f t="shared" si="115"/>
        <v/>
      </c>
      <c r="J668" s="25" t="str">
        <f t="shared" si="115"/>
        <v/>
      </c>
      <c r="L668" s="3"/>
      <c r="M668" s="3"/>
    </row>
    <row r="669" spans="1:13" x14ac:dyDescent="0.45">
      <c r="A669" t="s">
        <v>16</v>
      </c>
      <c r="B669" t="s">
        <v>33</v>
      </c>
      <c r="C669" t="s">
        <v>26</v>
      </c>
      <c r="D669" s="27">
        <v>182113000</v>
      </c>
      <c r="E669" s="3" t="s">
        <v>41</v>
      </c>
      <c r="F669" s="23">
        <v>182113000</v>
      </c>
      <c r="G669" s="3" t="s">
        <v>41</v>
      </c>
      <c r="I669" s="25" t="str">
        <f t="shared" si="115"/>
        <v/>
      </c>
      <c r="J669" s="25" t="str">
        <f t="shared" si="115"/>
        <v/>
      </c>
      <c r="L669" s="3"/>
      <c r="M669" s="3"/>
    </row>
    <row r="670" spans="1:13" x14ac:dyDescent="0.45">
      <c r="A670" t="s">
        <v>17</v>
      </c>
      <c r="B670" t="s">
        <v>33</v>
      </c>
      <c r="C670" t="s">
        <v>26</v>
      </c>
      <c r="D670" s="27">
        <v>182113000</v>
      </c>
      <c r="E670" s="3" t="s">
        <v>41</v>
      </c>
      <c r="F670" s="23">
        <v>182113000</v>
      </c>
      <c r="G670" s="3" t="s">
        <v>41</v>
      </c>
      <c r="I670" s="25" t="str">
        <f t="shared" si="115"/>
        <v/>
      </c>
      <c r="J670" s="25" t="str">
        <f t="shared" si="115"/>
        <v/>
      </c>
      <c r="L670" s="3"/>
      <c r="M670" s="3"/>
    </row>
    <row r="671" spans="1:13" x14ac:dyDescent="0.45">
      <c r="A671" t="s">
        <v>18</v>
      </c>
      <c r="B671" t="s">
        <v>33</v>
      </c>
      <c r="C671" t="s">
        <v>26</v>
      </c>
      <c r="D671" s="27">
        <v>182113000</v>
      </c>
      <c r="E671" s="3" t="s">
        <v>41</v>
      </c>
      <c r="F671" s="23">
        <v>182113000</v>
      </c>
      <c r="G671" s="3" t="s">
        <v>41</v>
      </c>
      <c r="I671" s="25" t="str">
        <f t="shared" si="115"/>
        <v/>
      </c>
      <c r="J671" s="25" t="str">
        <f t="shared" si="115"/>
        <v/>
      </c>
      <c r="L671" s="3"/>
      <c r="M671" s="3"/>
    </row>
    <row r="672" spans="1:13" x14ac:dyDescent="0.45">
      <c r="A672" t="s">
        <v>19</v>
      </c>
      <c r="B672" t="s">
        <v>33</v>
      </c>
      <c r="C672" t="s">
        <v>26</v>
      </c>
      <c r="D672" s="27">
        <v>182113000</v>
      </c>
      <c r="E672" s="3" t="s">
        <v>41</v>
      </c>
      <c r="F672" s="23">
        <v>182113000</v>
      </c>
      <c r="G672" s="3" t="s">
        <v>41</v>
      </c>
      <c r="I672" s="25" t="str">
        <f t="shared" si="115"/>
        <v/>
      </c>
      <c r="J672" s="25" t="str">
        <f t="shared" si="115"/>
        <v/>
      </c>
      <c r="L672" s="3"/>
      <c r="M672" s="3"/>
    </row>
    <row r="673" spans="1:13" x14ac:dyDescent="0.45">
      <c r="A673" t="s">
        <v>20</v>
      </c>
      <c r="B673" t="s">
        <v>33</v>
      </c>
      <c r="C673" t="s">
        <v>26</v>
      </c>
      <c r="D673" s="27">
        <v>182117000</v>
      </c>
      <c r="E673" s="3" t="s">
        <v>41</v>
      </c>
      <c r="F673" s="23">
        <v>182117000</v>
      </c>
      <c r="G673" s="3" t="s">
        <v>41</v>
      </c>
      <c r="I673" s="25" t="str">
        <f t="shared" si="115"/>
        <v/>
      </c>
      <c r="J673" s="25" t="str">
        <f t="shared" si="115"/>
        <v/>
      </c>
      <c r="L673" s="3"/>
      <c r="M673" s="3"/>
    </row>
    <row r="674" spans="1:13" x14ac:dyDescent="0.45">
      <c r="A674" t="s">
        <v>7</v>
      </c>
      <c r="B674" t="s">
        <v>34</v>
      </c>
      <c r="C674" t="s">
        <v>9</v>
      </c>
      <c r="D674" s="27">
        <v>85000000</v>
      </c>
      <c r="E674" s="3">
        <v>2021637708</v>
      </c>
      <c r="F674" s="23">
        <v>0</v>
      </c>
      <c r="G674" s="3">
        <v>0</v>
      </c>
      <c r="I674" s="22">
        <f t="shared" ref="I674:J674" si="118">IF(L674="","",L674)</f>
        <v>2021637708</v>
      </c>
      <c r="J674" s="22">
        <f t="shared" si="118"/>
        <v>0</v>
      </c>
      <c r="L674" s="3">
        <v>2021637708</v>
      </c>
      <c r="M674" s="3">
        <v>0</v>
      </c>
    </row>
    <row r="675" spans="1:13" x14ac:dyDescent="0.45">
      <c r="A675" t="s">
        <v>10</v>
      </c>
      <c r="B675" t="s">
        <v>34</v>
      </c>
      <c r="C675" t="s">
        <v>9</v>
      </c>
      <c r="D675" s="28">
        <v>272450000</v>
      </c>
      <c r="E675" s="4">
        <v>165605895</v>
      </c>
      <c r="F675" s="24">
        <v>85000000</v>
      </c>
      <c r="G675" s="4">
        <v>86559328</v>
      </c>
      <c r="I675" s="25">
        <f t="shared" ref="I675:J675" si="119">IF(L675="","",L675-L674)</f>
        <v>165605895</v>
      </c>
      <c r="J675" s="25">
        <f t="shared" si="119"/>
        <v>86559328</v>
      </c>
      <c r="L675" s="4">
        <v>2187243603</v>
      </c>
      <c r="M675" s="4">
        <v>86559328</v>
      </c>
    </row>
    <row r="676" spans="1:13" x14ac:dyDescent="0.45">
      <c r="A676" t="s">
        <v>11</v>
      </c>
      <c r="B676" t="s">
        <v>34</v>
      </c>
      <c r="C676" t="s">
        <v>9</v>
      </c>
      <c r="D676" s="27">
        <v>4416599000</v>
      </c>
      <c r="E676" s="3">
        <v>-14599000</v>
      </c>
      <c r="F676" s="23">
        <v>25000000</v>
      </c>
      <c r="G676" s="3">
        <v>0</v>
      </c>
      <c r="I676" s="25">
        <f t="shared" si="115"/>
        <v>96368636</v>
      </c>
      <c r="J676" s="25">
        <f t="shared" si="115"/>
        <v>26641500</v>
      </c>
      <c r="L676" s="29">
        <f>SUMIFS(Pivot_!C:C,Pivot_!A:A,'Hitung Per Bulan'!B676,Pivot_!B:B,'Hitung Per Bulan'!C676)</f>
        <v>2283612239</v>
      </c>
      <c r="M676" s="29">
        <f>SUMIFS(Pivot_!D:D,Pivot_!A:A,'Hitung Per Bulan'!B676,Pivot_!B:B,'Hitung Per Bulan'!C676)</f>
        <v>113200828</v>
      </c>
    </row>
    <row r="677" spans="1:13" x14ac:dyDescent="0.45">
      <c r="A677" t="s">
        <v>12</v>
      </c>
      <c r="B677" t="s">
        <v>34</v>
      </c>
      <c r="C677" t="s">
        <v>9</v>
      </c>
      <c r="D677" s="27">
        <v>2915231000</v>
      </c>
      <c r="E677" s="3" t="s">
        <v>41</v>
      </c>
      <c r="F677" s="23">
        <v>11100000</v>
      </c>
      <c r="G677" s="3" t="s">
        <v>41</v>
      </c>
      <c r="I677" s="25" t="str">
        <f t="shared" si="115"/>
        <v/>
      </c>
      <c r="J677" s="25" t="str">
        <f t="shared" si="115"/>
        <v/>
      </c>
      <c r="L677" s="3"/>
      <c r="M677" s="3"/>
    </row>
    <row r="678" spans="1:13" x14ac:dyDescent="0.45">
      <c r="A678" t="s">
        <v>13</v>
      </c>
      <c r="B678" t="s">
        <v>34</v>
      </c>
      <c r="C678" t="s">
        <v>9</v>
      </c>
      <c r="D678" s="27">
        <v>506375000</v>
      </c>
      <c r="E678" s="3" t="s">
        <v>41</v>
      </c>
      <c r="F678" s="23">
        <v>1489733000</v>
      </c>
      <c r="G678" s="3" t="s">
        <v>41</v>
      </c>
      <c r="I678" s="25" t="str">
        <f t="shared" si="115"/>
        <v/>
      </c>
      <c r="J678" s="25" t="str">
        <f t="shared" si="115"/>
        <v/>
      </c>
      <c r="L678" s="3"/>
      <c r="M678" s="3"/>
    </row>
    <row r="679" spans="1:13" x14ac:dyDescent="0.45">
      <c r="A679" t="s">
        <v>14</v>
      </c>
      <c r="B679" t="s">
        <v>34</v>
      </c>
      <c r="C679" t="s">
        <v>9</v>
      </c>
      <c r="D679" s="27">
        <v>483400000</v>
      </c>
      <c r="E679" s="3" t="s">
        <v>41</v>
      </c>
      <c r="F679" s="23">
        <v>753875000</v>
      </c>
      <c r="G679" s="3" t="s">
        <v>41</v>
      </c>
      <c r="I679" s="25" t="str">
        <f t="shared" si="115"/>
        <v/>
      </c>
      <c r="J679" s="25" t="str">
        <f t="shared" si="115"/>
        <v/>
      </c>
      <c r="L679" s="3"/>
      <c r="M679" s="3"/>
    </row>
    <row r="680" spans="1:13" x14ac:dyDescent="0.45">
      <c r="A680" t="s">
        <v>15</v>
      </c>
      <c r="B680" t="s">
        <v>34</v>
      </c>
      <c r="C680" t="s">
        <v>9</v>
      </c>
      <c r="D680" s="27">
        <v>314700000</v>
      </c>
      <c r="E680" s="3" t="s">
        <v>41</v>
      </c>
      <c r="F680" s="23">
        <v>2381757000</v>
      </c>
      <c r="G680" s="3" t="s">
        <v>41</v>
      </c>
      <c r="I680" s="25" t="str">
        <f t="shared" si="115"/>
        <v/>
      </c>
      <c r="J680" s="25" t="str">
        <f t="shared" si="115"/>
        <v/>
      </c>
      <c r="L680" s="3"/>
      <c r="M680" s="3"/>
    </row>
    <row r="681" spans="1:13" x14ac:dyDescent="0.45">
      <c r="A681" t="s">
        <v>16</v>
      </c>
      <c r="B681" t="s">
        <v>34</v>
      </c>
      <c r="C681" t="s">
        <v>9</v>
      </c>
      <c r="D681" s="27">
        <v>0</v>
      </c>
      <c r="E681" s="3" t="s">
        <v>41</v>
      </c>
      <c r="F681" s="23">
        <v>2406929000</v>
      </c>
      <c r="G681" s="3" t="s">
        <v>41</v>
      </c>
      <c r="I681" s="25" t="str">
        <f t="shared" si="115"/>
        <v/>
      </c>
      <c r="J681" s="25" t="str">
        <f t="shared" si="115"/>
        <v/>
      </c>
      <c r="L681" s="3"/>
      <c r="M681" s="3"/>
    </row>
    <row r="682" spans="1:13" x14ac:dyDescent="0.45">
      <c r="A682" t="s">
        <v>17</v>
      </c>
      <c r="B682" t="s">
        <v>34</v>
      </c>
      <c r="C682" t="s">
        <v>9</v>
      </c>
      <c r="D682" s="27">
        <v>149300000</v>
      </c>
      <c r="E682" s="3" t="s">
        <v>41</v>
      </c>
      <c r="F682" s="23">
        <v>1396861000</v>
      </c>
      <c r="G682" s="3" t="s">
        <v>41</v>
      </c>
      <c r="I682" s="25" t="str">
        <f t="shared" si="115"/>
        <v/>
      </c>
      <c r="J682" s="25" t="str">
        <f t="shared" si="115"/>
        <v/>
      </c>
      <c r="L682" s="3"/>
      <c r="M682" s="3"/>
    </row>
    <row r="683" spans="1:13" x14ac:dyDescent="0.45">
      <c r="A683" t="s">
        <v>18</v>
      </c>
      <c r="B683" t="s">
        <v>34</v>
      </c>
      <c r="C683" t="s">
        <v>9</v>
      </c>
      <c r="D683" s="27">
        <v>0</v>
      </c>
      <c r="E683" s="3" t="s">
        <v>41</v>
      </c>
      <c r="F683" s="23">
        <v>592800000</v>
      </c>
      <c r="G683" s="3" t="s">
        <v>41</v>
      </c>
      <c r="I683" s="25" t="str">
        <f t="shared" si="115"/>
        <v/>
      </c>
      <c r="J683" s="25" t="str">
        <f t="shared" si="115"/>
        <v/>
      </c>
      <c r="L683" s="3"/>
      <c r="M683" s="3"/>
    </row>
    <row r="684" spans="1:13" x14ac:dyDescent="0.45">
      <c r="A684" t="s">
        <v>19</v>
      </c>
      <c r="B684" t="s">
        <v>34</v>
      </c>
      <c r="C684" t="s">
        <v>9</v>
      </c>
      <c r="D684" s="27">
        <v>100000000</v>
      </c>
      <c r="E684" s="3" t="s">
        <v>41</v>
      </c>
      <c r="F684" s="23">
        <v>0</v>
      </c>
      <c r="G684" s="3" t="s">
        <v>41</v>
      </c>
      <c r="I684" s="25" t="str">
        <f t="shared" si="115"/>
        <v/>
      </c>
      <c r="J684" s="25" t="str">
        <f t="shared" si="115"/>
        <v/>
      </c>
      <c r="L684" s="3"/>
      <c r="M684" s="3"/>
    </row>
    <row r="685" spans="1:13" x14ac:dyDescent="0.45">
      <c r="A685" t="s">
        <v>20</v>
      </c>
      <c r="B685" t="s">
        <v>34</v>
      </c>
      <c r="C685" t="s">
        <v>9</v>
      </c>
      <c r="D685" s="27">
        <v>0</v>
      </c>
      <c r="E685" s="3" t="s">
        <v>41</v>
      </c>
      <c r="F685" s="23">
        <v>100000000</v>
      </c>
      <c r="G685" s="3" t="s">
        <v>41</v>
      </c>
      <c r="I685" s="25" t="str">
        <f t="shared" si="115"/>
        <v/>
      </c>
      <c r="J685" s="25" t="str">
        <f t="shared" si="115"/>
        <v/>
      </c>
      <c r="L685" s="3"/>
      <c r="M685" s="3"/>
    </row>
    <row r="686" spans="1:13" x14ac:dyDescent="0.45">
      <c r="A686" t="s">
        <v>7</v>
      </c>
      <c r="B686" t="s">
        <v>34</v>
      </c>
      <c r="C686" t="s">
        <v>21</v>
      </c>
      <c r="D686" s="27">
        <v>0</v>
      </c>
      <c r="E686" s="3">
        <v>0</v>
      </c>
      <c r="F686" s="23">
        <v>0</v>
      </c>
      <c r="G686" s="3">
        <v>0</v>
      </c>
      <c r="I686" s="22">
        <f t="shared" ref="I686:J686" si="120">IF(L686="","",L686)</f>
        <v>0</v>
      </c>
      <c r="J686" s="22">
        <f t="shared" si="120"/>
        <v>0</v>
      </c>
      <c r="L686" s="3">
        <v>0</v>
      </c>
      <c r="M686" s="3">
        <v>0</v>
      </c>
    </row>
    <row r="687" spans="1:13" x14ac:dyDescent="0.45">
      <c r="A687" t="s">
        <v>10</v>
      </c>
      <c r="B687" t="s">
        <v>34</v>
      </c>
      <c r="C687" t="s">
        <v>21</v>
      </c>
      <c r="D687" s="28">
        <v>0</v>
      </c>
      <c r="E687" s="4">
        <v>1944000</v>
      </c>
      <c r="F687" s="24">
        <v>0</v>
      </c>
      <c r="G687" s="4">
        <v>0</v>
      </c>
      <c r="I687" s="25">
        <f t="shared" ref="I687:J687" si="121">IF(L687="","",L687-L686)</f>
        <v>1944000</v>
      </c>
      <c r="J687" s="25">
        <f t="shared" si="121"/>
        <v>0</v>
      </c>
      <c r="L687" s="4">
        <v>1944000</v>
      </c>
      <c r="M687" s="4">
        <v>0</v>
      </c>
    </row>
    <row r="688" spans="1:13" x14ac:dyDescent="0.45">
      <c r="A688" t="s">
        <v>11</v>
      </c>
      <c r="B688" t="s">
        <v>34</v>
      </c>
      <c r="C688" t="s">
        <v>21</v>
      </c>
      <c r="D688" s="27">
        <v>0</v>
      </c>
      <c r="E688" s="3">
        <v>0</v>
      </c>
      <c r="F688" s="23">
        <v>0</v>
      </c>
      <c r="G688" s="3">
        <v>0</v>
      </c>
      <c r="I688" s="25">
        <f t="shared" si="115"/>
        <v>0</v>
      </c>
      <c r="J688" s="25">
        <f t="shared" si="115"/>
        <v>1944000</v>
      </c>
      <c r="L688" s="29">
        <f>SUMIFS(Pivot_!C:C,Pivot_!A:A,'Hitung Per Bulan'!B688,Pivot_!B:B,'Hitung Per Bulan'!C688)</f>
        <v>1944000</v>
      </c>
      <c r="M688" s="29">
        <f>SUMIFS(Pivot_!D:D,Pivot_!A:A,'Hitung Per Bulan'!B688,Pivot_!B:B,'Hitung Per Bulan'!C688)</f>
        <v>1944000</v>
      </c>
    </row>
    <row r="689" spans="1:13" x14ac:dyDescent="0.45">
      <c r="A689" t="s">
        <v>12</v>
      </c>
      <c r="B689" t="s">
        <v>34</v>
      </c>
      <c r="C689" t="s">
        <v>21</v>
      </c>
      <c r="D689" s="27">
        <v>0</v>
      </c>
      <c r="E689" s="3" t="s">
        <v>41</v>
      </c>
      <c r="F689" s="23">
        <v>0</v>
      </c>
      <c r="G689" s="3" t="s">
        <v>41</v>
      </c>
      <c r="I689" s="25" t="str">
        <f t="shared" si="115"/>
        <v/>
      </c>
      <c r="J689" s="25" t="str">
        <f t="shared" si="115"/>
        <v/>
      </c>
      <c r="L689" s="3"/>
      <c r="M689" s="3"/>
    </row>
    <row r="690" spans="1:13" x14ac:dyDescent="0.45">
      <c r="A690" t="s">
        <v>13</v>
      </c>
      <c r="B690" t="s">
        <v>34</v>
      </c>
      <c r="C690" t="s">
        <v>21</v>
      </c>
      <c r="D690" s="27">
        <v>613000000</v>
      </c>
      <c r="E690" s="3" t="s">
        <v>41</v>
      </c>
      <c r="F690" s="23">
        <v>0</v>
      </c>
      <c r="G690" s="3" t="s">
        <v>41</v>
      </c>
      <c r="I690" s="25" t="str">
        <f t="shared" si="115"/>
        <v/>
      </c>
      <c r="J690" s="25" t="str">
        <f t="shared" si="115"/>
        <v/>
      </c>
      <c r="L690" s="3"/>
      <c r="M690" s="3"/>
    </row>
    <row r="691" spans="1:13" x14ac:dyDescent="0.45">
      <c r="A691" t="s">
        <v>14</v>
      </c>
      <c r="B691" t="s">
        <v>34</v>
      </c>
      <c r="C691" t="s">
        <v>21</v>
      </c>
      <c r="D691" s="27">
        <v>15000000</v>
      </c>
      <c r="E691" s="3" t="s">
        <v>41</v>
      </c>
      <c r="F691" s="23">
        <v>0</v>
      </c>
      <c r="G691" s="3" t="s">
        <v>41</v>
      </c>
      <c r="I691" s="25" t="str">
        <f t="shared" si="115"/>
        <v/>
      </c>
      <c r="J691" s="25" t="str">
        <f t="shared" si="115"/>
        <v/>
      </c>
      <c r="L691" s="3"/>
      <c r="M691" s="3"/>
    </row>
    <row r="692" spans="1:13" x14ac:dyDescent="0.45">
      <c r="A692" t="s">
        <v>15</v>
      </c>
      <c r="B692" t="s">
        <v>34</v>
      </c>
      <c r="C692" t="s">
        <v>21</v>
      </c>
      <c r="D692" s="27">
        <v>0</v>
      </c>
      <c r="E692" s="3" t="s">
        <v>41</v>
      </c>
      <c r="F692" s="23">
        <v>15000000</v>
      </c>
      <c r="G692" s="3" t="s">
        <v>41</v>
      </c>
      <c r="I692" s="25" t="str">
        <f t="shared" si="115"/>
        <v/>
      </c>
      <c r="J692" s="25" t="str">
        <f t="shared" si="115"/>
        <v/>
      </c>
      <c r="L692" s="3"/>
      <c r="M692" s="3"/>
    </row>
    <row r="693" spans="1:13" x14ac:dyDescent="0.45">
      <c r="A693" t="s">
        <v>16</v>
      </c>
      <c r="B693" t="s">
        <v>34</v>
      </c>
      <c r="C693" t="s">
        <v>21</v>
      </c>
      <c r="D693" s="27">
        <v>150000000</v>
      </c>
      <c r="E693" s="3" t="s">
        <v>41</v>
      </c>
      <c r="F693" s="23">
        <v>613000000</v>
      </c>
      <c r="G693" s="3" t="s">
        <v>41</v>
      </c>
      <c r="I693" s="25" t="str">
        <f t="shared" si="115"/>
        <v/>
      </c>
      <c r="J693" s="25" t="str">
        <f t="shared" si="115"/>
        <v/>
      </c>
      <c r="L693" s="3"/>
      <c r="M693" s="3"/>
    </row>
    <row r="694" spans="1:13" x14ac:dyDescent="0.45">
      <c r="A694" t="s">
        <v>17</v>
      </c>
      <c r="B694" t="s">
        <v>34</v>
      </c>
      <c r="C694" t="s">
        <v>21</v>
      </c>
      <c r="D694" s="27">
        <v>0</v>
      </c>
      <c r="E694" s="3" t="s">
        <v>41</v>
      </c>
      <c r="F694" s="23">
        <v>0</v>
      </c>
      <c r="G694" s="3" t="s">
        <v>41</v>
      </c>
      <c r="I694" s="25" t="str">
        <f t="shared" si="115"/>
        <v/>
      </c>
      <c r="J694" s="25" t="str">
        <f t="shared" si="115"/>
        <v/>
      </c>
      <c r="L694" s="3"/>
      <c r="M694" s="3"/>
    </row>
    <row r="695" spans="1:13" x14ac:dyDescent="0.45">
      <c r="A695" t="s">
        <v>18</v>
      </c>
      <c r="B695" t="s">
        <v>34</v>
      </c>
      <c r="C695" t="s">
        <v>21</v>
      </c>
      <c r="D695" s="27">
        <v>0</v>
      </c>
      <c r="E695" s="3" t="s">
        <v>41</v>
      </c>
      <c r="F695" s="23">
        <v>0</v>
      </c>
      <c r="G695" s="3" t="s">
        <v>41</v>
      </c>
      <c r="I695" s="25" t="str">
        <f t="shared" si="115"/>
        <v/>
      </c>
      <c r="J695" s="25" t="str">
        <f t="shared" si="115"/>
        <v/>
      </c>
      <c r="L695" s="3"/>
      <c r="M695" s="3"/>
    </row>
    <row r="696" spans="1:13" x14ac:dyDescent="0.45">
      <c r="A696" t="s">
        <v>19</v>
      </c>
      <c r="B696" t="s">
        <v>34</v>
      </c>
      <c r="C696" t="s">
        <v>21</v>
      </c>
      <c r="D696" s="27">
        <v>0</v>
      </c>
      <c r="E696" s="3" t="s">
        <v>41</v>
      </c>
      <c r="F696" s="23">
        <v>150000000</v>
      </c>
      <c r="G696" s="3" t="s">
        <v>41</v>
      </c>
      <c r="I696" s="25" t="str">
        <f t="shared" si="115"/>
        <v/>
      </c>
      <c r="J696" s="25" t="str">
        <f t="shared" si="115"/>
        <v/>
      </c>
      <c r="L696" s="3"/>
      <c r="M696" s="3"/>
    </row>
    <row r="697" spans="1:13" x14ac:dyDescent="0.45">
      <c r="A697" t="s">
        <v>20</v>
      </c>
      <c r="B697" t="s">
        <v>34</v>
      </c>
      <c r="C697" t="s">
        <v>21</v>
      </c>
      <c r="D697" s="27">
        <v>0</v>
      </c>
      <c r="E697" s="3" t="s">
        <v>41</v>
      </c>
      <c r="F697" s="23">
        <v>0</v>
      </c>
      <c r="G697" s="3" t="s">
        <v>41</v>
      </c>
      <c r="I697" s="25" t="str">
        <f t="shared" si="115"/>
        <v/>
      </c>
      <c r="J697" s="25" t="str">
        <f t="shared" si="115"/>
        <v/>
      </c>
      <c r="L697" s="3"/>
      <c r="M697" s="3"/>
    </row>
    <row r="698" spans="1:13" x14ac:dyDescent="0.45">
      <c r="A698" t="s">
        <v>7</v>
      </c>
      <c r="B698" t="s">
        <v>34</v>
      </c>
      <c r="C698" t="s">
        <v>22</v>
      </c>
      <c r="D698" s="27">
        <v>0</v>
      </c>
      <c r="E698" s="3">
        <v>21262500</v>
      </c>
      <c r="F698" s="23">
        <v>0</v>
      </c>
      <c r="G698" s="3">
        <v>0</v>
      </c>
      <c r="I698" s="22">
        <f t="shared" ref="I698:J698" si="122">IF(L698="","",L698)</f>
        <v>21262500</v>
      </c>
      <c r="J698" s="22">
        <f t="shared" si="122"/>
        <v>0</v>
      </c>
      <c r="L698" s="3">
        <v>21262500</v>
      </c>
      <c r="M698" s="3">
        <v>0</v>
      </c>
    </row>
    <row r="699" spans="1:13" x14ac:dyDescent="0.45">
      <c r="A699" t="s">
        <v>10</v>
      </c>
      <c r="B699" t="s">
        <v>34</v>
      </c>
      <c r="C699" t="s">
        <v>22</v>
      </c>
      <c r="D699" s="28">
        <v>0</v>
      </c>
      <c r="E699" s="4">
        <v>0</v>
      </c>
      <c r="F699" s="24">
        <v>0</v>
      </c>
      <c r="G699" s="4">
        <v>0</v>
      </c>
      <c r="I699" s="25">
        <f t="shared" ref="I699:J699" si="123">IF(L699="","",L699-L698)</f>
        <v>0</v>
      </c>
      <c r="J699" s="25">
        <f t="shared" si="123"/>
        <v>0</v>
      </c>
      <c r="L699" s="4">
        <v>21262500</v>
      </c>
      <c r="M699" s="4">
        <v>0</v>
      </c>
    </row>
    <row r="700" spans="1:13" x14ac:dyDescent="0.45">
      <c r="A700" t="s">
        <v>11</v>
      </c>
      <c r="B700" t="s">
        <v>34</v>
      </c>
      <c r="C700" t="s">
        <v>22</v>
      </c>
      <c r="D700" s="27">
        <v>27800000</v>
      </c>
      <c r="E700" s="3">
        <v>0</v>
      </c>
      <c r="F700" s="23">
        <v>0</v>
      </c>
      <c r="G700" s="3">
        <v>21262500</v>
      </c>
      <c r="I700" s="25">
        <f t="shared" si="115"/>
        <v>0</v>
      </c>
      <c r="J700" s="25">
        <f t="shared" si="115"/>
        <v>21262500</v>
      </c>
      <c r="L700" s="29">
        <f>SUMIFS(Pivot_!C:C,Pivot_!A:A,'Hitung Per Bulan'!B700,Pivot_!B:B,'Hitung Per Bulan'!C700)</f>
        <v>21262500</v>
      </c>
      <c r="M700" s="29">
        <f>SUMIFS(Pivot_!D:D,Pivot_!A:A,'Hitung Per Bulan'!B700,Pivot_!B:B,'Hitung Per Bulan'!C700)</f>
        <v>21262500</v>
      </c>
    </row>
    <row r="701" spans="1:13" x14ac:dyDescent="0.45">
      <c r="A701" t="s">
        <v>12</v>
      </c>
      <c r="B701" t="s">
        <v>34</v>
      </c>
      <c r="C701" t="s">
        <v>22</v>
      </c>
      <c r="D701" s="27">
        <v>12500000</v>
      </c>
      <c r="E701" s="3" t="s">
        <v>41</v>
      </c>
      <c r="F701" s="23">
        <v>27800000</v>
      </c>
      <c r="G701" s="3" t="s">
        <v>41</v>
      </c>
      <c r="I701" s="25" t="str">
        <f t="shared" si="115"/>
        <v/>
      </c>
      <c r="J701" s="25" t="str">
        <f t="shared" si="115"/>
        <v/>
      </c>
      <c r="L701" s="3"/>
      <c r="M701" s="3"/>
    </row>
    <row r="702" spans="1:13" x14ac:dyDescent="0.45">
      <c r="A702" t="s">
        <v>13</v>
      </c>
      <c r="B702" t="s">
        <v>34</v>
      </c>
      <c r="C702" t="s">
        <v>22</v>
      </c>
      <c r="D702" s="27">
        <v>0</v>
      </c>
      <c r="E702" s="3" t="s">
        <v>41</v>
      </c>
      <c r="F702" s="23">
        <v>12500000</v>
      </c>
      <c r="G702" s="3" t="s">
        <v>41</v>
      </c>
      <c r="I702" s="25" t="str">
        <f t="shared" si="115"/>
        <v/>
      </c>
      <c r="J702" s="25" t="str">
        <f t="shared" si="115"/>
        <v/>
      </c>
      <c r="L702" s="3"/>
      <c r="M702" s="3"/>
    </row>
    <row r="703" spans="1:13" x14ac:dyDescent="0.45">
      <c r="A703" t="s">
        <v>14</v>
      </c>
      <c r="B703" t="s">
        <v>34</v>
      </c>
      <c r="C703" t="s">
        <v>22</v>
      </c>
      <c r="D703" s="27">
        <v>0</v>
      </c>
      <c r="E703" s="3" t="s">
        <v>41</v>
      </c>
      <c r="F703" s="23">
        <v>0</v>
      </c>
      <c r="G703" s="3" t="s">
        <v>41</v>
      </c>
      <c r="I703" s="25" t="str">
        <f t="shared" si="115"/>
        <v/>
      </c>
      <c r="J703" s="25" t="str">
        <f t="shared" si="115"/>
        <v/>
      </c>
      <c r="L703" s="3"/>
      <c r="M703" s="3"/>
    </row>
    <row r="704" spans="1:13" x14ac:dyDescent="0.45">
      <c r="A704" t="s">
        <v>15</v>
      </c>
      <c r="B704" t="s">
        <v>34</v>
      </c>
      <c r="C704" t="s">
        <v>22</v>
      </c>
      <c r="D704" s="27">
        <v>0</v>
      </c>
      <c r="E704" s="3" t="s">
        <v>41</v>
      </c>
      <c r="F704" s="23">
        <v>0</v>
      </c>
      <c r="G704" s="3" t="s">
        <v>41</v>
      </c>
      <c r="I704" s="25" t="str">
        <f t="shared" si="115"/>
        <v/>
      </c>
      <c r="J704" s="25" t="str">
        <f t="shared" si="115"/>
        <v/>
      </c>
      <c r="L704" s="3"/>
      <c r="M704" s="3"/>
    </row>
    <row r="705" spans="1:13" x14ac:dyDescent="0.45">
      <c r="A705" t="s">
        <v>16</v>
      </c>
      <c r="B705" t="s">
        <v>34</v>
      </c>
      <c r="C705" t="s">
        <v>22</v>
      </c>
      <c r="D705" s="27">
        <v>31010000</v>
      </c>
      <c r="E705" s="3" t="s">
        <v>41</v>
      </c>
      <c r="F705" s="23">
        <v>0</v>
      </c>
      <c r="G705" s="3" t="s">
        <v>41</v>
      </c>
      <c r="I705" s="25" t="str">
        <f t="shared" si="115"/>
        <v/>
      </c>
      <c r="J705" s="25" t="str">
        <f t="shared" si="115"/>
        <v/>
      </c>
      <c r="L705" s="3"/>
      <c r="M705" s="3"/>
    </row>
    <row r="706" spans="1:13" x14ac:dyDescent="0.45">
      <c r="A706" t="s">
        <v>17</v>
      </c>
      <c r="B706" t="s">
        <v>34</v>
      </c>
      <c r="C706" t="s">
        <v>22</v>
      </c>
      <c r="D706" s="27">
        <v>0</v>
      </c>
      <c r="E706" s="3" t="s">
        <v>41</v>
      </c>
      <c r="F706" s="23">
        <v>31010000</v>
      </c>
      <c r="G706" s="3" t="s">
        <v>41</v>
      </c>
      <c r="I706" s="25" t="str">
        <f t="shared" si="115"/>
        <v/>
      </c>
      <c r="J706" s="25" t="str">
        <f t="shared" si="115"/>
        <v/>
      </c>
      <c r="L706" s="3"/>
      <c r="M706" s="3"/>
    </row>
    <row r="707" spans="1:13" x14ac:dyDescent="0.45">
      <c r="A707" t="s">
        <v>18</v>
      </c>
      <c r="B707" t="s">
        <v>34</v>
      </c>
      <c r="C707" t="s">
        <v>22</v>
      </c>
      <c r="D707" s="27">
        <v>0</v>
      </c>
      <c r="E707" s="3" t="s">
        <v>41</v>
      </c>
      <c r="F707" s="23">
        <v>0</v>
      </c>
      <c r="G707" s="3" t="s">
        <v>41</v>
      </c>
      <c r="I707" s="25" t="str">
        <f t="shared" si="115"/>
        <v/>
      </c>
      <c r="J707" s="25" t="str">
        <f t="shared" si="115"/>
        <v/>
      </c>
      <c r="L707" s="3"/>
      <c r="M707" s="3"/>
    </row>
    <row r="708" spans="1:13" x14ac:dyDescent="0.45">
      <c r="A708" t="s">
        <v>19</v>
      </c>
      <c r="B708" t="s">
        <v>34</v>
      </c>
      <c r="C708" t="s">
        <v>22</v>
      </c>
      <c r="D708" s="27">
        <v>40000000</v>
      </c>
      <c r="E708" s="3" t="s">
        <v>41</v>
      </c>
      <c r="F708" s="23">
        <v>0</v>
      </c>
      <c r="G708" s="3" t="s">
        <v>41</v>
      </c>
      <c r="I708" s="25" t="str">
        <f t="shared" si="115"/>
        <v/>
      </c>
      <c r="J708" s="25" t="str">
        <f t="shared" si="115"/>
        <v/>
      </c>
      <c r="L708" s="3"/>
      <c r="M708" s="3"/>
    </row>
    <row r="709" spans="1:13" x14ac:dyDescent="0.45">
      <c r="A709" t="s">
        <v>20</v>
      </c>
      <c r="B709" t="s">
        <v>34</v>
      </c>
      <c r="C709" t="s">
        <v>22</v>
      </c>
      <c r="D709" s="27">
        <v>0</v>
      </c>
      <c r="E709" s="3" t="s">
        <v>41</v>
      </c>
      <c r="F709" s="23">
        <v>40000000</v>
      </c>
      <c r="G709" s="3" t="s">
        <v>41</v>
      </c>
      <c r="I709" s="25" t="str">
        <f t="shared" si="115"/>
        <v/>
      </c>
      <c r="J709" s="25" t="str">
        <f t="shared" si="115"/>
        <v/>
      </c>
      <c r="L709" s="3"/>
      <c r="M709" s="3"/>
    </row>
    <row r="710" spans="1:13" x14ac:dyDescent="0.45">
      <c r="A710" t="s">
        <v>7</v>
      </c>
      <c r="B710" t="s">
        <v>34</v>
      </c>
      <c r="C710" t="s">
        <v>23</v>
      </c>
      <c r="D710" s="27">
        <v>0</v>
      </c>
      <c r="E710" s="3">
        <v>2159300</v>
      </c>
      <c r="F710" s="23">
        <v>0</v>
      </c>
      <c r="G710" s="3">
        <v>2159300</v>
      </c>
      <c r="I710" s="22">
        <f t="shared" ref="I710:J710" si="124">IF(L710="","",L710)</f>
        <v>2159300</v>
      </c>
      <c r="J710" s="22">
        <f t="shared" si="124"/>
        <v>2159300</v>
      </c>
      <c r="L710" s="3">
        <v>2159300</v>
      </c>
      <c r="M710" s="3">
        <v>2159300</v>
      </c>
    </row>
    <row r="711" spans="1:13" x14ac:dyDescent="0.45">
      <c r="A711" t="s">
        <v>10</v>
      </c>
      <c r="B711" t="s">
        <v>34</v>
      </c>
      <c r="C711" t="s">
        <v>23</v>
      </c>
      <c r="D711" s="28">
        <v>0</v>
      </c>
      <c r="E711" s="4">
        <v>0</v>
      </c>
      <c r="F711" s="24">
        <v>0</v>
      </c>
      <c r="G711" s="4">
        <v>0</v>
      </c>
      <c r="I711" s="25">
        <f t="shared" ref="I711:J711" si="125">IF(L711="","",L711-L710)</f>
        <v>0</v>
      </c>
      <c r="J711" s="25">
        <f t="shared" si="125"/>
        <v>0</v>
      </c>
      <c r="L711" s="4">
        <v>2159300</v>
      </c>
      <c r="M711" s="4">
        <v>2159300</v>
      </c>
    </row>
    <row r="712" spans="1:13" x14ac:dyDescent="0.45">
      <c r="A712" t="s">
        <v>11</v>
      </c>
      <c r="B712" t="s">
        <v>34</v>
      </c>
      <c r="C712" t="s">
        <v>23</v>
      </c>
      <c r="D712" s="27">
        <v>0</v>
      </c>
      <c r="E712" s="3">
        <v>0</v>
      </c>
      <c r="F712" s="23">
        <v>0</v>
      </c>
      <c r="G712" s="3">
        <v>0</v>
      </c>
      <c r="I712" s="25">
        <f t="shared" si="115"/>
        <v>0</v>
      </c>
      <c r="J712" s="25">
        <f t="shared" si="115"/>
        <v>0</v>
      </c>
      <c r="L712" s="29">
        <f>SUMIFS(Pivot_!C:C,Pivot_!A:A,'Hitung Per Bulan'!B712,Pivot_!B:B,'Hitung Per Bulan'!C712)</f>
        <v>2159300</v>
      </c>
      <c r="M712" s="29">
        <f>SUMIFS(Pivot_!D:D,Pivot_!A:A,'Hitung Per Bulan'!B712,Pivot_!B:B,'Hitung Per Bulan'!C712)</f>
        <v>2159300</v>
      </c>
    </row>
    <row r="713" spans="1:13" x14ac:dyDescent="0.45">
      <c r="A713" t="s">
        <v>12</v>
      </c>
      <c r="B713" t="s">
        <v>34</v>
      </c>
      <c r="C713" t="s">
        <v>23</v>
      </c>
      <c r="D713" s="27">
        <v>15000000</v>
      </c>
      <c r="E713" s="3" t="s">
        <v>41</v>
      </c>
      <c r="F713" s="23">
        <v>0</v>
      </c>
      <c r="G713" s="3" t="s">
        <v>41</v>
      </c>
      <c r="I713" s="25" t="str">
        <f t="shared" si="115"/>
        <v/>
      </c>
      <c r="J713" s="25" t="str">
        <f t="shared" si="115"/>
        <v/>
      </c>
      <c r="L713" s="3"/>
      <c r="M713" s="3"/>
    </row>
    <row r="714" spans="1:13" x14ac:dyDescent="0.45">
      <c r="A714" t="s">
        <v>13</v>
      </c>
      <c r="B714" t="s">
        <v>34</v>
      </c>
      <c r="C714" t="s">
        <v>23</v>
      </c>
      <c r="D714" s="27">
        <v>40000000</v>
      </c>
      <c r="E714" s="3" t="s">
        <v>41</v>
      </c>
      <c r="F714" s="23">
        <v>0</v>
      </c>
      <c r="G714" s="3" t="s">
        <v>41</v>
      </c>
      <c r="I714" s="25" t="str">
        <f t="shared" si="115"/>
        <v/>
      </c>
      <c r="J714" s="25" t="str">
        <f t="shared" si="115"/>
        <v/>
      </c>
      <c r="L714" s="3"/>
      <c r="M714" s="3"/>
    </row>
    <row r="715" spans="1:13" x14ac:dyDescent="0.45">
      <c r="A715" t="s">
        <v>14</v>
      </c>
      <c r="B715" t="s">
        <v>34</v>
      </c>
      <c r="C715" t="s">
        <v>23</v>
      </c>
      <c r="D715" s="27">
        <v>45000000</v>
      </c>
      <c r="E715" s="3" t="s">
        <v>41</v>
      </c>
      <c r="F715" s="23">
        <v>40000000</v>
      </c>
      <c r="G715" s="3" t="s">
        <v>41</v>
      </c>
      <c r="I715" s="25" t="str">
        <f t="shared" si="115"/>
        <v/>
      </c>
      <c r="J715" s="25" t="str">
        <f t="shared" si="115"/>
        <v/>
      </c>
      <c r="L715" s="3"/>
      <c r="M715" s="3"/>
    </row>
    <row r="716" spans="1:13" x14ac:dyDescent="0.45">
      <c r="A716" t="s">
        <v>15</v>
      </c>
      <c r="B716" t="s">
        <v>34</v>
      </c>
      <c r="C716" t="s">
        <v>23</v>
      </c>
      <c r="D716" s="27">
        <v>0</v>
      </c>
      <c r="E716" s="3" t="s">
        <v>41</v>
      </c>
      <c r="F716" s="23">
        <v>0</v>
      </c>
      <c r="G716" s="3" t="s">
        <v>41</v>
      </c>
      <c r="I716" s="25" t="str">
        <f t="shared" si="115"/>
        <v/>
      </c>
      <c r="J716" s="25" t="str">
        <f t="shared" si="115"/>
        <v/>
      </c>
      <c r="L716" s="3"/>
      <c r="M716" s="3"/>
    </row>
    <row r="717" spans="1:13" x14ac:dyDescent="0.45">
      <c r="A717" t="s">
        <v>16</v>
      </c>
      <c r="B717" t="s">
        <v>34</v>
      </c>
      <c r="C717" t="s">
        <v>23</v>
      </c>
      <c r="D717" s="27">
        <v>0</v>
      </c>
      <c r="E717" s="3" t="s">
        <v>41</v>
      </c>
      <c r="F717" s="23">
        <v>30000000</v>
      </c>
      <c r="G717" s="3" t="s">
        <v>41</v>
      </c>
      <c r="I717" s="25" t="str">
        <f t="shared" si="115"/>
        <v/>
      </c>
      <c r="J717" s="25" t="str">
        <f t="shared" si="115"/>
        <v/>
      </c>
      <c r="L717" s="3"/>
      <c r="M717" s="3"/>
    </row>
    <row r="718" spans="1:13" x14ac:dyDescent="0.45">
      <c r="A718" t="s">
        <v>17</v>
      </c>
      <c r="B718" t="s">
        <v>34</v>
      </c>
      <c r="C718" t="s">
        <v>23</v>
      </c>
      <c r="D718" s="27">
        <v>0</v>
      </c>
      <c r="E718" s="3" t="s">
        <v>41</v>
      </c>
      <c r="F718" s="23">
        <v>0</v>
      </c>
      <c r="G718" s="3" t="s">
        <v>41</v>
      </c>
      <c r="I718" s="25" t="str">
        <f t="shared" si="115"/>
        <v/>
      </c>
      <c r="J718" s="25" t="str">
        <f t="shared" si="115"/>
        <v/>
      </c>
      <c r="L718" s="3"/>
      <c r="M718" s="3"/>
    </row>
    <row r="719" spans="1:13" x14ac:dyDescent="0.45">
      <c r="A719" t="s">
        <v>18</v>
      </c>
      <c r="B719" t="s">
        <v>34</v>
      </c>
      <c r="C719" t="s">
        <v>23</v>
      </c>
      <c r="D719" s="27">
        <v>0</v>
      </c>
      <c r="E719" s="3" t="s">
        <v>41</v>
      </c>
      <c r="F719" s="23">
        <v>0</v>
      </c>
      <c r="G719" s="3" t="s">
        <v>41</v>
      </c>
      <c r="I719" s="25" t="str">
        <f t="shared" ref="I719:J781" si="126">IF(L719="","",L719-L718)</f>
        <v/>
      </c>
      <c r="J719" s="25" t="str">
        <f t="shared" si="126"/>
        <v/>
      </c>
      <c r="L719" s="3"/>
      <c r="M719" s="3"/>
    </row>
    <row r="720" spans="1:13" x14ac:dyDescent="0.45">
      <c r="A720" t="s">
        <v>19</v>
      </c>
      <c r="B720" t="s">
        <v>34</v>
      </c>
      <c r="C720" t="s">
        <v>23</v>
      </c>
      <c r="D720" s="27">
        <v>0</v>
      </c>
      <c r="E720" s="3" t="s">
        <v>41</v>
      </c>
      <c r="F720" s="23">
        <v>30000000</v>
      </c>
      <c r="G720" s="3" t="s">
        <v>41</v>
      </c>
      <c r="I720" s="25" t="str">
        <f t="shared" si="126"/>
        <v/>
      </c>
      <c r="J720" s="25" t="str">
        <f t="shared" si="126"/>
        <v/>
      </c>
      <c r="L720" s="3"/>
      <c r="M720" s="3"/>
    </row>
    <row r="721" spans="1:13" x14ac:dyDescent="0.45">
      <c r="A721" t="s">
        <v>20</v>
      </c>
      <c r="B721" t="s">
        <v>34</v>
      </c>
      <c r="C721" t="s">
        <v>23</v>
      </c>
      <c r="D721" s="27">
        <v>0</v>
      </c>
      <c r="E721" s="3" t="s">
        <v>41</v>
      </c>
      <c r="F721" s="23">
        <v>0</v>
      </c>
      <c r="G721" s="3" t="s">
        <v>41</v>
      </c>
      <c r="I721" s="25" t="str">
        <f t="shared" si="126"/>
        <v/>
      </c>
      <c r="J721" s="25" t="str">
        <f t="shared" si="126"/>
        <v/>
      </c>
      <c r="L721" s="3"/>
      <c r="M721" s="3"/>
    </row>
    <row r="722" spans="1:13" x14ac:dyDescent="0.45">
      <c r="A722" t="s">
        <v>7</v>
      </c>
      <c r="B722" t="s">
        <v>34</v>
      </c>
      <c r="C722" t="s">
        <v>24</v>
      </c>
      <c r="D722" s="27">
        <v>0</v>
      </c>
      <c r="E722" s="3">
        <v>0</v>
      </c>
      <c r="F722" s="23">
        <v>0</v>
      </c>
      <c r="G722" s="3">
        <v>0</v>
      </c>
      <c r="I722" s="22">
        <f t="shared" ref="I722:J722" si="127">IF(L722="","",L722)</f>
        <v>0</v>
      </c>
      <c r="J722" s="22">
        <f t="shared" si="127"/>
        <v>0</v>
      </c>
      <c r="L722" s="3">
        <v>0</v>
      </c>
      <c r="M722" s="3">
        <v>0</v>
      </c>
    </row>
    <row r="723" spans="1:13" x14ac:dyDescent="0.45">
      <c r="A723" t="s">
        <v>10</v>
      </c>
      <c r="B723" t="s">
        <v>34</v>
      </c>
      <c r="C723" t="s">
        <v>24</v>
      </c>
      <c r="D723" s="28">
        <v>0</v>
      </c>
      <c r="E723" s="4">
        <v>0</v>
      </c>
      <c r="F723" s="24">
        <v>0</v>
      </c>
      <c r="G723" s="4">
        <v>0</v>
      </c>
      <c r="I723" s="25">
        <f t="shared" ref="I723:J723" si="128">IF(L723="","",L723-L722)</f>
        <v>0</v>
      </c>
      <c r="J723" s="25">
        <f t="shared" si="128"/>
        <v>0</v>
      </c>
      <c r="L723" s="4">
        <v>0</v>
      </c>
      <c r="M723" s="4">
        <v>0</v>
      </c>
    </row>
    <row r="724" spans="1:13" x14ac:dyDescent="0.45">
      <c r="A724" t="s">
        <v>11</v>
      </c>
      <c r="B724" t="s">
        <v>34</v>
      </c>
      <c r="C724" t="s">
        <v>24</v>
      </c>
      <c r="D724" s="27">
        <v>0</v>
      </c>
      <c r="E724" s="3">
        <v>0</v>
      </c>
      <c r="F724" s="23">
        <v>0</v>
      </c>
      <c r="G724" s="3">
        <v>0</v>
      </c>
      <c r="I724" s="25">
        <f t="shared" si="126"/>
        <v>0</v>
      </c>
      <c r="J724" s="25">
        <f t="shared" si="126"/>
        <v>0</v>
      </c>
      <c r="L724" s="29">
        <f>SUMIFS(Pivot_!C:C,Pivot_!A:A,'Hitung Per Bulan'!B724,Pivot_!B:B,'Hitung Per Bulan'!C724)</f>
        <v>0</v>
      </c>
      <c r="M724" s="29">
        <f>SUMIFS(Pivot_!D:D,Pivot_!A:A,'Hitung Per Bulan'!B724,Pivot_!B:B,'Hitung Per Bulan'!C724)</f>
        <v>0</v>
      </c>
    </row>
    <row r="725" spans="1:13" x14ac:dyDescent="0.45">
      <c r="A725" t="s">
        <v>12</v>
      </c>
      <c r="B725" t="s">
        <v>34</v>
      </c>
      <c r="C725" t="s">
        <v>24</v>
      </c>
      <c r="D725" s="27">
        <v>0</v>
      </c>
      <c r="E725" s="3" t="s">
        <v>41</v>
      </c>
      <c r="F725" s="23">
        <v>0</v>
      </c>
      <c r="G725" s="3" t="s">
        <v>41</v>
      </c>
      <c r="I725" s="25" t="str">
        <f t="shared" si="126"/>
        <v/>
      </c>
      <c r="J725" s="25" t="str">
        <f t="shared" si="126"/>
        <v/>
      </c>
      <c r="L725" s="3"/>
      <c r="M725" s="3"/>
    </row>
    <row r="726" spans="1:13" x14ac:dyDescent="0.45">
      <c r="A726" t="s">
        <v>13</v>
      </c>
      <c r="B726" t="s">
        <v>34</v>
      </c>
      <c r="C726" t="s">
        <v>24</v>
      </c>
      <c r="D726" s="27">
        <v>0</v>
      </c>
      <c r="E726" s="3" t="s">
        <v>41</v>
      </c>
      <c r="F726" s="23">
        <v>0</v>
      </c>
      <c r="G726" s="3" t="s">
        <v>41</v>
      </c>
      <c r="I726" s="25" t="str">
        <f t="shared" si="126"/>
        <v/>
      </c>
      <c r="J726" s="25" t="str">
        <f t="shared" si="126"/>
        <v/>
      </c>
      <c r="L726" s="3"/>
      <c r="M726" s="3"/>
    </row>
    <row r="727" spans="1:13" x14ac:dyDescent="0.45">
      <c r="A727" t="s">
        <v>14</v>
      </c>
      <c r="B727" t="s">
        <v>34</v>
      </c>
      <c r="C727" t="s">
        <v>24</v>
      </c>
      <c r="D727" s="27">
        <v>0</v>
      </c>
      <c r="E727" s="3" t="s">
        <v>41</v>
      </c>
      <c r="F727" s="23">
        <v>0</v>
      </c>
      <c r="G727" s="3" t="s">
        <v>41</v>
      </c>
      <c r="I727" s="25" t="str">
        <f t="shared" si="126"/>
        <v/>
      </c>
      <c r="J727" s="25" t="str">
        <f t="shared" si="126"/>
        <v/>
      </c>
      <c r="L727" s="3"/>
      <c r="M727" s="3"/>
    </row>
    <row r="728" spans="1:13" x14ac:dyDescent="0.45">
      <c r="A728" t="s">
        <v>15</v>
      </c>
      <c r="B728" t="s">
        <v>34</v>
      </c>
      <c r="C728" t="s">
        <v>24</v>
      </c>
      <c r="D728" s="27">
        <v>0</v>
      </c>
      <c r="E728" s="3" t="s">
        <v>41</v>
      </c>
      <c r="F728" s="23">
        <v>0</v>
      </c>
      <c r="G728" s="3" t="s">
        <v>41</v>
      </c>
      <c r="I728" s="25" t="str">
        <f t="shared" si="126"/>
        <v/>
      </c>
      <c r="J728" s="25" t="str">
        <f t="shared" si="126"/>
        <v/>
      </c>
      <c r="L728" s="3"/>
      <c r="M728" s="3"/>
    </row>
    <row r="729" spans="1:13" x14ac:dyDescent="0.45">
      <c r="A729" t="s">
        <v>16</v>
      </c>
      <c r="B729" t="s">
        <v>34</v>
      </c>
      <c r="C729" t="s">
        <v>24</v>
      </c>
      <c r="D729" s="27">
        <v>0</v>
      </c>
      <c r="E729" s="3" t="s">
        <v>41</v>
      </c>
      <c r="F729" s="23">
        <v>0</v>
      </c>
      <c r="G729" s="3" t="s">
        <v>41</v>
      </c>
      <c r="I729" s="25" t="str">
        <f t="shared" si="126"/>
        <v/>
      </c>
      <c r="J729" s="25" t="str">
        <f t="shared" si="126"/>
        <v/>
      </c>
      <c r="L729" s="3"/>
      <c r="M729" s="3"/>
    </row>
    <row r="730" spans="1:13" x14ac:dyDescent="0.45">
      <c r="A730" t="s">
        <v>17</v>
      </c>
      <c r="B730" t="s">
        <v>34</v>
      </c>
      <c r="C730" t="s">
        <v>24</v>
      </c>
      <c r="D730" s="27">
        <v>0</v>
      </c>
      <c r="E730" s="3" t="s">
        <v>41</v>
      </c>
      <c r="F730" s="23">
        <v>0</v>
      </c>
      <c r="G730" s="3" t="s">
        <v>41</v>
      </c>
      <c r="I730" s="25" t="str">
        <f t="shared" si="126"/>
        <v/>
      </c>
      <c r="J730" s="25" t="str">
        <f t="shared" si="126"/>
        <v/>
      </c>
      <c r="L730" s="3"/>
      <c r="M730" s="3"/>
    </row>
    <row r="731" spans="1:13" x14ac:dyDescent="0.45">
      <c r="A731" t="s">
        <v>18</v>
      </c>
      <c r="B731" t="s">
        <v>34</v>
      </c>
      <c r="C731" t="s">
        <v>24</v>
      </c>
      <c r="D731" s="27">
        <v>0</v>
      </c>
      <c r="E731" s="3" t="s">
        <v>41</v>
      </c>
      <c r="F731" s="23">
        <v>0</v>
      </c>
      <c r="G731" s="3" t="s">
        <v>41</v>
      </c>
      <c r="I731" s="25" t="str">
        <f t="shared" si="126"/>
        <v/>
      </c>
      <c r="J731" s="25" t="str">
        <f t="shared" si="126"/>
        <v/>
      </c>
      <c r="L731" s="3"/>
      <c r="M731" s="3"/>
    </row>
    <row r="732" spans="1:13" x14ac:dyDescent="0.45">
      <c r="A732" t="s">
        <v>19</v>
      </c>
      <c r="B732" t="s">
        <v>34</v>
      </c>
      <c r="C732" t="s">
        <v>24</v>
      </c>
      <c r="D732" s="27">
        <v>0</v>
      </c>
      <c r="E732" s="3" t="s">
        <v>41</v>
      </c>
      <c r="F732" s="23">
        <v>0</v>
      </c>
      <c r="G732" s="3" t="s">
        <v>41</v>
      </c>
      <c r="I732" s="25" t="str">
        <f t="shared" si="126"/>
        <v/>
      </c>
      <c r="J732" s="25" t="str">
        <f t="shared" si="126"/>
        <v/>
      </c>
      <c r="L732" s="3"/>
      <c r="M732" s="3"/>
    </row>
    <row r="733" spans="1:13" x14ac:dyDescent="0.45">
      <c r="A733" t="s">
        <v>20</v>
      </c>
      <c r="B733" t="s">
        <v>34</v>
      </c>
      <c r="C733" t="s">
        <v>24</v>
      </c>
      <c r="D733" s="27">
        <v>0</v>
      </c>
      <c r="E733" s="3" t="s">
        <v>41</v>
      </c>
      <c r="F733" s="23">
        <v>0</v>
      </c>
      <c r="G733" s="3" t="s">
        <v>41</v>
      </c>
      <c r="I733" s="25" t="str">
        <f t="shared" si="126"/>
        <v/>
      </c>
      <c r="J733" s="25" t="str">
        <f t="shared" si="126"/>
        <v/>
      </c>
      <c r="L733" s="3"/>
      <c r="M733" s="3"/>
    </row>
    <row r="734" spans="1:13" x14ac:dyDescent="0.45">
      <c r="A734" t="s">
        <v>7</v>
      </c>
      <c r="B734" t="s">
        <v>34</v>
      </c>
      <c r="C734" t="s">
        <v>25</v>
      </c>
      <c r="D734" s="27">
        <v>33367000</v>
      </c>
      <c r="E734" s="3">
        <v>69661093</v>
      </c>
      <c r="F734" s="23">
        <v>33367000</v>
      </c>
      <c r="G734" s="3">
        <v>13701000</v>
      </c>
      <c r="I734" s="22">
        <f t="shared" ref="I734:J734" si="129">IF(L734="","",L734)</f>
        <v>69661093</v>
      </c>
      <c r="J734" s="22">
        <f t="shared" si="129"/>
        <v>13701000</v>
      </c>
      <c r="L734" s="3">
        <v>69661093</v>
      </c>
      <c r="M734" s="3">
        <v>13701000</v>
      </c>
    </row>
    <row r="735" spans="1:13" x14ac:dyDescent="0.45">
      <c r="A735" t="s">
        <v>10</v>
      </c>
      <c r="B735" t="s">
        <v>34</v>
      </c>
      <c r="C735" t="s">
        <v>25</v>
      </c>
      <c r="D735" s="28">
        <v>41156000</v>
      </c>
      <c r="E735" s="4">
        <v>43215908</v>
      </c>
      <c r="F735" s="24">
        <v>41156000</v>
      </c>
      <c r="G735" s="4">
        <v>32679201</v>
      </c>
      <c r="I735" s="25">
        <f t="shared" ref="I735:J735" si="130">IF(L735="","",L735-L734)</f>
        <v>43215908</v>
      </c>
      <c r="J735" s="25">
        <f t="shared" si="130"/>
        <v>32679201</v>
      </c>
      <c r="L735" s="4">
        <v>112877001</v>
      </c>
      <c r="M735" s="4">
        <v>46380201</v>
      </c>
    </row>
    <row r="736" spans="1:13" x14ac:dyDescent="0.45">
      <c r="A736" t="s">
        <v>11</v>
      </c>
      <c r="B736" t="s">
        <v>34</v>
      </c>
      <c r="C736" t="s">
        <v>25</v>
      </c>
      <c r="D736" s="27">
        <v>177499000</v>
      </c>
      <c r="E736" s="3">
        <v>7637500</v>
      </c>
      <c r="F736" s="23">
        <v>42499000</v>
      </c>
      <c r="G736" s="3">
        <v>17972500</v>
      </c>
      <c r="I736" s="25">
        <f t="shared" si="126"/>
        <v>24288500</v>
      </c>
      <c r="J736" s="25">
        <f t="shared" si="126"/>
        <v>31062800</v>
      </c>
      <c r="L736" s="29">
        <f>SUMIFS(Pivot_!C:C,Pivot_!A:A,'Hitung Per Bulan'!B736,Pivot_!B:B,'Hitung Per Bulan'!C736)</f>
        <v>137165501</v>
      </c>
      <c r="M736" s="29">
        <f>SUMIFS(Pivot_!D:D,Pivot_!A:A,'Hitung Per Bulan'!B736,Pivot_!B:B,'Hitung Per Bulan'!C736)</f>
        <v>77443001</v>
      </c>
    </row>
    <row r="737" spans="1:13" x14ac:dyDescent="0.45">
      <c r="A737" t="s">
        <v>12</v>
      </c>
      <c r="B737" t="s">
        <v>34</v>
      </c>
      <c r="C737" t="s">
        <v>25</v>
      </c>
      <c r="D737" s="27">
        <v>110151000</v>
      </c>
      <c r="E737" s="3" t="s">
        <v>41</v>
      </c>
      <c r="F737" s="23">
        <v>110151000</v>
      </c>
      <c r="G737" s="3" t="s">
        <v>41</v>
      </c>
      <c r="I737" s="25" t="str">
        <f t="shared" si="126"/>
        <v/>
      </c>
      <c r="J737" s="25" t="str">
        <f t="shared" si="126"/>
        <v/>
      </c>
      <c r="L737" s="3"/>
      <c r="M737" s="3"/>
    </row>
    <row r="738" spans="1:13" x14ac:dyDescent="0.45">
      <c r="A738" t="s">
        <v>13</v>
      </c>
      <c r="B738" t="s">
        <v>34</v>
      </c>
      <c r="C738" t="s">
        <v>25</v>
      </c>
      <c r="D738" s="27">
        <v>111156000</v>
      </c>
      <c r="E738" s="3" t="s">
        <v>41</v>
      </c>
      <c r="F738" s="23">
        <v>111156000</v>
      </c>
      <c r="G738" s="3" t="s">
        <v>41</v>
      </c>
      <c r="I738" s="25" t="str">
        <f t="shared" si="126"/>
        <v/>
      </c>
      <c r="J738" s="25" t="str">
        <f t="shared" si="126"/>
        <v/>
      </c>
      <c r="L738" s="3"/>
      <c r="M738" s="3"/>
    </row>
    <row r="739" spans="1:13" x14ac:dyDescent="0.45">
      <c r="A739" t="s">
        <v>14</v>
      </c>
      <c r="B739" t="s">
        <v>34</v>
      </c>
      <c r="C739" t="s">
        <v>25</v>
      </c>
      <c r="D739" s="27">
        <v>277041000</v>
      </c>
      <c r="E739" s="3" t="s">
        <v>41</v>
      </c>
      <c r="F739" s="23">
        <v>277041000</v>
      </c>
      <c r="G739" s="3" t="s">
        <v>41</v>
      </c>
      <c r="I739" s="25" t="str">
        <f t="shared" si="126"/>
        <v/>
      </c>
      <c r="J739" s="25" t="str">
        <f t="shared" si="126"/>
        <v/>
      </c>
      <c r="L739" s="3"/>
      <c r="M739" s="3"/>
    </row>
    <row r="740" spans="1:13" x14ac:dyDescent="0.45">
      <c r="A740" t="s">
        <v>15</v>
      </c>
      <c r="B740" t="s">
        <v>34</v>
      </c>
      <c r="C740" t="s">
        <v>25</v>
      </c>
      <c r="D740" s="27">
        <v>100908000</v>
      </c>
      <c r="E740" s="3" t="s">
        <v>41</v>
      </c>
      <c r="F740" s="23">
        <v>100908000</v>
      </c>
      <c r="G740" s="3" t="s">
        <v>41</v>
      </c>
      <c r="I740" s="25" t="str">
        <f t="shared" si="126"/>
        <v/>
      </c>
      <c r="J740" s="25" t="str">
        <f t="shared" si="126"/>
        <v/>
      </c>
      <c r="L740" s="3"/>
      <c r="M740" s="3"/>
    </row>
    <row r="741" spans="1:13" x14ac:dyDescent="0.45">
      <c r="A741" t="s">
        <v>16</v>
      </c>
      <c r="B741" t="s">
        <v>34</v>
      </c>
      <c r="C741" t="s">
        <v>25</v>
      </c>
      <c r="D741" s="27">
        <v>45146000</v>
      </c>
      <c r="E741" s="3" t="s">
        <v>41</v>
      </c>
      <c r="F741" s="23">
        <v>180146000</v>
      </c>
      <c r="G741" s="3" t="s">
        <v>41</v>
      </c>
      <c r="I741" s="25" t="str">
        <f t="shared" si="126"/>
        <v/>
      </c>
      <c r="J741" s="25" t="str">
        <f t="shared" si="126"/>
        <v/>
      </c>
      <c r="L741" s="3"/>
      <c r="M741" s="3"/>
    </row>
    <row r="742" spans="1:13" x14ac:dyDescent="0.45">
      <c r="A742" t="s">
        <v>17</v>
      </c>
      <c r="B742" t="s">
        <v>34</v>
      </c>
      <c r="C742" t="s">
        <v>25</v>
      </c>
      <c r="D742" s="27">
        <v>121144000</v>
      </c>
      <c r="E742" s="3" t="s">
        <v>41</v>
      </c>
      <c r="F742" s="23">
        <v>34744000</v>
      </c>
      <c r="G742" s="3" t="s">
        <v>41</v>
      </c>
      <c r="I742" s="25" t="str">
        <f t="shared" si="126"/>
        <v/>
      </c>
      <c r="J742" s="25" t="str">
        <f t="shared" si="126"/>
        <v/>
      </c>
      <c r="L742" s="3"/>
      <c r="M742" s="3"/>
    </row>
    <row r="743" spans="1:13" x14ac:dyDescent="0.45">
      <c r="A743" t="s">
        <v>18</v>
      </c>
      <c r="B743" t="s">
        <v>34</v>
      </c>
      <c r="C743" t="s">
        <v>25</v>
      </c>
      <c r="D743" s="27">
        <v>62392000</v>
      </c>
      <c r="E743" s="3" t="s">
        <v>41</v>
      </c>
      <c r="F743" s="23">
        <v>62392000</v>
      </c>
      <c r="G743" s="3" t="s">
        <v>41</v>
      </c>
      <c r="I743" s="25" t="str">
        <f t="shared" si="126"/>
        <v/>
      </c>
      <c r="J743" s="25" t="str">
        <f t="shared" si="126"/>
        <v/>
      </c>
      <c r="L743" s="3"/>
      <c r="M743" s="3"/>
    </row>
    <row r="744" spans="1:13" x14ac:dyDescent="0.45">
      <c r="A744" t="s">
        <v>19</v>
      </c>
      <c r="B744" t="s">
        <v>34</v>
      </c>
      <c r="C744" t="s">
        <v>25</v>
      </c>
      <c r="D744" s="27">
        <v>101346000</v>
      </c>
      <c r="E744" s="3" t="s">
        <v>41</v>
      </c>
      <c r="F744" s="23">
        <v>101346000</v>
      </c>
      <c r="G744" s="3" t="s">
        <v>41</v>
      </c>
      <c r="I744" s="25" t="str">
        <f t="shared" si="126"/>
        <v/>
      </c>
      <c r="J744" s="25" t="str">
        <f t="shared" si="126"/>
        <v/>
      </c>
      <c r="L744" s="3"/>
      <c r="M744" s="3"/>
    </row>
    <row r="745" spans="1:13" x14ac:dyDescent="0.45">
      <c r="A745" t="s">
        <v>20</v>
      </c>
      <c r="B745" t="s">
        <v>34</v>
      </c>
      <c r="C745" t="s">
        <v>25</v>
      </c>
      <c r="D745" s="27">
        <v>35552000</v>
      </c>
      <c r="E745" s="3" t="s">
        <v>41</v>
      </c>
      <c r="F745" s="23">
        <v>121952000</v>
      </c>
      <c r="G745" s="3" t="s">
        <v>41</v>
      </c>
      <c r="I745" s="25" t="str">
        <f t="shared" si="126"/>
        <v/>
      </c>
      <c r="J745" s="25" t="str">
        <f t="shared" si="126"/>
        <v/>
      </c>
      <c r="L745" s="3"/>
      <c r="M745" s="3"/>
    </row>
    <row r="746" spans="1:13" x14ac:dyDescent="0.45">
      <c r="A746" t="s">
        <v>7</v>
      </c>
      <c r="B746" t="s">
        <v>34</v>
      </c>
      <c r="C746" t="s">
        <v>26</v>
      </c>
      <c r="D746" s="27">
        <v>192500000</v>
      </c>
      <c r="E746" s="3">
        <v>143058335</v>
      </c>
      <c r="F746" s="23">
        <v>192500000</v>
      </c>
      <c r="G746" s="3">
        <v>143058335</v>
      </c>
      <c r="I746" s="22">
        <f t="shared" ref="I746:J746" si="131">IF(L746="","",L746)</f>
        <v>143058335</v>
      </c>
      <c r="J746" s="22">
        <f t="shared" si="131"/>
        <v>143058335</v>
      </c>
      <c r="L746" s="3">
        <v>143058335</v>
      </c>
      <c r="M746" s="3">
        <v>143058335</v>
      </c>
    </row>
    <row r="747" spans="1:13" x14ac:dyDescent="0.45">
      <c r="A747" t="s">
        <v>10</v>
      </c>
      <c r="B747" t="s">
        <v>34</v>
      </c>
      <c r="C747" t="s">
        <v>26</v>
      </c>
      <c r="D747" s="28">
        <v>192500000</v>
      </c>
      <c r="E747" s="4">
        <v>141087260</v>
      </c>
      <c r="F747" s="24">
        <v>192500000</v>
      </c>
      <c r="G747" s="4">
        <v>141087260</v>
      </c>
      <c r="I747" s="25">
        <f t="shared" ref="I747:J747" si="132">IF(L747="","",L747-L746)</f>
        <v>141087260</v>
      </c>
      <c r="J747" s="25">
        <f t="shared" si="132"/>
        <v>141087260</v>
      </c>
      <c r="L747" s="4">
        <v>284145595</v>
      </c>
      <c r="M747" s="4">
        <v>284145595</v>
      </c>
    </row>
    <row r="748" spans="1:13" x14ac:dyDescent="0.45">
      <c r="A748" t="s">
        <v>11</v>
      </c>
      <c r="B748" t="s">
        <v>34</v>
      </c>
      <c r="C748" t="s">
        <v>26</v>
      </c>
      <c r="D748" s="27">
        <v>192500000</v>
      </c>
      <c r="E748" s="3">
        <v>0</v>
      </c>
      <c r="F748" s="23">
        <v>192500000</v>
      </c>
      <c r="G748" s="3">
        <v>0</v>
      </c>
      <c r="I748" s="25">
        <f t="shared" si="126"/>
        <v>0</v>
      </c>
      <c r="J748" s="25">
        <f t="shared" si="126"/>
        <v>0</v>
      </c>
      <c r="L748" s="29">
        <f>SUMIFS(Pivot_!C:C,Pivot_!A:A,'Hitung Per Bulan'!B748,Pivot_!B:B,'Hitung Per Bulan'!C748)</f>
        <v>284145595</v>
      </c>
      <c r="M748" s="29">
        <f>SUMIFS(Pivot_!D:D,Pivot_!A:A,'Hitung Per Bulan'!B748,Pivot_!B:B,'Hitung Per Bulan'!C748)</f>
        <v>284145595</v>
      </c>
    </row>
    <row r="749" spans="1:13" x14ac:dyDescent="0.45">
      <c r="A749" t="s">
        <v>12</v>
      </c>
      <c r="B749" t="s">
        <v>34</v>
      </c>
      <c r="C749" t="s">
        <v>26</v>
      </c>
      <c r="D749" s="27">
        <v>192500000</v>
      </c>
      <c r="E749" s="3" t="s">
        <v>41</v>
      </c>
      <c r="F749" s="23">
        <v>192500000</v>
      </c>
      <c r="G749" s="3" t="s">
        <v>41</v>
      </c>
      <c r="I749" s="25" t="str">
        <f t="shared" si="126"/>
        <v/>
      </c>
      <c r="J749" s="25" t="str">
        <f t="shared" si="126"/>
        <v/>
      </c>
      <c r="L749" s="3"/>
      <c r="M749" s="3"/>
    </row>
    <row r="750" spans="1:13" x14ac:dyDescent="0.45">
      <c r="A750" t="s">
        <v>13</v>
      </c>
      <c r="B750" t="s">
        <v>34</v>
      </c>
      <c r="C750" t="s">
        <v>26</v>
      </c>
      <c r="D750" s="27">
        <v>192500000</v>
      </c>
      <c r="E750" s="3" t="s">
        <v>41</v>
      </c>
      <c r="F750" s="23">
        <v>192500000</v>
      </c>
      <c r="G750" s="3" t="s">
        <v>41</v>
      </c>
      <c r="I750" s="25" t="str">
        <f t="shared" si="126"/>
        <v/>
      </c>
      <c r="J750" s="25" t="str">
        <f t="shared" si="126"/>
        <v/>
      </c>
      <c r="L750" s="3"/>
      <c r="M750" s="3"/>
    </row>
    <row r="751" spans="1:13" x14ac:dyDescent="0.45">
      <c r="A751" t="s">
        <v>14</v>
      </c>
      <c r="B751" t="s">
        <v>34</v>
      </c>
      <c r="C751" t="s">
        <v>26</v>
      </c>
      <c r="D751" s="27">
        <v>192500000</v>
      </c>
      <c r="E751" s="3" t="s">
        <v>41</v>
      </c>
      <c r="F751" s="23">
        <v>192500000</v>
      </c>
      <c r="G751" s="3" t="s">
        <v>41</v>
      </c>
      <c r="I751" s="25" t="str">
        <f t="shared" si="126"/>
        <v/>
      </c>
      <c r="J751" s="25" t="str">
        <f t="shared" si="126"/>
        <v/>
      </c>
      <c r="L751" s="3"/>
      <c r="M751" s="3"/>
    </row>
    <row r="752" spans="1:13" x14ac:dyDescent="0.45">
      <c r="A752" t="s">
        <v>15</v>
      </c>
      <c r="B752" t="s">
        <v>34</v>
      </c>
      <c r="C752" t="s">
        <v>26</v>
      </c>
      <c r="D752" s="27">
        <v>192500000</v>
      </c>
      <c r="E752" s="3" t="s">
        <v>41</v>
      </c>
      <c r="F752" s="23">
        <v>192500000</v>
      </c>
      <c r="G752" s="3" t="s">
        <v>41</v>
      </c>
      <c r="I752" s="25" t="str">
        <f t="shared" si="126"/>
        <v/>
      </c>
      <c r="J752" s="25" t="str">
        <f t="shared" si="126"/>
        <v/>
      </c>
      <c r="L752" s="3"/>
      <c r="M752" s="3"/>
    </row>
    <row r="753" spans="1:13" x14ac:dyDescent="0.45">
      <c r="A753" t="s">
        <v>16</v>
      </c>
      <c r="B753" t="s">
        <v>34</v>
      </c>
      <c r="C753" t="s">
        <v>26</v>
      </c>
      <c r="D753" s="27">
        <v>192500000</v>
      </c>
      <c r="E753" s="3" t="s">
        <v>41</v>
      </c>
      <c r="F753" s="23">
        <v>192500000</v>
      </c>
      <c r="G753" s="3" t="s">
        <v>41</v>
      </c>
      <c r="I753" s="25" t="str">
        <f t="shared" si="126"/>
        <v/>
      </c>
      <c r="J753" s="25" t="str">
        <f t="shared" si="126"/>
        <v/>
      </c>
      <c r="L753" s="3"/>
      <c r="M753" s="3"/>
    </row>
    <row r="754" spans="1:13" x14ac:dyDescent="0.45">
      <c r="A754" t="s">
        <v>17</v>
      </c>
      <c r="B754" t="s">
        <v>34</v>
      </c>
      <c r="C754" t="s">
        <v>26</v>
      </c>
      <c r="D754" s="27">
        <v>192500000</v>
      </c>
      <c r="E754" s="3" t="s">
        <v>41</v>
      </c>
      <c r="F754" s="23">
        <v>192500000</v>
      </c>
      <c r="G754" s="3" t="s">
        <v>41</v>
      </c>
      <c r="I754" s="25" t="str">
        <f t="shared" si="126"/>
        <v/>
      </c>
      <c r="J754" s="25" t="str">
        <f t="shared" si="126"/>
        <v/>
      </c>
      <c r="L754" s="3"/>
      <c r="M754" s="3"/>
    </row>
    <row r="755" spans="1:13" x14ac:dyDescent="0.45">
      <c r="A755" t="s">
        <v>18</v>
      </c>
      <c r="B755" t="s">
        <v>34</v>
      </c>
      <c r="C755" t="s">
        <v>26</v>
      </c>
      <c r="D755" s="27">
        <v>192500000</v>
      </c>
      <c r="E755" s="3" t="s">
        <v>41</v>
      </c>
      <c r="F755" s="23">
        <v>192500000</v>
      </c>
      <c r="G755" s="3" t="s">
        <v>41</v>
      </c>
      <c r="I755" s="25" t="str">
        <f t="shared" si="126"/>
        <v/>
      </c>
      <c r="J755" s="25" t="str">
        <f t="shared" si="126"/>
        <v/>
      </c>
      <c r="L755" s="3"/>
      <c r="M755" s="3"/>
    </row>
    <row r="756" spans="1:13" x14ac:dyDescent="0.45">
      <c r="A756" t="s">
        <v>19</v>
      </c>
      <c r="B756" t="s">
        <v>34</v>
      </c>
      <c r="C756" t="s">
        <v>26</v>
      </c>
      <c r="D756" s="27">
        <v>192500000</v>
      </c>
      <c r="E756" s="3" t="s">
        <v>41</v>
      </c>
      <c r="F756" s="23">
        <v>192500000</v>
      </c>
      <c r="G756" s="3" t="s">
        <v>41</v>
      </c>
      <c r="I756" s="25" t="str">
        <f t="shared" si="126"/>
        <v/>
      </c>
      <c r="J756" s="25" t="str">
        <f t="shared" si="126"/>
        <v/>
      </c>
      <c r="L756" s="3"/>
      <c r="M756" s="3"/>
    </row>
    <row r="757" spans="1:13" x14ac:dyDescent="0.45">
      <c r="A757" t="s">
        <v>20</v>
      </c>
      <c r="B757" t="s">
        <v>34</v>
      </c>
      <c r="C757" t="s">
        <v>26</v>
      </c>
      <c r="D757" s="27">
        <v>192500000</v>
      </c>
      <c r="E757" s="3" t="s">
        <v>41</v>
      </c>
      <c r="F757" s="23">
        <v>192500000</v>
      </c>
      <c r="G757" s="3" t="s">
        <v>41</v>
      </c>
      <c r="I757" s="25" t="str">
        <f t="shared" si="126"/>
        <v/>
      </c>
      <c r="J757" s="25" t="str">
        <f t="shared" si="126"/>
        <v/>
      </c>
      <c r="L757" s="3"/>
      <c r="M757" s="3"/>
    </row>
    <row r="758" spans="1:13" x14ac:dyDescent="0.45">
      <c r="A758" t="s">
        <v>7</v>
      </c>
      <c r="B758" t="s">
        <v>35</v>
      </c>
      <c r="C758" t="s">
        <v>9</v>
      </c>
      <c r="D758" s="27">
        <v>138362000</v>
      </c>
      <c r="E758" s="3">
        <v>2817500752</v>
      </c>
      <c r="F758" s="23">
        <v>138362000</v>
      </c>
      <c r="G758" s="3">
        <v>0</v>
      </c>
      <c r="I758" s="22">
        <f t="shared" ref="I758:J758" si="133">IF(L758="","",L758)</f>
        <v>2817500752</v>
      </c>
      <c r="J758" s="22">
        <f t="shared" si="133"/>
        <v>0</v>
      </c>
      <c r="L758" s="3">
        <v>2817500752</v>
      </c>
      <c r="M758" s="3">
        <v>0</v>
      </c>
    </row>
    <row r="759" spans="1:13" x14ac:dyDescent="0.45">
      <c r="A759" t="s">
        <v>10</v>
      </c>
      <c r="B759" t="s">
        <v>35</v>
      </c>
      <c r="C759" t="s">
        <v>9</v>
      </c>
      <c r="D759" s="28">
        <v>138362000</v>
      </c>
      <c r="E759" s="4">
        <v>14723328892</v>
      </c>
      <c r="F759" s="24">
        <v>138362000</v>
      </c>
      <c r="G759" s="4">
        <v>426154218</v>
      </c>
      <c r="I759" s="25">
        <f t="shared" ref="I759:J759" si="134">IF(L759="","",L759-L758)</f>
        <v>14723328892</v>
      </c>
      <c r="J759" s="25">
        <f t="shared" si="134"/>
        <v>426154218</v>
      </c>
      <c r="L759" s="4">
        <v>17540829644</v>
      </c>
      <c r="M759" s="4">
        <v>426154218</v>
      </c>
    </row>
    <row r="760" spans="1:13" x14ac:dyDescent="0.45">
      <c r="A760" t="s">
        <v>11</v>
      </c>
      <c r="B760" t="s">
        <v>35</v>
      </c>
      <c r="C760" t="s">
        <v>9</v>
      </c>
      <c r="D760" s="27">
        <v>15317250000</v>
      </c>
      <c r="E760" s="3">
        <v>3333257469</v>
      </c>
      <c r="F760" s="23">
        <v>138362000</v>
      </c>
      <c r="G760" s="3">
        <v>728579700</v>
      </c>
      <c r="I760" s="25">
        <f t="shared" si="126"/>
        <v>3365409014</v>
      </c>
      <c r="J760" s="25">
        <f t="shared" si="126"/>
        <v>1260692700</v>
      </c>
      <c r="L760" s="29">
        <f>SUMIFS(Pivot_!C:C,Pivot_!A:A,'Hitung Per Bulan'!B760,Pivot_!B:B,'Hitung Per Bulan'!C760)</f>
        <v>20906238658</v>
      </c>
      <c r="M760" s="29">
        <f>SUMIFS(Pivot_!D:D,Pivot_!A:A,'Hitung Per Bulan'!B760,Pivot_!B:B,'Hitung Per Bulan'!C760)</f>
        <v>1686846918</v>
      </c>
    </row>
    <row r="761" spans="1:13" x14ac:dyDescent="0.45">
      <c r="A761" t="s">
        <v>12</v>
      </c>
      <c r="B761" t="s">
        <v>35</v>
      </c>
      <c r="C761" t="s">
        <v>9</v>
      </c>
      <c r="D761" s="27">
        <v>515005000</v>
      </c>
      <c r="E761" s="3" t="s">
        <v>41</v>
      </c>
      <c r="F761" s="23">
        <v>138362000</v>
      </c>
      <c r="G761" s="3" t="s">
        <v>41</v>
      </c>
      <c r="I761" s="25" t="str">
        <f t="shared" si="126"/>
        <v/>
      </c>
      <c r="J761" s="25" t="str">
        <f t="shared" si="126"/>
        <v/>
      </c>
      <c r="L761" s="3"/>
      <c r="M761" s="3"/>
    </row>
    <row r="762" spans="1:13" x14ac:dyDescent="0.45">
      <c r="A762" t="s">
        <v>13</v>
      </c>
      <c r="B762" t="s">
        <v>35</v>
      </c>
      <c r="C762" t="s">
        <v>9</v>
      </c>
      <c r="D762" s="27">
        <v>1979048000</v>
      </c>
      <c r="E762" s="3" t="s">
        <v>41</v>
      </c>
      <c r="F762" s="23">
        <v>1790524000</v>
      </c>
      <c r="G762" s="3" t="s">
        <v>41</v>
      </c>
      <c r="I762" s="25" t="str">
        <f t="shared" si="126"/>
        <v/>
      </c>
      <c r="J762" s="25" t="str">
        <f t="shared" si="126"/>
        <v/>
      </c>
      <c r="L762" s="3"/>
      <c r="M762" s="3"/>
    </row>
    <row r="763" spans="1:13" x14ac:dyDescent="0.45">
      <c r="A763" t="s">
        <v>14</v>
      </c>
      <c r="B763" t="s">
        <v>35</v>
      </c>
      <c r="C763" t="s">
        <v>9</v>
      </c>
      <c r="D763" s="27">
        <v>4818772000</v>
      </c>
      <c r="E763" s="3" t="s">
        <v>41</v>
      </c>
      <c r="F763" s="23">
        <v>1231565000</v>
      </c>
      <c r="G763" s="3" t="s">
        <v>41</v>
      </c>
      <c r="I763" s="25" t="str">
        <f t="shared" si="126"/>
        <v/>
      </c>
      <c r="J763" s="25" t="str">
        <f t="shared" si="126"/>
        <v/>
      </c>
      <c r="L763" s="3"/>
      <c r="M763" s="3"/>
    </row>
    <row r="764" spans="1:13" x14ac:dyDescent="0.45">
      <c r="A764" t="s">
        <v>15</v>
      </c>
      <c r="B764" t="s">
        <v>35</v>
      </c>
      <c r="C764" t="s">
        <v>9</v>
      </c>
      <c r="D764" s="27">
        <v>138362000</v>
      </c>
      <c r="E764" s="3" t="s">
        <v>41</v>
      </c>
      <c r="F764" s="23">
        <v>542174000</v>
      </c>
      <c r="G764" s="3" t="s">
        <v>41</v>
      </c>
      <c r="I764" s="25" t="str">
        <f t="shared" si="126"/>
        <v/>
      </c>
      <c r="J764" s="25" t="str">
        <f t="shared" si="126"/>
        <v/>
      </c>
      <c r="L764" s="3"/>
      <c r="M764" s="3"/>
    </row>
    <row r="765" spans="1:13" x14ac:dyDescent="0.45">
      <c r="A765" t="s">
        <v>16</v>
      </c>
      <c r="B765" t="s">
        <v>35</v>
      </c>
      <c r="C765" t="s">
        <v>9</v>
      </c>
      <c r="D765" s="27">
        <v>2657670000</v>
      </c>
      <c r="E765" s="3" t="s">
        <v>41</v>
      </c>
      <c r="F765" s="23">
        <v>1575236000</v>
      </c>
      <c r="G765" s="3" t="s">
        <v>41</v>
      </c>
      <c r="I765" s="25" t="str">
        <f t="shared" si="126"/>
        <v/>
      </c>
      <c r="J765" s="25" t="str">
        <f t="shared" si="126"/>
        <v/>
      </c>
      <c r="L765" s="3"/>
      <c r="M765" s="3"/>
    </row>
    <row r="766" spans="1:13" x14ac:dyDescent="0.45">
      <c r="A766" t="s">
        <v>17</v>
      </c>
      <c r="B766" t="s">
        <v>35</v>
      </c>
      <c r="C766" t="s">
        <v>9</v>
      </c>
      <c r="D766" s="27">
        <v>465517000</v>
      </c>
      <c r="E766" s="3" t="s">
        <v>41</v>
      </c>
      <c r="F766" s="23">
        <v>1365573000</v>
      </c>
      <c r="G766" s="3" t="s">
        <v>41</v>
      </c>
      <c r="I766" s="25" t="str">
        <f t="shared" si="126"/>
        <v/>
      </c>
      <c r="J766" s="25" t="str">
        <f t="shared" si="126"/>
        <v/>
      </c>
      <c r="L766" s="3"/>
      <c r="M766" s="3"/>
    </row>
    <row r="767" spans="1:13" x14ac:dyDescent="0.45">
      <c r="A767" t="s">
        <v>18</v>
      </c>
      <c r="B767" t="s">
        <v>35</v>
      </c>
      <c r="C767" t="s">
        <v>9</v>
      </c>
      <c r="D767" s="27">
        <v>138362000</v>
      </c>
      <c r="E767" s="3" t="s">
        <v>41</v>
      </c>
      <c r="F767" s="23">
        <v>13779904000</v>
      </c>
      <c r="G767" s="3" t="s">
        <v>41</v>
      </c>
      <c r="I767" s="25" t="str">
        <f t="shared" si="126"/>
        <v/>
      </c>
      <c r="J767" s="25" t="str">
        <f t="shared" si="126"/>
        <v/>
      </c>
      <c r="L767" s="3"/>
      <c r="M767" s="3"/>
    </row>
    <row r="768" spans="1:13" x14ac:dyDescent="0.45">
      <c r="A768" t="s">
        <v>19</v>
      </c>
      <c r="B768" t="s">
        <v>35</v>
      </c>
      <c r="C768" t="s">
        <v>9</v>
      </c>
      <c r="D768" s="27">
        <v>138362000</v>
      </c>
      <c r="E768" s="3" t="s">
        <v>41</v>
      </c>
      <c r="F768" s="23">
        <v>3087340000</v>
      </c>
      <c r="G768" s="3" t="s">
        <v>41</v>
      </c>
      <c r="I768" s="25" t="str">
        <f t="shared" si="126"/>
        <v/>
      </c>
      <c r="J768" s="25" t="str">
        <f t="shared" si="126"/>
        <v/>
      </c>
      <c r="L768" s="3"/>
      <c r="M768" s="3"/>
    </row>
    <row r="769" spans="1:13" x14ac:dyDescent="0.45">
      <c r="A769" t="s">
        <v>20</v>
      </c>
      <c r="B769" t="s">
        <v>35</v>
      </c>
      <c r="C769" t="s">
        <v>9</v>
      </c>
      <c r="D769" s="27">
        <v>138362000</v>
      </c>
      <c r="E769" s="3" t="s">
        <v>41</v>
      </c>
      <c r="F769" s="23">
        <v>2657670000</v>
      </c>
      <c r="G769" s="3" t="s">
        <v>41</v>
      </c>
      <c r="I769" s="25" t="str">
        <f t="shared" si="126"/>
        <v/>
      </c>
      <c r="J769" s="25" t="str">
        <f t="shared" si="126"/>
        <v/>
      </c>
      <c r="L769" s="3"/>
      <c r="M769" s="3"/>
    </row>
    <row r="770" spans="1:13" x14ac:dyDescent="0.45">
      <c r="A770" t="s">
        <v>7</v>
      </c>
      <c r="B770" t="s">
        <v>35</v>
      </c>
      <c r="C770" t="s">
        <v>21</v>
      </c>
      <c r="D770" s="27">
        <v>0</v>
      </c>
      <c r="E770" s="3">
        <v>0</v>
      </c>
      <c r="F770" s="23">
        <v>0</v>
      </c>
      <c r="G770" s="3">
        <v>0</v>
      </c>
      <c r="I770" s="22">
        <f t="shared" ref="I770:J770" si="135">IF(L770="","",L770)</f>
        <v>0</v>
      </c>
      <c r="J770" s="22">
        <f t="shared" si="135"/>
        <v>0</v>
      </c>
      <c r="L770" s="3">
        <v>0</v>
      </c>
      <c r="M770" s="3">
        <v>0</v>
      </c>
    </row>
    <row r="771" spans="1:13" x14ac:dyDescent="0.45">
      <c r="A771" t="s">
        <v>10</v>
      </c>
      <c r="B771" t="s">
        <v>35</v>
      </c>
      <c r="C771" t="s">
        <v>21</v>
      </c>
      <c r="D771" s="28">
        <v>0</v>
      </c>
      <c r="E771" s="4">
        <v>0</v>
      </c>
      <c r="F771" s="24">
        <v>0</v>
      </c>
      <c r="G771" s="4">
        <v>0</v>
      </c>
      <c r="I771" s="25">
        <f t="shared" ref="I771:J771" si="136">IF(L771="","",L771-L770)</f>
        <v>0</v>
      </c>
      <c r="J771" s="25">
        <f t="shared" si="136"/>
        <v>0</v>
      </c>
      <c r="L771" s="4">
        <v>0</v>
      </c>
      <c r="M771" s="4">
        <v>0</v>
      </c>
    </row>
    <row r="772" spans="1:13" x14ac:dyDescent="0.45">
      <c r="A772" t="s">
        <v>11</v>
      </c>
      <c r="B772" t="s">
        <v>35</v>
      </c>
      <c r="C772" t="s">
        <v>21</v>
      </c>
      <c r="D772" s="27">
        <v>200000000</v>
      </c>
      <c r="E772" s="3">
        <v>0</v>
      </c>
      <c r="F772" s="23">
        <v>200000000</v>
      </c>
      <c r="G772" s="3">
        <v>0</v>
      </c>
      <c r="I772" s="25">
        <f t="shared" si="126"/>
        <v>0</v>
      </c>
      <c r="J772" s="25">
        <f t="shared" si="126"/>
        <v>0</v>
      </c>
      <c r="L772" s="29">
        <f>SUMIFS(Pivot_!C:C,Pivot_!A:A,'Hitung Per Bulan'!B772,Pivot_!B:B,'Hitung Per Bulan'!C772)</f>
        <v>0</v>
      </c>
      <c r="M772" s="29">
        <f>SUMIFS(Pivot_!D:D,Pivot_!A:A,'Hitung Per Bulan'!B772,Pivot_!B:B,'Hitung Per Bulan'!C772)</f>
        <v>0</v>
      </c>
    </row>
    <row r="773" spans="1:13" x14ac:dyDescent="0.45">
      <c r="A773" t="s">
        <v>12</v>
      </c>
      <c r="B773" t="s">
        <v>35</v>
      </c>
      <c r="C773" t="s">
        <v>21</v>
      </c>
      <c r="D773" s="27">
        <v>500000000</v>
      </c>
      <c r="E773" s="3" t="s">
        <v>41</v>
      </c>
      <c r="F773" s="23">
        <v>500000000</v>
      </c>
      <c r="G773" s="3" t="s">
        <v>41</v>
      </c>
      <c r="I773" s="25" t="str">
        <f t="shared" si="126"/>
        <v/>
      </c>
      <c r="J773" s="25" t="str">
        <f t="shared" si="126"/>
        <v/>
      </c>
      <c r="L773" s="3"/>
      <c r="M773" s="3"/>
    </row>
    <row r="774" spans="1:13" x14ac:dyDescent="0.45">
      <c r="A774" t="s">
        <v>13</v>
      </c>
      <c r="B774" t="s">
        <v>35</v>
      </c>
      <c r="C774" t="s">
        <v>21</v>
      </c>
      <c r="D774" s="27">
        <v>0</v>
      </c>
      <c r="E774" s="3" t="s">
        <v>41</v>
      </c>
      <c r="F774" s="23">
        <v>0</v>
      </c>
      <c r="G774" s="3" t="s">
        <v>41</v>
      </c>
      <c r="I774" s="25" t="str">
        <f t="shared" si="126"/>
        <v/>
      </c>
      <c r="J774" s="25" t="str">
        <f t="shared" si="126"/>
        <v/>
      </c>
      <c r="L774" s="3"/>
      <c r="M774" s="3"/>
    </row>
    <row r="775" spans="1:13" x14ac:dyDescent="0.45">
      <c r="A775" t="s">
        <v>14</v>
      </c>
      <c r="B775" t="s">
        <v>35</v>
      </c>
      <c r="C775" t="s">
        <v>21</v>
      </c>
      <c r="D775" s="27">
        <v>0</v>
      </c>
      <c r="E775" s="3" t="s">
        <v>41</v>
      </c>
      <c r="F775" s="23">
        <v>0</v>
      </c>
      <c r="G775" s="3" t="s">
        <v>41</v>
      </c>
      <c r="I775" s="25" t="str">
        <f t="shared" si="126"/>
        <v/>
      </c>
      <c r="J775" s="25" t="str">
        <f t="shared" si="126"/>
        <v/>
      </c>
      <c r="L775" s="3"/>
      <c r="M775" s="3"/>
    </row>
    <row r="776" spans="1:13" x14ac:dyDescent="0.45">
      <c r="A776" t="s">
        <v>15</v>
      </c>
      <c r="B776" t="s">
        <v>35</v>
      </c>
      <c r="C776" t="s">
        <v>21</v>
      </c>
      <c r="D776" s="27">
        <v>200000000</v>
      </c>
      <c r="E776" s="3" t="s">
        <v>41</v>
      </c>
      <c r="F776" s="23">
        <v>200000000</v>
      </c>
      <c r="G776" s="3" t="s">
        <v>41</v>
      </c>
      <c r="I776" s="25" t="str">
        <f t="shared" si="126"/>
        <v/>
      </c>
      <c r="J776" s="25" t="str">
        <f t="shared" si="126"/>
        <v/>
      </c>
      <c r="L776" s="3"/>
      <c r="M776" s="3"/>
    </row>
    <row r="777" spans="1:13" x14ac:dyDescent="0.45">
      <c r="A777" t="s">
        <v>16</v>
      </c>
      <c r="B777" t="s">
        <v>35</v>
      </c>
      <c r="C777" t="s">
        <v>21</v>
      </c>
      <c r="D777" s="27">
        <v>0</v>
      </c>
      <c r="E777" s="3" t="s">
        <v>41</v>
      </c>
      <c r="F777" s="23">
        <v>0</v>
      </c>
      <c r="G777" s="3" t="s">
        <v>41</v>
      </c>
      <c r="I777" s="25" t="str">
        <f t="shared" si="126"/>
        <v/>
      </c>
      <c r="J777" s="25" t="str">
        <f t="shared" si="126"/>
        <v/>
      </c>
      <c r="L777" s="3"/>
      <c r="M777" s="3"/>
    </row>
    <row r="778" spans="1:13" x14ac:dyDescent="0.45">
      <c r="A778" t="s">
        <v>17</v>
      </c>
      <c r="B778" t="s">
        <v>35</v>
      </c>
      <c r="C778" t="s">
        <v>21</v>
      </c>
      <c r="D778" s="27">
        <v>500000000</v>
      </c>
      <c r="E778" s="3" t="s">
        <v>41</v>
      </c>
      <c r="F778" s="23">
        <v>500000000</v>
      </c>
      <c r="G778" s="3" t="s">
        <v>41</v>
      </c>
      <c r="I778" s="25" t="str">
        <f t="shared" si="126"/>
        <v/>
      </c>
      <c r="J778" s="25" t="str">
        <f t="shared" si="126"/>
        <v/>
      </c>
      <c r="L778" s="3"/>
      <c r="M778" s="3"/>
    </row>
    <row r="779" spans="1:13" x14ac:dyDescent="0.45">
      <c r="A779" t="s">
        <v>18</v>
      </c>
      <c r="B779" t="s">
        <v>35</v>
      </c>
      <c r="C779" t="s">
        <v>21</v>
      </c>
      <c r="D779" s="27">
        <v>200000000</v>
      </c>
      <c r="E779" s="3" t="s">
        <v>41</v>
      </c>
      <c r="F779" s="23">
        <v>200000000</v>
      </c>
      <c r="G779" s="3" t="s">
        <v>41</v>
      </c>
      <c r="I779" s="25" t="str">
        <f t="shared" si="126"/>
        <v/>
      </c>
      <c r="J779" s="25" t="str">
        <f t="shared" si="126"/>
        <v/>
      </c>
      <c r="L779" s="3"/>
      <c r="M779" s="3"/>
    </row>
    <row r="780" spans="1:13" x14ac:dyDescent="0.45">
      <c r="A780" t="s">
        <v>19</v>
      </c>
      <c r="B780" t="s">
        <v>35</v>
      </c>
      <c r="C780" t="s">
        <v>21</v>
      </c>
      <c r="D780" s="27">
        <v>0</v>
      </c>
      <c r="E780" s="3" t="s">
        <v>41</v>
      </c>
      <c r="F780" s="23">
        <v>0</v>
      </c>
      <c r="G780" s="3" t="s">
        <v>41</v>
      </c>
      <c r="I780" s="25" t="str">
        <f t="shared" si="126"/>
        <v/>
      </c>
      <c r="J780" s="25" t="str">
        <f t="shared" si="126"/>
        <v/>
      </c>
      <c r="L780" s="3"/>
      <c r="M780" s="3"/>
    </row>
    <row r="781" spans="1:13" x14ac:dyDescent="0.45">
      <c r="A781" t="s">
        <v>20</v>
      </c>
      <c r="B781" t="s">
        <v>35</v>
      </c>
      <c r="C781" t="s">
        <v>21</v>
      </c>
      <c r="D781" s="27">
        <v>0</v>
      </c>
      <c r="E781" s="3" t="s">
        <v>41</v>
      </c>
      <c r="F781" s="23">
        <v>0</v>
      </c>
      <c r="G781" s="3" t="s">
        <v>41</v>
      </c>
      <c r="I781" s="25" t="str">
        <f t="shared" si="126"/>
        <v/>
      </c>
      <c r="J781" s="25" t="str">
        <f t="shared" si="126"/>
        <v/>
      </c>
      <c r="L781" s="3"/>
      <c r="M781" s="3"/>
    </row>
    <row r="782" spans="1:13" x14ac:dyDescent="0.45">
      <c r="A782" t="s">
        <v>7</v>
      </c>
      <c r="B782" t="s">
        <v>35</v>
      </c>
      <c r="C782" t="s">
        <v>22</v>
      </c>
      <c r="D782" s="27">
        <v>0</v>
      </c>
      <c r="E782" s="3">
        <v>3970000</v>
      </c>
      <c r="F782" s="23">
        <v>0</v>
      </c>
      <c r="G782" s="3">
        <v>0</v>
      </c>
      <c r="I782" s="22">
        <f t="shared" ref="I782:J782" si="137">IF(L782="","",L782)</f>
        <v>3970000</v>
      </c>
      <c r="J782" s="22">
        <f t="shared" si="137"/>
        <v>0</v>
      </c>
      <c r="L782" s="3">
        <v>3970000</v>
      </c>
      <c r="M782" s="3">
        <v>0</v>
      </c>
    </row>
    <row r="783" spans="1:13" x14ac:dyDescent="0.45">
      <c r="A783" t="s">
        <v>10</v>
      </c>
      <c r="B783" t="s">
        <v>35</v>
      </c>
      <c r="C783" t="s">
        <v>22</v>
      </c>
      <c r="D783" s="28">
        <v>35387500</v>
      </c>
      <c r="E783" s="4">
        <v>24082000</v>
      </c>
      <c r="F783" s="24">
        <v>0</v>
      </c>
      <c r="G783" s="4">
        <v>3970000</v>
      </c>
      <c r="I783" s="25">
        <f t="shared" ref="I783:J846" si="138">IF(L783="","",L783-L782)</f>
        <v>24082000</v>
      </c>
      <c r="J783" s="25">
        <f t="shared" si="138"/>
        <v>3970000</v>
      </c>
      <c r="L783" s="4">
        <v>28052000</v>
      </c>
      <c r="M783" s="4">
        <v>3970000</v>
      </c>
    </row>
    <row r="784" spans="1:13" x14ac:dyDescent="0.45">
      <c r="A784" t="s">
        <v>11</v>
      </c>
      <c r="B784" t="s">
        <v>35</v>
      </c>
      <c r="C784" t="s">
        <v>22</v>
      </c>
      <c r="D784" s="27">
        <v>0</v>
      </c>
      <c r="E784" s="3">
        <v>0</v>
      </c>
      <c r="F784" s="23">
        <v>35388000</v>
      </c>
      <c r="G784" s="3">
        <v>0</v>
      </c>
      <c r="I784" s="25">
        <f t="shared" si="138"/>
        <v>0</v>
      </c>
      <c r="J784" s="25">
        <f t="shared" si="138"/>
        <v>0</v>
      </c>
      <c r="L784" s="29">
        <f>SUMIFS(Pivot_!C:C,Pivot_!A:A,'Hitung Per Bulan'!B784,Pivot_!B:B,'Hitung Per Bulan'!C784)</f>
        <v>28052000</v>
      </c>
      <c r="M784" s="29">
        <f>SUMIFS(Pivot_!D:D,Pivot_!A:A,'Hitung Per Bulan'!B784,Pivot_!B:B,'Hitung Per Bulan'!C784)</f>
        <v>3970000</v>
      </c>
    </row>
    <row r="785" spans="1:13" x14ac:dyDescent="0.45">
      <c r="A785" t="s">
        <v>12</v>
      </c>
      <c r="B785" t="s">
        <v>35</v>
      </c>
      <c r="C785" t="s">
        <v>22</v>
      </c>
      <c r="D785" s="27">
        <v>0</v>
      </c>
      <c r="E785" s="3" t="s">
        <v>41</v>
      </c>
      <c r="F785" s="23">
        <v>0</v>
      </c>
      <c r="G785" s="3" t="s">
        <v>41</v>
      </c>
      <c r="I785" s="25" t="str">
        <f t="shared" si="138"/>
        <v/>
      </c>
      <c r="J785" s="25" t="str">
        <f t="shared" si="138"/>
        <v/>
      </c>
      <c r="L785" s="3"/>
      <c r="M785" s="3"/>
    </row>
    <row r="786" spans="1:13" x14ac:dyDescent="0.45">
      <c r="A786" t="s">
        <v>13</v>
      </c>
      <c r="B786" t="s">
        <v>35</v>
      </c>
      <c r="C786" t="s">
        <v>22</v>
      </c>
      <c r="D786" s="27">
        <v>35387500</v>
      </c>
      <c r="E786" s="3" t="s">
        <v>41</v>
      </c>
      <c r="F786" s="23">
        <v>0</v>
      </c>
      <c r="G786" s="3" t="s">
        <v>41</v>
      </c>
      <c r="I786" s="25" t="str">
        <f t="shared" si="138"/>
        <v/>
      </c>
      <c r="J786" s="25" t="str">
        <f t="shared" si="138"/>
        <v/>
      </c>
      <c r="L786" s="3"/>
      <c r="M786" s="3"/>
    </row>
    <row r="787" spans="1:13" x14ac:dyDescent="0.45">
      <c r="A787" t="s">
        <v>14</v>
      </c>
      <c r="B787" t="s">
        <v>35</v>
      </c>
      <c r="C787" t="s">
        <v>22</v>
      </c>
      <c r="D787" s="27">
        <v>0</v>
      </c>
      <c r="E787" s="3" t="s">
        <v>41</v>
      </c>
      <c r="F787" s="23">
        <v>35388000</v>
      </c>
      <c r="G787" s="3" t="s">
        <v>41</v>
      </c>
      <c r="I787" s="25" t="str">
        <f t="shared" si="138"/>
        <v/>
      </c>
      <c r="J787" s="25" t="str">
        <f t="shared" si="138"/>
        <v/>
      </c>
      <c r="L787" s="3"/>
      <c r="M787" s="3"/>
    </row>
    <row r="788" spans="1:13" x14ac:dyDescent="0.45">
      <c r="A788" t="s">
        <v>15</v>
      </c>
      <c r="B788" t="s">
        <v>35</v>
      </c>
      <c r="C788" t="s">
        <v>22</v>
      </c>
      <c r="D788" s="27">
        <v>0</v>
      </c>
      <c r="E788" s="3" t="s">
        <v>41</v>
      </c>
      <c r="F788" s="23">
        <v>0</v>
      </c>
      <c r="G788" s="3" t="s">
        <v>41</v>
      </c>
      <c r="I788" s="25" t="str">
        <f t="shared" si="138"/>
        <v/>
      </c>
      <c r="J788" s="25" t="str">
        <f t="shared" si="138"/>
        <v/>
      </c>
      <c r="L788" s="3"/>
      <c r="M788" s="3"/>
    </row>
    <row r="789" spans="1:13" x14ac:dyDescent="0.45">
      <c r="A789" t="s">
        <v>16</v>
      </c>
      <c r="B789" t="s">
        <v>35</v>
      </c>
      <c r="C789" t="s">
        <v>22</v>
      </c>
      <c r="D789" s="27">
        <v>35387500</v>
      </c>
      <c r="E789" s="3" t="s">
        <v>41</v>
      </c>
      <c r="F789" s="23">
        <v>0</v>
      </c>
      <c r="G789" s="3" t="s">
        <v>41</v>
      </c>
      <c r="I789" s="25" t="str">
        <f t="shared" si="138"/>
        <v/>
      </c>
      <c r="J789" s="25" t="str">
        <f t="shared" si="138"/>
        <v/>
      </c>
      <c r="L789" s="3"/>
      <c r="M789" s="3"/>
    </row>
    <row r="790" spans="1:13" x14ac:dyDescent="0.45">
      <c r="A790" t="s">
        <v>17</v>
      </c>
      <c r="B790" t="s">
        <v>35</v>
      </c>
      <c r="C790" t="s">
        <v>22</v>
      </c>
      <c r="D790" s="27">
        <v>0</v>
      </c>
      <c r="E790" s="3" t="s">
        <v>41</v>
      </c>
      <c r="F790" s="23">
        <v>35387000</v>
      </c>
      <c r="G790" s="3" t="s">
        <v>41</v>
      </c>
      <c r="I790" s="25" t="str">
        <f t="shared" si="138"/>
        <v/>
      </c>
      <c r="J790" s="25" t="str">
        <f t="shared" si="138"/>
        <v/>
      </c>
      <c r="L790" s="3"/>
      <c r="M790" s="3"/>
    </row>
    <row r="791" spans="1:13" x14ac:dyDescent="0.45">
      <c r="A791" t="s">
        <v>18</v>
      </c>
      <c r="B791" t="s">
        <v>35</v>
      </c>
      <c r="C791" t="s">
        <v>22</v>
      </c>
      <c r="D791" s="27">
        <v>0</v>
      </c>
      <c r="E791" s="3" t="s">
        <v>41</v>
      </c>
      <c r="F791" s="23">
        <v>0</v>
      </c>
      <c r="G791" s="3" t="s">
        <v>41</v>
      </c>
      <c r="I791" s="25" t="str">
        <f t="shared" si="138"/>
        <v/>
      </c>
      <c r="J791" s="25" t="str">
        <f t="shared" si="138"/>
        <v/>
      </c>
      <c r="L791" s="3"/>
      <c r="M791" s="3"/>
    </row>
    <row r="792" spans="1:13" x14ac:dyDescent="0.45">
      <c r="A792" t="s">
        <v>19</v>
      </c>
      <c r="B792" t="s">
        <v>35</v>
      </c>
      <c r="C792" t="s">
        <v>22</v>
      </c>
      <c r="D792" s="27">
        <v>35387500</v>
      </c>
      <c r="E792" s="3" t="s">
        <v>41</v>
      </c>
      <c r="F792" s="23">
        <v>0</v>
      </c>
      <c r="G792" s="3" t="s">
        <v>41</v>
      </c>
      <c r="I792" s="25" t="str">
        <f t="shared" si="138"/>
        <v/>
      </c>
      <c r="J792" s="25" t="str">
        <f t="shared" si="138"/>
        <v/>
      </c>
      <c r="L792" s="3"/>
      <c r="M792" s="3"/>
    </row>
    <row r="793" spans="1:13" x14ac:dyDescent="0.45">
      <c r="A793" t="s">
        <v>20</v>
      </c>
      <c r="B793" t="s">
        <v>35</v>
      </c>
      <c r="C793" t="s">
        <v>22</v>
      </c>
      <c r="D793" s="27">
        <v>0</v>
      </c>
      <c r="E793" s="3" t="s">
        <v>41</v>
      </c>
      <c r="F793" s="23">
        <v>35387000</v>
      </c>
      <c r="G793" s="3" t="s">
        <v>41</v>
      </c>
      <c r="I793" s="25" t="str">
        <f t="shared" si="138"/>
        <v/>
      </c>
      <c r="J793" s="25" t="str">
        <f t="shared" si="138"/>
        <v/>
      </c>
      <c r="L793" s="3"/>
      <c r="M793" s="3"/>
    </row>
    <row r="794" spans="1:13" x14ac:dyDescent="0.45">
      <c r="A794" t="s">
        <v>7</v>
      </c>
      <c r="B794" t="s">
        <v>35</v>
      </c>
      <c r="C794" t="s">
        <v>23</v>
      </c>
      <c r="D794" s="27">
        <v>0</v>
      </c>
      <c r="E794" s="3">
        <v>0</v>
      </c>
      <c r="F794" s="23">
        <v>0</v>
      </c>
      <c r="G794" s="3">
        <v>0</v>
      </c>
      <c r="I794" s="22">
        <f t="shared" ref="I794:J794" si="139">IF(L794="","",L794)</f>
        <v>0</v>
      </c>
      <c r="J794" s="22">
        <f t="shared" si="139"/>
        <v>0</v>
      </c>
      <c r="L794" s="3">
        <v>0</v>
      </c>
      <c r="M794" s="3">
        <v>0</v>
      </c>
    </row>
    <row r="795" spans="1:13" x14ac:dyDescent="0.45">
      <c r="A795" t="s">
        <v>10</v>
      </c>
      <c r="B795" t="s">
        <v>35</v>
      </c>
      <c r="C795" t="s">
        <v>23</v>
      </c>
      <c r="D795" s="28">
        <v>0</v>
      </c>
      <c r="E795" s="4">
        <v>0</v>
      </c>
      <c r="F795" s="24">
        <v>0</v>
      </c>
      <c r="G795" s="4">
        <v>0</v>
      </c>
      <c r="I795" s="25">
        <f t="shared" ref="I795:J795" si="140">IF(L795="","",L795-L794)</f>
        <v>0</v>
      </c>
      <c r="J795" s="25">
        <f t="shared" si="140"/>
        <v>0</v>
      </c>
      <c r="L795" s="4">
        <v>0</v>
      </c>
      <c r="M795" s="4">
        <v>0</v>
      </c>
    </row>
    <row r="796" spans="1:13" x14ac:dyDescent="0.45">
      <c r="A796" t="s">
        <v>11</v>
      </c>
      <c r="B796" t="s">
        <v>35</v>
      </c>
      <c r="C796" t="s">
        <v>23</v>
      </c>
      <c r="D796" s="27">
        <v>50000000</v>
      </c>
      <c r="E796" s="3">
        <v>0</v>
      </c>
      <c r="F796" s="23">
        <v>50000000</v>
      </c>
      <c r="G796" s="3">
        <v>0</v>
      </c>
      <c r="I796" s="25">
        <f t="shared" si="138"/>
        <v>0</v>
      </c>
      <c r="J796" s="25">
        <f t="shared" si="138"/>
        <v>0</v>
      </c>
      <c r="L796" s="29">
        <f>SUMIFS(Pivot_!C:C,Pivot_!A:A,'Hitung Per Bulan'!B796,Pivot_!B:B,'Hitung Per Bulan'!C796)</f>
        <v>0</v>
      </c>
      <c r="M796" s="29">
        <f>SUMIFS(Pivot_!D:D,Pivot_!A:A,'Hitung Per Bulan'!B796,Pivot_!B:B,'Hitung Per Bulan'!C796)</f>
        <v>0</v>
      </c>
    </row>
    <row r="797" spans="1:13" x14ac:dyDescent="0.45">
      <c r="A797" t="s">
        <v>12</v>
      </c>
      <c r="B797" t="s">
        <v>35</v>
      </c>
      <c r="C797" t="s">
        <v>23</v>
      </c>
      <c r="D797" s="27">
        <v>0</v>
      </c>
      <c r="E797" s="3" t="s">
        <v>41</v>
      </c>
      <c r="F797" s="23">
        <v>0</v>
      </c>
      <c r="G797" s="3" t="s">
        <v>41</v>
      </c>
      <c r="I797" s="25" t="str">
        <f t="shared" si="138"/>
        <v/>
      </c>
      <c r="J797" s="25" t="str">
        <f t="shared" si="138"/>
        <v/>
      </c>
      <c r="L797" s="3"/>
      <c r="M797" s="3"/>
    </row>
    <row r="798" spans="1:13" x14ac:dyDescent="0.45">
      <c r="A798" t="s">
        <v>13</v>
      </c>
      <c r="B798" t="s">
        <v>35</v>
      </c>
      <c r="C798" t="s">
        <v>23</v>
      </c>
      <c r="D798" s="27">
        <v>0</v>
      </c>
      <c r="E798" s="3" t="s">
        <v>41</v>
      </c>
      <c r="F798" s="23">
        <v>0</v>
      </c>
      <c r="G798" s="3" t="s">
        <v>41</v>
      </c>
      <c r="I798" s="25" t="str">
        <f t="shared" si="138"/>
        <v/>
      </c>
      <c r="J798" s="25" t="str">
        <f t="shared" si="138"/>
        <v/>
      </c>
      <c r="L798" s="3"/>
      <c r="M798" s="3"/>
    </row>
    <row r="799" spans="1:13" x14ac:dyDescent="0.45">
      <c r="A799" t="s">
        <v>14</v>
      </c>
      <c r="B799" t="s">
        <v>35</v>
      </c>
      <c r="C799" t="s">
        <v>23</v>
      </c>
      <c r="D799" s="27">
        <v>100000000</v>
      </c>
      <c r="E799" s="3" t="s">
        <v>41</v>
      </c>
      <c r="F799" s="23">
        <v>100000000</v>
      </c>
      <c r="G799" s="3" t="s">
        <v>41</v>
      </c>
      <c r="I799" s="25" t="str">
        <f t="shared" si="138"/>
        <v/>
      </c>
      <c r="J799" s="25" t="str">
        <f t="shared" si="138"/>
        <v/>
      </c>
      <c r="L799" s="3"/>
      <c r="M799" s="3"/>
    </row>
    <row r="800" spans="1:13" x14ac:dyDescent="0.45">
      <c r="A800" t="s">
        <v>15</v>
      </c>
      <c r="B800" t="s">
        <v>35</v>
      </c>
      <c r="C800" t="s">
        <v>23</v>
      </c>
      <c r="D800" s="27">
        <v>0</v>
      </c>
      <c r="E800" s="3" t="s">
        <v>41</v>
      </c>
      <c r="F800" s="23">
        <v>0</v>
      </c>
      <c r="G800" s="3" t="s">
        <v>41</v>
      </c>
      <c r="I800" s="25" t="str">
        <f t="shared" si="138"/>
        <v/>
      </c>
      <c r="J800" s="25" t="str">
        <f t="shared" si="138"/>
        <v/>
      </c>
      <c r="L800" s="3"/>
      <c r="M800" s="3"/>
    </row>
    <row r="801" spans="1:13" x14ac:dyDescent="0.45">
      <c r="A801" t="s">
        <v>16</v>
      </c>
      <c r="B801" t="s">
        <v>35</v>
      </c>
      <c r="C801" t="s">
        <v>23</v>
      </c>
      <c r="D801" s="27">
        <v>0</v>
      </c>
      <c r="E801" s="3" t="s">
        <v>41</v>
      </c>
      <c r="F801" s="23">
        <v>0</v>
      </c>
      <c r="G801" s="3" t="s">
        <v>41</v>
      </c>
      <c r="I801" s="25" t="str">
        <f t="shared" si="138"/>
        <v/>
      </c>
      <c r="J801" s="25" t="str">
        <f t="shared" si="138"/>
        <v/>
      </c>
      <c r="L801" s="3"/>
      <c r="M801" s="3"/>
    </row>
    <row r="802" spans="1:13" x14ac:dyDescent="0.45">
      <c r="A802" t="s">
        <v>17</v>
      </c>
      <c r="B802" t="s">
        <v>35</v>
      </c>
      <c r="C802" t="s">
        <v>23</v>
      </c>
      <c r="D802" s="27">
        <v>50000000</v>
      </c>
      <c r="E802" s="3" t="s">
        <v>41</v>
      </c>
      <c r="F802" s="23">
        <v>50000000</v>
      </c>
      <c r="G802" s="3" t="s">
        <v>41</v>
      </c>
      <c r="I802" s="25" t="str">
        <f t="shared" si="138"/>
        <v/>
      </c>
      <c r="J802" s="25" t="str">
        <f t="shared" si="138"/>
        <v/>
      </c>
      <c r="L802" s="3"/>
      <c r="M802" s="3"/>
    </row>
    <row r="803" spans="1:13" x14ac:dyDescent="0.45">
      <c r="A803" t="s">
        <v>18</v>
      </c>
      <c r="B803" t="s">
        <v>35</v>
      </c>
      <c r="C803" t="s">
        <v>23</v>
      </c>
      <c r="D803" s="27">
        <v>0</v>
      </c>
      <c r="E803" s="3" t="s">
        <v>41</v>
      </c>
      <c r="F803" s="23">
        <v>0</v>
      </c>
      <c r="G803" s="3" t="s">
        <v>41</v>
      </c>
      <c r="I803" s="25" t="str">
        <f t="shared" si="138"/>
        <v/>
      </c>
      <c r="J803" s="25" t="str">
        <f t="shared" si="138"/>
        <v/>
      </c>
      <c r="L803" s="3"/>
      <c r="M803" s="3"/>
    </row>
    <row r="804" spans="1:13" x14ac:dyDescent="0.45">
      <c r="A804" t="s">
        <v>19</v>
      </c>
      <c r="B804" t="s">
        <v>35</v>
      </c>
      <c r="C804" t="s">
        <v>23</v>
      </c>
      <c r="D804" s="27">
        <v>0</v>
      </c>
      <c r="E804" s="3" t="s">
        <v>41</v>
      </c>
      <c r="F804" s="23">
        <v>0</v>
      </c>
      <c r="G804" s="3" t="s">
        <v>41</v>
      </c>
      <c r="I804" s="25" t="str">
        <f t="shared" si="138"/>
        <v/>
      </c>
      <c r="J804" s="25" t="str">
        <f t="shared" si="138"/>
        <v/>
      </c>
      <c r="L804" s="3"/>
      <c r="M804" s="3"/>
    </row>
    <row r="805" spans="1:13" x14ac:dyDescent="0.45">
      <c r="A805" t="s">
        <v>20</v>
      </c>
      <c r="B805" t="s">
        <v>35</v>
      </c>
      <c r="C805" t="s">
        <v>23</v>
      </c>
      <c r="D805" s="27">
        <v>0</v>
      </c>
      <c r="E805" s="3" t="s">
        <v>41</v>
      </c>
      <c r="F805" s="23">
        <v>0</v>
      </c>
      <c r="G805" s="3" t="s">
        <v>41</v>
      </c>
      <c r="I805" s="25" t="str">
        <f t="shared" si="138"/>
        <v/>
      </c>
      <c r="J805" s="25" t="str">
        <f t="shared" si="138"/>
        <v/>
      </c>
      <c r="L805" s="3"/>
      <c r="M805" s="3"/>
    </row>
    <row r="806" spans="1:13" x14ac:dyDescent="0.45">
      <c r="A806" t="s">
        <v>7</v>
      </c>
      <c r="B806" t="s">
        <v>35</v>
      </c>
      <c r="C806" t="s">
        <v>24</v>
      </c>
      <c r="D806" s="27">
        <v>0</v>
      </c>
      <c r="E806" s="3">
        <v>0</v>
      </c>
      <c r="F806" s="23">
        <v>0</v>
      </c>
      <c r="G806" s="3">
        <v>0</v>
      </c>
      <c r="I806" s="22">
        <f t="shared" ref="I806:J806" si="141">IF(L806="","",L806)</f>
        <v>0</v>
      </c>
      <c r="J806" s="22">
        <f t="shared" si="141"/>
        <v>0</v>
      </c>
      <c r="L806" s="3">
        <v>0</v>
      </c>
      <c r="M806" s="3">
        <v>0</v>
      </c>
    </row>
    <row r="807" spans="1:13" x14ac:dyDescent="0.45">
      <c r="A807" t="s">
        <v>10</v>
      </c>
      <c r="B807" t="s">
        <v>35</v>
      </c>
      <c r="C807" t="s">
        <v>24</v>
      </c>
      <c r="D807" s="28">
        <v>0</v>
      </c>
      <c r="E807" s="4">
        <v>0</v>
      </c>
      <c r="F807" s="24">
        <v>0</v>
      </c>
      <c r="G807" s="4">
        <v>0</v>
      </c>
      <c r="I807" s="25">
        <f t="shared" ref="I807:J807" si="142">IF(L807="","",L807-L806)</f>
        <v>0</v>
      </c>
      <c r="J807" s="25">
        <f t="shared" si="142"/>
        <v>0</v>
      </c>
      <c r="L807" s="4">
        <v>0</v>
      </c>
      <c r="M807" s="4">
        <v>0</v>
      </c>
    </row>
    <row r="808" spans="1:13" x14ac:dyDescent="0.45">
      <c r="A808" t="s">
        <v>11</v>
      </c>
      <c r="B808" t="s">
        <v>35</v>
      </c>
      <c r="C808" t="s">
        <v>24</v>
      </c>
      <c r="D808" s="27">
        <v>0</v>
      </c>
      <c r="E808" s="3">
        <v>0</v>
      </c>
      <c r="F808" s="23">
        <v>0</v>
      </c>
      <c r="G808" s="3">
        <v>0</v>
      </c>
      <c r="I808" s="25">
        <f t="shared" si="138"/>
        <v>0</v>
      </c>
      <c r="J808" s="25">
        <f t="shared" si="138"/>
        <v>0</v>
      </c>
      <c r="L808" s="29">
        <f>SUMIFS(Pivot_!C:C,Pivot_!A:A,'Hitung Per Bulan'!B808,Pivot_!B:B,'Hitung Per Bulan'!C808)</f>
        <v>0</v>
      </c>
      <c r="M808" s="29">
        <f>SUMIFS(Pivot_!D:D,Pivot_!A:A,'Hitung Per Bulan'!B808,Pivot_!B:B,'Hitung Per Bulan'!C808)</f>
        <v>0</v>
      </c>
    </row>
    <row r="809" spans="1:13" x14ac:dyDescent="0.45">
      <c r="A809" t="s">
        <v>12</v>
      </c>
      <c r="B809" t="s">
        <v>35</v>
      </c>
      <c r="C809" t="s">
        <v>24</v>
      </c>
      <c r="D809" s="27">
        <v>0</v>
      </c>
      <c r="E809" s="3" t="s">
        <v>41</v>
      </c>
      <c r="F809" s="23">
        <v>0</v>
      </c>
      <c r="G809" s="3" t="s">
        <v>41</v>
      </c>
      <c r="I809" s="25" t="str">
        <f t="shared" si="138"/>
        <v/>
      </c>
      <c r="J809" s="25" t="str">
        <f t="shared" si="138"/>
        <v/>
      </c>
      <c r="L809" s="3"/>
      <c r="M809" s="3"/>
    </row>
    <row r="810" spans="1:13" x14ac:dyDescent="0.45">
      <c r="A810" t="s">
        <v>13</v>
      </c>
      <c r="B810" t="s">
        <v>35</v>
      </c>
      <c r="C810" t="s">
        <v>24</v>
      </c>
      <c r="D810" s="27">
        <v>0</v>
      </c>
      <c r="E810" s="3" t="s">
        <v>41</v>
      </c>
      <c r="F810" s="23">
        <v>0</v>
      </c>
      <c r="G810" s="3" t="s">
        <v>41</v>
      </c>
      <c r="I810" s="25" t="str">
        <f t="shared" si="138"/>
        <v/>
      </c>
      <c r="J810" s="25" t="str">
        <f t="shared" si="138"/>
        <v/>
      </c>
      <c r="L810" s="3"/>
      <c r="M810" s="3"/>
    </row>
    <row r="811" spans="1:13" x14ac:dyDescent="0.45">
      <c r="A811" t="s">
        <v>14</v>
      </c>
      <c r="B811" t="s">
        <v>35</v>
      </c>
      <c r="C811" t="s">
        <v>24</v>
      </c>
      <c r="D811" s="27">
        <v>0</v>
      </c>
      <c r="E811" s="3" t="s">
        <v>41</v>
      </c>
      <c r="F811" s="23">
        <v>0</v>
      </c>
      <c r="G811" s="3" t="s">
        <v>41</v>
      </c>
      <c r="I811" s="25" t="str">
        <f t="shared" si="138"/>
        <v/>
      </c>
      <c r="J811" s="25" t="str">
        <f t="shared" si="138"/>
        <v/>
      </c>
      <c r="L811" s="3"/>
      <c r="M811" s="3"/>
    </row>
    <row r="812" spans="1:13" x14ac:dyDescent="0.45">
      <c r="A812" t="s">
        <v>15</v>
      </c>
      <c r="B812" t="s">
        <v>35</v>
      </c>
      <c r="C812" t="s">
        <v>24</v>
      </c>
      <c r="D812" s="27">
        <v>0</v>
      </c>
      <c r="E812" s="3" t="s">
        <v>41</v>
      </c>
      <c r="F812" s="23">
        <v>0</v>
      </c>
      <c r="G812" s="3" t="s">
        <v>41</v>
      </c>
      <c r="I812" s="25" t="str">
        <f t="shared" si="138"/>
        <v/>
      </c>
      <c r="J812" s="25" t="str">
        <f t="shared" si="138"/>
        <v/>
      </c>
      <c r="L812" s="3"/>
      <c r="M812" s="3"/>
    </row>
    <row r="813" spans="1:13" x14ac:dyDescent="0.45">
      <c r="A813" t="s">
        <v>16</v>
      </c>
      <c r="B813" t="s">
        <v>35</v>
      </c>
      <c r="C813" t="s">
        <v>24</v>
      </c>
      <c r="D813" s="27">
        <v>0</v>
      </c>
      <c r="E813" s="3" t="s">
        <v>41</v>
      </c>
      <c r="F813" s="23">
        <v>0</v>
      </c>
      <c r="G813" s="3" t="s">
        <v>41</v>
      </c>
      <c r="I813" s="25" t="str">
        <f t="shared" si="138"/>
        <v/>
      </c>
      <c r="J813" s="25" t="str">
        <f t="shared" si="138"/>
        <v/>
      </c>
      <c r="L813" s="3"/>
      <c r="M813" s="3"/>
    </row>
    <row r="814" spans="1:13" x14ac:dyDescent="0.45">
      <c r="A814" t="s">
        <v>17</v>
      </c>
      <c r="B814" t="s">
        <v>35</v>
      </c>
      <c r="C814" t="s">
        <v>24</v>
      </c>
      <c r="D814" s="27">
        <v>0</v>
      </c>
      <c r="E814" s="3" t="s">
        <v>41</v>
      </c>
      <c r="F814" s="23">
        <v>0</v>
      </c>
      <c r="G814" s="3" t="s">
        <v>41</v>
      </c>
      <c r="I814" s="25" t="str">
        <f t="shared" si="138"/>
        <v/>
      </c>
      <c r="J814" s="25" t="str">
        <f t="shared" si="138"/>
        <v/>
      </c>
      <c r="L814" s="3"/>
      <c r="M814" s="3"/>
    </row>
    <row r="815" spans="1:13" x14ac:dyDescent="0.45">
      <c r="A815" t="s">
        <v>18</v>
      </c>
      <c r="B815" t="s">
        <v>35</v>
      </c>
      <c r="C815" t="s">
        <v>24</v>
      </c>
      <c r="D815" s="27">
        <v>0</v>
      </c>
      <c r="E815" s="3" t="s">
        <v>41</v>
      </c>
      <c r="F815" s="23">
        <v>0</v>
      </c>
      <c r="G815" s="3" t="s">
        <v>41</v>
      </c>
      <c r="I815" s="25" t="str">
        <f t="shared" si="138"/>
        <v/>
      </c>
      <c r="J815" s="25" t="str">
        <f t="shared" si="138"/>
        <v/>
      </c>
      <c r="L815" s="3"/>
      <c r="M815" s="3"/>
    </row>
    <row r="816" spans="1:13" x14ac:dyDescent="0.45">
      <c r="A816" t="s">
        <v>19</v>
      </c>
      <c r="B816" t="s">
        <v>35</v>
      </c>
      <c r="C816" t="s">
        <v>24</v>
      </c>
      <c r="D816" s="27">
        <v>0</v>
      </c>
      <c r="E816" s="3" t="s">
        <v>41</v>
      </c>
      <c r="F816" s="23">
        <v>0</v>
      </c>
      <c r="G816" s="3" t="s">
        <v>41</v>
      </c>
      <c r="I816" s="25" t="str">
        <f t="shared" si="138"/>
        <v/>
      </c>
      <c r="J816" s="25" t="str">
        <f t="shared" si="138"/>
        <v/>
      </c>
      <c r="L816" s="3"/>
      <c r="M816" s="3"/>
    </row>
    <row r="817" spans="1:13" x14ac:dyDescent="0.45">
      <c r="A817" t="s">
        <v>20</v>
      </c>
      <c r="B817" t="s">
        <v>35</v>
      </c>
      <c r="C817" t="s">
        <v>24</v>
      </c>
      <c r="D817" s="27">
        <v>0</v>
      </c>
      <c r="E817" s="3" t="s">
        <v>41</v>
      </c>
      <c r="F817" s="23">
        <v>0</v>
      </c>
      <c r="G817" s="3" t="s">
        <v>41</v>
      </c>
      <c r="I817" s="25" t="str">
        <f t="shared" si="138"/>
        <v/>
      </c>
      <c r="J817" s="25" t="str">
        <f t="shared" si="138"/>
        <v/>
      </c>
      <c r="L817" s="3"/>
      <c r="M817" s="3"/>
    </row>
    <row r="818" spans="1:13" x14ac:dyDescent="0.45">
      <c r="A818" t="s">
        <v>7</v>
      </c>
      <c r="B818" t="s">
        <v>35</v>
      </c>
      <c r="C818" t="s">
        <v>25</v>
      </c>
      <c r="D818" s="27">
        <v>82700000</v>
      </c>
      <c r="E818" s="3">
        <v>57340750</v>
      </c>
      <c r="F818" s="23">
        <v>82700000</v>
      </c>
      <c r="G818" s="3">
        <v>16205500</v>
      </c>
      <c r="I818" s="22">
        <f t="shared" ref="I818:J818" si="143">IF(L818="","",L818)</f>
        <v>57340750</v>
      </c>
      <c r="J818" s="22">
        <f t="shared" si="143"/>
        <v>16205500</v>
      </c>
      <c r="L818" s="3">
        <v>57340750</v>
      </c>
      <c r="M818" s="3">
        <v>16205500</v>
      </c>
    </row>
    <row r="819" spans="1:13" x14ac:dyDescent="0.45">
      <c r="A819" t="s">
        <v>10</v>
      </c>
      <c r="B819" t="s">
        <v>35</v>
      </c>
      <c r="C819" t="s">
        <v>25</v>
      </c>
      <c r="D819" s="28">
        <v>141200000</v>
      </c>
      <c r="E819" s="4">
        <v>82038470</v>
      </c>
      <c r="F819" s="24">
        <v>141200000</v>
      </c>
      <c r="G819" s="4">
        <v>70154750</v>
      </c>
      <c r="I819" s="25">
        <f t="shared" ref="I819:J819" si="144">IF(L819="","",L819-L818)</f>
        <v>82038470</v>
      </c>
      <c r="J819" s="25">
        <f t="shared" si="144"/>
        <v>70154750</v>
      </c>
      <c r="L819" s="4">
        <v>139379220</v>
      </c>
      <c r="M819" s="4">
        <v>86360250</v>
      </c>
    </row>
    <row r="820" spans="1:13" x14ac:dyDescent="0.45">
      <c r="A820" t="s">
        <v>11</v>
      </c>
      <c r="B820" t="s">
        <v>35</v>
      </c>
      <c r="C820" t="s">
        <v>25</v>
      </c>
      <c r="D820" s="27">
        <v>397700000</v>
      </c>
      <c r="E820" s="3">
        <v>69713445</v>
      </c>
      <c r="F820" s="23">
        <v>397700000</v>
      </c>
      <c r="G820" s="3">
        <v>38177100</v>
      </c>
      <c r="I820" s="25">
        <f t="shared" si="138"/>
        <v>86080523</v>
      </c>
      <c r="J820" s="25">
        <f t="shared" si="138"/>
        <v>76668478</v>
      </c>
      <c r="L820" s="29">
        <f>SUMIFS(Pivot_!C:C,Pivot_!A:A,'Hitung Per Bulan'!B820,Pivot_!B:B,'Hitung Per Bulan'!C820)</f>
        <v>225459743</v>
      </c>
      <c r="M820" s="29">
        <f>SUMIFS(Pivot_!D:D,Pivot_!A:A,'Hitung Per Bulan'!B820,Pivot_!B:B,'Hitung Per Bulan'!C820)</f>
        <v>163028728</v>
      </c>
    </row>
    <row r="821" spans="1:13" x14ac:dyDescent="0.45">
      <c r="A821" t="s">
        <v>12</v>
      </c>
      <c r="B821" t="s">
        <v>35</v>
      </c>
      <c r="C821" t="s">
        <v>25</v>
      </c>
      <c r="D821" s="27">
        <v>142700000</v>
      </c>
      <c r="E821" s="3" t="s">
        <v>41</v>
      </c>
      <c r="F821" s="23">
        <v>142700000</v>
      </c>
      <c r="G821" s="3" t="s">
        <v>41</v>
      </c>
      <c r="I821" s="25" t="str">
        <f t="shared" si="138"/>
        <v/>
      </c>
      <c r="J821" s="25" t="str">
        <f t="shared" si="138"/>
        <v/>
      </c>
      <c r="L821" s="3"/>
      <c r="M821" s="3"/>
    </row>
    <row r="822" spans="1:13" x14ac:dyDescent="0.45">
      <c r="A822" t="s">
        <v>13</v>
      </c>
      <c r="B822" t="s">
        <v>35</v>
      </c>
      <c r="C822" t="s">
        <v>25</v>
      </c>
      <c r="D822" s="27">
        <v>121200000</v>
      </c>
      <c r="E822" s="3" t="s">
        <v>41</v>
      </c>
      <c r="F822" s="23">
        <v>121200000</v>
      </c>
      <c r="G822" s="3" t="s">
        <v>41</v>
      </c>
      <c r="I822" s="25" t="str">
        <f t="shared" si="138"/>
        <v/>
      </c>
      <c r="J822" s="25" t="str">
        <f t="shared" si="138"/>
        <v/>
      </c>
      <c r="L822" s="3"/>
      <c r="M822" s="3"/>
    </row>
    <row r="823" spans="1:13" x14ac:dyDescent="0.45">
      <c r="A823" t="s">
        <v>14</v>
      </c>
      <c r="B823" t="s">
        <v>35</v>
      </c>
      <c r="C823" t="s">
        <v>25</v>
      </c>
      <c r="D823" s="27">
        <v>167700000</v>
      </c>
      <c r="E823" s="3" t="s">
        <v>41</v>
      </c>
      <c r="F823" s="23">
        <v>167700000</v>
      </c>
      <c r="G823" s="3" t="s">
        <v>41</v>
      </c>
      <c r="I823" s="25" t="str">
        <f t="shared" si="138"/>
        <v/>
      </c>
      <c r="J823" s="25" t="str">
        <f t="shared" si="138"/>
        <v/>
      </c>
      <c r="L823" s="3"/>
      <c r="M823" s="3"/>
    </row>
    <row r="824" spans="1:13" x14ac:dyDescent="0.45">
      <c r="A824" t="s">
        <v>15</v>
      </c>
      <c r="B824" t="s">
        <v>35</v>
      </c>
      <c r="C824" t="s">
        <v>25</v>
      </c>
      <c r="D824" s="27">
        <v>165700000</v>
      </c>
      <c r="E824" s="3" t="s">
        <v>41</v>
      </c>
      <c r="F824" s="23">
        <v>165700000</v>
      </c>
      <c r="G824" s="3" t="s">
        <v>41</v>
      </c>
      <c r="I824" s="25" t="str">
        <f t="shared" si="138"/>
        <v/>
      </c>
      <c r="J824" s="25" t="str">
        <f t="shared" si="138"/>
        <v/>
      </c>
      <c r="L824" s="3"/>
      <c r="M824" s="3"/>
    </row>
    <row r="825" spans="1:13" x14ac:dyDescent="0.45">
      <c r="A825" t="s">
        <v>16</v>
      </c>
      <c r="B825" t="s">
        <v>35</v>
      </c>
      <c r="C825" t="s">
        <v>25</v>
      </c>
      <c r="D825" s="27">
        <v>134000000</v>
      </c>
      <c r="E825" s="3" t="s">
        <v>41</v>
      </c>
      <c r="F825" s="23">
        <v>134000000</v>
      </c>
      <c r="G825" s="3" t="s">
        <v>41</v>
      </c>
      <c r="I825" s="25" t="str">
        <f t="shared" si="138"/>
        <v/>
      </c>
      <c r="J825" s="25" t="str">
        <f t="shared" si="138"/>
        <v/>
      </c>
      <c r="L825" s="3"/>
      <c r="M825" s="3"/>
    </row>
    <row r="826" spans="1:13" x14ac:dyDescent="0.45">
      <c r="A826" t="s">
        <v>17</v>
      </c>
      <c r="B826" t="s">
        <v>35</v>
      </c>
      <c r="C826" t="s">
        <v>25</v>
      </c>
      <c r="D826" s="27">
        <v>142757000</v>
      </c>
      <c r="E826" s="3" t="s">
        <v>41</v>
      </c>
      <c r="F826" s="23">
        <v>142757000</v>
      </c>
      <c r="G826" s="3" t="s">
        <v>41</v>
      </c>
      <c r="I826" s="25" t="str">
        <f t="shared" si="138"/>
        <v/>
      </c>
      <c r="J826" s="25" t="str">
        <f t="shared" si="138"/>
        <v/>
      </c>
      <c r="L826" s="3"/>
      <c r="M826" s="3"/>
    </row>
    <row r="827" spans="1:13" x14ac:dyDescent="0.45">
      <c r="A827" t="s">
        <v>18</v>
      </c>
      <c r="B827" t="s">
        <v>35</v>
      </c>
      <c r="C827" t="s">
        <v>25</v>
      </c>
      <c r="D827" s="27">
        <v>102700000</v>
      </c>
      <c r="E827" s="3" t="s">
        <v>41</v>
      </c>
      <c r="F827" s="23">
        <v>102700000</v>
      </c>
      <c r="G827" s="3" t="s">
        <v>41</v>
      </c>
      <c r="I827" s="25" t="str">
        <f t="shared" si="138"/>
        <v/>
      </c>
      <c r="J827" s="25" t="str">
        <f t="shared" si="138"/>
        <v/>
      </c>
      <c r="L827" s="3"/>
      <c r="M827" s="3"/>
    </row>
    <row r="828" spans="1:13" x14ac:dyDescent="0.45">
      <c r="A828" t="s">
        <v>19</v>
      </c>
      <c r="B828" t="s">
        <v>35</v>
      </c>
      <c r="C828" t="s">
        <v>25</v>
      </c>
      <c r="D828" s="27">
        <v>185200000</v>
      </c>
      <c r="E828" s="3" t="s">
        <v>41</v>
      </c>
      <c r="F828" s="23">
        <v>185200000</v>
      </c>
      <c r="G828" s="3" t="s">
        <v>41</v>
      </c>
      <c r="I828" s="25" t="str">
        <f t="shared" si="138"/>
        <v/>
      </c>
      <c r="J828" s="25" t="str">
        <f t="shared" si="138"/>
        <v/>
      </c>
      <c r="L828" s="3"/>
      <c r="M828" s="3"/>
    </row>
    <row r="829" spans="1:13" x14ac:dyDescent="0.45">
      <c r="A829" t="s">
        <v>20</v>
      </c>
      <c r="B829" t="s">
        <v>35</v>
      </c>
      <c r="C829" t="s">
        <v>25</v>
      </c>
      <c r="D829" s="27">
        <v>77700000</v>
      </c>
      <c r="E829" s="3" t="s">
        <v>41</v>
      </c>
      <c r="F829" s="23">
        <v>77700000</v>
      </c>
      <c r="G829" s="3" t="s">
        <v>41</v>
      </c>
      <c r="I829" s="25" t="str">
        <f t="shared" si="138"/>
        <v/>
      </c>
      <c r="J829" s="25" t="str">
        <f t="shared" si="138"/>
        <v/>
      </c>
      <c r="L829" s="3"/>
      <c r="M829" s="3"/>
    </row>
    <row r="830" spans="1:13" x14ac:dyDescent="0.45">
      <c r="A830" t="s">
        <v>7</v>
      </c>
      <c r="B830" t="s">
        <v>35</v>
      </c>
      <c r="C830" t="s">
        <v>26</v>
      </c>
      <c r="D830" s="27">
        <v>242647000</v>
      </c>
      <c r="E830" s="3">
        <v>209525890</v>
      </c>
      <c r="F830" s="23">
        <v>242647000</v>
      </c>
      <c r="G830" s="3">
        <v>203746495</v>
      </c>
      <c r="I830" s="22">
        <f t="shared" ref="I830:J830" si="145">IF(L830="","",L830)</f>
        <v>209525890</v>
      </c>
      <c r="J830" s="22">
        <f t="shared" si="145"/>
        <v>203746495</v>
      </c>
      <c r="L830" s="3">
        <v>209525890</v>
      </c>
      <c r="M830" s="3">
        <v>203746495</v>
      </c>
    </row>
    <row r="831" spans="1:13" x14ac:dyDescent="0.45">
      <c r="A831" t="s">
        <v>10</v>
      </c>
      <c r="B831" t="s">
        <v>35</v>
      </c>
      <c r="C831" t="s">
        <v>26</v>
      </c>
      <c r="D831" s="28">
        <v>242647000</v>
      </c>
      <c r="E831" s="4">
        <v>202611220</v>
      </c>
      <c r="F831" s="24">
        <v>242647000</v>
      </c>
      <c r="G831" s="4">
        <v>207808845</v>
      </c>
      <c r="I831" s="25">
        <f t="shared" ref="I831:J831" si="146">IF(L831="","",L831-L830)</f>
        <v>202611220</v>
      </c>
      <c r="J831" s="25">
        <f t="shared" si="146"/>
        <v>207808845</v>
      </c>
      <c r="L831" s="4">
        <v>412137110</v>
      </c>
      <c r="M831" s="4">
        <v>411555340</v>
      </c>
    </row>
    <row r="832" spans="1:13" x14ac:dyDescent="0.45">
      <c r="A832" t="s">
        <v>11</v>
      </c>
      <c r="B832" t="s">
        <v>35</v>
      </c>
      <c r="C832" t="s">
        <v>26</v>
      </c>
      <c r="D832" s="27">
        <v>242647000</v>
      </c>
      <c r="E832" s="3">
        <v>0</v>
      </c>
      <c r="F832" s="23">
        <v>242647000</v>
      </c>
      <c r="G832" s="3">
        <v>0</v>
      </c>
      <c r="I832" s="25">
        <f t="shared" si="138"/>
        <v>0</v>
      </c>
      <c r="J832" s="25">
        <f t="shared" si="138"/>
        <v>0</v>
      </c>
      <c r="L832" s="29">
        <f>SUMIFS(Pivot_!C:C,Pivot_!A:A,'Hitung Per Bulan'!B832,Pivot_!B:B,'Hitung Per Bulan'!C832)</f>
        <v>412137110</v>
      </c>
      <c r="M832" s="29">
        <f>SUMIFS(Pivot_!D:D,Pivot_!A:A,'Hitung Per Bulan'!B832,Pivot_!B:B,'Hitung Per Bulan'!C832)</f>
        <v>411555340</v>
      </c>
    </row>
    <row r="833" spans="1:13" x14ac:dyDescent="0.45">
      <c r="A833" t="s">
        <v>12</v>
      </c>
      <c r="B833" t="s">
        <v>35</v>
      </c>
      <c r="C833" t="s">
        <v>26</v>
      </c>
      <c r="D833" s="27">
        <v>242647000</v>
      </c>
      <c r="E833" s="3" t="s">
        <v>41</v>
      </c>
      <c r="F833" s="23">
        <v>242647000</v>
      </c>
      <c r="G833" s="3" t="s">
        <v>41</v>
      </c>
      <c r="I833" s="25" t="str">
        <f t="shared" si="138"/>
        <v/>
      </c>
      <c r="J833" s="25" t="str">
        <f t="shared" si="138"/>
        <v/>
      </c>
      <c r="L833" s="3"/>
      <c r="M833" s="3"/>
    </row>
    <row r="834" spans="1:13" x14ac:dyDescent="0.45">
      <c r="A834" t="s">
        <v>13</v>
      </c>
      <c r="B834" t="s">
        <v>35</v>
      </c>
      <c r="C834" t="s">
        <v>26</v>
      </c>
      <c r="D834" s="27">
        <v>242647000</v>
      </c>
      <c r="E834" s="3" t="s">
        <v>41</v>
      </c>
      <c r="F834" s="23">
        <v>242647000</v>
      </c>
      <c r="G834" s="3" t="s">
        <v>41</v>
      </c>
      <c r="I834" s="25" t="str">
        <f t="shared" si="138"/>
        <v/>
      </c>
      <c r="J834" s="25" t="str">
        <f t="shared" si="138"/>
        <v/>
      </c>
      <c r="L834" s="3"/>
      <c r="M834" s="3"/>
    </row>
    <row r="835" spans="1:13" x14ac:dyDescent="0.45">
      <c r="A835" t="s">
        <v>14</v>
      </c>
      <c r="B835" t="s">
        <v>35</v>
      </c>
      <c r="C835" t="s">
        <v>26</v>
      </c>
      <c r="D835" s="27">
        <v>242647000</v>
      </c>
      <c r="E835" s="3" t="s">
        <v>41</v>
      </c>
      <c r="F835" s="23">
        <v>242647000</v>
      </c>
      <c r="G835" s="3" t="s">
        <v>41</v>
      </c>
      <c r="I835" s="25" t="str">
        <f t="shared" si="138"/>
        <v/>
      </c>
      <c r="J835" s="25" t="str">
        <f t="shared" si="138"/>
        <v/>
      </c>
      <c r="L835" s="3"/>
      <c r="M835" s="3"/>
    </row>
    <row r="836" spans="1:13" x14ac:dyDescent="0.45">
      <c r="A836" t="s">
        <v>15</v>
      </c>
      <c r="B836" t="s">
        <v>35</v>
      </c>
      <c r="C836" t="s">
        <v>26</v>
      </c>
      <c r="D836" s="27">
        <v>242647000</v>
      </c>
      <c r="E836" s="3" t="s">
        <v>41</v>
      </c>
      <c r="F836" s="23">
        <v>242647000</v>
      </c>
      <c r="G836" s="3" t="s">
        <v>41</v>
      </c>
      <c r="I836" s="25" t="str">
        <f t="shared" si="138"/>
        <v/>
      </c>
      <c r="J836" s="25" t="str">
        <f t="shared" si="138"/>
        <v/>
      </c>
      <c r="L836" s="3"/>
      <c r="M836" s="3"/>
    </row>
    <row r="837" spans="1:13" x14ac:dyDescent="0.45">
      <c r="A837" t="s">
        <v>16</v>
      </c>
      <c r="B837" t="s">
        <v>35</v>
      </c>
      <c r="C837" t="s">
        <v>26</v>
      </c>
      <c r="D837" s="27">
        <v>242647000</v>
      </c>
      <c r="E837" s="3" t="s">
        <v>41</v>
      </c>
      <c r="F837" s="23">
        <v>242647000</v>
      </c>
      <c r="G837" s="3" t="s">
        <v>41</v>
      </c>
      <c r="I837" s="25" t="str">
        <f t="shared" si="138"/>
        <v/>
      </c>
      <c r="J837" s="25" t="str">
        <f t="shared" si="138"/>
        <v/>
      </c>
      <c r="L837" s="3"/>
      <c r="M837" s="3"/>
    </row>
    <row r="838" spans="1:13" x14ac:dyDescent="0.45">
      <c r="A838" t="s">
        <v>17</v>
      </c>
      <c r="B838" t="s">
        <v>35</v>
      </c>
      <c r="C838" t="s">
        <v>26</v>
      </c>
      <c r="D838" s="27">
        <v>242647000</v>
      </c>
      <c r="E838" s="3" t="s">
        <v>41</v>
      </c>
      <c r="F838" s="23">
        <v>242647000</v>
      </c>
      <c r="G838" s="3" t="s">
        <v>41</v>
      </c>
      <c r="I838" s="25" t="str">
        <f t="shared" si="138"/>
        <v/>
      </c>
      <c r="J838" s="25" t="str">
        <f t="shared" si="138"/>
        <v/>
      </c>
      <c r="L838" s="3"/>
      <c r="M838" s="3"/>
    </row>
    <row r="839" spans="1:13" x14ac:dyDescent="0.45">
      <c r="A839" t="s">
        <v>18</v>
      </c>
      <c r="B839" t="s">
        <v>35</v>
      </c>
      <c r="C839" t="s">
        <v>26</v>
      </c>
      <c r="D839" s="27">
        <v>242647000</v>
      </c>
      <c r="E839" s="3" t="s">
        <v>41</v>
      </c>
      <c r="F839" s="23">
        <v>242647000</v>
      </c>
      <c r="G839" s="3" t="s">
        <v>41</v>
      </c>
      <c r="I839" s="25" t="str">
        <f t="shared" si="138"/>
        <v/>
      </c>
      <c r="J839" s="25" t="str">
        <f t="shared" si="138"/>
        <v/>
      </c>
      <c r="L839" s="3"/>
      <c r="M839" s="3"/>
    </row>
    <row r="840" spans="1:13" x14ac:dyDescent="0.45">
      <c r="A840" t="s">
        <v>19</v>
      </c>
      <c r="B840" t="s">
        <v>35</v>
      </c>
      <c r="C840" t="s">
        <v>26</v>
      </c>
      <c r="D840" s="27">
        <v>242647000</v>
      </c>
      <c r="E840" s="3" t="s">
        <v>41</v>
      </c>
      <c r="F840" s="23">
        <v>242647000</v>
      </c>
      <c r="G840" s="3" t="s">
        <v>41</v>
      </c>
      <c r="I840" s="25" t="str">
        <f t="shared" si="138"/>
        <v/>
      </c>
      <c r="J840" s="25" t="str">
        <f t="shared" si="138"/>
        <v/>
      </c>
      <c r="L840" s="3"/>
      <c r="M840" s="3"/>
    </row>
    <row r="841" spans="1:13" x14ac:dyDescent="0.45">
      <c r="A841" t="s">
        <v>20</v>
      </c>
      <c r="B841" t="s">
        <v>35</v>
      </c>
      <c r="C841" t="s">
        <v>26</v>
      </c>
      <c r="D841" s="27">
        <v>242647000</v>
      </c>
      <c r="E841" s="3" t="s">
        <v>41</v>
      </c>
      <c r="F841" s="23">
        <v>242647000</v>
      </c>
      <c r="G841" s="3" t="s">
        <v>41</v>
      </c>
      <c r="I841" s="25" t="str">
        <f t="shared" si="138"/>
        <v/>
      </c>
      <c r="J841" s="25" t="str">
        <f t="shared" si="138"/>
        <v/>
      </c>
      <c r="L841" s="3"/>
      <c r="M841" s="3"/>
    </row>
    <row r="842" spans="1:13" x14ac:dyDescent="0.45">
      <c r="A842" t="s">
        <v>7</v>
      </c>
      <c r="B842" t="s">
        <v>36</v>
      </c>
      <c r="C842" t="s">
        <v>9</v>
      </c>
      <c r="D842" s="27">
        <v>256149000</v>
      </c>
      <c r="E842" s="3">
        <v>261345961</v>
      </c>
      <c r="F842" s="23">
        <v>0</v>
      </c>
      <c r="G842" s="3">
        <v>0</v>
      </c>
      <c r="I842" s="22">
        <f t="shared" ref="I842:J842" si="147">IF(L842="","",L842)</f>
        <v>261345961</v>
      </c>
      <c r="J842" s="22">
        <f t="shared" si="147"/>
        <v>0</v>
      </c>
      <c r="L842" s="3">
        <v>261345961</v>
      </c>
      <c r="M842" s="3">
        <v>0</v>
      </c>
    </row>
    <row r="843" spans="1:13" x14ac:dyDescent="0.45">
      <c r="A843" t="s">
        <v>10</v>
      </c>
      <c r="B843" t="s">
        <v>36</v>
      </c>
      <c r="C843" t="s">
        <v>9</v>
      </c>
      <c r="D843" s="28">
        <v>232029000</v>
      </c>
      <c r="E843" s="4">
        <v>316431833</v>
      </c>
      <c r="F843" s="24">
        <v>256149000</v>
      </c>
      <c r="G843" s="4">
        <v>187448104</v>
      </c>
      <c r="I843" s="25">
        <f t="shared" ref="I843:J843" si="148">IF(L843="","",L843-L842)</f>
        <v>316431833</v>
      </c>
      <c r="J843" s="25">
        <f t="shared" si="148"/>
        <v>187448104</v>
      </c>
      <c r="L843" s="4">
        <v>577777794</v>
      </c>
      <c r="M843" s="4">
        <v>187448104</v>
      </c>
    </row>
    <row r="844" spans="1:13" x14ac:dyDescent="0.45">
      <c r="A844" t="s">
        <v>11</v>
      </c>
      <c r="B844" t="s">
        <v>36</v>
      </c>
      <c r="C844" t="s">
        <v>9</v>
      </c>
      <c r="D844" s="27">
        <v>320000000</v>
      </c>
      <c r="E844" s="3">
        <v>81029084</v>
      </c>
      <c r="F844" s="23">
        <v>232029000</v>
      </c>
      <c r="G844" s="3">
        <v>47099500</v>
      </c>
      <c r="I844" s="25">
        <f t="shared" si="138"/>
        <v>84450085</v>
      </c>
      <c r="J844" s="25">
        <f t="shared" si="138"/>
        <v>234017410</v>
      </c>
      <c r="L844" s="29">
        <f>SUMIFS(Pivot_!C:C,Pivot_!A:A,'Hitung Per Bulan'!B844,Pivot_!B:B,'Hitung Per Bulan'!C844)</f>
        <v>662227879</v>
      </c>
      <c r="M844" s="29">
        <f>SUMIFS(Pivot_!D:D,Pivot_!A:A,'Hitung Per Bulan'!B844,Pivot_!B:B,'Hitung Per Bulan'!C844)</f>
        <v>421465514</v>
      </c>
    </row>
    <row r="845" spans="1:13" x14ac:dyDescent="0.45">
      <c r="A845" t="s">
        <v>12</v>
      </c>
      <c r="B845" t="s">
        <v>36</v>
      </c>
      <c r="C845" t="s">
        <v>9</v>
      </c>
      <c r="D845" s="27">
        <v>1567132000</v>
      </c>
      <c r="E845" s="3" t="s">
        <v>41</v>
      </c>
      <c r="F845" s="23">
        <v>320000000</v>
      </c>
      <c r="G845" s="3" t="s">
        <v>41</v>
      </c>
      <c r="I845" s="25" t="str">
        <f t="shared" si="138"/>
        <v/>
      </c>
      <c r="J845" s="25" t="str">
        <f t="shared" si="138"/>
        <v/>
      </c>
      <c r="L845" s="3"/>
      <c r="M845" s="3"/>
    </row>
    <row r="846" spans="1:13" x14ac:dyDescent="0.45">
      <c r="A846" t="s">
        <v>13</v>
      </c>
      <c r="B846" t="s">
        <v>36</v>
      </c>
      <c r="C846" t="s">
        <v>9</v>
      </c>
      <c r="D846" s="27">
        <v>3199778000</v>
      </c>
      <c r="E846" s="3" t="s">
        <v>41</v>
      </c>
      <c r="F846" s="23">
        <v>346353000</v>
      </c>
      <c r="G846" s="3" t="s">
        <v>41</v>
      </c>
      <c r="I846" s="25" t="str">
        <f t="shared" si="138"/>
        <v/>
      </c>
      <c r="J846" s="25" t="str">
        <f t="shared" si="138"/>
        <v/>
      </c>
      <c r="L846" s="3"/>
      <c r="M846" s="3"/>
    </row>
    <row r="847" spans="1:13" x14ac:dyDescent="0.45">
      <c r="A847" t="s">
        <v>14</v>
      </c>
      <c r="B847" t="s">
        <v>36</v>
      </c>
      <c r="C847" t="s">
        <v>9</v>
      </c>
      <c r="D847" s="27">
        <v>1289274000</v>
      </c>
      <c r="E847" s="3" t="s">
        <v>41</v>
      </c>
      <c r="F847" s="23">
        <v>1574794000</v>
      </c>
      <c r="G847" s="3" t="s">
        <v>41</v>
      </c>
      <c r="I847" s="25" t="str">
        <f t="shared" ref="I847:J910" si="149">IF(L847="","",L847-L846)</f>
        <v/>
      </c>
      <c r="J847" s="25" t="str">
        <f t="shared" si="149"/>
        <v/>
      </c>
      <c r="L847" s="3"/>
      <c r="M847" s="3"/>
    </row>
    <row r="848" spans="1:13" x14ac:dyDescent="0.45">
      <c r="A848" t="s">
        <v>15</v>
      </c>
      <c r="B848" t="s">
        <v>36</v>
      </c>
      <c r="C848" t="s">
        <v>9</v>
      </c>
      <c r="D848" s="27">
        <v>1665312000</v>
      </c>
      <c r="E848" s="3" t="s">
        <v>41</v>
      </c>
      <c r="F848" s="23">
        <v>1850699000</v>
      </c>
      <c r="G848" s="3" t="s">
        <v>41</v>
      </c>
      <c r="I848" s="25" t="str">
        <f t="shared" si="149"/>
        <v/>
      </c>
      <c r="J848" s="25" t="str">
        <f t="shared" si="149"/>
        <v/>
      </c>
      <c r="L848" s="3"/>
      <c r="M848" s="3"/>
    </row>
    <row r="849" spans="1:13" x14ac:dyDescent="0.45">
      <c r="A849" t="s">
        <v>16</v>
      </c>
      <c r="B849" t="s">
        <v>36</v>
      </c>
      <c r="C849" t="s">
        <v>9</v>
      </c>
      <c r="D849" s="27">
        <v>1072588000</v>
      </c>
      <c r="E849" s="3" t="s">
        <v>41</v>
      </c>
      <c r="F849" s="23">
        <v>2404338000</v>
      </c>
      <c r="G849" s="3" t="s">
        <v>41</v>
      </c>
      <c r="I849" s="25" t="str">
        <f t="shared" si="149"/>
        <v/>
      </c>
      <c r="J849" s="25" t="str">
        <f t="shared" si="149"/>
        <v/>
      </c>
      <c r="L849" s="3"/>
      <c r="M849" s="3"/>
    </row>
    <row r="850" spans="1:13" x14ac:dyDescent="0.45">
      <c r="A850" t="s">
        <v>17</v>
      </c>
      <c r="B850" t="s">
        <v>36</v>
      </c>
      <c r="C850" t="s">
        <v>9</v>
      </c>
      <c r="D850" s="27">
        <v>1131003000</v>
      </c>
      <c r="E850" s="3" t="s">
        <v>41</v>
      </c>
      <c r="F850" s="23">
        <v>871823000</v>
      </c>
      <c r="G850" s="3" t="s">
        <v>41</v>
      </c>
      <c r="I850" s="25" t="str">
        <f t="shared" si="149"/>
        <v/>
      </c>
      <c r="J850" s="25" t="str">
        <f t="shared" si="149"/>
        <v/>
      </c>
      <c r="L850" s="3"/>
      <c r="M850" s="3"/>
    </row>
    <row r="851" spans="1:13" x14ac:dyDescent="0.45">
      <c r="A851" t="s">
        <v>18</v>
      </c>
      <c r="B851" t="s">
        <v>36</v>
      </c>
      <c r="C851" t="s">
        <v>9</v>
      </c>
      <c r="D851" s="27">
        <v>170000000</v>
      </c>
      <c r="E851" s="3" t="s">
        <v>41</v>
      </c>
      <c r="F851" s="23">
        <v>1131003000</v>
      </c>
      <c r="G851" s="3" t="s">
        <v>41</v>
      </c>
      <c r="I851" s="25" t="str">
        <f t="shared" si="149"/>
        <v/>
      </c>
      <c r="J851" s="25" t="str">
        <f t="shared" si="149"/>
        <v/>
      </c>
      <c r="L851" s="3"/>
      <c r="M851" s="3"/>
    </row>
    <row r="852" spans="1:13" x14ac:dyDescent="0.45">
      <c r="A852" t="s">
        <v>19</v>
      </c>
      <c r="B852" t="s">
        <v>36</v>
      </c>
      <c r="C852" t="s">
        <v>9</v>
      </c>
      <c r="D852" s="27">
        <v>219669000</v>
      </c>
      <c r="E852" s="3" t="s">
        <v>41</v>
      </c>
      <c r="F852" s="23">
        <v>1916077000</v>
      </c>
      <c r="G852" s="3" t="s">
        <v>41</v>
      </c>
      <c r="I852" s="25" t="str">
        <f t="shared" si="149"/>
        <v/>
      </c>
      <c r="J852" s="25" t="str">
        <f t="shared" si="149"/>
        <v/>
      </c>
      <c r="L852" s="3"/>
      <c r="M852" s="3"/>
    </row>
    <row r="853" spans="1:13" x14ac:dyDescent="0.45">
      <c r="A853" t="s">
        <v>20</v>
      </c>
      <c r="B853" t="s">
        <v>36</v>
      </c>
      <c r="C853" t="s">
        <v>9</v>
      </c>
      <c r="D853" s="27">
        <v>0</v>
      </c>
      <c r="E853" s="3" t="s">
        <v>41</v>
      </c>
      <c r="F853" s="23">
        <v>219669000</v>
      </c>
      <c r="G853" s="3" t="s">
        <v>41</v>
      </c>
      <c r="I853" s="25" t="str">
        <f t="shared" si="149"/>
        <v/>
      </c>
      <c r="J853" s="25" t="str">
        <f t="shared" si="149"/>
        <v/>
      </c>
      <c r="L853" s="3"/>
      <c r="M853" s="3"/>
    </row>
    <row r="854" spans="1:13" x14ac:dyDescent="0.45">
      <c r="A854" t="s">
        <v>7</v>
      </c>
      <c r="B854" t="s">
        <v>36</v>
      </c>
      <c r="C854" t="s">
        <v>21</v>
      </c>
      <c r="D854" s="27">
        <v>0</v>
      </c>
      <c r="E854" s="3">
        <v>0</v>
      </c>
      <c r="F854" s="23">
        <v>0</v>
      </c>
      <c r="G854" s="3">
        <v>0</v>
      </c>
      <c r="I854" s="22">
        <f t="shared" ref="I854:J854" si="150">IF(L854="","",L854)</f>
        <v>0</v>
      </c>
      <c r="J854" s="22">
        <f t="shared" si="150"/>
        <v>0</v>
      </c>
      <c r="L854" s="3">
        <v>0</v>
      </c>
      <c r="M854" s="3">
        <v>0</v>
      </c>
    </row>
    <row r="855" spans="1:13" x14ac:dyDescent="0.45">
      <c r="A855" t="s">
        <v>10</v>
      </c>
      <c r="B855" t="s">
        <v>36</v>
      </c>
      <c r="C855" t="s">
        <v>21</v>
      </c>
      <c r="D855" s="28">
        <v>0</v>
      </c>
      <c r="E855" s="4">
        <v>0</v>
      </c>
      <c r="F855" s="24">
        <v>0</v>
      </c>
      <c r="G855" s="4">
        <v>0</v>
      </c>
      <c r="I855" s="25">
        <f t="shared" ref="I855:J855" si="151">IF(L855="","",L855-L854)</f>
        <v>0</v>
      </c>
      <c r="J855" s="25">
        <f t="shared" si="151"/>
        <v>0</v>
      </c>
      <c r="L855" s="4">
        <v>0</v>
      </c>
      <c r="M855" s="4">
        <v>0</v>
      </c>
    </row>
    <row r="856" spans="1:13" x14ac:dyDescent="0.45">
      <c r="A856" t="s">
        <v>11</v>
      </c>
      <c r="B856" t="s">
        <v>36</v>
      </c>
      <c r="C856" t="s">
        <v>21</v>
      </c>
      <c r="D856" s="27">
        <v>0</v>
      </c>
      <c r="E856" s="3">
        <v>0</v>
      </c>
      <c r="F856" s="23">
        <v>0</v>
      </c>
      <c r="G856" s="3">
        <v>0</v>
      </c>
      <c r="I856" s="25">
        <f t="shared" si="149"/>
        <v>0</v>
      </c>
      <c r="J856" s="25">
        <f t="shared" si="149"/>
        <v>0</v>
      </c>
      <c r="L856" s="29">
        <f>SUMIFS(Pivot_!C:C,Pivot_!A:A,'Hitung Per Bulan'!B856,Pivot_!B:B,'Hitung Per Bulan'!C856)</f>
        <v>0</v>
      </c>
      <c r="M856" s="29">
        <f>SUMIFS(Pivot_!D:D,Pivot_!A:A,'Hitung Per Bulan'!B856,Pivot_!B:B,'Hitung Per Bulan'!C856)</f>
        <v>0</v>
      </c>
    </row>
    <row r="857" spans="1:13" x14ac:dyDescent="0.45">
      <c r="A857" t="s">
        <v>12</v>
      </c>
      <c r="B857" t="s">
        <v>36</v>
      </c>
      <c r="C857" t="s">
        <v>21</v>
      </c>
      <c r="D857" s="27">
        <v>0</v>
      </c>
      <c r="E857" s="3" t="s">
        <v>41</v>
      </c>
      <c r="F857" s="23">
        <v>0</v>
      </c>
      <c r="G857" s="3" t="s">
        <v>41</v>
      </c>
      <c r="I857" s="25" t="str">
        <f t="shared" si="149"/>
        <v/>
      </c>
      <c r="J857" s="25" t="str">
        <f t="shared" si="149"/>
        <v/>
      </c>
      <c r="L857" s="3"/>
      <c r="M857" s="3"/>
    </row>
    <row r="858" spans="1:13" x14ac:dyDescent="0.45">
      <c r="A858" t="s">
        <v>13</v>
      </c>
      <c r="B858" t="s">
        <v>36</v>
      </c>
      <c r="C858" t="s">
        <v>21</v>
      </c>
      <c r="D858" s="27">
        <v>200000000</v>
      </c>
      <c r="E858" s="3" t="s">
        <v>41</v>
      </c>
      <c r="F858" s="23">
        <v>0</v>
      </c>
      <c r="G858" s="3" t="s">
        <v>41</v>
      </c>
      <c r="I858" s="25" t="str">
        <f t="shared" si="149"/>
        <v/>
      </c>
      <c r="J858" s="25" t="str">
        <f t="shared" si="149"/>
        <v/>
      </c>
      <c r="L858" s="3"/>
      <c r="M858" s="3"/>
    </row>
    <row r="859" spans="1:13" x14ac:dyDescent="0.45">
      <c r="A859" t="s">
        <v>14</v>
      </c>
      <c r="B859" t="s">
        <v>36</v>
      </c>
      <c r="C859" t="s">
        <v>21</v>
      </c>
      <c r="D859" s="27">
        <v>0</v>
      </c>
      <c r="E859" s="3" t="s">
        <v>41</v>
      </c>
      <c r="F859" s="23">
        <v>0</v>
      </c>
      <c r="G859" s="3" t="s">
        <v>41</v>
      </c>
      <c r="I859" s="25" t="str">
        <f t="shared" si="149"/>
        <v/>
      </c>
      <c r="J859" s="25" t="str">
        <f t="shared" si="149"/>
        <v/>
      </c>
      <c r="L859" s="3"/>
      <c r="M859" s="3"/>
    </row>
    <row r="860" spans="1:13" x14ac:dyDescent="0.45">
      <c r="A860" t="s">
        <v>15</v>
      </c>
      <c r="B860" t="s">
        <v>36</v>
      </c>
      <c r="C860" t="s">
        <v>21</v>
      </c>
      <c r="D860" s="27">
        <v>0</v>
      </c>
      <c r="E860" s="3" t="s">
        <v>41</v>
      </c>
      <c r="F860" s="23">
        <v>200000000</v>
      </c>
      <c r="G860" s="3" t="s">
        <v>41</v>
      </c>
      <c r="I860" s="25" t="str">
        <f t="shared" si="149"/>
        <v/>
      </c>
      <c r="J860" s="25" t="str">
        <f t="shared" si="149"/>
        <v/>
      </c>
      <c r="L860" s="3"/>
      <c r="M860" s="3"/>
    </row>
    <row r="861" spans="1:13" x14ac:dyDescent="0.45">
      <c r="A861" t="s">
        <v>16</v>
      </c>
      <c r="B861" t="s">
        <v>36</v>
      </c>
      <c r="C861" t="s">
        <v>21</v>
      </c>
      <c r="D861" s="27">
        <v>0</v>
      </c>
      <c r="E861" s="3" t="s">
        <v>41</v>
      </c>
      <c r="F861" s="23">
        <v>0</v>
      </c>
      <c r="G861" s="3" t="s">
        <v>41</v>
      </c>
      <c r="I861" s="25" t="str">
        <f t="shared" si="149"/>
        <v/>
      </c>
      <c r="J861" s="25" t="str">
        <f t="shared" si="149"/>
        <v/>
      </c>
      <c r="L861" s="3"/>
      <c r="M861" s="3"/>
    </row>
    <row r="862" spans="1:13" x14ac:dyDescent="0.45">
      <c r="A862" t="s">
        <v>17</v>
      </c>
      <c r="B862" t="s">
        <v>36</v>
      </c>
      <c r="C862" t="s">
        <v>21</v>
      </c>
      <c r="D862" s="27">
        <v>0</v>
      </c>
      <c r="E862" s="3" t="s">
        <v>41</v>
      </c>
      <c r="F862" s="23">
        <v>0</v>
      </c>
      <c r="G862" s="3" t="s">
        <v>41</v>
      </c>
      <c r="I862" s="25" t="str">
        <f t="shared" si="149"/>
        <v/>
      </c>
      <c r="J862" s="25" t="str">
        <f t="shared" si="149"/>
        <v/>
      </c>
      <c r="L862" s="3"/>
      <c r="M862" s="3"/>
    </row>
    <row r="863" spans="1:13" x14ac:dyDescent="0.45">
      <c r="A863" t="s">
        <v>18</v>
      </c>
      <c r="B863" t="s">
        <v>36</v>
      </c>
      <c r="C863" t="s">
        <v>21</v>
      </c>
      <c r="D863" s="27">
        <v>0</v>
      </c>
      <c r="E863" s="3" t="s">
        <v>41</v>
      </c>
      <c r="F863" s="23">
        <v>0</v>
      </c>
      <c r="G863" s="3" t="s">
        <v>41</v>
      </c>
      <c r="I863" s="25" t="str">
        <f t="shared" si="149"/>
        <v/>
      </c>
      <c r="J863" s="25" t="str">
        <f t="shared" si="149"/>
        <v/>
      </c>
      <c r="L863" s="3"/>
      <c r="M863" s="3"/>
    </row>
    <row r="864" spans="1:13" x14ac:dyDescent="0.45">
      <c r="A864" t="s">
        <v>19</v>
      </c>
      <c r="B864" t="s">
        <v>36</v>
      </c>
      <c r="C864" t="s">
        <v>21</v>
      </c>
      <c r="D864" s="27">
        <v>0</v>
      </c>
      <c r="E864" s="3" t="s">
        <v>41</v>
      </c>
      <c r="F864" s="23">
        <v>0</v>
      </c>
      <c r="G864" s="3" t="s">
        <v>41</v>
      </c>
      <c r="I864" s="25" t="str">
        <f t="shared" si="149"/>
        <v/>
      </c>
      <c r="J864" s="25" t="str">
        <f t="shared" si="149"/>
        <v/>
      </c>
      <c r="L864" s="3"/>
      <c r="M864" s="3"/>
    </row>
    <row r="865" spans="1:13" x14ac:dyDescent="0.45">
      <c r="A865" t="s">
        <v>20</v>
      </c>
      <c r="B865" t="s">
        <v>36</v>
      </c>
      <c r="C865" t="s">
        <v>21</v>
      </c>
      <c r="D865" s="27">
        <v>0</v>
      </c>
      <c r="E865" s="3" t="s">
        <v>41</v>
      </c>
      <c r="F865" s="23">
        <v>0</v>
      </c>
      <c r="G865" s="3" t="s">
        <v>41</v>
      </c>
      <c r="I865" s="25" t="str">
        <f t="shared" si="149"/>
        <v/>
      </c>
      <c r="J865" s="25" t="str">
        <f t="shared" si="149"/>
        <v/>
      </c>
      <c r="L865" s="3"/>
      <c r="M865" s="3"/>
    </row>
    <row r="866" spans="1:13" x14ac:dyDescent="0.45">
      <c r="A866" t="s">
        <v>7</v>
      </c>
      <c r="B866" t="s">
        <v>36</v>
      </c>
      <c r="C866" t="s">
        <v>22</v>
      </c>
      <c r="D866" s="27">
        <v>0</v>
      </c>
      <c r="E866" s="3">
        <v>0</v>
      </c>
      <c r="F866" s="23">
        <v>0</v>
      </c>
      <c r="G866" s="3">
        <v>0</v>
      </c>
      <c r="I866" s="22">
        <f t="shared" ref="I866:J866" si="152">IF(L866="","",L866)</f>
        <v>0</v>
      </c>
      <c r="J866" s="22">
        <f t="shared" si="152"/>
        <v>0</v>
      </c>
      <c r="L866" s="3">
        <v>0</v>
      </c>
      <c r="M866" s="3">
        <v>0</v>
      </c>
    </row>
    <row r="867" spans="1:13" x14ac:dyDescent="0.45">
      <c r="A867" t="s">
        <v>10</v>
      </c>
      <c r="B867" t="s">
        <v>36</v>
      </c>
      <c r="C867" t="s">
        <v>22</v>
      </c>
      <c r="D867" s="28">
        <v>24996000</v>
      </c>
      <c r="E867" s="4">
        <v>0</v>
      </c>
      <c r="F867" s="24">
        <v>0</v>
      </c>
      <c r="G867" s="4">
        <v>0</v>
      </c>
      <c r="I867" s="25">
        <f t="shared" ref="I867:J867" si="153">IF(L867="","",L867-L866)</f>
        <v>0</v>
      </c>
      <c r="J867" s="25">
        <f t="shared" si="153"/>
        <v>0</v>
      </c>
      <c r="L867" s="4">
        <v>0</v>
      </c>
      <c r="M867" s="4">
        <v>0</v>
      </c>
    </row>
    <row r="868" spans="1:13" x14ac:dyDescent="0.45">
      <c r="A868" t="s">
        <v>11</v>
      </c>
      <c r="B868" t="s">
        <v>36</v>
      </c>
      <c r="C868" t="s">
        <v>22</v>
      </c>
      <c r="D868" s="27">
        <v>0</v>
      </c>
      <c r="E868" s="3">
        <v>0</v>
      </c>
      <c r="F868" s="23">
        <v>24996000</v>
      </c>
      <c r="G868" s="3">
        <v>0</v>
      </c>
      <c r="I868" s="25">
        <f t="shared" si="149"/>
        <v>19823200</v>
      </c>
      <c r="J868" s="25">
        <f t="shared" si="149"/>
        <v>0</v>
      </c>
      <c r="L868" s="29">
        <f>SUMIFS(Pivot_!C:C,Pivot_!A:A,'Hitung Per Bulan'!B868,Pivot_!B:B,'Hitung Per Bulan'!C868)</f>
        <v>19823200</v>
      </c>
      <c r="M868" s="29">
        <f>SUMIFS(Pivot_!D:D,Pivot_!A:A,'Hitung Per Bulan'!B868,Pivot_!B:B,'Hitung Per Bulan'!C868)</f>
        <v>0</v>
      </c>
    </row>
    <row r="869" spans="1:13" x14ac:dyDescent="0.45">
      <c r="A869" t="s">
        <v>12</v>
      </c>
      <c r="B869" t="s">
        <v>36</v>
      </c>
      <c r="C869" t="s">
        <v>22</v>
      </c>
      <c r="D869" s="27">
        <v>0</v>
      </c>
      <c r="E869" s="3" t="s">
        <v>41</v>
      </c>
      <c r="F869" s="23">
        <v>0</v>
      </c>
      <c r="G869" s="3" t="s">
        <v>41</v>
      </c>
      <c r="I869" s="25" t="str">
        <f t="shared" si="149"/>
        <v/>
      </c>
      <c r="J869" s="25" t="str">
        <f t="shared" si="149"/>
        <v/>
      </c>
      <c r="L869" s="3"/>
      <c r="M869" s="3"/>
    </row>
    <row r="870" spans="1:13" x14ac:dyDescent="0.45">
      <c r="A870" t="s">
        <v>13</v>
      </c>
      <c r="B870" t="s">
        <v>36</v>
      </c>
      <c r="C870" t="s">
        <v>22</v>
      </c>
      <c r="D870" s="27">
        <v>24994000</v>
      </c>
      <c r="E870" s="3" t="s">
        <v>41</v>
      </c>
      <c r="F870" s="23">
        <v>0</v>
      </c>
      <c r="G870" s="3" t="s">
        <v>41</v>
      </c>
      <c r="I870" s="25" t="str">
        <f t="shared" si="149"/>
        <v/>
      </c>
      <c r="J870" s="25" t="str">
        <f t="shared" si="149"/>
        <v/>
      </c>
      <c r="L870" s="3"/>
      <c r="M870" s="3"/>
    </row>
    <row r="871" spans="1:13" x14ac:dyDescent="0.45">
      <c r="A871" t="s">
        <v>14</v>
      </c>
      <c r="B871" t="s">
        <v>36</v>
      </c>
      <c r="C871" t="s">
        <v>22</v>
      </c>
      <c r="D871" s="27">
        <v>0</v>
      </c>
      <c r="E871" s="3" t="s">
        <v>41</v>
      </c>
      <c r="F871" s="23">
        <v>24994000</v>
      </c>
      <c r="G871" s="3" t="s">
        <v>41</v>
      </c>
      <c r="I871" s="25" t="str">
        <f t="shared" si="149"/>
        <v/>
      </c>
      <c r="J871" s="25" t="str">
        <f t="shared" si="149"/>
        <v/>
      </c>
      <c r="L871" s="3"/>
      <c r="M871" s="3"/>
    </row>
    <row r="872" spans="1:13" x14ac:dyDescent="0.45">
      <c r="A872" t="s">
        <v>15</v>
      </c>
      <c r="B872" t="s">
        <v>36</v>
      </c>
      <c r="C872" t="s">
        <v>22</v>
      </c>
      <c r="D872" s="27">
        <v>0</v>
      </c>
      <c r="E872" s="3" t="s">
        <v>41</v>
      </c>
      <c r="F872" s="23">
        <v>0</v>
      </c>
      <c r="G872" s="3" t="s">
        <v>41</v>
      </c>
      <c r="I872" s="25" t="str">
        <f t="shared" si="149"/>
        <v/>
      </c>
      <c r="J872" s="25" t="str">
        <f t="shared" si="149"/>
        <v/>
      </c>
      <c r="L872" s="3"/>
      <c r="M872" s="3"/>
    </row>
    <row r="873" spans="1:13" x14ac:dyDescent="0.45">
      <c r="A873" t="s">
        <v>16</v>
      </c>
      <c r="B873" t="s">
        <v>36</v>
      </c>
      <c r="C873" t="s">
        <v>22</v>
      </c>
      <c r="D873" s="27">
        <v>24996000</v>
      </c>
      <c r="E873" s="3" t="s">
        <v>41</v>
      </c>
      <c r="F873" s="23">
        <v>0</v>
      </c>
      <c r="G873" s="3" t="s">
        <v>41</v>
      </c>
      <c r="I873" s="25" t="str">
        <f t="shared" si="149"/>
        <v/>
      </c>
      <c r="J873" s="25" t="str">
        <f t="shared" si="149"/>
        <v/>
      </c>
      <c r="L873" s="3"/>
      <c r="M873" s="3"/>
    </row>
    <row r="874" spans="1:13" x14ac:dyDescent="0.45">
      <c r="A874" t="s">
        <v>17</v>
      </c>
      <c r="B874" t="s">
        <v>36</v>
      </c>
      <c r="C874" t="s">
        <v>22</v>
      </c>
      <c r="D874" s="27">
        <v>0</v>
      </c>
      <c r="E874" s="3" t="s">
        <v>41</v>
      </c>
      <c r="F874" s="23">
        <v>24996000</v>
      </c>
      <c r="G874" s="3" t="s">
        <v>41</v>
      </c>
      <c r="I874" s="25" t="str">
        <f t="shared" si="149"/>
        <v/>
      </c>
      <c r="J874" s="25" t="str">
        <f t="shared" si="149"/>
        <v/>
      </c>
      <c r="L874" s="3"/>
      <c r="M874" s="3"/>
    </row>
    <row r="875" spans="1:13" x14ac:dyDescent="0.45">
      <c r="A875" t="s">
        <v>18</v>
      </c>
      <c r="B875" t="s">
        <v>36</v>
      </c>
      <c r="C875" t="s">
        <v>22</v>
      </c>
      <c r="D875" s="27">
        <v>0</v>
      </c>
      <c r="E875" s="3" t="s">
        <v>41</v>
      </c>
      <c r="F875" s="23">
        <v>0</v>
      </c>
      <c r="G875" s="3" t="s">
        <v>41</v>
      </c>
      <c r="I875" s="25" t="str">
        <f t="shared" si="149"/>
        <v/>
      </c>
      <c r="J875" s="25" t="str">
        <f t="shared" si="149"/>
        <v/>
      </c>
      <c r="L875" s="3"/>
      <c r="M875" s="3"/>
    </row>
    <row r="876" spans="1:13" x14ac:dyDescent="0.45">
      <c r="A876" t="s">
        <v>19</v>
      </c>
      <c r="B876" t="s">
        <v>36</v>
      </c>
      <c r="C876" t="s">
        <v>22</v>
      </c>
      <c r="D876" s="27">
        <v>24994000</v>
      </c>
      <c r="E876" s="3" t="s">
        <v>41</v>
      </c>
      <c r="F876" s="23">
        <v>0</v>
      </c>
      <c r="G876" s="3" t="s">
        <v>41</v>
      </c>
      <c r="I876" s="25" t="str">
        <f t="shared" si="149"/>
        <v/>
      </c>
      <c r="J876" s="25" t="str">
        <f t="shared" si="149"/>
        <v/>
      </c>
      <c r="L876" s="3"/>
      <c r="M876" s="3"/>
    </row>
    <row r="877" spans="1:13" x14ac:dyDescent="0.45">
      <c r="A877" t="s">
        <v>20</v>
      </c>
      <c r="B877" t="s">
        <v>36</v>
      </c>
      <c r="C877" t="s">
        <v>22</v>
      </c>
      <c r="D877" s="27">
        <v>0</v>
      </c>
      <c r="E877" s="3" t="s">
        <v>41</v>
      </c>
      <c r="F877" s="23">
        <v>24994000</v>
      </c>
      <c r="G877" s="3" t="s">
        <v>41</v>
      </c>
      <c r="I877" s="25" t="str">
        <f t="shared" si="149"/>
        <v/>
      </c>
      <c r="J877" s="25" t="str">
        <f t="shared" si="149"/>
        <v/>
      </c>
      <c r="L877" s="3"/>
      <c r="M877" s="3"/>
    </row>
    <row r="878" spans="1:13" x14ac:dyDescent="0.45">
      <c r="A878" t="s">
        <v>7</v>
      </c>
      <c r="B878" t="s">
        <v>36</v>
      </c>
      <c r="C878" t="s">
        <v>23</v>
      </c>
      <c r="D878" s="27">
        <v>0</v>
      </c>
      <c r="E878" s="3">
        <v>0</v>
      </c>
      <c r="F878" s="23">
        <v>0</v>
      </c>
      <c r="G878" s="3">
        <v>0</v>
      </c>
      <c r="I878" s="22">
        <f t="shared" ref="I878:J878" si="154">IF(L878="","",L878)</f>
        <v>0</v>
      </c>
      <c r="J878" s="22">
        <f t="shared" si="154"/>
        <v>0</v>
      </c>
      <c r="L878" s="3">
        <v>0</v>
      </c>
      <c r="M878" s="3">
        <v>0</v>
      </c>
    </row>
    <row r="879" spans="1:13" x14ac:dyDescent="0.45">
      <c r="A879" t="s">
        <v>10</v>
      </c>
      <c r="B879" t="s">
        <v>36</v>
      </c>
      <c r="C879" t="s">
        <v>23</v>
      </c>
      <c r="D879" s="28">
        <v>0</v>
      </c>
      <c r="E879" s="4">
        <v>0</v>
      </c>
      <c r="F879" s="24">
        <v>0</v>
      </c>
      <c r="G879" s="4">
        <v>0</v>
      </c>
      <c r="I879" s="25">
        <f t="shared" ref="I879:J879" si="155">IF(L879="","",L879-L878)</f>
        <v>0</v>
      </c>
      <c r="J879" s="25">
        <f t="shared" si="155"/>
        <v>0</v>
      </c>
      <c r="L879" s="4">
        <v>0</v>
      </c>
      <c r="M879" s="4">
        <v>0</v>
      </c>
    </row>
    <row r="880" spans="1:13" x14ac:dyDescent="0.45">
      <c r="A880" t="s">
        <v>11</v>
      </c>
      <c r="B880" t="s">
        <v>36</v>
      </c>
      <c r="C880" t="s">
        <v>23</v>
      </c>
      <c r="D880" s="27">
        <v>0</v>
      </c>
      <c r="E880" s="3">
        <v>0</v>
      </c>
      <c r="F880" s="23">
        <v>0</v>
      </c>
      <c r="G880" s="3">
        <v>0</v>
      </c>
      <c r="I880" s="25">
        <f t="shared" si="149"/>
        <v>0</v>
      </c>
      <c r="J880" s="25">
        <f t="shared" si="149"/>
        <v>0</v>
      </c>
      <c r="L880" s="29">
        <f>SUMIFS(Pivot_!C:C,Pivot_!A:A,'Hitung Per Bulan'!B880,Pivot_!B:B,'Hitung Per Bulan'!C880)</f>
        <v>0</v>
      </c>
      <c r="M880" s="29">
        <f>SUMIFS(Pivot_!D:D,Pivot_!A:A,'Hitung Per Bulan'!B880,Pivot_!B:B,'Hitung Per Bulan'!C880)</f>
        <v>0</v>
      </c>
    </row>
    <row r="881" spans="1:13" x14ac:dyDescent="0.45">
      <c r="A881" t="s">
        <v>12</v>
      </c>
      <c r="B881" t="s">
        <v>36</v>
      </c>
      <c r="C881" t="s">
        <v>23</v>
      </c>
      <c r="D881" s="27">
        <v>0</v>
      </c>
      <c r="E881" s="3" t="s">
        <v>41</v>
      </c>
      <c r="F881" s="23">
        <v>0</v>
      </c>
      <c r="G881" s="3" t="s">
        <v>41</v>
      </c>
      <c r="I881" s="25" t="str">
        <f t="shared" si="149"/>
        <v/>
      </c>
      <c r="J881" s="25" t="str">
        <f t="shared" si="149"/>
        <v/>
      </c>
      <c r="L881" s="3"/>
      <c r="M881" s="3"/>
    </row>
    <row r="882" spans="1:13" x14ac:dyDescent="0.45">
      <c r="A882" t="s">
        <v>13</v>
      </c>
      <c r="B882" t="s">
        <v>36</v>
      </c>
      <c r="C882" t="s">
        <v>23</v>
      </c>
      <c r="D882" s="27">
        <v>0</v>
      </c>
      <c r="E882" s="3" t="s">
        <v>41</v>
      </c>
      <c r="F882" s="23">
        <v>0</v>
      </c>
      <c r="G882" s="3" t="s">
        <v>41</v>
      </c>
      <c r="I882" s="25" t="str">
        <f t="shared" si="149"/>
        <v/>
      </c>
      <c r="J882" s="25" t="str">
        <f t="shared" si="149"/>
        <v/>
      </c>
      <c r="L882" s="3"/>
      <c r="M882" s="3"/>
    </row>
    <row r="883" spans="1:13" x14ac:dyDescent="0.45">
      <c r="A883" t="s">
        <v>14</v>
      </c>
      <c r="B883" t="s">
        <v>36</v>
      </c>
      <c r="C883" t="s">
        <v>23</v>
      </c>
      <c r="D883" s="27">
        <v>0</v>
      </c>
      <c r="E883" s="3" t="s">
        <v>41</v>
      </c>
      <c r="F883" s="23">
        <v>0</v>
      </c>
      <c r="G883" s="3" t="s">
        <v>41</v>
      </c>
      <c r="I883" s="25" t="str">
        <f t="shared" si="149"/>
        <v/>
      </c>
      <c r="J883" s="25" t="str">
        <f t="shared" si="149"/>
        <v/>
      </c>
      <c r="L883" s="3"/>
      <c r="M883" s="3"/>
    </row>
    <row r="884" spans="1:13" x14ac:dyDescent="0.45">
      <c r="A884" t="s">
        <v>15</v>
      </c>
      <c r="B884" t="s">
        <v>36</v>
      </c>
      <c r="C884" t="s">
        <v>23</v>
      </c>
      <c r="D884" s="27">
        <v>0</v>
      </c>
      <c r="E884" s="3" t="s">
        <v>41</v>
      </c>
      <c r="F884" s="23">
        <v>0</v>
      </c>
      <c r="G884" s="3" t="s">
        <v>41</v>
      </c>
      <c r="I884" s="25" t="str">
        <f t="shared" si="149"/>
        <v/>
      </c>
      <c r="J884" s="25" t="str">
        <f t="shared" si="149"/>
        <v/>
      </c>
      <c r="L884" s="3"/>
      <c r="M884" s="3"/>
    </row>
    <row r="885" spans="1:13" x14ac:dyDescent="0.45">
      <c r="A885" t="s">
        <v>16</v>
      </c>
      <c r="B885" t="s">
        <v>36</v>
      </c>
      <c r="C885" t="s">
        <v>23</v>
      </c>
      <c r="D885" s="27">
        <v>110000000</v>
      </c>
      <c r="E885" s="3" t="s">
        <v>41</v>
      </c>
      <c r="F885" s="23">
        <v>0</v>
      </c>
      <c r="G885" s="3" t="s">
        <v>41</v>
      </c>
      <c r="I885" s="25" t="str">
        <f t="shared" si="149"/>
        <v/>
      </c>
      <c r="J885" s="25" t="str">
        <f t="shared" si="149"/>
        <v/>
      </c>
      <c r="L885" s="3"/>
      <c r="M885" s="3"/>
    </row>
    <row r="886" spans="1:13" x14ac:dyDescent="0.45">
      <c r="A886" t="s">
        <v>17</v>
      </c>
      <c r="B886" t="s">
        <v>36</v>
      </c>
      <c r="C886" t="s">
        <v>23</v>
      </c>
      <c r="D886" s="27">
        <v>0</v>
      </c>
      <c r="E886" s="3" t="s">
        <v>41</v>
      </c>
      <c r="F886" s="23">
        <v>0</v>
      </c>
      <c r="G886" s="3" t="s">
        <v>41</v>
      </c>
      <c r="I886" s="25" t="str">
        <f t="shared" si="149"/>
        <v/>
      </c>
      <c r="J886" s="25" t="str">
        <f t="shared" si="149"/>
        <v/>
      </c>
      <c r="L886" s="3"/>
      <c r="M886" s="3"/>
    </row>
    <row r="887" spans="1:13" x14ac:dyDescent="0.45">
      <c r="A887" t="s">
        <v>18</v>
      </c>
      <c r="B887" t="s">
        <v>36</v>
      </c>
      <c r="C887" t="s">
        <v>23</v>
      </c>
      <c r="D887" s="27">
        <v>0</v>
      </c>
      <c r="E887" s="3" t="s">
        <v>41</v>
      </c>
      <c r="F887" s="23">
        <v>110000000</v>
      </c>
      <c r="G887" s="3" t="s">
        <v>41</v>
      </c>
      <c r="I887" s="25" t="str">
        <f t="shared" si="149"/>
        <v/>
      </c>
      <c r="J887" s="25" t="str">
        <f t="shared" si="149"/>
        <v/>
      </c>
      <c r="L887" s="3"/>
      <c r="M887" s="3"/>
    </row>
    <row r="888" spans="1:13" x14ac:dyDescent="0.45">
      <c r="A888" t="s">
        <v>19</v>
      </c>
      <c r="B888" t="s">
        <v>36</v>
      </c>
      <c r="C888" t="s">
        <v>23</v>
      </c>
      <c r="D888" s="27">
        <v>0</v>
      </c>
      <c r="E888" s="3" t="s">
        <v>41</v>
      </c>
      <c r="F888" s="23">
        <v>0</v>
      </c>
      <c r="G888" s="3" t="s">
        <v>41</v>
      </c>
      <c r="I888" s="25" t="str">
        <f t="shared" si="149"/>
        <v/>
      </c>
      <c r="J888" s="25" t="str">
        <f t="shared" si="149"/>
        <v/>
      </c>
      <c r="L888" s="3"/>
      <c r="M888" s="3"/>
    </row>
    <row r="889" spans="1:13" x14ac:dyDescent="0.45">
      <c r="A889" t="s">
        <v>20</v>
      </c>
      <c r="B889" t="s">
        <v>36</v>
      </c>
      <c r="C889" t="s">
        <v>23</v>
      </c>
      <c r="D889" s="27">
        <v>0</v>
      </c>
      <c r="E889" s="3" t="s">
        <v>41</v>
      </c>
      <c r="F889" s="23">
        <v>0</v>
      </c>
      <c r="G889" s="3" t="s">
        <v>41</v>
      </c>
      <c r="I889" s="25" t="str">
        <f t="shared" si="149"/>
        <v/>
      </c>
      <c r="J889" s="25" t="str">
        <f t="shared" si="149"/>
        <v/>
      </c>
      <c r="L889" s="3"/>
      <c r="M889" s="3"/>
    </row>
    <row r="890" spans="1:13" x14ac:dyDescent="0.45">
      <c r="A890" t="s">
        <v>7</v>
      </c>
      <c r="B890" t="s">
        <v>36</v>
      </c>
      <c r="C890" t="s">
        <v>24</v>
      </c>
      <c r="D890" s="27">
        <v>0</v>
      </c>
      <c r="E890" s="3">
        <v>0</v>
      </c>
      <c r="F890" s="23">
        <v>0</v>
      </c>
      <c r="G890" s="3">
        <v>0</v>
      </c>
      <c r="I890" s="22">
        <f t="shared" ref="I890:J890" si="156">IF(L890="","",L890)</f>
        <v>0</v>
      </c>
      <c r="J890" s="22">
        <f t="shared" si="156"/>
        <v>0</v>
      </c>
      <c r="L890" s="3">
        <v>0</v>
      </c>
      <c r="M890" s="3">
        <v>0</v>
      </c>
    </row>
    <row r="891" spans="1:13" x14ac:dyDescent="0.45">
      <c r="A891" t="s">
        <v>10</v>
      </c>
      <c r="B891" t="s">
        <v>36</v>
      </c>
      <c r="C891" t="s">
        <v>24</v>
      </c>
      <c r="D891" s="28">
        <v>0</v>
      </c>
      <c r="E891" s="4">
        <v>0</v>
      </c>
      <c r="F891" s="24">
        <v>0</v>
      </c>
      <c r="G891" s="4">
        <v>0</v>
      </c>
      <c r="I891" s="25">
        <f t="shared" ref="I891:J891" si="157">IF(L891="","",L891-L890)</f>
        <v>0</v>
      </c>
      <c r="J891" s="25">
        <f t="shared" si="157"/>
        <v>0</v>
      </c>
      <c r="L891" s="4">
        <v>0</v>
      </c>
      <c r="M891" s="4">
        <v>0</v>
      </c>
    </row>
    <row r="892" spans="1:13" x14ac:dyDescent="0.45">
      <c r="A892" t="s">
        <v>11</v>
      </c>
      <c r="B892" t="s">
        <v>36</v>
      </c>
      <c r="C892" t="s">
        <v>24</v>
      </c>
      <c r="D892" s="27">
        <v>0</v>
      </c>
      <c r="E892" s="3">
        <v>0</v>
      </c>
      <c r="F892" s="23">
        <v>0</v>
      </c>
      <c r="G892" s="3">
        <v>0</v>
      </c>
      <c r="I892" s="25">
        <f t="shared" si="149"/>
        <v>0</v>
      </c>
      <c r="J892" s="25">
        <f t="shared" si="149"/>
        <v>0</v>
      </c>
      <c r="L892" s="29">
        <f>SUMIFS(Pivot_!C:C,Pivot_!A:A,'Hitung Per Bulan'!B892,Pivot_!B:B,'Hitung Per Bulan'!C892)</f>
        <v>0</v>
      </c>
      <c r="M892" s="29">
        <f>SUMIFS(Pivot_!D:D,Pivot_!A:A,'Hitung Per Bulan'!B892,Pivot_!B:B,'Hitung Per Bulan'!C892)</f>
        <v>0</v>
      </c>
    </row>
    <row r="893" spans="1:13" x14ac:dyDescent="0.45">
      <c r="A893" t="s">
        <v>12</v>
      </c>
      <c r="B893" t="s">
        <v>36</v>
      </c>
      <c r="C893" t="s">
        <v>24</v>
      </c>
      <c r="D893" s="27">
        <v>0</v>
      </c>
      <c r="E893" s="3" t="s">
        <v>41</v>
      </c>
      <c r="F893" s="23">
        <v>0</v>
      </c>
      <c r="G893" s="3" t="s">
        <v>41</v>
      </c>
      <c r="I893" s="25" t="str">
        <f t="shared" si="149"/>
        <v/>
      </c>
      <c r="J893" s="25" t="str">
        <f t="shared" si="149"/>
        <v/>
      </c>
      <c r="L893" s="3"/>
      <c r="M893" s="3"/>
    </row>
    <row r="894" spans="1:13" x14ac:dyDescent="0.45">
      <c r="A894" t="s">
        <v>13</v>
      </c>
      <c r="B894" t="s">
        <v>36</v>
      </c>
      <c r="C894" t="s">
        <v>24</v>
      </c>
      <c r="D894" s="27">
        <v>0</v>
      </c>
      <c r="E894" s="3" t="s">
        <v>41</v>
      </c>
      <c r="F894" s="23">
        <v>0</v>
      </c>
      <c r="G894" s="3" t="s">
        <v>41</v>
      </c>
      <c r="I894" s="25" t="str">
        <f t="shared" si="149"/>
        <v/>
      </c>
      <c r="J894" s="25" t="str">
        <f t="shared" si="149"/>
        <v/>
      </c>
      <c r="L894" s="3"/>
      <c r="M894" s="3"/>
    </row>
    <row r="895" spans="1:13" x14ac:dyDescent="0.45">
      <c r="A895" t="s">
        <v>14</v>
      </c>
      <c r="B895" t="s">
        <v>36</v>
      </c>
      <c r="C895" t="s">
        <v>24</v>
      </c>
      <c r="D895" s="27">
        <v>0</v>
      </c>
      <c r="E895" s="3" t="s">
        <v>41</v>
      </c>
      <c r="F895" s="23">
        <v>0</v>
      </c>
      <c r="G895" s="3" t="s">
        <v>41</v>
      </c>
      <c r="I895" s="25" t="str">
        <f t="shared" si="149"/>
        <v/>
      </c>
      <c r="J895" s="25" t="str">
        <f t="shared" si="149"/>
        <v/>
      </c>
      <c r="L895" s="3"/>
      <c r="M895" s="3"/>
    </row>
    <row r="896" spans="1:13" x14ac:dyDescent="0.45">
      <c r="A896" t="s">
        <v>15</v>
      </c>
      <c r="B896" t="s">
        <v>36</v>
      </c>
      <c r="C896" t="s">
        <v>24</v>
      </c>
      <c r="D896" s="27">
        <v>0</v>
      </c>
      <c r="E896" s="3" t="s">
        <v>41</v>
      </c>
      <c r="F896" s="23">
        <v>0</v>
      </c>
      <c r="G896" s="3" t="s">
        <v>41</v>
      </c>
      <c r="I896" s="25" t="str">
        <f t="shared" si="149"/>
        <v/>
      </c>
      <c r="J896" s="25" t="str">
        <f t="shared" si="149"/>
        <v/>
      </c>
      <c r="L896" s="3"/>
      <c r="M896" s="3"/>
    </row>
    <row r="897" spans="1:13" x14ac:dyDescent="0.45">
      <c r="A897" t="s">
        <v>16</v>
      </c>
      <c r="B897" t="s">
        <v>36</v>
      </c>
      <c r="C897" t="s">
        <v>24</v>
      </c>
      <c r="D897" s="27">
        <v>0</v>
      </c>
      <c r="E897" s="3" t="s">
        <v>41</v>
      </c>
      <c r="F897" s="23">
        <v>0</v>
      </c>
      <c r="G897" s="3" t="s">
        <v>41</v>
      </c>
      <c r="I897" s="25" t="str">
        <f t="shared" si="149"/>
        <v/>
      </c>
      <c r="J897" s="25" t="str">
        <f t="shared" si="149"/>
        <v/>
      </c>
      <c r="L897" s="3"/>
      <c r="M897" s="3"/>
    </row>
    <row r="898" spans="1:13" x14ac:dyDescent="0.45">
      <c r="A898" t="s">
        <v>17</v>
      </c>
      <c r="B898" t="s">
        <v>36</v>
      </c>
      <c r="C898" t="s">
        <v>24</v>
      </c>
      <c r="D898" s="27">
        <v>0</v>
      </c>
      <c r="E898" s="3" t="s">
        <v>41</v>
      </c>
      <c r="F898" s="23">
        <v>0</v>
      </c>
      <c r="G898" s="3" t="s">
        <v>41</v>
      </c>
      <c r="I898" s="25" t="str">
        <f t="shared" si="149"/>
        <v/>
      </c>
      <c r="J898" s="25" t="str">
        <f t="shared" si="149"/>
        <v/>
      </c>
      <c r="L898" s="3"/>
      <c r="M898" s="3"/>
    </row>
    <row r="899" spans="1:13" x14ac:dyDescent="0.45">
      <c r="A899" t="s">
        <v>18</v>
      </c>
      <c r="B899" t="s">
        <v>36</v>
      </c>
      <c r="C899" t="s">
        <v>24</v>
      </c>
      <c r="D899" s="27">
        <v>0</v>
      </c>
      <c r="E899" s="3" t="s">
        <v>41</v>
      </c>
      <c r="F899" s="23">
        <v>0</v>
      </c>
      <c r="G899" s="3" t="s">
        <v>41</v>
      </c>
      <c r="I899" s="25" t="str">
        <f t="shared" si="149"/>
        <v/>
      </c>
      <c r="J899" s="25" t="str">
        <f t="shared" si="149"/>
        <v/>
      </c>
      <c r="L899" s="3"/>
      <c r="M899" s="3"/>
    </row>
    <row r="900" spans="1:13" x14ac:dyDescent="0.45">
      <c r="A900" t="s">
        <v>19</v>
      </c>
      <c r="B900" t="s">
        <v>36</v>
      </c>
      <c r="C900" t="s">
        <v>24</v>
      </c>
      <c r="D900" s="27">
        <v>0</v>
      </c>
      <c r="E900" s="3" t="s">
        <v>41</v>
      </c>
      <c r="F900" s="23">
        <v>0</v>
      </c>
      <c r="G900" s="3" t="s">
        <v>41</v>
      </c>
      <c r="I900" s="25" t="str">
        <f t="shared" si="149"/>
        <v/>
      </c>
      <c r="J900" s="25" t="str">
        <f t="shared" si="149"/>
        <v/>
      </c>
      <c r="L900" s="3"/>
      <c r="M900" s="3"/>
    </row>
    <row r="901" spans="1:13" x14ac:dyDescent="0.45">
      <c r="A901" t="s">
        <v>20</v>
      </c>
      <c r="B901" t="s">
        <v>36</v>
      </c>
      <c r="C901" t="s">
        <v>24</v>
      </c>
      <c r="D901" s="27">
        <v>0</v>
      </c>
      <c r="E901" s="3" t="s">
        <v>41</v>
      </c>
      <c r="F901" s="23">
        <v>0</v>
      </c>
      <c r="G901" s="3" t="s">
        <v>41</v>
      </c>
      <c r="I901" s="25" t="str">
        <f t="shared" si="149"/>
        <v/>
      </c>
      <c r="J901" s="25" t="str">
        <f t="shared" si="149"/>
        <v/>
      </c>
      <c r="L901" s="3"/>
      <c r="M901" s="3"/>
    </row>
    <row r="902" spans="1:13" x14ac:dyDescent="0.45">
      <c r="A902" t="s">
        <v>7</v>
      </c>
      <c r="B902" t="s">
        <v>36</v>
      </c>
      <c r="C902" t="s">
        <v>25</v>
      </c>
      <c r="D902" s="27">
        <v>65075000</v>
      </c>
      <c r="E902" s="3">
        <v>66980000</v>
      </c>
      <c r="F902" s="23">
        <v>65075000</v>
      </c>
      <c r="G902" s="3">
        <v>33275000</v>
      </c>
      <c r="I902" s="22">
        <f t="shared" ref="I902:J902" si="158">IF(L902="","",L902)</f>
        <v>66980000</v>
      </c>
      <c r="J902" s="22">
        <f t="shared" si="158"/>
        <v>33275000</v>
      </c>
      <c r="L902" s="3">
        <v>66980000</v>
      </c>
      <c r="M902" s="3">
        <v>33275000</v>
      </c>
    </row>
    <row r="903" spans="1:13" x14ac:dyDescent="0.45">
      <c r="A903" t="s">
        <v>10</v>
      </c>
      <c r="B903" t="s">
        <v>36</v>
      </c>
      <c r="C903" t="s">
        <v>25</v>
      </c>
      <c r="D903" s="28">
        <v>32625000</v>
      </c>
      <c r="E903" s="4">
        <v>131493477</v>
      </c>
      <c r="F903" s="24">
        <v>32625000</v>
      </c>
      <c r="G903" s="4">
        <v>44852000</v>
      </c>
      <c r="I903" s="25">
        <f t="shared" ref="I903:J903" si="159">IF(L903="","",L903-L902)</f>
        <v>131493477</v>
      </c>
      <c r="J903" s="25">
        <f t="shared" si="159"/>
        <v>44852000</v>
      </c>
      <c r="L903" s="4">
        <v>198473477</v>
      </c>
      <c r="M903" s="4">
        <v>78127000</v>
      </c>
    </row>
    <row r="904" spans="1:13" x14ac:dyDescent="0.45">
      <c r="A904" t="s">
        <v>11</v>
      </c>
      <c r="B904" t="s">
        <v>36</v>
      </c>
      <c r="C904" t="s">
        <v>25</v>
      </c>
      <c r="D904" s="27">
        <v>27425000</v>
      </c>
      <c r="E904" s="3">
        <v>-11791000</v>
      </c>
      <c r="F904" s="23">
        <v>27425000</v>
      </c>
      <c r="G904" s="3">
        <v>55343462</v>
      </c>
      <c r="I904" s="25">
        <f t="shared" si="149"/>
        <v>-10832065</v>
      </c>
      <c r="J904" s="25">
        <f t="shared" si="149"/>
        <v>75280412</v>
      </c>
      <c r="L904" s="29">
        <f>SUMIFS(Pivot_!C:C,Pivot_!A:A,'Hitung Per Bulan'!B904,Pivot_!B:B,'Hitung Per Bulan'!C904)</f>
        <v>187641412</v>
      </c>
      <c r="M904" s="29">
        <f>SUMIFS(Pivot_!D:D,Pivot_!A:A,'Hitung Per Bulan'!B904,Pivot_!B:B,'Hitung Per Bulan'!C904)</f>
        <v>153407412</v>
      </c>
    </row>
    <row r="905" spans="1:13" x14ac:dyDescent="0.45">
      <c r="A905" t="s">
        <v>12</v>
      </c>
      <c r="B905" t="s">
        <v>36</v>
      </c>
      <c r="C905" t="s">
        <v>25</v>
      </c>
      <c r="D905" s="27">
        <v>253975000</v>
      </c>
      <c r="E905" s="3" t="s">
        <v>41</v>
      </c>
      <c r="F905" s="23">
        <v>253975000</v>
      </c>
      <c r="G905" s="3" t="s">
        <v>41</v>
      </c>
      <c r="I905" s="25" t="str">
        <f t="shared" si="149"/>
        <v/>
      </c>
      <c r="J905" s="25" t="str">
        <f t="shared" si="149"/>
        <v/>
      </c>
      <c r="L905" s="3"/>
      <c r="M905" s="3"/>
    </row>
    <row r="906" spans="1:13" x14ac:dyDescent="0.45">
      <c r="A906" t="s">
        <v>13</v>
      </c>
      <c r="B906" t="s">
        <v>36</v>
      </c>
      <c r="C906" t="s">
        <v>25</v>
      </c>
      <c r="D906" s="27">
        <v>23925000</v>
      </c>
      <c r="E906" s="3" t="s">
        <v>41</v>
      </c>
      <c r="F906" s="23">
        <v>23925000</v>
      </c>
      <c r="G906" s="3" t="s">
        <v>41</v>
      </c>
      <c r="I906" s="25" t="str">
        <f t="shared" si="149"/>
        <v/>
      </c>
      <c r="J906" s="25" t="str">
        <f t="shared" si="149"/>
        <v/>
      </c>
      <c r="L906" s="3"/>
      <c r="M906" s="3"/>
    </row>
    <row r="907" spans="1:13" x14ac:dyDescent="0.45">
      <c r="A907" t="s">
        <v>14</v>
      </c>
      <c r="B907" t="s">
        <v>36</v>
      </c>
      <c r="C907" t="s">
        <v>25</v>
      </c>
      <c r="D907" s="27">
        <v>35725000</v>
      </c>
      <c r="E907" s="3" t="s">
        <v>41</v>
      </c>
      <c r="F907" s="23">
        <v>35725000</v>
      </c>
      <c r="G907" s="3" t="s">
        <v>41</v>
      </c>
      <c r="I907" s="25" t="str">
        <f t="shared" si="149"/>
        <v/>
      </c>
      <c r="J907" s="25" t="str">
        <f t="shared" si="149"/>
        <v/>
      </c>
      <c r="L907" s="3"/>
      <c r="M907" s="3"/>
    </row>
    <row r="908" spans="1:13" x14ac:dyDescent="0.45">
      <c r="A908" t="s">
        <v>15</v>
      </c>
      <c r="B908" t="s">
        <v>36</v>
      </c>
      <c r="C908" t="s">
        <v>25</v>
      </c>
      <c r="D908" s="27">
        <v>64675000</v>
      </c>
      <c r="E908" s="3" t="s">
        <v>41</v>
      </c>
      <c r="F908" s="23">
        <v>64675000</v>
      </c>
      <c r="G908" s="3" t="s">
        <v>41</v>
      </c>
      <c r="I908" s="25" t="str">
        <f t="shared" si="149"/>
        <v/>
      </c>
      <c r="J908" s="25" t="str">
        <f t="shared" si="149"/>
        <v/>
      </c>
      <c r="L908" s="3"/>
      <c r="M908" s="3"/>
    </row>
    <row r="909" spans="1:13" x14ac:dyDescent="0.45">
      <c r="A909" t="s">
        <v>16</v>
      </c>
      <c r="B909" t="s">
        <v>36</v>
      </c>
      <c r="C909" t="s">
        <v>25</v>
      </c>
      <c r="D909" s="27">
        <v>172225000</v>
      </c>
      <c r="E909" s="3" t="s">
        <v>41</v>
      </c>
      <c r="F909" s="23">
        <v>32225000</v>
      </c>
      <c r="G909" s="3" t="s">
        <v>41</v>
      </c>
      <c r="I909" s="25" t="str">
        <f t="shared" si="149"/>
        <v/>
      </c>
      <c r="J909" s="25" t="str">
        <f t="shared" si="149"/>
        <v/>
      </c>
      <c r="L909" s="3"/>
      <c r="M909" s="3"/>
    </row>
    <row r="910" spans="1:13" x14ac:dyDescent="0.45">
      <c r="A910" t="s">
        <v>17</v>
      </c>
      <c r="B910" t="s">
        <v>36</v>
      </c>
      <c r="C910" t="s">
        <v>25</v>
      </c>
      <c r="D910" s="27">
        <v>152425000</v>
      </c>
      <c r="E910" s="3" t="s">
        <v>41</v>
      </c>
      <c r="F910" s="23">
        <v>152425000</v>
      </c>
      <c r="G910" s="3" t="s">
        <v>41</v>
      </c>
      <c r="I910" s="25" t="str">
        <f t="shared" si="149"/>
        <v/>
      </c>
      <c r="J910" s="25" t="str">
        <f t="shared" si="149"/>
        <v/>
      </c>
      <c r="L910" s="3"/>
      <c r="M910" s="3"/>
    </row>
    <row r="911" spans="1:13" x14ac:dyDescent="0.45">
      <c r="A911" t="s">
        <v>18</v>
      </c>
      <c r="B911" t="s">
        <v>36</v>
      </c>
      <c r="C911" t="s">
        <v>25</v>
      </c>
      <c r="D911" s="27">
        <v>72975000</v>
      </c>
      <c r="E911" s="3" t="s">
        <v>41</v>
      </c>
      <c r="F911" s="23">
        <v>212975000</v>
      </c>
      <c r="G911" s="3" t="s">
        <v>41</v>
      </c>
      <c r="I911" s="25" t="str">
        <f t="shared" ref="I911:J973" si="160">IF(L911="","",L911-L910)</f>
        <v/>
      </c>
      <c r="J911" s="25" t="str">
        <f t="shared" si="160"/>
        <v/>
      </c>
      <c r="L911" s="3"/>
      <c r="M911" s="3"/>
    </row>
    <row r="912" spans="1:13" x14ac:dyDescent="0.45">
      <c r="A912" t="s">
        <v>19</v>
      </c>
      <c r="B912" t="s">
        <v>36</v>
      </c>
      <c r="C912" t="s">
        <v>25</v>
      </c>
      <c r="D912" s="27">
        <v>23925000</v>
      </c>
      <c r="E912" s="3" t="s">
        <v>41</v>
      </c>
      <c r="F912" s="23">
        <v>23925000</v>
      </c>
      <c r="G912" s="3" t="s">
        <v>41</v>
      </c>
      <c r="I912" s="25" t="str">
        <f t="shared" si="160"/>
        <v/>
      </c>
      <c r="J912" s="25" t="str">
        <f t="shared" si="160"/>
        <v/>
      </c>
      <c r="L912" s="3"/>
      <c r="M912" s="3"/>
    </row>
    <row r="913" spans="1:13" x14ac:dyDescent="0.45">
      <c r="A913" t="s">
        <v>20</v>
      </c>
      <c r="B913" t="s">
        <v>36</v>
      </c>
      <c r="C913" t="s">
        <v>25</v>
      </c>
      <c r="D913" s="27">
        <v>35725000</v>
      </c>
      <c r="E913" s="3" t="s">
        <v>41</v>
      </c>
      <c r="F913" s="23">
        <v>35725000</v>
      </c>
      <c r="G913" s="3" t="s">
        <v>41</v>
      </c>
      <c r="I913" s="25" t="str">
        <f t="shared" si="160"/>
        <v/>
      </c>
      <c r="J913" s="25" t="str">
        <f t="shared" si="160"/>
        <v/>
      </c>
      <c r="L913" s="3"/>
      <c r="M913" s="3"/>
    </row>
    <row r="914" spans="1:13" x14ac:dyDescent="0.45">
      <c r="A914" t="s">
        <v>7</v>
      </c>
      <c r="B914" t="s">
        <v>36</v>
      </c>
      <c r="C914" t="s">
        <v>26</v>
      </c>
      <c r="D914" s="27">
        <v>34257000</v>
      </c>
      <c r="E914" s="3">
        <v>35093864</v>
      </c>
      <c r="F914" s="23">
        <v>34257000</v>
      </c>
      <c r="G914" s="3">
        <v>35093864</v>
      </c>
      <c r="I914" s="22">
        <f t="shared" ref="I914:J914" si="161">IF(L914="","",L914)</f>
        <v>35093864</v>
      </c>
      <c r="J914" s="22">
        <f t="shared" si="161"/>
        <v>35093864</v>
      </c>
      <c r="L914" s="3">
        <v>35093864</v>
      </c>
      <c r="M914" s="3">
        <v>35093864</v>
      </c>
    </row>
    <row r="915" spans="1:13" x14ac:dyDescent="0.45">
      <c r="A915" t="s">
        <v>10</v>
      </c>
      <c r="B915" t="s">
        <v>36</v>
      </c>
      <c r="C915" t="s">
        <v>26</v>
      </c>
      <c r="D915" s="28">
        <v>34256000</v>
      </c>
      <c r="E915" s="4">
        <v>35802840</v>
      </c>
      <c r="F915" s="24">
        <v>34256000</v>
      </c>
      <c r="G915" s="4">
        <v>34478198</v>
      </c>
      <c r="I915" s="25">
        <f t="shared" ref="I915:J915" si="162">IF(L915="","",L915-L914)</f>
        <v>35802840</v>
      </c>
      <c r="J915" s="25">
        <f t="shared" si="162"/>
        <v>34478198</v>
      </c>
      <c r="L915" s="4">
        <v>70896704</v>
      </c>
      <c r="M915" s="4">
        <v>69572062</v>
      </c>
    </row>
    <row r="916" spans="1:13" x14ac:dyDescent="0.45">
      <c r="A916" t="s">
        <v>11</v>
      </c>
      <c r="B916" t="s">
        <v>36</v>
      </c>
      <c r="C916" t="s">
        <v>26</v>
      </c>
      <c r="D916" s="27">
        <v>34257000</v>
      </c>
      <c r="E916" s="3">
        <v>1639740</v>
      </c>
      <c r="F916" s="23">
        <v>34257000</v>
      </c>
      <c r="G916" s="3">
        <v>1324642</v>
      </c>
      <c r="I916" s="25">
        <f t="shared" si="160"/>
        <v>1639740</v>
      </c>
      <c r="J916" s="25">
        <f t="shared" si="160"/>
        <v>1324642</v>
      </c>
      <c r="L916" s="29">
        <f>SUMIFS(Pivot_!C:C,Pivot_!A:A,'Hitung Per Bulan'!B916,Pivot_!B:B,'Hitung Per Bulan'!C916)</f>
        <v>72536444</v>
      </c>
      <c r="M916" s="29">
        <f>SUMIFS(Pivot_!D:D,Pivot_!A:A,'Hitung Per Bulan'!B916,Pivot_!B:B,'Hitung Per Bulan'!C916)</f>
        <v>70896704</v>
      </c>
    </row>
    <row r="917" spans="1:13" x14ac:dyDescent="0.45">
      <c r="A917" t="s">
        <v>12</v>
      </c>
      <c r="B917" t="s">
        <v>36</v>
      </c>
      <c r="C917" t="s">
        <v>26</v>
      </c>
      <c r="D917" s="27">
        <v>34256000</v>
      </c>
      <c r="E917" s="3" t="s">
        <v>41</v>
      </c>
      <c r="F917" s="23">
        <v>34256000</v>
      </c>
      <c r="G917" s="3" t="s">
        <v>41</v>
      </c>
      <c r="I917" s="25" t="str">
        <f t="shared" si="160"/>
        <v/>
      </c>
      <c r="J917" s="25" t="str">
        <f t="shared" si="160"/>
        <v/>
      </c>
      <c r="L917" s="3"/>
      <c r="M917" s="3"/>
    </row>
    <row r="918" spans="1:13" x14ac:dyDescent="0.45">
      <c r="A918" t="s">
        <v>13</v>
      </c>
      <c r="B918" t="s">
        <v>36</v>
      </c>
      <c r="C918" t="s">
        <v>26</v>
      </c>
      <c r="D918" s="27">
        <v>34257000</v>
      </c>
      <c r="E918" s="3" t="s">
        <v>41</v>
      </c>
      <c r="F918" s="23">
        <v>34257000</v>
      </c>
      <c r="G918" s="3" t="s">
        <v>41</v>
      </c>
      <c r="I918" s="25" t="str">
        <f t="shared" si="160"/>
        <v/>
      </c>
      <c r="J918" s="25" t="str">
        <f t="shared" si="160"/>
        <v/>
      </c>
      <c r="L918" s="3"/>
      <c r="M918" s="3"/>
    </row>
    <row r="919" spans="1:13" x14ac:dyDescent="0.45">
      <c r="A919" t="s">
        <v>14</v>
      </c>
      <c r="B919" t="s">
        <v>36</v>
      </c>
      <c r="C919" t="s">
        <v>26</v>
      </c>
      <c r="D919" s="27">
        <v>34257000</v>
      </c>
      <c r="E919" s="3" t="s">
        <v>41</v>
      </c>
      <c r="F919" s="23">
        <v>34257000</v>
      </c>
      <c r="G919" s="3" t="s">
        <v>41</v>
      </c>
      <c r="I919" s="25" t="str">
        <f t="shared" si="160"/>
        <v/>
      </c>
      <c r="J919" s="25" t="str">
        <f t="shared" si="160"/>
        <v/>
      </c>
      <c r="L919" s="3"/>
      <c r="M919" s="3"/>
    </row>
    <row r="920" spans="1:13" x14ac:dyDescent="0.45">
      <c r="A920" t="s">
        <v>15</v>
      </c>
      <c r="B920" t="s">
        <v>36</v>
      </c>
      <c r="C920" t="s">
        <v>26</v>
      </c>
      <c r="D920" s="27">
        <v>34257000</v>
      </c>
      <c r="E920" s="3" t="s">
        <v>41</v>
      </c>
      <c r="F920" s="23">
        <v>34257000</v>
      </c>
      <c r="G920" s="3" t="s">
        <v>41</v>
      </c>
      <c r="I920" s="25" t="str">
        <f t="shared" si="160"/>
        <v/>
      </c>
      <c r="J920" s="25" t="str">
        <f t="shared" si="160"/>
        <v/>
      </c>
      <c r="L920" s="3"/>
      <c r="M920" s="3"/>
    </row>
    <row r="921" spans="1:13" x14ac:dyDescent="0.45">
      <c r="A921" t="s">
        <v>16</v>
      </c>
      <c r="B921" t="s">
        <v>36</v>
      </c>
      <c r="C921" t="s">
        <v>26</v>
      </c>
      <c r="D921" s="27">
        <v>34256000</v>
      </c>
      <c r="E921" s="3" t="s">
        <v>41</v>
      </c>
      <c r="F921" s="23">
        <v>34256000</v>
      </c>
      <c r="G921" s="3" t="s">
        <v>41</v>
      </c>
      <c r="I921" s="25" t="str">
        <f t="shared" si="160"/>
        <v/>
      </c>
      <c r="J921" s="25" t="str">
        <f t="shared" si="160"/>
        <v/>
      </c>
      <c r="L921" s="3"/>
      <c r="M921" s="3"/>
    </row>
    <row r="922" spans="1:13" x14ac:dyDescent="0.45">
      <c r="A922" t="s">
        <v>17</v>
      </c>
      <c r="B922" t="s">
        <v>36</v>
      </c>
      <c r="C922" t="s">
        <v>26</v>
      </c>
      <c r="D922" s="27">
        <v>34257000</v>
      </c>
      <c r="E922" s="3" t="s">
        <v>41</v>
      </c>
      <c r="F922" s="23">
        <v>34257000</v>
      </c>
      <c r="G922" s="3" t="s">
        <v>41</v>
      </c>
      <c r="I922" s="25" t="str">
        <f t="shared" si="160"/>
        <v/>
      </c>
      <c r="J922" s="25" t="str">
        <f t="shared" si="160"/>
        <v/>
      </c>
      <c r="L922" s="3"/>
      <c r="M922" s="3"/>
    </row>
    <row r="923" spans="1:13" x14ac:dyDescent="0.45">
      <c r="A923" t="s">
        <v>18</v>
      </c>
      <c r="B923" t="s">
        <v>36</v>
      </c>
      <c r="C923" t="s">
        <v>26</v>
      </c>
      <c r="D923" s="27">
        <v>34256000</v>
      </c>
      <c r="E923" s="3" t="s">
        <v>41</v>
      </c>
      <c r="F923" s="23">
        <v>34256000</v>
      </c>
      <c r="G923" s="3" t="s">
        <v>41</v>
      </c>
      <c r="I923" s="25" t="str">
        <f t="shared" si="160"/>
        <v/>
      </c>
      <c r="J923" s="25" t="str">
        <f t="shared" si="160"/>
        <v/>
      </c>
      <c r="L923" s="3"/>
      <c r="M923" s="3"/>
    </row>
    <row r="924" spans="1:13" x14ac:dyDescent="0.45">
      <c r="A924" t="s">
        <v>19</v>
      </c>
      <c r="B924" t="s">
        <v>36</v>
      </c>
      <c r="C924" t="s">
        <v>26</v>
      </c>
      <c r="D924" s="27">
        <v>34257000</v>
      </c>
      <c r="E924" s="3" t="s">
        <v>41</v>
      </c>
      <c r="F924" s="23">
        <v>34257000</v>
      </c>
      <c r="G924" s="3" t="s">
        <v>41</v>
      </c>
      <c r="I924" s="25" t="str">
        <f t="shared" si="160"/>
        <v/>
      </c>
      <c r="J924" s="25" t="str">
        <f t="shared" si="160"/>
        <v/>
      </c>
      <c r="L924" s="3"/>
      <c r="M924" s="3"/>
    </row>
    <row r="925" spans="1:13" x14ac:dyDescent="0.45">
      <c r="A925" t="s">
        <v>20</v>
      </c>
      <c r="B925" t="s">
        <v>36</v>
      </c>
      <c r="C925" t="s">
        <v>26</v>
      </c>
      <c r="D925" s="27">
        <v>34257000</v>
      </c>
      <c r="E925" s="3" t="s">
        <v>41</v>
      </c>
      <c r="F925" s="23">
        <v>34257000</v>
      </c>
      <c r="G925" s="3" t="s">
        <v>41</v>
      </c>
      <c r="I925" s="25" t="str">
        <f t="shared" si="160"/>
        <v/>
      </c>
      <c r="J925" s="25" t="str">
        <f t="shared" si="160"/>
        <v/>
      </c>
      <c r="L925" s="3"/>
      <c r="M925" s="3"/>
    </row>
    <row r="926" spans="1:13" x14ac:dyDescent="0.45">
      <c r="A926" t="s">
        <v>7</v>
      </c>
      <c r="B926" t="s">
        <v>37</v>
      </c>
      <c r="C926" t="s">
        <v>9</v>
      </c>
      <c r="D926" s="27">
        <v>0</v>
      </c>
      <c r="E926" s="3">
        <v>0</v>
      </c>
      <c r="F926" s="23">
        <v>0</v>
      </c>
      <c r="G926" s="3">
        <v>0</v>
      </c>
      <c r="I926" s="22">
        <f t="shared" ref="I926:J926" si="163">IF(L926="","",L926)</f>
        <v>0</v>
      </c>
      <c r="J926" s="22">
        <f t="shared" si="163"/>
        <v>0</v>
      </c>
      <c r="L926" s="3">
        <v>0</v>
      </c>
      <c r="M926" s="3">
        <v>0</v>
      </c>
    </row>
    <row r="927" spans="1:13" x14ac:dyDescent="0.45">
      <c r="A927" t="s">
        <v>10</v>
      </c>
      <c r="B927" t="s">
        <v>37</v>
      </c>
      <c r="C927" t="s">
        <v>9</v>
      </c>
      <c r="D927" s="28">
        <v>147500000</v>
      </c>
      <c r="E927" s="4">
        <v>660310335</v>
      </c>
      <c r="F927" s="24">
        <v>0</v>
      </c>
      <c r="G927" s="4">
        <v>0</v>
      </c>
      <c r="I927" s="25">
        <f t="shared" ref="I927:J927" si="164">IF(L927="","",L927-L926)</f>
        <v>660310335</v>
      </c>
      <c r="J927" s="25">
        <f t="shared" si="164"/>
        <v>0</v>
      </c>
      <c r="L927" s="4">
        <v>660310335</v>
      </c>
      <c r="M927" s="4">
        <v>0</v>
      </c>
    </row>
    <row r="928" spans="1:13" x14ac:dyDescent="0.45">
      <c r="A928" t="s">
        <v>11</v>
      </c>
      <c r="B928" t="s">
        <v>37</v>
      </c>
      <c r="C928" t="s">
        <v>9</v>
      </c>
      <c r="D928" s="27">
        <v>4975166000</v>
      </c>
      <c r="E928" s="3">
        <v>82094080</v>
      </c>
      <c r="F928" s="23">
        <v>0</v>
      </c>
      <c r="G928" s="3">
        <v>0</v>
      </c>
      <c r="I928" s="25">
        <f t="shared" si="160"/>
        <v>82094080</v>
      </c>
      <c r="J928" s="25">
        <f t="shared" si="160"/>
        <v>0</v>
      </c>
      <c r="L928" s="29">
        <f>SUMIFS(Pivot_!C:C,Pivot_!A:A,'Hitung Per Bulan'!B928,Pivot_!B:B,'Hitung Per Bulan'!C928)</f>
        <v>742404415</v>
      </c>
      <c r="M928" s="29">
        <f>SUMIFS(Pivot_!D:D,Pivot_!A:A,'Hitung Per Bulan'!B928,Pivot_!B:B,'Hitung Per Bulan'!C928)</f>
        <v>0</v>
      </c>
    </row>
    <row r="929" spans="1:13" x14ac:dyDescent="0.45">
      <c r="A929" t="s">
        <v>12</v>
      </c>
      <c r="B929" t="s">
        <v>37</v>
      </c>
      <c r="C929" t="s">
        <v>9</v>
      </c>
      <c r="D929" s="27">
        <v>1596468000</v>
      </c>
      <c r="E929" s="3" t="s">
        <v>41</v>
      </c>
      <c r="F929" s="23">
        <v>50000000</v>
      </c>
      <c r="G929" s="3" t="s">
        <v>41</v>
      </c>
      <c r="I929" s="25" t="str">
        <f t="shared" si="160"/>
        <v/>
      </c>
      <c r="J929" s="25" t="str">
        <f t="shared" si="160"/>
        <v/>
      </c>
      <c r="L929" s="3"/>
      <c r="M929" s="3"/>
    </row>
    <row r="930" spans="1:13" x14ac:dyDescent="0.45">
      <c r="A930" t="s">
        <v>13</v>
      </c>
      <c r="B930" t="s">
        <v>37</v>
      </c>
      <c r="C930" t="s">
        <v>9</v>
      </c>
      <c r="D930" s="27">
        <v>1166224000</v>
      </c>
      <c r="E930" s="3" t="s">
        <v>41</v>
      </c>
      <c r="F930" s="23">
        <v>147500000</v>
      </c>
      <c r="G930" s="3" t="s">
        <v>41</v>
      </c>
      <c r="I930" s="25" t="str">
        <f t="shared" si="160"/>
        <v/>
      </c>
      <c r="J930" s="25" t="str">
        <f t="shared" si="160"/>
        <v/>
      </c>
      <c r="L930" s="3"/>
      <c r="M930" s="3"/>
    </row>
    <row r="931" spans="1:13" x14ac:dyDescent="0.45">
      <c r="A931" t="s">
        <v>14</v>
      </c>
      <c r="B931" t="s">
        <v>37</v>
      </c>
      <c r="C931" t="s">
        <v>9</v>
      </c>
      <c r="D931" s="27">
        <v>457212000</v>
      </c>
      <c r="E931" s="3" t="s">
        <v>41</v>
      </c>
      <c r="F931" s="23">
        <v>50000000</v>
      </c>
      <c r="G931" s="3" t="s">
        <v>41</v>
      </c>
      <c r="I931" s="25" t="str">
        <f t="shared" si="160"/>
        <v/>
      </c>
      <c r="J931" s="25" t="str">
        <f t="shared" si="160"/>
        <v/>
      </c>
      <c r="L931" s="3"/>
      <c r="M931" s="3"/>
    </row>
    <row r="932" spans="1:13" x14ac:dyDescent="0.45">
      <c r="A932" t="s">
        <v>15</v>
      </c>
      <c r="B932" t="s">
        <v>37</v>
      </c>
      <c r="C932" t="s">
        <v>9</v>
      </c>
      <c r="D932" s="27">
        <v>100000000</v>
      </c>
      <c r="E932" s="3" t="s">
        <v>41</v>
      </c>
      <c r="F932" s="23">
        <v>1663840000</v>
      </c>
      <c r="G932" s="3" t="s">
        <v>41</v>
      </c>
      <c r="I932" s="25" t="str">
        <f t="shared" si="160"/>
        <v/>
      </c>
      <c r="J932" s="25" t="str">
        <f t="shared" si="160"/>
        <v/>
      </c>
      <c r="L932" s="3"/>
      <c r="M932" s="3"/>
    </row>
    <row r="933" spans="1:13" x14ac:dyDescent="0.45">
      <c r="A933" t="s">
        <v>16</v>
      </c>
      <c r="B933" t="s">
        <v>37</v>
      </c>
      <c r="C933" t="s">
        <v>9</v>
      </c>
      <c r="D933" s="27">
        <v>147500000</v>
      </c>
      <c r="E933" s="3" t="s">
        <v>41</v>
      </c>
      <c r="F933" s="23">
        <v>2498475000</v>
      </c>
      <c r="G933" s="3" t="s">
        <v>41</v>
      </c>
      <c r="I933" s="25" t="str">
        <f t="shared" si="160"/>
        <v/>
      </c>
      <c r="J933" s="25" t="str">
        <f t="shared" si="160"/>
        <v/>
      </c>
      <c r="L933" s="3"/>
      <c r="M933" s="3"/>
    </row>
    <row r="934" spans="1:13" x14ac:dyDescent="0.45">
      <c r="A934" t="s">
        <v>17</v>
      </c>
      <c r="B934" t="s">
        <v>37</v>
      </c>
      <c r="C934" t="s">
        <v>9</v>
      </c>
      <c r="D934" s="27">
        <v>0</v>
      </c>
      <c r="E934" s="3" t="s">
        <v>41</v>
      </c>
      <c r="F934" s="23">
        <v>3932755000</v>
      </c>
      <c r="G934" s="3" t="s">
        <v>41</v>
      </c>
      <c r="I934" s="25" t="str">
        <f t="shared" si="160"/>
        <v/>
      </c>
      <c r="J934" s="25" t="str">
        <f t="shared" si="160"/>
        <v/>
      </c>
      <c r="L934" s="3"/>
      <c r="M934" s="3"/>
    </row>
    <row r="935" spans="1:13" x14ac:dyDescent="0.45">
      <c r="A935" t="s">
        <v>18</v>
      </c>
      <c r="B935" t="s">
        <v>37</v>
      </c>
      <c r="C935" t="s">
        <v>9</v>
      </c>
      <c r="D935" s="27">
        <v>147500000</v>
      </c>
      <c r="E935" s="3" t="s">
        <v>41</v>
      </c>
      <c r="F935" s="23">
        <v>247500000</v>
      </c>
      <c r="G935" s="3" t="s">
        <v>41</v>
      </c>
      <c r="I935" s="25" t="str">
        <f t="shared" si="160"/>
        <v/>
      </c>
      <c r="J935" s="25" t="str">
        <f t="shared" si="160"/>
        <v/>
      </c>
      <c r="L935" s="3"/>
      <c r="M935" s="3"/>
    </row>
    <row r="936" spans="1:13" x14ac:dyDescent="0.45">
      <c r="A936" t="s">
        <v>19</v>
      </c>
      <c r="B936" t="s">
        <v>37</v>
      </c>
      <c r="C936" t="s">
        <v>9</v>
      </c>
      <c r="D936" s="27">
        <v>0</v>
      </c>
      <c r="E936" s="3" t="s">
        <v>41</v>
      </c>
      <c r="F936" s="23">
        <v>0</v>
      </c>
      <c r="G936" s="3" t="s">
        <v>41</v>
      </c>
      <c r="I936" s="25" t="str">
        <f t="shared" si="160"/>
        <v/>
      </c>
      <c r="J936" s="25" t="str">
        <f t="shared" si="160"/>
        <v/>
      </c>
      <c r="L936" s="3"/>
      <c r="M936" s="3"/>
    </row>
    <row r="937" spans="1:13" x14ac:dyDescent="0.45">
      <c r="A937" t="s">
        <v>20</v>
      </c>
      <c r="B937" t="s">
        <v>37</v>
      </c>
      <c r="C937" t="s">
        <v>9</v>
      </c>
      <c r="D937" s="27">
        <v>0</v>
      </c>
      <c r="E937" s="3" t="s">
        <v>41</v>
      </c>
      <c r="F937" s="23">
        <v>147500000</v>
      </c>
      <c r="G937" s="3" t="s">
        <v>41</v>
      </c>
      <c r="I937" s="25" t="str">
        <f t="shared" si="160"/>
        <v/>
      </c>
      <c r="J937" s="25" t="str">
        <f t="shared" si="160"/>
        <v/>
      </c>
      <c r="L937" s="3"/>
      <c r="M937" s="3"/>
    </row>
    <row r="938" spans="1:13" x14ac:dyDescent="0.45">
      <c r="A938" t="s">
        <v>7</v>
      </c>
      <c r="B938" t="s">
        <v>37</v>
      </c>
      <c r="C938" t="s">
        <v>21</v>
      </c>
      <c r="D938" s="27">
        <v>0</v>
      </c>
      <c r="E938" s="3">
        <v>0</v>
      </c>
      <c r="F938" s="23">
        <v>0</v>
      </c>
      <c r="G938" s="3">
        <v>0</v>
      </c>
      <c r="I938" s="22">
        <f t="shared" ref="I938:J938" si="165">IF(L938="","",L938)</f>
        <v>0</v>
      </c>
      <c r="J938" s="22">
        <f t="shared" si="165"/>
        <v>0</v>
      </c>
      <c r="L938" s="3">
        <v>0</v>
      </c>
      <c r="M938" s="3">
        <v>0</v>
      </c>
    </row>
    <row r="939" spans="1:13" x14ac:dyDescent="0.45">
      <c r="A939" t="s">
        <v>10</v>
      </c>
      <c r="B939" t="s">
        <v>37</v>
      </c>
      <c r="C939" t="s">
        <v>21</v>
      </c>
      <c r="D939" s="28">
        <v>0</v>
      </c>
      <c r="E939" s="4">
        <v>0</v>
      </c>
      <c r="F939" s="24">
        <v>0</v>
      </c>
      <c r="G939" s="4">
        <v>0</v>
      </c>
      <c r="I939" s="25">
        <f t="shared" ref="I939:J939" si="166">IF(L939="","",L939-L938)</f>
        <v>0</v>
      </c>
      <c r="J939" s="25">
        <f t="shared" si="166"/>
        <v>0</v>
      </c>
      <c r="L939" s="4">
        <v>0</v>
      </c>
      <c r="M939" s="4">
        <v>0</v>
      </c>
    </row>
    <row r="940" spans="1:13" x14ac:dyDescent="0.45">
      <c r="A940" t="s">
        <v>11</v>
      </c>
      <c r="B940" t="s">
        <v>37</v>
      </c>
      <c r="C940" t="s">
        <v>21</v>
      </c>
      <c r="D940" s="27">
        <v>150000000</v>
      </c>
      <c r="E940" s="3">
        <v>0</v>
      </c>
      <c r="F940" s="23">
        <v>150000000</v>
      </c>
      <c r="G940" s="3">
        <v>0</v>
      </c>
      <c r="I940" s="25">
        <f t="shared" si="160"/>
        <v>0</v>
      </c>
      <c r="J940" s="25">
        <f t="shared" si="160"/>
        <v>0</v>
      </c>
      <c r="L940" s="29">
        <f>SUMIFS(Pivot_!C:C,Pivot_!A:A,'Hitung Per Bulan'!B940,Pivot_!B:B,'Hitung Per Bulan'!C940)</f>
        <v>0</v>
      </c>
      <c r="M940" s="29">
        <f>SUMIFS(Pivot_!D:D,Pivot_!A:A,'Hitung Per Bulan'!B940,Pivot_!B:B,'Hitung Per Bulan'!C940)</f>
        <v>0</v>
      </c>
    </row>
    <row r="941" spans="1:13" x14ac:dyDescent="0.45">
      <c r="A941" t="s">
        <v>12</v>
      </c>
      <c r="B941" t="s">
        <v>37</v>
      </c>
      <c r="C941" t="s">
        <v>21</v>
      </c>
      <c r="D941" s="27">
        <v>250000000</v>
      </c>
      <c r="E941" s="3" t="s">
        <v>41</v>
      </c>
      <c r="F941" s="23">
        <v>250000000</v>
      </c>
      <c r="G941" s="3" t="s">
        <v>41</v>
      </c>
      <c r="I941" s="25" t="str">
        <f t="shared" si="160"/>
        <v/>
      </c>
      <c r="J941" s="25" t="str">
        <f t="shared" si="160"/>
        <v/>
      </c>
      <c r="L941" s="3"/>
      <c r="M941" s="3"/>
    </row>
    <row r="942" spans="1:13" x14ac:dyDescent="0.45">
      <c r="A942" t="s">
        <v>13</v>
      </c>
      <c r="B942" t="s">
        <v>37</v>
      </c>
      <c r="C942" t="s">
        <v>21</v>
      </c>
      <c r="D942" s="27">
        <v>0</v>
      </c>
      <c r="E942" s="3" t="s">
        <v>41</v>
      </c>
      <c r="F942" s="23">
        <v>0</v>
      </c>
      <c r="G942" s="3" t="s">
        <v>41</v>
      </c>
      <c r="I942" s="25" t="str">
        <f t="shared" si="160"/>
        <v/>
      </c>
      <c r="J942" s="25" t="str">
        <f t="shared" si="160"/>
        <v/>
      </c>
      <c r="L942" s="3"/>
      <c r="M942" s="3"/>
    </row>
    <row r="943" spans="1:13" x14ac:dyDescent="0.45">
      <c r="A943" t="s">
        <v>14</v>
      </c>
      <c r="B943" t="s">
        <v>37</v>
      </c>
      <c r="C943" t="s">
        <v>21</v>
      </c>
      <c r="D943" s="27">
        <v>150000000</v>
      </c>
      <c r="E943" s="3" t="s">
        <v>41</v>
      </c>
      <c r="F943" s="23">
        <v>150000000</v>
      </c>
      <c r="G943" s="3" t="s">
        <v>41</v>
      </c>
      <c r="I943" s="25" t="str">
        <f t="shared" si="160"/>
        <v/>
      </c>
      <c r="J943" s="25" t="str">
        <f t="shared" si="160"/>
        <v/>
      </c>
      <c r="L943" s="3"/>
      <c r="M943" s="3"/>
    </row>
    <row r="944" spans="1:13" x14ac:dyDescent="0.45">
      <c r="A944" t="s">
        <v>15</v>
      </c>
      <c r="B944" t="s">
        <v>37</v>
      </c>
      <c r="C944" t="s">
        <v>21</v>
      </c>
      <c r="D944" s="27">
        <v>0</v>
      </c>
      <c r="E944" s="3" t="s">
        <v>41</v>
      </c>
      <c r="F944" s="23">
        <v>0</v>
      </c>
      <c r="G944" s="3" t="s">
        <v>41</v>
      </c>
      <c r="I944" s="25" t="str">
        <f t="shared" si="160"/>
        <v/>
      </c>
      <c r="J944" s="25" t="str">
        <f t="shared" si="160"/>
        <v/>
      </c>
      <c r="L944" s="3"/>
      <c r="M944" s="3"/>
    </row>
    <row r="945" spans="1:13" x14ac:dyDescent="0.45">
      <c r="A945" t="s">
        <v>16</v>
      </c>
      <c r="B945" t="s">
        <v>37</v>
      </c>
      <c r="C945" t="s">
        <v>21</v>
      </c>
      <c r="D945" s="27">
        <v>0</v>
      </c>
      <c r="E945" s="3" t="s">
        <v>41</v>
      </c>
      <c r="F945" s="23">
        <v>0</v>
      </c>
      <c r="G945" s="3" t="s">
        <v>41</v>
      </c>
      <c r="I945" s="25" t="str">
        <f t="shared" si="160"/>
        <v/>
      </c>
      <c r="J945" s="25" t="str">
        <f t="shared" si="160"/>
        <v/>
      </c>
      <c r="L945" s="3"/>
      <c r="M945" s="3"/>
    </row>
    <row r="946" spans="1:13" x14ac:dyDescent="0.45">
      <c r="A946" t="s">
        <v>17</v>
      </c>
      <c r="B946" t="s">
        <v>37</v>
      </c>
      <c r="C946" t="s">
        <v>21</v>
      </c>
      <c r="D946" s="27">
        <v>200000000</v>
      </c>
      <c r="E946" s="3" t="s">
        <v>41</v>
      </c>
      <c r="F946" s="23">
        <v>200000000</v>
      </c>
      <c r="G946" s="3" t="s">
        <v>41</v>
      </c>
      <c r="I946" s="25" t="str">
        <f t="shared" si="160"/>
        <v/>
      </c>
      <c r="J946" s="25" t="str">
        <f t="shared" si="160"/>
        <v/>
      </c>
      <c r="L946" s="3"/>
      <c r="M946" s="3"/>
    </row>
    <row r="947" spans="1:13" x14ac:dyDescent="0.45">
      <c r="A947" t="s">
        <v>18</v>
      </c>
      <c r="B947" t="s">
        <v>37</v>
      </c>
      <c r="C947" t="s">
        <v>21</v>
      </c>
      <c r="D947" s="27">
        <v>0</v>
      </c>
      <c r="E947" s="3" t="s">
        <v>41</v>
      </c>
      <c r="F947" s="23">
        <v>0</v>
      </c>
      <c r="G947" s="3" t="s">
        <v>41</v>
      </c>
      <c r="I947" s="25" t="str">
        <f t="shared" si="160"/>
        <v/>
      </c>
      <c r="J947" s="25" t="str">
        <f t="shared" si="160"/>
        <v/>
      </c>
      <c r="L947" s="3"/>
      <c r="M947" s="3"/>
    </row>
    <row r="948" spans="1:13" x14ac:dyDescent="0.45">
      <c r="A948" t="s">
        <v>19</v>
      </c>
      <c r="B948" t="s">
        <v>37</v>
      </c>
      <c r="C948" t="s">
        <v>21</v>
      </c>
      <c r="D948" s="27">
        <v>0</v>
      </c>
      <c r="E948" s="3" t="s">
        <v>41</v>
      </c>
      <c r="F948" s="23">
        <v>0</v>
      </c>
      <c r="G948" s="3" t="s">
        <v>41</v>
      </c>
      <c r="I948" s="25" t="str">
        <f t="shared" si="160"/>
        <v/>
      </c>
      <c r="J948" s="25" t="str">
        <f t="shared" si="160"/>
        <v/>
      </c>
      <c r="L948" s="3"/>
      <c r="M948" s="3"/>
    </row>
    <row r="949" spans="1:13" x14ac:dyDescent="0.45">
      <c r="A949" t="s">
        <v>20</v>
      </c>
      <c r="B949" t="s">
        <v>37</v>
      </c>
      <c r="C949" t="s">
        <v>21</v>
      </c>
      <c r="D949" s="27">
        <v>0</v>
      </c>
      <c r="E949" s="3" t="s">
        <v>41</v>
      </c>
      <c r="F949" s="23">
        <v>0</v>
      </c>
      <c r="G949" s="3" t="s">
        <v>41</v>
      </c>
      <c r="I949" s="25" t="str">
        <f t="shared" si="160"/>
        <v/>
      </c>
      <c r="J949" s="25" t="str">
        <f t="shared" si="160"/>
        <v/>
      </c>
      <c r="L949" s="3"/>
      <c r="M949" s="3"/>
    </row>
    <row r="950" spans="1:13" x14ac:dyDescent="0.45">
      <c r="A950" t="s">
        <v>7</v>
      </c>
      <c r="B950" t="s">
        <v>37</v>
      </c>
      <c r="C950" t="s">
        <v>22</v>
      </c>
      <c r="D950" s="27">
        <v>0</v>
      </c>
      <c r="E950" s="3">
        <v>0</v>
      </c>
      <c r="F950" s="23">
        <v>0</v>
      </c>
      <c r="G950" s="3">
        <v>0</v>
      </c>
      <c r="I950" s="22">
        <f t="shared" ref="I950:J950" si="167">IF(L950="","",L950)</f>
        <v>0</v>
      </c>
      <c r="J950" s="22">
        <f t="shared" si="167"/>
        <v>0</v>
      </c>
      <c r="L950" s="3">
        <v>0</v>
      </c>
      <c r="M950" s="3">
        <v>0</v>
      </c>
    </row>
    <row r="951" spans="1:13" x14ac:dyDescent="0.45">
      <c r="A951" t="s">
        <v>10</v>
      </c>
      <c r="B951" t="s">
        <v>37</v>
      </c>
      <c r="C951" t="s">
        <v>22</v>
      </c>
      <c r="D951" s="28">
        <v>79200000</v>
      </c>
      <c r="E951" s="4">
        <v>37804500</v>
      </c>
      <c r="F951" s="24">
        <v>79200000</v>
      </c>
      <c r="G951" s="4">
        <v>0</v>
      </c>
      <c r="I951" s="25">
        <f t="shared" ref="I951:J951" si="168">IF(L951="","",L951-L950)</f>
        <v>37804500</v>
      </c>
      <c r="J951" s="25">
        <f t="shared" si="168"/>
        <v>0</v>
      </c>
      <c r="L951" s="4">
        <v>37804500</v>
      </c>
      <c r="M951" s="4">
        <v>0</v>
      </c>
    </row>
    <row r="952" spans="1:13" x14ac:dyDescent="0.45">
      <c r="A952" t="s">
        <v>11</v>
      </c>
      <c r="B952" t="s">
        <v>37</v>
      </c>
      <c r="C952" t="s">
        <v>22</v>
      </c>
      <c r="D952" s="27">
        <v>0</v>
      </c>
      <c r="E952" s="3">
        <v>14403650</v>
      </c>
      <c r="F952" s="23">
        <v>0</v>
      </c>
      <c r="G952" s="3">
        <v>0</v>
      </c>
      <c r="I952" s="25">
        <f t="shared" si="160"/>
        <v>14403650</v>
      </c>
      <c r="J952" s="25">
        <f t="shared" si="160"/>
        <v>0</v>
      </c>
      <c r="L952" s="29">
        <f>SUMIFS(Pivot_!C:C,Pivot_!A:A,'Hitung Per Bulan'!B952,Pivot_!B:B,'Hitung Per Bulan'!C952)</f>
        <v>52208150</v>
      </c>
      <c r="M952" s="29">
        <f>SUMIFS(Pivot_!D:D,Pivot_!A:A,'Hitung Per Bulan'!B952,Pivot_!B:B,'Hitung Per Bulan'!C952)</f>
        <v>0</v>
      </c>
    </row>
    <row r="953" spans="1:13" x14ac:dyDescent="0.45">
      <c r="A953" t="s">
        <v>12</v>
      </c>
      <c r="B953" t="s">
        <v>37</v>
      </c>
      <c r="C953" t="s">
        <v>22</v>
      </c>
      <c r="D953" s="27">
        <v>0</v>
      </c>
      <c r="E953" s="3" t="s">
        <v>41</v>
      </c>
      <c r="F953" s="23">
        <v>0</v>
      </c>
      <c r="G953" s="3" t="s">
        <v>41</v>
      </c>
      <c r="I953" s="25" t="str">
        <f t="shared" si="160"/>
        <v/>
      </c>
      <c r="J953" s="25" t="str">
        <f t="shared" si="160"/>
        <v/>
      </c>
      <c r="L953" s="3"/>
      <c r="M953" s="3"/>
    </row>
    <row r="954" spans="1:13" x14ac:dyDescent="0.45">
      <c r="A954" t="s">
        <v>13</v>
      </c>
      <c r="B954" t="s">
        <v>37</v>
      </c>
      <c r="C954" t="s">
        <v>22</v>
      </c>
      <c r="D954" s="27">
        <v>79200000</v>
      </c>
      <c r="E954" s="3" t="s">
        <v>41</v>
      </c>
      <c r="F954" s="23">
        <v>79200000</v>
      </c>
      <c r="G954" s="3" t="s">
        <v>41</v>
      </c>
      <c r="I954" s="25" t="str">
        <f t="shared" si="160"/>
        <v/>
      </c>
      <c r="J954" s="25" t="str">
        <f t="shared" si="160"/>
        <v/>
      </c>
      <c r="L954" s="3"/>
      <c r="M954" s="3"/>
    </row>
    <row r="955" spans="1:13" x14ac:dyDescent="0.45">
      <c r="A955" t="s">
        <v>14</v>
      </c>
      <c r="B955" t="s">
        <v>37</v>
      </c>
      <c r="C955" t="s">
        <v>22</v>
      </c>
      <c r="D955" s="27">
        <v>0</v>
      </c>
      <c r="E955" s="3" t="s">
        <v>41</v>
      </c>
      <c r="F955" s="23">
        <v>0</v>
      </c>
      <c r="G955" s="3" t="s">
        <v>41</v>
      </c>
      <c r="I955" s="25" t="str">
        <f t="shared" si="160"/>
        <v/>
      </c>
      <c r="J955" s="25" t="str">
        <f t="shared" si="160"/>
        <v/>
      </c>
      <c r="L955" s="3"/>
      <c r="M955" s="3"/>
    </row>
    <row r="956" spans="1:13" x14ac:dyDescent="0.45">
      <c r="A956" t="s">
        <v>15</v>
      </c>
      <c r="B956" t="s">
        <v>37</v>
      </c>
      <c r="C956" t="s">
        <v>22</v>
      </c>
      <c r="D956" s="27">
        <v>0</v>
      </c>
      <c r="E956" s="3" t="s">
        <v>41</v>
      </c>
      <c r="F956" s="23">
        <v>0</v>
      </c>
      <c r="G956" s="3" t="s">
        <v>41</v>
      </c>
      <c r="I956" s="25" t="str">
        <f t="shared" si="160"/>
        <v/>
      </c>
      <c r="J956" s="25" t="str">
        <f t="shared" si="160"/>
        <v/>
      </c>
      <c r="L956" s="3"/>
      <c r="M956" s="3"/>
    </row>
    <row r="957" spans="1:13" x14ac:dyDescent="0.45">
      <c r="A957" t="s">
        <v>16</v>
      </c>
      <c r="B957" t="s">
        <v>37</v>
      </c>
      <c r="C957" t="s">
        <v>22</v>
      </c>
      <c r="D957" s="27">
        <v>79200000</v>
      </c>
      <c r="E957" s="3" t="s">
        <v>41</v>
      </c>
      <c r="F957" s="23">
        <v>79200000</v>
      </c>
      <c r="G957" s="3" t="s">
        <v>41</v>
      </c>
      <c r="I957" s="25" t="str">
        <f t="shared" si="160"/>
        <v/>
      </c>
      <c r="J957" s="25" t="str">
        <f t="shared" si="160"/>
        <v/>
      </c>
      <c r="L957" s="3"/>
      <c r="M957" s="3"/>
    </row>
    <row r="958" spans="1:13" x14ac:dyDescent="0.45">
      <c r="A958" t="s">
        <v>17</v>
      </c>
      <c r="B958" t="s">
        <v>37</v>
      </c>
      <c r="C958" t="s">
        <v>22</v>
      </c>
      <c r="D958" s="27">
        <v>0</v>
      </c>
      <c r="E958" s="3" t="s">
        <v>41</v>
      </c>
      <c r="F958" s="23">
        <v>0</v>
      </c>
      <c r="G958" s="3" t="s">
        <v>41</v>
      </c>
      <c r="I958" s="25" t="str">
        <f t="shared" si="160"/>
        <v/>
      </c>
      <c r="J958" s="25" t="str">
        <f t="shared" si="160"/>
        <v/>
      </c>
      <c r="L958" s="3"/>
      <c r="M958" s="3"/>
    </row>
    <row r="959" spans="1:13" x14ac:dyDescent="0.45">
      <c r="A959" t="s">
        <v>18</v>
      </c>
      <c r="B959" t="s">
        <v>37</v>
      </c>
      <c r="C959" t="s">
        <v>22</v>
      </c>
      <c r="D959" s="27">
        <v>0</v>
      </c>
      <c r="E959" s="3" t="s">
        <v>41</v>
      </c>
      <c r="F959" s="23">
        <v>0</v>
      </c>
      <c r="G959" s="3" t="s">
        <v>41</v>
      </c>
      <c r="I959" s="25" t="str">
        <f t="shared" si="160"/>
        <v/>
      </c>
      <c r="J959" s="25" t="str">
        <f t="shared" si="160"/>
        <v/>
      </c>
      <c r="L959" s="3"/>
      <c r="M959" s="3"/>
    </row>
    <row r="960" spans="1:13" x14ac:dyDescent="0.45">
      <c r="A960" t="s">
        <v>19</v>
      </c>
      <c r="B960" t="s">
        <v>37</v>
      </c>
      <c r="C960" t="s">
        <v>22</v>
      </c>
      <c r="D960" s="27">
        <v>79200000</v>
      </c>
      <c r="E960" s="3" t="s">
        <v>41</v>
      </c>
      <c r="F960" s="23">
        <v>79200000</v>
      </c>
      <c r="G960" s="3" t="s">
        <v>41</v>
      </c>
      <c r="I960" s="25" t="str">
        <f t="shared" si="160"/>
        <v/>
      </c>
      <c r="J960" s="25" t="str">
        <f t="shared" si="160"/>
        <v/>
      </c>
      <c r="L960" s="3"/>
      <c r="M960" s="3"/>
    </row>
    <row r="961" spans="1:13" x14ac:dyDescent="0.45">
      <c r="A961" t="s">
        <v>20</v>
      </c>
      <c r="B961" t="s">
        <v>37</v>
      </c>
      <c r="C961" t="s">
        <v>22</v>
      </c>
      <c r="D961" s="27">
        <v>0</v>
      </c>
      <c r="E961" s="3" t="s">
        <v>41</v>
      </c>
      <c r="F961" s="23">
        <v>0</v>
      </c>
      <c r="G961" s="3" t="s">
        <v>41</v>
      </c>
      <c r="I961" s="25" t="str">
        <f t="shared" si="160"/>
        <v/>
      </c>
      <c r="J961" s="25" t="str">
        <f t="shared" si="160"/>
        <v/>
      </c>
      <c r="L961" s="3"/>
      <c r="M961" s="3"/>
    </row>
    <row r="962" spans="1:13" x14ac:dyDescent="0.45">
      <c r="A962" t="s">
        <v>7</v>
      </c>
      <c r="B962" t="s">
        <v>37</v>
      </c>
      <c r="C962" t="s">
        <v>23</v>
      </c>
      <c r="D962" s="27">
        <v>0</v>
      </c>
      <c r="E962" s="3">
        <v>0</v>
      </c>
      <c r="F962" s="23">
        <v>0</v>
      </c>
      <c r="G962" s="3">
        <v>0</v>
      </c>
      <c r="I962" s="22">
        <f t="shared" ref="I962:J962" si="169">IF(L962="","",L962)</f>
        <v>0</v>
      </c>
      <c r="J962" s="22">
        <f t="shared" si="169"/>
        <v>0</v>
      </c>
      <c r="L962" s="3">
        <v>0</v>
      </c>
      <c r="M962" s="3">
        <v>0</v>
      </c>
    </row>
    <row r="963" spans="1:13" x14ac:dyDescent="0.45">
      <c r="A963" t="s">
        <v>10</v>
      </c>
      <c r="B963" t="s">
        <v>37</v>
      </c>
      <c r="C963" t="s">
        <v>23</v>
      </c>
      <c r="D963" s="28">
        <v>0</v>
      </c>
      <c r="E963" s="4">
        <v>0</v>
      </c>
      <c r="F963" s="24">
        <v>0</v>
      </c>
      <c r="G963" s="4">
        <v>0</v>
      </c>
      <c r="I963" s="25">
        <f t="shared" ref="I963:J963" si="170">IF(L963="","",L963-L962)</f>
        <v>0</v>
      </c>
      <c r="J963" s="25">
        <f t="shared" si="170"/>
        <v>0</v>
      </c>
      <c r="L963" s="4">
        <v>0</v>
      </c>
      <c r="M963" s="4">
        <v>0</v>
      </c>
    </row>
    <row r="964" spans="1:13" x14ac:dyDescent="0.45">
      <c r="A964" t="s">
        <v>11</v>
      </c>
      <c r="B964" t="s">
        <v>37</v>
      </c>
      <c r="C964" t="s">
        <v>23</v>
      </c>
      <c r="D964" s="27">
        <v>250000000</v>
      </c>
      <c r="E964" s="3">
        <v>0</v>
      </c>
      <c r="F964" s="23">
        <v>250000000</v>
      </c>
      <c r="G964" s="3">
        <v>0</v>
      </c>
      <c r="I964" s="25">
        <f t="shared" si="160"/>
        <v>0</v>
      </c>
      <c r="J964" s="25">
        <f t="shared" si="160"/>
        <v>0</v>
      </c>
      <c r="L964" s="29">
        <f>SUMIFS(Pivot_!C:C,Pivot_!A:A,'Hitung Per Bulan'!B964,Pivot_!B:B,'Hitung Per Bulan'!C964)</f>
        <v>0</v>
      </c>
      <c r="M964" s="29">
        <f>SUMIFS(Pivot_!D:D,Pivot_!A:A,'Hitung Per Bulan'!B964,Pivot_!B:B,'Hitung Per Bulan'!C964)</f>
        <v>0</v>
      </c>
    </row>
    <row r="965" spans="1:13" x14ac:dyDescent="0.45">
      <c r="A965" t="s">
        <v>12</v>
      </c>
      <c r="B965" t="s">
        <v>37</v>
      </c>
      <c r="C965" t="s">
        <v>23</v>
      </c>
      <c r="D965" s="27">
        <v>0</v>
      </c>
      <c r="E965" s="3" t="s">
        <v>41</v>
      </c>
      <c r="F965" s="23">
        <v>0</v>
      </c>
      <c r="G965" s="3" t="s">
        <v>41</v>
      </c>
      <c r="I965" s="25" t="str">
        <f t="shared" si="160"/>
        <v/>
      </c>
      <c r="J965" s="25" t="str">
        <f t="shared" si="160"/>
        <v/>
      </c>
      <c r="L965" s="3"/>
      <c r="M965" s="3"/>
    </row>
    <row r="966" spans="1:13" x14ac:dyDescent="0.45">
      <c r="A966" t="s">
        <v>13</v>
      </c>
      <c r="B966" t="s">
        <v>37</v>
      </c>
      <c r="C966" t="s">
        <v>23</v>
      </c>
      <c r="D966" s="27">
        <v>0</v>
      </c>
      <c r="E966" s="3" t="s">
        <v>41</v>
      </c>
      <c r="F966" s="23">
        <v>0</v>
      </c>
      <c r="G966" s="3" t="s">
        <v>41</v>
      </c>
      <c r="I966" s="25" t="str">
        <f t="shared" si="160"/>
        <v/>
      </c>
      <c r="J966" s="25" t="str">
        <f t="shared" si="160"/>
        <v/>
      </c>
      <c r="L966" s="3"/>
      <c r="M966" s="3"/>
    </row>
    <row r="967" spans="1:13" x14ac:dyDescent="0.45">
      <c r="A967" t="s">
        <v>14</v>
      </c>
      <c r="B967" t="s">
        <v>37</v>
      </c>
      <c r="C967" t="s">
        <v>23</v>
      </c>
      <c r="D967" s="27">
        <v>0</v>
      </c>
      <c r="E967" s="3" t="s">
        <v>41</v>
      </c>
      <c r="F967" s="23">
        <v>0</v>
      </c>
      <c r="G967" s="3" t="s">
        <v>41</v>
      </c>
      <c r="I967" s="25" t="str">
        <f t="shared" si="160"/>
        <v/>
      </c>
      <c r="J967" s="25" t="str">
        <f t="shared" si="160"/>
        <v/>
      </c>
      <c r="L967" s="3"/>
      <c r="M967" s="3"/>
    </row>
    <row r="968" spans="1:13" x14ac:dyDescent="0.45">
      <c r="A968" t="s">
        <v>15</v>
      </c>
      <c r="B968" t="s">
        <v>37</v>
      </c>
      <c r="C968" t="s">
        <v>23</v>
      </c>
      <c r="D968" s="27">
        <v>0</v>
      </c>
      <c r="E968" s="3" t="s">
        <v>41</v>
      </c>
      <c r="F968" s="23">
        <v>0</v>
      </c>
      <c r="G968" s="3" t="s">
        <v>41</v>
      </c>
      <c r="I968" s="25" t="str">
        <f t="shared" si="160"/>
        <v/>
      </c>
      <c r="J968" s="25" t="str">
        <f t="shared" si="160"/>
        <v/>
      </c>
      <c r="L968" s="3"/>
      <c r="M968" s="3"/>
    </row>
    <row r="969" spans="1:13" x14ac:dyDescent="0.45">
      <c r="A969" t="s">
        <v>16</v>
      </c>
      <c r="B969" t="s">
        <v>37</v>
      </c>
      <c r="C969" t="s">
        <v>23</v>
      </c>
      <c r="D969" s="27">
        <v>0</v>
      </c>
      <c r="E969" s="3" t="s">
        <v>41</v>
      </c>
      <c r="F969" s="23">
        <v>0</v>
      </c>
      <c r="G969" s="3" t="s">
        <v>41</v>
      </c>
      <c r="I969" s="25" t="str">
        <f t="shared" si="160"/>
        <v/>
      </c>
      <c r="J969" s="25" t="str">
        <f t="shared" si="160"/>
        <v/>
      </c>
      <c r="L969" s="3"/>
      <c r="M969" s="3"/>
    </row>
    <row r="970" spans="1:13" x14ac:dyDescent="0.45">
      <c r="A970" t="s">
        <v>17</v>
      </c>
      <c r="B970" t="s">
        <v>37</v>
      </c>
      <c r="C970" t="s">
        <v>23</v>
      </c>
      <c r="D970" s="27">
        <v>0</v>
      </c>
      <c r="E970" s="3" t="s">
        <v>41</v>
      </c>
      <c r="F970" s="23">
        <v>0</v>
      </c>
      <c r="G970" s="3" t="s">
        <v>41</v>
      </c>
      <c r="I970" s="25" t="str">
        <f t="shared" si="160"/>
        <v/>
      </c>
      <c r="J970" s="25" t="str">
        <f t="shared" si="160"/>
        <v/>
      </c>
      <c r="L970" s="3"/>
      <c r="M970" s="3"/>
    </row>
    <row r="971" spans="1:13" x14ac:dyDescent="0.45">
      <c r="A971" t="s">
        <v>18</v>
      </c>
      <c r="B971" t="s">
        <v>37</v>
      </c>
      <c r="C971" t="s">
        <v>23</v>
      </c>
      <c r="D971" s="27">
        <v>0</v>
      </c>
      <c r="E971" s="3" t="s">
        <v>41</v>
      </c>
      <c r="F971" s="23">
        <v>0</v>
      </c>
      <c r="G971" s="3" t="s">
        <v>41</v>
      </c>
      <c r="I971" s="25" t="str">
        <f t="shared" si="160"/>
        <v/>
      </c>
      <c r="J971" s="25" t="str">
        <f t="shared" si="160"/>
        <v/>
      </c>
      <c r="L971" s="3"/>
      <c r="M971" s="3"/>
    </row>
    <row r="972" spans="1:13" x14ac:dyDescent="0.45">
      <c r="A972" t="s">
        <v>19</v>
      </c>
      <c r="B972" t="s">
        <v>37</v>
      </c>
      <c r="C972" t="s">
        <v>23</v>
      </c>
      <c r="D972" s="27">
        <v>0</v>
      </c>
      <c r="E972" s="3" t="s">
        <v>41</v>
      </c>
      <c r="F972" s="23">
        <v>0</v>
      </c>
      <c r="G972" s="3" t="s">
        <v>41</v>
      </c>
      <c r="I972" s="25" t="str">
        <f t="shared" si="160"/>
        <v/>
      </c>
      <c r="J972" s="25" t="str">
        <f t="shared" si="160"/>
        <v/>
      </c>
      <c r="L972" s="3"/>
      <c r="M972" s="3"/>
    </row>
    <row r="973" spans="1:13" x14ac:dyDescent="0.45">
      <c r="A973" t="s">
        <v>20</v>
      </c>
      <c r="B973" t="s">
        <v>37</v>
      </c>
      <c r="C973" t="s">
        <v>23</v>
      </c>
      <c r="D973" s="27">
        <v>0</v>
      </c>
      <c r="E973" s="3" t="s">
        <v>41</v>
      </c>
      <c r="F973" s="23">
        <v>0</v>
      </c>
      <c r="G973" s="3" t="s">
        <v>41</v>
      </c>
      <c r="I973" s="25" t="str">
        <f t="shared" si="160"/>
        <v/>
      </c>
      <c r="J973" s="25" t="str">
        <f t="shared" si="160"/>
        <v/>
      </c>
      <c r="L973" s="3"/>
      <c r="M973" s="3"/>
    </row>
    <row r="974" spans="1:13" x14ac:dyDescent="0.45">
      <c r="A974" t="s">
        <v>7</v>
      </c>
      <c r="B974" t="s">
        <v>37</v>
      </c>
      <c r="C974" t="s">
        <v>24</v>
      </c>
      <c r="D974" s="27">
        <v>0</v>
      </c>
      <c r="E974" s="3">
        <v>0</v>
      </c>
      <c r="F974" s="23">
        <v>0</v>
      </c>
      <c r="G974" s="3">
        <v>0</v>
      </c>
      <c r="I974" s="22">
        <f t="shared" ref="I974:J974" si="171">IF(L974="","",L974)</f>
        <v>0</v>
      </c>
      <c r="J974" s="22">
        <f t="shared" si="171"/>
        <v>0</v>
      </c>
      <c r="L974" s="3">
        <v>0</v>
      </c>
      <c r="M974" s="3">
        <v>0</v>
      </c>
    </row>
    <row r="975" spans="1:13" x14ac:dyDescent="0.45">
      <c r="A975" t="s">
        <v>10</v>
      </c>
      <c r="B975" t="s">
        <v>37</v>
      </c>
      <c r="C975" t="s">
        <v>24</v>
      </c>
      <c r="D975" s="28">
        <v>0</v>
      </c>
      <c r="E975" s="4">
        <v>0</v>
      </c>
      <c r="F975" s="24">
        <v>0</v>
      </c>
      <c r="G975" s="4">
        <v>0</v>
      </c>
      <c r="I975" s="25">
        <f t="shared" ref="I975:J1038" si="172">IF(L975="","",L975-L974)</f>
        <v>0</v>
      </c>
      <c r="J975" s="25">
        <f t="shared" si="172"/>
        <v>0</v>
      </c>
      <c r="L975" s="4">
        <v>0</v>
      </c>
      <c r="M975" s="4">
        <v>0</v>
      </c>
    </row>
    <row r="976" spans="1:13" x14ac:dyDescent="0.45">
      <c r="A976" t="s">
        <v>11</v>
      </c>
      <c r="B976" t="s">
        <v>37</v>
      </c>
      <c r="C976" t="s">
        <v>24</v>
      </c>
      <c r="D976" s="27">
        <v>0</v>
      </c>
      <c r="E976" s="3">
        <v>0</v>
      </c>
      <c r="F976" s="23">
        <v>0</v>
      </c>
      <c r="G976" s="3">
        <v>0</v>
      </c>
      <c r="I976" s="25">
        <f t="shared" si="172"/>
        <v>0</v>
      </c>
      <c r="J976" s="25">
        <f t="shared" si="172"/>
        <v>0</v>
      </c>
      <c r="L976" s="29">
        <f>SUMIFS(Pivot_!C:C,Pivot_!A:A,'Hitung Per Bulan'!B976,Pivot_!B:B,'Hitung Per Bulan'!C976)</f>
        <v>0</v>
      </c>
      <c r="M976" s="29">
        <f>SUMIFS(Pivot_!D:D,Pivot_!A:A,'Hitung Per Bulan'!B976,Pivot_!B:B,'Hitung Per Bulan'!C976)</f>
        <v>0</v>
      </c>
    </row>
    <row r="977" spans="1:13" x14ac:dyDescent="0.45">
      <c r="A977" t="s">
        <v>12</v>
      </c>
      <c r="B977" t="s">
        <v>37</v>
      </c>
      <c r="C977" t="s">
        <v>24</v>
      </c>
      <c r="D977" s="27">
        <v>0</v>
      </c>
      <c r="E977" s="3" t="s">
        <v>41</v>
      </c>
      <c r="F977" s="23">
        <v>0</v>
      </c>
      <c r="G977" s="3" t="s">
        <v>41</v>
      </c>
      <c r="I977" s="25" t="str">
        <f t="shared" si="172"/>
        <v/>
      </c>
      <c r="J977" s="25" t="str">
        <f t="shared" si="172"/>
        <v/>
      </c>
      <c r="L977" s="3"/>
      <c r="M977" s="3"/>
    </row>
    <row r="978" spans="1:13" x14ac:dyDescent="0.45">
      <c r="A978" t="s">
        <v>13</v>
      </c>
      <c r="B978" t="s">
        <v>37</v>
      </c>
      <c r="C978" t="s">
        <v>24</v>
      </c>
      <c r="D978" s="27">
        <v>0</v>
      </c>
      <c r="E978" s="3" t="s">
        <v>41</v>
      </c>
      <c r="F978" s="23">
        <v>0</v>
      </c>
      <c r="G978" s="3" t="s">
        <v>41</v>
      </c>
      <c r="I978" s="25" t="str">
        <f t="shared" si="172"/>
        <v/>
      </c>
      <c r="J978" s="25" t="str">
        <f t="shared" si="172"/>
        <v/>
      </c>
      <c r="L978" s="3"/>
      <c r="M978" s="3"/>
    </row>
    <row r="979" spans="1:13" x14ac:dyDescent="0.45">
      <c r="A979" t="s">
        <v>14</v>
      </c>
      <c r="B979" t="s">
        <v>37</v>
      </c>
      <c r="C979" t="s">
        <v>24</v>
      </c>
      <c r="D979" s="27">
        <v>0</v>
      </c>
      <c r="E979" s="3" t="s">
        <v>41</v>
      </c>
      <c r="F979" s="23">
        <v>0</v>
      </c>
      <c r="G979" s="3" t="s">
        <v>41</v>
      </c>
      <c r="I979" s="25" t="str">
        <f t="shared" si="172"/>
        <v/>
      </c>
      <c r="J979" s="25" t="str">
        <f t="shared" si="172"/>
        <v/>
      </c>
      <c r="L979" s="3"/>
      <c r="M979" s="3"/>
    </row>
    <row r="980" spans="1:13" x14ac:dyDescent="0.45">
      <c r="A980" t="s">
        <v>15</v>
      </c>
      <c r="B980" t="s">
        <v>37</v>
      </c>
      <c r="C980" t="s">
        <v>24</v>
      </c>
      <c r="D980" s="27">
        <v>0</v>
      </c>
      <c r="E980" s="3" t="s">
        <v>41</v>
      </c>
      <c r="F980" s="23">
        <v>0</v>
      </c>
      <c r="G980" s="3" t="s">
        <v>41</v>
      </c>
      <c r="I980" s="25" t="str">
        <f t="shared" si="172"/>
        <v/>
      </c>
      <c r="J980" s="25" t="str">
        <f t="shared" si="172"/>
        <v/>
      </c>
      <c r="L980" s="3"/>
      <c r="M980" s="3"/>
    </row>
    <row r="981" spans="1:13" x14ac:dyDescent="0.45">
      <c r="A981" t="s">
        <v>16</v>
      </c>
      <c r="B981" t="s">
        <v>37</v>
      </c>
      <c r="C981" t="s">
        <v>24</v>
      </c>
      <c r="D981" s="27">
        <v>0</v>
      </c>
      <c r="E981" s="3" t="s">
        <v>41</v>
      </c>
      <c r="F981" s="23">
        <v>0</v>
      </c>
      <c r="G981" s="3" t="s">
        <v>41</v>
      </c>
      <c r="I981" s="25" t="str">
        <f t="shared" si="172"/>
        <v/>
      </c>
      <c r="J981" s="25" t="str">
        <f t="shared" si="172"/>
        <v/>
      </c>
      <c r="L981" s="3"/>
      <c r="M981" s="3"/>
    </row>
    <row r="982" spans="1:13" x14ac:dyDescent="0.45">
      <c r="A982" t="s">
        <v>17</v>
      </c>
      <c r="B982" t="s">
        <v>37</v>
      </c>
      <c r="C982" t="s">
        <v>24</v>
      </c>
      <c r="D982" s="27">
        <v>0</v>
      </c>
      <c r="E982" s="3" t="s">
        <v>41</v>
      </c>
      <c r="F982" s="23">
        <v>0</v>
      </c>
      <c r="G982" s="3" t="s">
        <v>41</v>
      </c>
      <c r="I982" s="25" t="str">
        <f t="shared" si="172"/>
        <v/>
      </c>
      <c r="J982" s="25" t="str">
        <f t="shared" si="172"/>
        <v/>
      </c>
      <c r="L982" s="3"/>
      <c r="M982" s="3"/>
    </row>
    <row r="983" spans="1:13" x14ac:dyDescent="0.45">
      <c r="A983" t="s">
        <v>18</v>
      </c>
      <c r="B983" t="s">
        <v>37</v>
      </c>
      <c r="C983" t="s">
        <v>24</v>
      </c>
      <c r="D983" s="27">
        <v>0</v>
      </c>
      <c r="E983" s="3" t="s">
        <v>41</v>
      </c>
      <c r="F983" s="23">
        <v>0</v>
      </c>
      <c r="G983" s="3" t="s">
        <v>41</v>
      </c>
      <c r="I983" s="25" t="str">
        <f t="shared" si="172"/>
        <v/>
      </c>
      <c r="J983" s="25" t="str">
        <f t="shared" si="172"/>
        <v/>
      </c>
      <c r="L983" s="3"/>
      <c r="M983" s="3"/>
    </row>
    <row r="984" spans="1:13" x14ac:dyDescent="0.45">
      <c r="A984" t="s">
        <v>19</v>
      </c>
      <c r="B984" t="s">
        <v>37</v>
      </c>
      <c r="C984" t="s">
        <v>24</v>
      </c>
      <c r="D984" s="27">
        <v>0</v>
      </c>
      <c r="E984" s="3" t="s">
        <v>41</v>
      </c>
      <c r="F984" s="23">
        <v>0</v>
      </c>
      <c r="G984" s="3" t="s">
        <v>41</v>
      </c>
      <c r="I984" s="25" t="str">
        <f t="shared" si="172"/>
        <v/>
      </c>
      <c r="J984" s="25" t="str">
        <f t="shared" si="172"/>
        <v/>
      </c>
      <c r="L984" s="3"/>
      <c r="M984" s="3"/>
    </row>
    <row r="985" spans="1:13" x14ac:dyDescent="0.45">
      <c r="A985" t="s">
        <v>20</v>
      </c>
      <c r="B985" t="s">
        <v>37</v>
      </c>
      <c r="C985" t="s">
        <v>24</v>
      </c>
      <c r="D985" s="27">
        <v>0</v>
      </c>
      <c r="E985" s="3" t="s">
        <v>41</v>
      </c>
      <c r="F985" s="23">
        <v>0</v>
      </c>
      <c r="G985" s="3" t="s">
        <v>41</v>
      </c>
      <c r="I985" s="25" t="str">
        <f t="shared" si="172"/>
        <v/>
      </c>
      <c r="J985" s="25" t="str">
        <f t="shared" si="172"/>
        <v/>
      </c>
      <c r="L985" s="3"/>
      <c r="M985" s="3"/>
    </row>
    <row r="986" spans="1:13" x14ac:dyDescent="0.45">
      <c r="A986" t="s">
        <v>7</v>
      </c>
      <c r="B986" t="s">
        <v>37</v>
      </c>
      <c r="C986" t="s">
        <v>25</v>
      </c>
      <c r="D986" s="27">
        <v>123852333.33333334</v>
      </c>
      <c r="E986" s="3">
        <v>73891500</v>
      </c>
      <c r="F986" s="23">
        <v>123852333.33333334</v>
      </c>
      <c r="G986" s="3">
        <v>5977500</v>
      </c>
      <c r="I986" s="22">
        <f t="shared" ref="I986:J986" si="173">IF(L986="","",L986)</f>
        <v>73891500</v>
      </c>
      <c r="J986" s="22">
        <f t="shared" si="173"/>
        <v>5977500</v>
      </c>
      <c r="L986" s="3">
        <v>73891500</v>
      </c>
      <c r="M986" s="3">
        <v>5977500</v>
      </c>
    </row>
    <row r="987" spans="1:13" x14ac:dyDescent="0.45">
      <c r="A987" t="s">
        <v>10</v>
      </c>
      <c r="B987" t="s">
        <v>37</v>
      </c>
      <c r="C987" t="s">
        <v>25</v>
      </c>
      <c r="D987" s="28">
        <v>113852333.33333334</v>
      </c>
      <c r="E987" s="4">
        <v>121455950</v>
      </c>
      <c r="F987" s="24">
        <v>113852333.33333334</v>
      </c>
      <c r="G987" s="4">
        <v>91152500</v>
      </c>
      <c r="I987" s="25">
        <f t="shared" ref="I987:J987" si="174">IF(L987="","",L987-L986)</f>
        <v>121455950</v>
      </c>
      <c r="J987" s="25">
        <f t="shared" si="174"/>
        <v>91152500</v>
      </c>
      <c r="L987" s="4">
        <v>195347450</v>
      </c>
      <c r="M987" s="4">
        <v>97130000</v>
      </c>
    </row>
    <row r="988" spans="1:13" x14ac:dyDescent="0.45">
      <c r="A988" t="s">
        <v>11</v>
      </c>
      <c r="B988" t="s">
        <v>37</v>
      </c>
      <c r="C988" t="s">
        <v>25</v>
      </c>
      <c r="D988" s="27">
        <v>113852333.33333334</v>
      </c>
      <c r="E988" s="3">
        <v>51886096</v>
      </c>
      <c r="F988" s="23">
        <v>113852333.33333334</v>
      </c>
      <c r="G988" s="3">
        <v>8250000</v>
      </c>
      <c r="I988" s="25">
        <f t="shared" si="172"/>
        <v>77794596</v>
      </c>
      <c r="J988" s="25">
        <f t="shared" si="172"/>
        <v>53285596</v>
      </c>
      <c r="L988" s="29">
        <f>SUMIFS(Pivot_!C:C,Pivot_!A:A,'Hitung Per Bulan'!B988,Pivot_!B:B,'Hitung Per Bulan'!C988)</f>
        <v>273142046</v>
      </c>
      <c r="M988" s="29">
        <f>SUMIFS(Pivot_!D:D,Pivot_!A:A,'Hitung Per Bulan'!B988,Pivot_!B:B,'Hitung Per Bulan'!C988)</f>
        <v>150415596</v>
      </c>
    </row>
    <row r="989" spans="1:13" x14ac:dyDescent="0.45">
      <c r="A989" t="s">
        <v>12</v>
      </c>
      <c r="B989" t="s">
        <v>37</v>
      </c>
      <c r="C989" t="s">
        <v>25</v>
      </c>
      <c r="D989" s="27">
        <v>123852333.33333334</v>
      </c>
      <c r="E989" s="3" t="s">
        <v>41</v>
      </c>
      <c r="F989" s="23">
        <v>123852333.33333334</v>
      </c>
      <c r="G989" s="3" t="s">
        <v>41</v>
      </c>
      <c r="I989" s="25" t="str">
        <f t="shared" si="172"/>
        <v/>
      </c>
      <c r="J989" s="25" t="str">
        <f t="shared" si="172"/>
        <v/>
      </c>
      <c r="L989" s="3"/>
      <c r="M989" s="3"/>
    </row>
    <row r="990" spans="1:13" x14ac:dyDescent="0.45">
      <c r="A990" t="s">
        <v>13</v>
      </c>
      <c r="B990" t="s">
        <v>37</v>
      </c>
      <c r="C990" t="s">
        <v>25</v>
      </c>
      <c r="D990" s="27">
        <v>253852333.33333334</v>
      </c>
      <c r="E990" s="3" t="s">
        <v>41</v>
      </c>
      <c r="F990" s="23">
        <v>253852333.33333334</v>
      </c>
      <c r="G990" s="3" t="s">
        <v>41</v>
      </c>
      <c r="I990" s="25" t="str">
        <f t="shared" si="172"/>
        <v/>
      </c>
      <c r="J990" s="25" t="str">
        <f t="shared" si="172"/>
        <v/>
      </c>
      <c r="L990" s="3"/>
      <c r="M990" s="3"/>
    </row>
    <row r="991" spans="1:13" x14ac:dyDescent="0.45">
      <c r="A991" t="s">
        <v>14</v>
      </c>
      <c r="B991" t="s">
        <v>37</v>
      </c>
      <c r="C991" t="s">
        <v>25</v>
      </c>
      <c r="D991" s="27">
        <v>113853333.33333334</v>
      </c>
      <c r="E991" s="3" t="s">
        <v>41</v>
      </c>
      <c r="F991" s="23">
        <v>113853333.33333334</v>
      </c>
      <c r="G991" s="3" t="s">
        <v>41</v>
      </c>
      <c r="I991" s="25" t="str">
        <f t="shared" si="172"/>
        <v/>
      </c>
      <c r="J991" s="25" t="str">
        <f t="shared" si="172"/>
        <v/>
      </c>
      <c r="L991" s="3"/>
      <c r="M991" s="3"/>
    </row>
    <row r="992" spans="1:13" x14ac:dyDescent="0.45">
      <c r="A992" t="s">
        <v>15</v>
      </c>
      <c r="B992" t="s">
        <v>37</v>
      </c>
      <c r="C992" t="s">
        <v>25</v>
      </c>
      <c r="D992" s="27">
        <v>123852333.33333334</v>
      </c>
      <c r="E992" s="3" t="s">
        <v>41</v>
      </c>
      <c r="F992" s="23">
        <v>123852333.33333334</v>
      </c>
      <c r="G992" s="3" t="s">
        <v>41</v>
      </c>
      <c r="I992" s="25" t="str">
        <f t="shared" si="172"/>
        <v/>
      </c>
      <c r="J992" s="25" t="str">
        <f t="shared" si="172"/>
        <v/>
      </c>
      <c r="L992" s="3"/>
      <c r="M992" s="3"/>
    </row>
    <row r="993" spans="1:13" x14ac:dyDescent="0.45">
      <c r="A993" t="s">
        <v>16</v>
      </c>
      <c r="B993" t="s">
        <v>37</v>
      </c>
      <c r="C993" t="s">
        <v>25</v>
      </c>
      <c r="D993" s="27">
        <v>243852333.33333334</v>
      </c>
      <c r="E993" s="3" t="s">
        <v>41</v>
      </c>
      <c r="F993" s="23">
        <v>243852333.33333334</v>
      </c>
      <c r="G993" s="3" t="s">
        <v>41</v>
      </c>
      <c r="I993" s="25" t="str">
        <f t="shared" si="172"/>
        <v/>
      </c>
      <c r="J993" s="25" t="str">
        <f t="shared" si="172"/>
        <v/>
      </c>
      <c r="L993" s="3"/>
      <c r="M993" s="3"/>
    </row>
    <row r="994" spans="1:13" x14ac:dyDescent="0.45">
      <c r="A994" t="s">
        <v>17</v>
      </c>
      <c r="B994" t="s">
        <v>37</v>
      </c>
      <c r="C994" t="s">
        <v>25</v>
      </c>
      <c r="D994" s="27">
        <v>113853333.33333334</v>
      </c>
      <c r="E994" s="3" t="s">
        <v>41</v>
      </c>
      <c r="F994" s="23">
        <v>113853333.33333334</v>
      </c>
      <c r="G994" s="3" t="s">
        <v>41</v>
      </c>
      <c r="I994" s="25" t="str">
        <f t="shared" si="172"/>
        <v/>
      </c>
      <c r="J994" s="25" t="str">
        <f t="shared" si="172"/>
        <v/>
      </c>
      <c r="L994" s="3"/>
      <c r="M994" s="3"/>
    </row>
    <row r="995" spans="1:13" x14ac:dyDescent="0.45">
      <c r="A995" t="s">
        <v>18</v>
      </c>
      <c r="B995" t="s">
        <v>37</v>
      </c>
      <c r="C995" t="s">
        <v>25</v>
      </c>
      <c r="D995" s="27">
        <v>123852333.33333334</v>
      </c>
      <c r="E995" s="3" t="s">
        <v>41</v>
      </c>
      <c r="F995" s="23">
        <v>123852333.33333334</v>
      </c>
      <c r="G995" s="3" t="s">
        <v>41</v>
      </c>
      <c r="I995" s="25" t="str">
        <f t="shared" si="172"/>
        <v/>
      </c>
      <c r="J995" s="25" t="str">
        <f t="shared" si="172"/>
        <v/>
      </c>
      <c r="L995" s="3"/>
      <c r="M995" s="3"/>
    </row>
    <row r="996" spans="1:13" x14ac:dyDescent="0.45">
      <c r="A996" t="s">
        <v>19</v>
      </c>
      <c r="B996" t="s">
        <v>37</v>
      </c>
      <c r="C996" t="s">
        <v>25</v>
      </c>
      <c r="D996" s="27">
        <v>229852333.33333334</v>
      </c>
      <c r="E996" s="3" t="s">
        <v>41</v>
      </c>
      <c r="F996" s="23">
        <v>229852333.33333334</v>
      </c>
      <c r="G996" s="3" t="s">
        <v>41</v>
      </c>
      <c r="I996" s="25" t="str">
        <f t="shared" si="172"/>
        <v/>
      </c>
      <c r="J996" s="25" t="str">
        <f t="shared" si="172"/>
        <v/>
      </c>
      <c r="L996" s="3"/>
      <c r="M996" s="3"/>
    </row>
    <row r="997" spans="1:13" x14ac:dyDescent="0.45">
      <c r="A997" t="s">
        <v>20</v>
      </c>
      <c r="B997" t="s">
        <v>37</v>
      </c>
      <c r="C997" t="s">
        <v>25</v>
      </c>
      <c r="D997" s="27">
        <v>113853333.33333334</v>
      </c>
      <c r="E997" s="3" t="s">
        <v>41</v>
      </c>
      <c r="F997" s="23">
        <v>113853333.33333334</v>
      </c>
      <c r="G997" s="3" t="s">
        <v>41</v>
      </c>
      <c r="I997" s="25" t="str">
        <f t="shared" si="172"/>
        <v/>
      </c>
      <c r="J997" s="25" t="str">
        <f t="shared" si="172"/>
        <v/>
      </c>
      <c r="L997" s="3"/>
      <c r="M997" s="3"/>
    </row>
    <row r="998" spans="1:13" x14ac:dyDescent="0.45">
      <c r="A998" t="s">
        <v>7</v>
      </c>
      <c r="B998" t="s">
        <v>37</v>
      </c>
      <c r="C998" t="s">
        <v>26</v>
      </c>
      <c r="D998" s="27">
        <v>185833333.33333334</v>
      </c>
      <c r="E998" s="3">
        <v>96928940</v>
      </c>
      <c r="F998" s="23">
        <v>185833333.33333334</v>
      </c>
      <c r="G998" s="3">
        <v>96928940</v>
      </c>
      <c r="I998" s="22">
        <f t="shared" ref="I998:J998" si="175">IF(L998="","",L998)</f>
        <v>96928940</v>
      </c>
      <c r="J998" s="22">
        <f t="shared" si="175"/>
        <v>96928940</v>
      </c>
      <c r="L998" s="3">
        <v>96928940</v>
      </c>
      <c r="M998" s="3">
        <v>96928940</v>
      </c>
    </row>
    <row r="999" spans="1:13" x14ac:dyDescent="0.45">
      <c r="A999" t="s">
        <v>10</v>
      </c>
      <c r="B999" t="s">
        <v>37</v>
      </c>
      <c r="C999" t="s">
        <v>26</v>
      </c>
      <c r="D999" s="28">
        <v>185833333.33333334</v>
      </c>
      <c r="E999" s="4">
        <v>130722605</v>
      </c>
      <c r="F999" s="24">
        <v>185833333.33333334</v>
      </c>
      <c r="G999" s="4">
        <v>121222605</v>
      </c>
      <c r="I999" s="25">
        <f t="shared" ref="I999:J999" si="176">IF(L999="","",L999-L998)</f>
        <v>130722605</v>
      </c>
      <c r="J999" s="25">
        <f t="shared" si="176"/>
        <v>121222605</v>
      </c>
      <c r="L999" s="4">
        <v>227651545</v>
      </c>
      <c r="M999" s="4">
        <v>218151545</v>
      </c>
    </row>
    <row r="1000" spans="1:13" x14ac:dyDescent="0.45">
      <c r="A1000" t="s">
        <v>11</v>
      </c>
      <c r="B1000" t="s">
        <v>37</v>
      </c>
      <c r="C1000" t="s">
        <v>26</v>
      </c>
      <c r="D1000" s="27">
        <v>185833333.33333334</v>
      </c>
      <c r="E1000" s="3">
        <v>0</v>
      </c>
      <c r="F1000" s="23">
        <v>185833333.33333334</v>
      </c>
      <c r="G1000" s="3">
        <v>0</v>
      </c>
      <c r="I1000" s="25">
        <f t="shared" si="172"/>
        <v>315000</v>
      </c>
      <c r="J1000" s="25">
        <f t="shared" si="172"/>
        <v>0</v>
      </c>
      <c r="L1000" s="29">
        <f>SUMIFS(Pivot_!C:C,Pivot_!A:A,'Hitung Per Bulan'!B1000,Pivot_!B:B,'Hitung Per Bulan'!C1000)</f>
        <v>227966545</v>
      </c>
      <c r="M1000" s="29">
        <f>SUMIFS(Pivot_!D:D,Pivot_!A:A,'Hitung Per Bulan'!B1000,Pivot_!B:B,'Hitung Per Bulan'!C1000)</f>
        <v>218151545</v>
      </c>
    </row>
    <row r="1001" spans="1:13" x14ac:dyDescent="0.45">
      <c r="A1001" t="s">
        <v>12</v>
      </c>
      <c r="B1001" t="s">
        <v>37</v>
      </c>
      <c r="C1001" t="s">
        <v>26</v>
      </c>
      <c r="D1001" s="27">
        <v>185833333.33333334</v>
      </c>
      <c r="E1001" s="3" t="s">
        <v>41</v>
      </c>
      <c r="F1001" s="23">
        <v>185833333.33333334</v>
      </c>
      <c r="G1001" s="3" t="s">
        <v>41</v>
      </c>
      <c r="I1001" s="25" t="str">
        <f t="shared" si="172"/>
        <v/>
      </c>
      <c r="J1001" s="25" t="str">
        <f t="shared" si="172"/>
        <v/>
      </c>
      <c r="L1001" s="3"/>
      <c r="M1001" s="3"/>
    </row>
    <row r="1002" spans="1:13" x14ac:dyDescent="0.45">
      <c r="A1002" t="s">
        <v>13</v>
      </c>
      <c r="B1002" t="s">
        <v>37</v>
      </c>
      <c r="C1002" t="s">
        <v>26</v>
      </c>
      <c r="D1002" s="27">
        <v>185833333.33333334</v>
      </c>
      <c r="E1002" s="3" t="s">
        <v>41</v>
      </c>
      <c r="F1002" s="23">
        <v>185833333.33333334</v>
      </c>
      <c r="G1002" s="3" t="s">
        <v>41</v>
      </c>
      <c r="I1002" s="25" t="str">
        <f t="shared" si="172"/>
        <v/>
      </c>
      <c r="J1002" s="25" t="str">
        <f t="shared" si="172"/>
        <v/>
      </c>
      <c r="L1002" s="3"/>
      <c r="M1002" s="3"/>
    </row>
    <row r="1003" spans="1:13" x14ac:dyDescent="0.45">
      <c r="A1003" t="s">
        <v>14</v>
      </c>
      <c r="B1003" t="s">
        <v>37</v>
      </c>
      <c r="C1003" t="s">
        <v>26</v>
      </c>
      <c r="D1003" s="27">
        <v>185833333.33333334</v>
      </c>
      <c r="E1003" s="3" t="s">
        <v>41</v>
      </c>
      <c r="F1003" s="23">
        <v>185833333.33333334</v>
      </c>
      <c r="G1003" s="3" t="s">
        <v>41</v>
      </c>
      <c r="I1003" s="25" t="str">
        <f t="shared" si="172"/>
        <v/>
      </c>
      <c r="J1003" s="25" t="str">
        <f t="shared" si="172"/>
        <v/>
      </c>
      <c r="L1003" s="3"/>
      <c r="M1003" s="3"/>
    </row>
    <row r="1004" spans="1:13" x14ac:dyDescent="0.45">
      <c r="A1004" t="s">
        <v>15</v>
      </c>
      <c r="B1004" t="s">
        <v>37</v>
      </c>
      <c r="C1004" t="s">
        <v>26</v>
      </c>
      <c r="D1004" s="27">
        <v>185833333.33333334</v>
      </c>
      <c r="E1004" s="3" t="s">
        <v>41</v>
      </c>
      <c r="F1004" s="23">
        <v>185833333.33333334</v>
      </c>
      <c r="G1004" s="3" t="s">
        <v>41</v>
      </c>
      <c r="I1004" s="25" t="str">
        <f t="shared" si="172"/>
        <v/>
      </c>
      <c r="J1004" s="25" t="str">
        <f t="shared" si="172"/>
        <v/>
      </c>
      <c r="L1004" s="3"/>
      <c r="M1004" s="3"/>
    </row>
    <row r="1005" spans="1:13" x14ac:dyDescent="0.45">
      <c r="A1005" t="s">
        <v>16</v>
      </c>
      <c r="B1005" t="s">
        <v>37</v>
      </c>
      <c r="C1005" t="s">
        <v>26</v>
      </c>
      <c r="D1005" s="27">
        <v>185833333.33333334</v>
      </c>
      <c r="E1005" s="3" t="s">
        <v>41</v>
      </c>
      <c r="F1005" s="23">
        <v>185833333.33333334</v>
      </c>
      <c r="G1005" s="3" t="s">
        <v>41</v>
      </c>
      <c r="I1005" s="25" t="str">
        <f t="shared" si="172"/>
        <v/>
      </c>
      <c r="J1005" s="25" t="str">
        <f t="shared" si="172"/>
        <v/>
      </c>
      <c r="L1005" s="3"/>
      <c r="M1005" s="3"/>
    </row>
    <row r="1006" spans="1:13" x14ac:dyDescent="0.45">
      <c r="A1006" t="s">
        <v>17</v>
      </c>
      <c r="B1006" t="s">
        <v>37</v>
      </c>
      <c r="C1006" t="s">
        <v>26</v>
      </c>
      <c r="D1006" s="27">
        <v>185833333.33333334</v>
      </c>
      <c r="E1006" s="3" t="s">
        <v>41</v>
      </c>
      <c r="F1006" s="23">
        <v>185833333.33333334</v>
      </c>
      <c r="G1006" s="3" t="s">
        <v>41</v>
      </c>
      <c r="I1006" s="25" t="str">
        <f t="shared" si="172"/>
        <v/>
      </c>
      <c r="J1006" s="25" t="str">
        <f t="shared" si="172"/>
        <v/>
      </c>
      <c r="L1006" s="3"/>
      <c r="M1006" s="3"/>
    </row>
    <row r="1007" spans="1:13" x14ac:dyDescent="0.45">
      <c r="A1007" t="s">
        <v>18</v>
      </c>
      <c r="B1007" t="s">
        <v>37</v>
      </c>
      <c r="C1007" t="s">
        <v>26</v>
      </c>
      <c r="D1007" s="27">
        <v>185833333.33333334</v>
      </c>
      <c r="E1007" s="3" t="s">
        <v>41</v>
      </c>
      <c r="F1007" s="23">
        <v>185833333.33333334</v>
      </c>
      <c r="G1007" s="3" t="s">
        <v>41</v>
      </c>
      <c r="I1007" s="25" t="str">
        <f t="shared" si="172"/>
        <v/>
      </c>
      <c r="J1007" s="25" t="str">
        <f t="shared" si="172"/>
        <v/>
      </c>
      <c r="L1007" s="3"/>
      <c r="M1007" s="3"/>
    </row>
    <row r="1008" spans="1:13" x14ac:dyDescent="0.45">
      <c r="A1008" t="s">
        <v>19</v>
      </c>
      <c r="B1008" t="s">
        <v>37</v>
      </c>
      <c r="C1008" t="s">
        <v>26</v>
      </c>
      <c r="D1008" s="27">
        <v>185833333.33333334</v>
      </c>
      <c r="E1008" s="3" t="s">
        <v>41</v>
      </c>
      <c r="F1008" s="23">
        <v>185833333.33333334</v>
      </c>
      <c r="G1008" s="3" t="s">
        <v>41</v>
      </c>
      <c r="I1008" s="25" t="str">
        <f t="shared" si="172"/>
        <v/>
      </c>
      <c r="J1008" s="25" t="str">
        <f t="shared" si="172"/>
        <v/>
      </c>
      <c r="L1008" s="3"/>
      <c r="M1008" s="3"/>
    </row>
    <row r="1009" spans="1:13" x14ac:dyDescent="0.45">
      <c r="A1009" t="s">
        <v>20</v>
      </c>
      <c r="B1009" t="s">
        <v>37</v>
      </c>
      <c r="C1009" t="s">
        <v>26</v>
      </c>
      <c r="D1009" s="27">
        <v>185833333.33333334</v>
      </c>
      <c r="E1009" s="3" t="s">
        <v>41</v>
      </c>
      <c r="F1009" s="23">
        <v>185833333.33333334</v>
      </c>
      <c r="G1009" s="3" t="s">
        <v>41</v>
      </c>
      <c r="I1009" s="25" t="str">
        <f t="shared" si="172"/>
        <v/>
      </c>
      <c r="J1009" s="25" t="str">
        <f t="shared" si="172"/>
        <v/>
      </c>
      <c r="L1009" s="3"/>
      <c r="M1009" s="3"/>
    </row>
    <row r="1010" spans="1:13" x14ac:dyDescent="0.45">
      <c r="A1010" t="s">
        <v>7</v>
      </c>
      <c r="B1010" t="s">
        <v>38</v>
      </c>
      <c r="C1010" t="s">
        <v>9</v>
      </c>
      <c r="D1010" s="27">
        <v>20000000</v>
      </c>
      <c r="E1010" s="3">
        <v>114501830</v>
      </c>
      <c r="F1010" s="23">
        <v>0</v>
      </c>
      <c r="G1010" s="3">
        <v>0</v>
      </c>
      <c r="I1010" s="22">
        <f t="shared" ref="I1010:J1010" si="177">IF(L1010="","",L1010)</f>
        <v>114501830</v>
      </c>
      <c r="J1010" s="22">
        <f t="shared" si="177"/>
        <v>0</v>
      </c>
      <c r="L1010" s="3">
        <v>114501830</v>
      </c>
      <c r="M1010" s="3">
        <v>0</v>
      </c>
    </row>
    <row r="1011" spans="1:13" x14ac:dyDescent="0.45">
      <c r="A1011" t="s">
        <v>10</v>
      </c>
      <c r="B1011" t="s">
        <v>38</v>
      </c>
      <c r="C1011" t="s">
        <v>9</v>
      </c>
      <c r="D1011" s="28">
        <v>0</v>
      </c>
      <c r="E1011" s="4">
        <v>13970000</v>
      </c>
      <c r="F1011" s="24">
        <v>20000000</v>
      </c>
      <c r="G1011" s="4">
        <v>0</v>
      </c>
      <c r="I1011" s="25">
        <f t="shared" ref="I1011:J1011" si="178">IF(L1011="","",L1011-L1010)</f>
        <v>13970000</v>
      </c>
      <c r="J1011" s="25">
        <f t="shared" si="178"/>
        <v>0</v>
      </c>
      <c r="L1011" s="4">
        <v>128471830</v>
      </c>
      <c r="M1011" s="4">
        <v>0</v>
      </c>
    </row>
    <row r="1012" spans="1:13" x14ac:dyDescent="0.45">
      <c r="A1012" t="s">
        <v>11</v>
      </c>
      <c r="B1012" t="s">
        <v>38</v>
      </c>
      <c r="C1012" t="s">
        <v>9</v>
      </c>
      <c r="D1012" s="27">
        <v>55000000</v>
      </c>
      <c r="E1012" s="3">
        <v>0</v>
      </c>
      <c r="F1012" s="23">
        <v>0</v>
      </c>
      <c r="G1012" s="3">
        <v>78896778</v>
      </c>
      <c r="I1012" s="25">
        <f t="shared" si="172"/>
        <v>355360000</v>
      </c>
      <c r="J1012" s="25">
        <f t="shared" si="172"/>
        <v>78896778</v>
      </c>
      <c r="L1012" s="29">
        <f>SUMIFS(Pivot_!C:C,Pivot_!A:A,'Hitung Per Bulan'!B1012,Pivot_!B:B,'Hitung Per Bulan'!C1012)</f>
        <v>483831830</v>
      </c>
      <c r="M1012" s="29">
        <f>SUMIFS(Pivot_!D:D,Pivot_!A:A,'Hitung Per Bulan'!B1012,Pivot_!B:B,'Hitung Per Bulan'!C1012)</f>
        <v>78896778</v>
      </c>
    </row>
    <row r="1013" spans="1:13" x14ac:dyDescent="0.45">
      <c r="A1013" t="s">
        <v>12</v>
      </c>
      <c r="B1013" t="s">
        <v>38</v>
      </c>
      <c r="C1013" t="s">
        <v>9</v>
      </c>
      <c r="D1013" s="27">
        <v>461300000</v>
      </c>
      <c r="E1013" s="3" t="s">
        <v>41</v>
      </c>
      <c r="F1013" s="23">
        <v>55000000</v>
      </c>
      <c r="G1013" s="3" t="s">
        <v>41</v>
      </c>
      <c r="I1013" s="25" t="str">
        <f t="shared" si="172"/>
        <v/>
      </c>
      <c r="J1013" s="25" t="str">
        <f t="shared" si="172"/>
        <v/>
      </c>
      <c r="L1013" s="3"/>
      <c r="M1013" s="3"/>
    </row>
    <row r="1014" spans="1:13" x14ac:dyDescent="0.45">
      <c r="A1014" t="s">
        <v>13</v>
      </c>
      <c r="B1014" t="s">
        <v>38</v>
      </c>
      <c r="C1014" t="s">
        <v>9</v>
      </c>
      <c r="D1014" s="27">
        <v>412440000</v>
      </c>
      <c r="E1014" s="3" t="s">
        <v>41</v>
      </c>
      <c r="F1014" s="23">
        <v>0</v>
      </c>
      <c r="G1014" s="3" t="s">
        <v>41</v>
      </c>
      <c r="I1014" s="25" t="str">
        <f t="shared" si="172"/>
        <v/>
      </c>
      <c r="J1014" s="25" t="str">
        <f t="shared" si="172"/>
        <v/>
      </c>
      <c r="L1014" s="3"/>
      <c r="M1014" s="3"/>
    </row>
    <row r="1015" spans="1:13" x14ac:dyDescent="0.45">
      <c r="A1015" t="s">
        <v>14</v>
      </c>
      <c r="B1015" t="s">
        <v>38</v>
      </c>
      <c r="C1015" t="s">
        <v>9</v>
      </c>
      <c r="D1015" s="27">
        <v>130000000</v>
      </c>
      <c r="E1015" s="3" t="s">
        <v>41</v>
      </c>
      <c r="F1015" s="23">
        <v>0</v>
      </c>
      <c r="G1015" s="3" t="s">
        <v>41</v>
      </c>
      <c r="I1015" s="25" t="str">
        <f t="shared" si="172"/>
        <v/>
      </c>
      <c r="J1015" s="25" t="str">
        <f t="shared" si="172"/>
        <v/>
      </c>
      <c r="L1015" s="3"/>
      <c r="M1015" s="3"/>
    </row>
    <row r="1016" spans="1:13" x14ac:dyDescent="0.45">
      <c r="A1016" t="s">
        <v>15</v>
      </c>
      <c r="B1016" t="s">
        <v>38</v>
      </c>
      <c r="C1016" t="s">
        <v>9</v>
      </c>
      <c r="D1016" s="27">
        <v>683211000</v>
      </c>
      <c r="E1016" s="3" t="s">
        <v>41</v>
      </c>
      <c r="F1016" s="23">
        <v>516300000</v>
      </c>
      <c r="G1016" s="3" t="s">
        <v>41</v>
      </c>
      <c r="I1016" s="25" t="str">
        <f t="shared" si="172"/>
        <v/>
      </c>
      <c r="J1016" s="25" t="str">
        <f t="shared" si="172"/>
        <v/>
      </c>
      <c r="L1016" s="3"/>
      <c r="M1016" s="3"/>
    </row>
    <row r="1017" spans="1:13" x14ac:dyDescent="0.45">
      <c r="A1017" t="s">
        <v>16</v>
      </c>
      <c r="B1017" t="s">
        <v>38</v>
      </c>
      <c r="C1017" t="s">
        <v>9</v>
      </c>
      <c r="D1017" s="27">
        <v>0</v>
      </c>
      <c r="E1017" s="3" t="s">
        <v>41</v>
      </c>
      <c r="F1017" s="23">
        <v>412440000</v>
      </c>
      <c r="G1017" s="3" t="s">
        <v>41</v>
      </c>
      <c r="I1017" s="25" t="str">
        <f t="shared" si="172"/>
        <v/>
      </c>
      <c r="J1017" s="25" t="str">
        <f t="shared" si="172"/>
        <v/>
      </c>
      <c r="L1017" s="3"/>
      <c r="M1017" s="3"/>
    </row>
    <row r="1018" spans="1:13" x14ac:dyDescent="0.45">
      <c r="A1018" t="s">
        <v>17</v>
      </c>
      <c r="B1018" t="s">
        <v>38</v>
      </c>
      <c r="C1018" t="s">
        <v>9</v>
      </c>
      <c r="D1018" s="27">
        <v>55000000</v>
      </c>
      <c r="E1018" s="3" t="s">
        <v>41</v>
      </c>
      <c r="F1018" s="23">
        <v>75000000</v>
      </c>
      <c r="G1018" s="3" t="s">
        <v>41</v>
      </c>
      <c r="I1018" s="25" t="str">
        <f t="shared" si="172"/>
        <v/>
      </c>
      <c r="J1018" s="25" t="str">
        <f t="shared" si="172"/>
        <v/>
      </c>
      <c r="L1018" s="3"/>
      <c r="M1018" s="3"/>
    </row>
    <row r="1019" spans="1:13" x14ac:dyDescent="0.45">
      <c r="A1019" t="s">
        <v>18</v>
      </c>
      <c r="B1019" t="s">
        <v>38</v>
      </c>
      <c r="C1019" t="s">
        <v>9</v>
      </c>
      <c r="D1019" s="27">
        <v>0</v>
      </c>
      <c r="E1019" s="3" t="s">
        <v>41</v>
      </c>
      <c r="F1019" s="23">
        <v>55000000</v>
      </c>
      <c r="G1019" s="3" t="s">
        <v>41</v>
      </c>
      <c r="I1019" s="25" t="str">
        <f t="shared" si="172"/>
        <v/>
      </c>
      <c r="J1019" s="25" t="str">
        <f t="shared" si="172"/>
        <v/>
      </c>
      <c r="L1019" s="3"/>
      <c r="M1019" s="3"/>
    </row>
    <row r="1020" spans="1:13" x14ac:dyDescent="0.45">
      <c r="A1020" t="s">
        <v>19</v>
      </c>
      <c r="B1020" t="s">
        <v>38</v>
      </c>
      <c r="C1020" t="s">
        <v>9</v>
      </c>
      <c r="D1020" s="27">
        <v>0</v>
      </c>
      <c r="E1020" s="3" t="s">
        <v>41</v>
      </c>
      <c r="F1020" s="23">
        <v>683211000</v>
      </c>
      <c r="G1020" s="3" t="s">
        <v>41</v>
      </c>
      <c r="I1020" s="25" t="str">
        <f t="shared" si="172"/>
        <v/>
      </c>
      <c r="J1020" s="25" t="str">
        <f t="shared" si="172"/>
        <v/>
      </c>
      <c r="L1020" s="3"/>
      <c r="M1020" s="3"/>
    </row>
    <row r="1021" spans="1:13" x14ac:dyDescent="0.45">
      <c r="A1021" t="s">
        <v>20</v>
      </c>
      <c r="B1021" t="s">
        <v>38</v>
      </c>
      <c r="C1021" t="s">
        <v>9</v>
      </c>
      <c r="D1021" s="27">
        <v>55000000</v>
      </c>
      <c r="E1021" s="3" t="s">
        <v>41</v>
      </c>
      <c r="F1021" s="23">
        <v>55000000</v>
      </c>
      <c r="G1021" s="3" t="s">
        <v>41</v>
      </c>
      <c r="I1021" s="25" t="str">
        <f t="shared" si="172"/>
        <v/>
      </c>
      <c r="J1021" s="25" t="str">
        <f t="shared" si="172"/>
        <v/>
      </c>
      <c r="L1021" s="3"/>
      <c r="M1021" s="3"/>
    </row>
    <row r="1022" spans="1:13" x14ac:dyDescent="0.45">
      <c r="A1022" t="s">
        <v>7</v>
      </c>
      <c r="B1022" t="s">
        <v>38</v>
      </c>
      <c r="C1022" t="s">
        <v>21</v>
      </c>
      <c r="D1022" s="27">
        <v>0</v>
      </c>
      <c r="E1022" s="3">
        <v>0</v>
      </c>
      <c r="F1022" s="23">
        <v>0</v>
      </c>
      <c r="G1022" s="3">
        <v>0</v>
      </c>
      <c r="I1022" s="22">
        <f t="shared" ref="I1022:J1022" si="179">IF(L1022="","",L1022)</f>
        <v>0</v>
      </c>
      <c r="J1022" s="22">
        <f t="shared" si="179"/>
        <v>0</v>
      </c>
      <c r="L1022" s="3">
        <v>0</v>
      </c>
      <c r="M1022" s="3">
        <v>0</v>
      </c>
    </row>
    <row r="1023" spans="1:13" x14ac:dyDescent="0.45">
      <c r="A1023" t="s">
        <v>10</v>
      </c>
      <c r="B1023" t="s">
        <v>38</v>
      </c>
      <c r="C1023" t="s">
        <v>21</v>
      </c>
      <c r="D1023" s="28">
        <v>0</v>
      </c>
      <c r="E1023" s="4">
        <v>0</v>
      </c>
      <c r="F1023" s="24">
        <v>0</v>
      </c>
      <c r="G1023" s="4">
        <v>0</v>
      </c>
      <c r="I1023" s="25">
        <f t="shared" ref="I1023:J1023" si="180">IF(L1023="","",L1023-L1022)</f>
        <v>0</v>
      </c>
      <c r="J1023" s="25">
        <f t="shared" si="180"/>
        <v>0</v>
      </c>
      <c r="L1023" s="4">
        <v>0</v>
      </c>
      <c r="M1023" s="4">
        <v>0</v>
      </c>
    </row>
    <row r="1024" spans="1:13" x14ac:dyDescent="0.45">
      <c r="A1024" t="s">
        <v>11</v>
      </c>
      <c r="B1024" t="s">
        <v>38</v>
      </c>
      <c r="C1024" t="s">
        <v>21</v>
      </c>
      <c r="D1024" s="27">
        <v>0</v>
      </c>
      <c r="E1024" s="3">
        <v>0</v>
      </c>
      <c r="F1024" s="23">
        <v>0</v>
      </c>
      <c r="G1024" s="3">
        <v>0</v>
      </c>
      <c r="I1024" s="25">
        <f t="shared" si="172"/>
        <v>0</v>
      </c>
      <c r="J1024" s="25">
        <f t="shared" si="172"/>
        <v>0</v>
      </c>
      <c r="L1024" s="29">
        <f>SUMIFS(Pivot_!C:C,Pivot_!A:A,'Hitung Per Bulan'!B1024,Pivot_!B:B,'Hitung Per Bulan'!C1024)</f>
        <v>0</v>
      </c>
      <c r="M1024" s="29">
        <f>SUMIFS(Pivot_!D:D,Pivot_!A:A,'Hitung Per Bulan'!B1024,Pivot_!B:B,'Hitung Per Bulan'!C1024)</f>
        <v>0</v>
      </c>
    </row>
    <row r="1025" spans="1:13" x14ac:dyDescent="0.45">
      <c r="A1025" t="s">
        <v>12</v>
      </c>
      <c r="B1025" t="s">
        <v>38</v>
      </c>
      <c r="C1025" t="s">
        <v>21</v>
      </c>
      <c r="D1025" s="27">
        <v>0</v>
      </c>
      <c r="E1025" s="3" t="s">
        <v>41</v>
      </c>
      <c r="F1025" s="23">
        <v>0</v>
      </c>
      <c r="G1025" s="3" t="s">
        <v>41</v>
      </c>
      <c r="I1025" s="25" t="str">
        <f t="shared" si="172"/>
        <v/>
      </c>
      <c r="J1025" s="25" t="str">
        <f t="shared" si="172"/>
        <v/>
      </c>
      <c r="L1025" s="3"/>
      <c r="M1025" s="3"/>
    </row>
    <row r="1026" spans="1:13" x14ac:dyDescent="0.45">
      <c r="A1026" t="s">
        <v>13</v>
      </c>
      <c r="B1026" t="s">
        <v>38</v>
      </c>
      <c r="C1026" t="s">
        <v>21</v>
      </c>
      <c r="D1026" s="27">
        <v>0</v>
      </c>
      <c r="E1026" s="3" t="s">
        <v>41</v>
      </c>
      <c r="F1026" s="23">
        <v>0</v>
      </c>
      <c r="G1026" s="3" t="s">
        <v>41</v>
      </c>
      <c r="I1026" s="25" t="str">
        <f t="shared" si="172"/>
        <v/>
      </c>
      <c r="J1026" s="25" t="str">
        <f t="shared" si="172"/>
        <v/>
      </c>
      <c r="L1026" s="3"/>
      <c r="M1026" s="3"/>
    </row>
    <row r="1027" spans="1:13" x14ac:dyDescent="0.45">
      <c r="A1027" t="s">
        <v>14</v>
      </c>
      <c r="B1027" t="s">
        <v>38</v>
      </c>
      <c r="C1027" t="s">
        <v>21</v>
      </c>
      <c r="D1027" s="27">
        <v>0</v>
      </c>
      <c r="E1027" s="3" t="s">
        <v>41</v>
      </c>
      <c r="F1027" s="23">
        <v>0</v>
      </c>
      <c r="G1027" s="3" t="s">
        <v>41</v>
      </c>
      <c r="I1027" s="25" t="str">
        <f t="shared" si="172"/>
        <v/>
      </c>
      <c r="J1027" s="25" t="str">
        <f t="shared" si="172"/>
        <v/>
      </c>
      <c r="L1027" s="3"/>
      <c r="M1027" s="3"/>
    </row>
    <row r="1028" spans="1:13" x14ac:dyDescent="0.45">
      <c r="A1028" t="s">
        <v>15</v>
      </c>
      <c r="B1028" t="s">
        <v>38</v>
      </c>
      <c r="C1028" t="s">
        <v>21</v>
      </c>
      <c r="D1028" s="27">
        <v>0</v>
      </c>
      <c r="E1028" s="3" t="s">
        <v>41</v>
      </c>
      <c r="F1028" s="23">
        <v>0</v>
      </c>
      <c r="G1028" s="3" t="s">
        <v>41</v>
      </c>
      <c r="I1028" s="25" t="str">
        <f t="shared" si="172"/>
        <v/>
      </c>
      <c r="J1028" s="25" t="str">
        <f t="shared" si="172"/>
        <v/>
      </c>
      <c r="L1028" s="3"/>
      <c r="M1028" s="3"/>
    </row>
    <row r="1029" spans="1:13" x14ac:dyDescent="0.45">
      <c r="A1029" t="s">
        <v>16</v>
      </c>
      <c r="B1029" t="s">
        <v>38</v>
      </c>
      <c r="C1029" t="s">
        <v>21</v>
      </c>
      <c r="D1029" s="27">
        <v>0</v>
      </c>
      <c r="E1029" s="3" t="s">
        <v>41</v>
      </c>
      <c r="F1029" s="23">
        <v>0</v>
      </c>
      <c r="G1029" s="3" t="s">
        <v>41</v>
      </c>
      <c r="I1029" s="25" t="str">
        <f t="shared" si="172"/>
        <v/>
      </c>
      <c r="J1029" s="25" t="str">
        <f t="shared" si="172"/>
        <v/>
      </c>
      <c r="L1029" s="3"/>
      <c r="M1029" s="3"/>
    </row>
    <row r="1030" spans="1:13" x14ac:dyDescent="0.45">
      <c r="A1030" t="s">
        <v>17</v>
      </c>
      <c r="B1030" t="s">
        <v>38</v>
      </c>
      <c r="C1030" t="s">
        <v>21</v>
      </c>
      <c r="D1030" s="27">
        <v>0</v>
      </c>
      <c r="E1030" s="3" t="s">
        <v>41</v>
      </c>
      <c r="F1030" s="23">
        <v>0</v>
      </c>
      <c r="G1030" s="3" t="s">
        <v>41</v>
      </c>
      <c r="I1030" s="25" t="str">
        <f t="shared" si="172"/>
        <v/>
      </c>
      <c r="J1030" s="25" t="str">
        <f t="shared" si="172"/>
        <v/>
      </c>
      <c r="L1030" s="3"/>
      <c r="M1030" s="3"/>
    </row>
    <row r="1031" spans="1:13" x14ac:dyDescent="0.45">
      <c r="A1031" t="s">
        <v>18</v>
      </c>
      <c r="B1031" t="s">
        <v>38</v>
      </c>
      <c r="C1031" t="s">
        <v>21</v>
      </c>
      <c r="D1031" s="27">
        <v>0</v>
      </c>
      <c r="E1031" s="3" t="s">
        <v>41</v>
      </c>
      <c r="F1031" s="23">
        <v>0</v>
      </c>
      <c r="G1031" s="3" t="s">
        <v>41</v>
      </c>
      <c r="I1031" s="25" t="str">
        <f t="shared" si="172"/>
        <v/>
      </c>
      <c r="J1031" s="25" t="str">
        <f t="shared" si="172"/>
        <v/>
      </c>
      <c r="L1031" s="3"/>
      <c r="M1031" s="3"/>
    </row>
    <row r="1032" spans="1:13" x14ac:dyDescent="0.45">
      <c r="A1032" t="s">
        <v>19</v>
      </c>
      <c r="B1032" t="s">
        <v>38</v>
      </c>
      <c r="C1032" t="s">
        <v>21</v>
      </c>
      <c r="D1032" s="27">
        <v>0</v>
      </c>
      <c r="E1032" s="3" t="s">
        <v>41</v>
      </c>
      <c r="F1032" s="23">
        <v>0</v>
      </c>
      <c r="G1032" s="3" t="s">
        <v>41</v>
      </c>
      <c r="I1032" s="25" t="str">
        <f t="shared" si="172"/>
        <v/>
      </c>
      <c r="J1032" s="25" t="str">
        <f t="shared" si="172"/>
        <v/>
      </c>
      <c r="L1032" s="3"/>
      <c r="M1032" s="3"/>
    </row>
    <row r="1033" spans="1:13" x14ac:dyDescent="0.45">
      <c r="A1033" t="s">
        <v>20</v>
      </c>
      <c r="B1033" t="s">
        <v>38</v>
      </c>
      <c r="C1033" t="s">
        <v>21</v>
      </c>
      <c r="D1033" s="27">
        <v>0</v>
      </c>
      <c r="E1033" s="3" t="s">
        <v>41</v>
      </c>
      <c r="F1033" s="23">
        <v>0</v>
      </c>
      <c r="G1033" s="3" t="s">
        <v>41</v>
      </c>
      <c r="I1033" s="25" t="str">
        <f t="shared" si="172"/>
        <v/>
      </c>
      <c r="J1033" s="25" t="str">
        <f t="shared" si="172"/>
        <v/>
      </c>
      <c r="L1033" s="3"/>
      <c r="M1033" s="3"/>
    </row>
    <row r="1034" spans="1:13" x14ac:dyDescent="0.45">
      <c r="A1034" t="s">
        <v>7</v>
      </c>
      <c r="B1034" t="s">
        <v>38</v>
      </c>
      <c r="C1034" t="s">
        <v>22</v>
      </c>
      <c r="D1034" s="27">
        <v>0</v>
      </c>
      <c r="E1034" s="3">
        <v>6119400</v>
      </c>
      <c r="F1034" s="23">
        <v>11287500</v>
      </c>
      <c r="G1034" s="3">
        <v>0</v>
      </c>
      <c r="I1034" s="22">
        <f t="shared" ref="I1034:J1034" si="181">IF(L1034="","",L1034)</f>
        <v>6119400</v>
      </c>
      <c r="J1034" s="22">
        <f t="shared" si="181"/>
        <v>0</v>
      </c>
      <c r="L1034" s="3">
        <v>6119400</v>
      </c>
      <c r="M1034" s="3">
        <v>0</v>
      </c>
    </row>
    <row r="1035" spans="1:13" x14ac:dyDescent="0.45">
      <c r="A1035" t="s">
        <v>10</v>
      </c>
      <c r="B1035" t="s">
        <v>38</v>
      </c>
      <c r="C1035" t="s">
        <v>22</v>
      </c>
      <c r="D1035" s="28">
        <v>0</v>
      </c>
      <c r="E1035" s="4">
        <v>0</v>
      </c>
      <c r="F1035" s="24">
        <v>0</v>
      </c>
      <c r="G1035" s="4">
        <v>0</v>
      </c>
      <c r="I1035" s="25">
        <f t="shared" ref="I1035:J1035" si="182">IF(L1035="","",L1035-L1034)</f>
        <v>0</v>
      </c>
      <c r="J1035" s="25">
        <f t="shared" si="182"/>
        <v>0</v>
      </c>
      <c r="L1035" s="4">
        <v>6119400</v>
      </c>
      <c r="M1035" s="4">
        <v>0</v>
      </c>
    </row>
    <row r="1036" spans="1:13" x14ac:dyDescent="0.45">
      <c r="A1036" t="s">
        <v>11</v>
      </c>
      <c r="B1036" t="s">
        <v>38</v>
      </c>
      <c r="C1036" t="s">
        <v>22</v>
      </c>
      <c r="D1036" s="27">
        <v>11287500</v>
      </c>
      <c r="E1036" s="3">
        <v>6423200</v>
      </c>
      <c r="F1036" s="23">
        <v>0</v>
      </c>
      <c r="G1036" s="3">
        <v>6119400</v>
      </c>
      <c r="I1036" s="25">
        <f t="shared" si="172"/>
        <v>6423200</v>
      </c>
      <c r="J1036" s="25">
        <f t="shared" si="172"/>
        <v>6119400</v>
      </c>
      <c r="L1036" s="29">
        <f>SUMIFS(Pivot_!C:C,Pivot_!A:A,'Hitung Per Bulan'!B1036,Pivot_!B:B,'Hitung Per Bulan'!C1036)</f>
        <v>12542600</v>
      </c>
      <c r="M1036" s="29">
        <f>SUMIFS(Pivot_!D:D,Pivot_!A:A,'Hitung Per Bulan'!B1036,Pivot_!B:B,'Hitung Per Bulan'!C1036)</f>
        <v>6119400</v>
      </c>
    </row>
    <row r="1037" spans="1:13" x14ac:dyDescent="0.45">
      <c r="A1037" t="s">
        <v>12</v>
      </c>
      <c r="B1037" t="s">
        <v>38</v>
      </c>
      <c r="C1037" t="s">
        <v>22</v>
      </c>
      <c r="D1037" s="27">
        <v>0</v>
      </c>
      <c r="E1037" s="3" t="s">
        <v>41</v>
      </c>
      <c r="F1037" s="23">
        <v>11287500</v>
      </c>
      <c r="G1037" s="3" t="s">
        <v>41</v>
      </c>
      <c r="I1037" s="25" t="str">
        <f t="shared" si="172"/>
        <v/>
      </c>
      <c r="J1037" s="25" t="str">
        <f t="shared" si="172"/>
        <v/>
      </c>
      <c r="L1037" s="3"/>
      <c r="M1037" s="3"/>
    </row>
    <row r="1038" spans="1:13" x14ac:dyDescent="0.45">
      <c r="A1038" t="s">
        <v>13</v>
      </c>
      <c r="B1038" t="s">
        <v>38</v>
      </c>
      <c r="C1038" t="s">
        <v>22</v>
      </c>
      <c r="D1038" s="27">
        <v>0</v>
      </c>
      <c r="E1038" s="3" t="s">
        <v>41</v>
      </c>
      <c r="F1038" s="23">
        <v>0</v>
      </c>
      <c r="G1038" s="3" t="s">
        <v>41</v>
      </c>
      <c r="I1038" s="25" t="str">
        <f t="shared" si="172"/>
        <v/>
      </c>
      <c r="J1038" s="25" t="str">
        <f t="shared" si="172"/>
        <v/>
      </c>
      <c r="L1038" s="3"/>
      <c r="M1038" s="3"/>
    </row>
    <row r="1039" spans="1:13" x14ac:dyDescent="0.45">
      <c r="A1039" t="s">
        <v>14</v>
      </c>
      <c r="B1039" t="s">
        <v>38</v>
      </c>
      <c r="C1039" t="s">
        <v>22</v>
      </c>
      <c r="D1039" s="27">
        <v>11287500</v>
      </c>
      <c r="E1039" s="3" t="s">
        <v>41</v>
      </c>
      <c r="F1039" s="23">
        <v>0</v>
      </c>
      <c r="G1039" s="3" t="s">
        <v>41</v>
      </c>
      <c r="I1039" s="25" t="str">
        <f t="shared" ref="I1039:J1102" si="183">IF(L1039="","",L1039-L1038)</f>
        <v/>
      </c>
      <c r="J1039" s="25" t="str">
        <f t="shared" si="183"/>
        <v/>
      </c>
      <c r="L1039" s="3"/>
      <c r="M1039" s="3"/>
    </row>
    <row r="1040" spans="1:13" x14ac:dyDescent="0.45">
      <c r="A1040" t="s">
        <v>15</v>
      </c>
      <c r="B1040" t="s">
        <v>38</v>
      </c>
      <c r="C1040" t="s">
        <v>22</v>
      </c>
      <c r="D1040" s="27">
        <v>0</v>
      </c>
      <c r="E1040" s="3" t="s">
        <v>41</v>
      </c>
      <c r="F1040" s="23">
        <v>11287500</v>
      </c>
      <c r="G1040" s="3" t="s">
        <v>41</v>
      </c>
      <c r="I1040" s="25" t="str">
        <f t="shared" si="183"/>
        <v/>
      </c>
      <c r="J1040" s="25" t="str">
        <f t="shared" si="183"/>
        <v/>
      </c>
      <c r="L1040" s="3"/>
      <c r="M1040" s="3"/>
    </row>
    <row r="1041" spans="1:13" x14ac:dyDescent="0.45">
      <c r="A1041" t="s">
        <v>16</v>
      </c>
      <c r="B1041" t="s">
        <v>38</v>
      </c>
      <c r="C1041" t="s">
        <v>22</v>
      </c>
      <c r="D1041" s="27">
        <v>0</v>
      </c>
      <c r="E1041" s="3" t="s">
        <v>41</v>
      </c>
      <c r="F1041" s="23">
        <v>0</v>
      </c>
      <c r="G1041" s="3" t="s">
        <v>41</v>
      </c>
      <c r="I1041" s="25" t="str">
        <f t="shared" si="183"/>
        <v/>
      </c>
      <c r="J1041" s="25" t="str">
        <f t="shared" si="183"/>
        <v/>
      </c>
      <c r="L1041" s="3"/>
      <c r="M1041" s="3"/>
    </row>
    <row r="1042" spans="1:13" x14ac:dyDescent="0.45">
      <c r="A1042" t="s">
        <v>17</v>
      </c>
      <c r="B1042" t="s">
        <v>38</v>
      </c>
      <c r="C1042" t="s">
        <v>22</v>
      </c>
      <c r="D1042" s="27">
        <v>11287500</v>
      </c>
      <c r="E1042" s="3" t="s">
        <v>41</v>
      </c>
      <c r="F1042" s="23">
        <v>0</v>
      </c>
      <c r="G1042" s="3" t="s">
        <v>41</v>
      </c>
      <c r="I1042" s="25" t="str">
        <f t="shared" si="183"/>
        <v/>
      </c>
      <c r="J1042" s="25" t="str">
        <f t="shared" si="183"/>
        <v/>
      </c>
      <c r="L1042" s="3"/>
      <c r="M1042" s="3"/>
    </row>
    <row r="1043" spans="1:13" x14ac:dyDescent="0.45">
      <c r="A1043" t="s">
        <v>18</v>
      </c>
      <c r="B1043" t="s">
        <v>38</v>
      </c>
      <c r="C1043" t="s">
        <v>22</v>
      </c>
      <c r="D1043" s="27">
        <v>0</v>
      </c>
      <c r="E1043" s="3" t="s">
        <v>41</v>
      </c>
      <c r="F1043" s="23">
        <v>11287500</v>
      </c>
      <c r="G1043" s="3" t="s">
        <v>41</v>
      </c>
      <c r="I1043" s="25" t="str">
        <f t="shared" si="183"/>
        <v/>
      </c>
      <c r="J1043" s="25" t="str">
        <f t="shared" si="183"/>
        <v/>
      </c>
      <c r="L1043" s="3"/>
      <c r="M1043" s="3"/>
    </row>
    <row r="1044" spans="1:13" x14ac:dyDescent="0.45">
      <c r="A1044" t="s">
        <v>19</v>
      </c>
      <c r="B1044" t="s">
        <v>38</v>
      </c>
      <c r="C1044" t="s">
        <v>22</v>
      </c>
      <c r="D1044" s="27">
        <v>0</v>
      </c>
      <c r="E1044" s="3" t="s">
        <v>41</v>
      </c>
      <c r="F1044" s="23">
        <v>0</v>
      </c>
      <c r="G1044" s="3" t="s">
        <v>41</v>
      </c>
      <c r="I1044" s="25" t="str">
        <f t="shared" si="183"/>
        <v/>
      </c>
      <c r="J1044" s="25" t="str">
        <f t="shared" si="183"/>
        <v/>
      </c>
      <c r="L1044" s="3"/>
      <c r="M1044" s="3"/>
    </row>
    <row r="1045" spans="1:13" x14ac:dyDescent="0.45">
      <c r="A1045" t="s">
        <v>20</v>
      </c>
      <c r="B1045" t="s">
        <v>38</v>
      </c>
      <c r="C1045" t="s">
        <v>22</v>
      </c>
      <c r="D1045" s="27">
        <v>11287500</v>
      </c>
      <c r="E1045" s="3" t="s">
        <v>41</v>
      </c>
      <c r="F1045" s="23">
        <v>0</v>
      </c>
      <c r="G1045" s="3" t="s">
        <v>41</v>
      </c>
      <c r="I1045" s="25" t="str">
        <f t="shared" si="183"/>
        <v/>
      </c>
      <c r="J1045" s="25" t="str">
        <f t="shared" si="183"/>
        <v/>
      </c>
      <c r="L1045" s="3"/>
      <c r="M1045" s="3"/>
    </row>
    <row r="1046" spans="1:13" x14ac:dyDescent="0.45">
      <c r="A1046" t="s">
        <v>7</v>
      </c>
      <c r="B1046" t="s">
        <v>38</v>
      </c>
      <c r="C1046" t="s">
        <v>23</v>
      </c>
      <c r="D1046" s="27">
        <v>0</v>
      </c>
      <c r="E1046" s="3">
        <v>0</v>
      </c>
      <c r="F1046" s="23">
        <v>0</v>
      </c>
      <c r="G1046" s="3">
        <v>0</v>
      </c>
      <c r="I1046" s="22">
        <f t="shared" ref="I1046:J1046" si="184">IF(L1046="","",L1046)</f>
        <v>0</v>
      </c>
      <c r="J1046" s="22">
        <f t="shared" si="184"/>
        <v>0</v>
      </c>
      <c r="L1046" s="3">
        <v>0</v>
      </c>
      <c r="M1046" s="3">
        <v>0</v>
      </c>
    </row>
    <row r="1047" spans="1:13" x14ac:dyDescent="0.45">
      <c r="A1047" t="s">
        <v>10</v>
      </c>
      <c r="B1047" t="s">
        <v>38</v>
      </c>
      <c r="C1047" t="s">
        <v>23</v>
      </c>
      <c r="D1047" s="28">
        <v>15000000</v>
      </c>
      <c r="E1047" s="4">
        <v>9000000</v>
      </c>
      <c r="F1047" s="24">
        <v>0</v>
      </c>
      <c r="G1047" s="4">
        <v>0</v>
      </c>
      <c r="I1047" s="25">
        <f t="shared" ref="I1047:J1047" si="185">IF(L1047="","",L1047-L1046)</f>
        <v>9000000</v>
      </c>
      <c r="J1047" s="25">
        <f t="shared" si="185"/>
        <v>0</v>
      </c>
      <c r="L1047" s="4">
        <v>9000000</v>
      </c>
      <c r="M1047" s="4">
        <v>0</v>
      </c>
    </row>
    <row r="1048" spans="1:13" x14ac:dyDescent="0.45">
      <c r="A1048" t="s">
        <v>11</v>
      </c>
      <c r="B1048" t="s">
        <v>38</v>
      </c>
      <c r="C1048" t="s">
        <v>23</v>
      </c>
      <c r="D1048" s="27">
        <v>0</v>
      </c>
      <c r="E1048" s="3">
        <v>0</v>
      </c>
      <c r="F1048" s="23">
        <v>15000000</v>
      </c>
      <c r="G1048" s="3">
        <v>0</v>
      </c>
      <c r="I1048" s="25">
        <f t="shared" si="183"/>
        <v>0</v>
      </c>
      <c r="J1048" s="25">
        <f t="shared" si="183"/>
        <v>0</v>
      </c>
      <c r="L1048" s="29">
        <f>SUMIFS(Pivot_!C:C,Pivot_!A:A,'Hitung Per Bulan'!B1048,Pivot_!B:B,'Hitung Per Bulan'!C1048)</f>
        <v>9000000</v>
      </c>
      <c r="M1048" s="29">
        <f>SUMIFS(Pivot_!D:D,Pivot_!A:A,'Hitung Per Bulan'!B1048,Pivot_!B:B,'Hitung Per Bulan'!C1048)</f>
        <v>0</v>
      </c>
    </row>
    <row r="1049" spans="1:13" x14ac:dyDescent="0.45">
      <c r="A1049" t="s">
        <v>12</v>
      </c>
      <c r="B1049" t="s">
        <v>38</v>
      </c>
      <c r="C1049" t="s">
        <v>23</v>
      </c>
      <c r="D1049" s="27">
        <v>0</v>
      </c>
      <c r="E1049" s="3" t="s">
        <v>41</v>
      </c>
      <c r="F1049" s="23">
        <v>0</v>
      </c>
      <c r="G1049" s="3" t="s">
        <v>41</v>
      </c>
      <c r="I1049" s="25" t="str">
        <f t="shared" si="183"/>
        <v/>
      </c>
      <c r="J1049" s="25" t="str">
        <f t="shared" si="183"/>
        <v/>
      </c>
      <c r="L1049" s="3"/>
      <c r="M1049" s="3"/>
    </row>
    <row r="1050" spans="1:13" x14ac:dyDescent="0.45">
      <c r="A1050" t="s">
        <v>13</v>
      </c>
      <c r="B1050" t="s">
        <v>38</v>
      </c>
      <c r="C1050" t="s">
        <v>23</v>
      </c>
      <c r="D1050" s="27">
        <v>15000000</v>
      </c>
      <c r="E1050" s="3" t="s">
        <v>41</v>
      </c>
      <c r="F1050" s="23">
        <v>0</v>
      </c>
      <c r="G1050" s="3" t="s">
        <v>41</v>
      </c>
      <c r="I1050" s="25" t="str">
        <f t="shared" si="183"/>
        <v/>
      </c>
      <c r="J1050" s="25" t="str">
        <f t="shared" si="183"/>
        <v/>
      </c>
      <c r="L1050" s="3"/>
      <c r="M1050" s="3"/>
    </row>
    <row r="1051" spans="1:13" x14ac:dyDescent="0.45">
      <c r="A1051" t="s">
        <v>14</v>
      </c>
      <c r="B1051" t="s">
        <v>38</v>
      </c>
      <c r="C1051" t="s">
        <v>23</v>
      </c>
      <c r="D1051" s="27">
        <v>0</v>
      </c>
      <c r="E1051" s="3" t="s">
        <v>41</v>
      </c>
      <c r="F1051" s="23">
        <v>15000000</v>
      </c>
      <c r="G1051" s="3" t="s">
        <v>41</v>
      </c>
      <c r="I1051" s="25" t="str">
        <f t="shared" si="183"/>
        <v/>
      </c>
      <c r="J1051" s="25" t="str">
        <f t="shared" si="183"/>
        <v/>
      </c>
      <c r="L1051" s="3"/>
      <c r="M1051" s="3"/>
    </row>
    <row r="1052" spans="1:13" x14ac:dyDescent="0.45">
      <c r="A1052" t="s">
        <v>15</v>
      </c>
      <c r="B1052" t="s">
        <v>38</v>
      </c>
      <c r="C1052" t="s">
        <v>23</v>
      </c>
      <c r="D1052" s="27">
        <v>0</v>
      </c>
      <c r="E1052" s="3" t="s">
        <v>41</v>
      </c>
      <c r="F1052" s="23">
        <v>0</v>
      </c>
      <c r="G1052" s="3" t="s">
        <v>41</v>
      </c>
      <c r="I1052" s="25" t="str">
        <f t="shared" si="183"/>
        <v/>
      </c>
      <c r="J1052" s="25" t="str">
        <f t="shared" si="183"/>
        <v/>
      </c>
      <c r="L1052" s="3"/>
      <c r="M1052" s="3"/>
    </row>
    <row r="1053" spans="1:13" x14ac:dyDescent="0.45">
      <c r="A1053" t="s">
        <v>16</v>
      </c>
      <c r="B1053" t="s">
        <v>38</v>
      </c>
      <c r="C1053" t="s">
        <v>23</v>
      </c>
      <c r="D1053" s="27">
        <v>15000000</v>
      </c>
      <c r="E1053" s="3" t="s">
        <v>41</v>
      </c>
      <c r="F1053" s="23">
        <v>0</v>
      </c>
      <c r="G1053" s="3" t="s">
        <v>41</v>
      </c>
      <c r="I1053" s="25" t="str">
        <f t="shared" si="183"/>
        <v/>
      </c>
      <c r="J1053" s="25" t="str">
        <f t="shared" si="183"/>
        <v/>
      </c>
      <c r="L1053" s="3"/>
      <c r="M1053" s="3"/>
    </row>
    <row r="1054" spans="1:13" x14ac:dyDescent="0.45">
      <c r="A1054" t="s">
        <v>17</v>
      </c>
      <c r="B1054" t="s">
        <v>38</v>
      </c>
      <c r="C1054" t="s">
        <v>23</v>
      </c>
      <c r="D1054" s="27">
        <v>0</v>
      </c>
      <c r="E1054" s="3" t="s">
        <v>41</v>
      </c>
      <c r="F1054" s="23">
        <v>15000000</v>
      </c>
      <c r="G1054" s="3" t="s">
        <v>41</v>
      </c>
      <c r="I1054" s="25" t="str">
        <f t="shared" si="183"/>
        <v/>
      </c>
      <c r="J1054" s="25" t="str">
        <f t="shared" si="183"/>
        <v/>
      </c>
      <c r="L1054" s="3"/>
      <c r="M1054" s="3"/>
    </row>
    <row r="1055" spans="1:13" x14ac:dyDescent="0.45">
      <c r="A1055" t="s">
        <v>18</v>
      </c>
      <c r="B1055" t="s">
        <v>38</v>
      </c>
      <c r="C1055" t="s">
        <v>23</v>
      </c>
      <c r="D1055" s="27">
        <v>0</v>
      </c>
      <c r="E1055" s="3" t="s">
        <v>41</v>
      </c>
      <c r="F1055" s="23">
        <v>0</v>
      </c>
      <c r="G1055" s="3" t="s">
        <v>41</v>
      </c>
      <c r="I1055" s="25" t="str">
        <f t="shared" si="183"/>
        <v/>
      </c>
      <c r="J1055" s="25" t="str">
        <f t="shared" si="183"/>
        <v/>
      </c>
      <c r="L1055" s="3"/>
      <c r="M1055" s="3"/>
    </row>
    <row r="1056" spans="1:13" x14ac:dyDescent="0.45">
      <c r="A1056" t="s">
        <v>19</v>
      </c>
      <c r="B1056" t="s">
        <v>38</v>
      </c>
      <c r="C1056" t="s">
        <v>23</v>
      </c>
      <c r="D1056" s="27">
        <v>15000000</v>
      </c>
      <c r="E1056" s="3" t="s">
        <v>41</v>
      </c>
      <c r="F1056" s="23">
        <v>0</v>
      </c>
      <c r="G1056" s="3" t="s">
        <v>41</v>
      </c>
      <c r="I1056" s="25" t="str">
        <f t="shared" si="183"/>
        <v/>
      </c>
      <c r="J1056" s="25" t="str">
        <f t="shared" si="183"/>
        <v/>
      </c>
      <c r="L1056" s="3"/>
      <c r="M1056" s="3"/>
    </row>
    <row r="1057" spans="1:13" x14ac:dyDescent="0.45">
      <c r="A1057" t="s">
        <v>20</v>
      </c>
      <c r="B1057" t="s">
        <v>38</v>
      </c>
      <c r="C1057" t="s">
        <v>23</v>
      </c>
      <c r="D1057" s="27">
        <v>0</v>
      </c>
      <c r="E1057" s="3" t="s">
        <v>41</v>
      </c>
      <c r="F1057" s="23">
        <v>15000000</v>
      </c>
      <c r="G1057" s="3" t="s">
        <v>41</v>
      </c>
      <c r="I1057" s="25" t="str">
        <f t="shared" si="183"/>
        <v/>
      </c>
      <c r="J1057" s="25" t="str">
        <f t="shared" si="183"/>
        <v/>
      </c>
      <c r="L1057" s="3"/>
      <c r="M1057" s="3"/>
    </row>
    <row r="1058" spans="1:13" x14ac:dyDescent="0.45">
      <c r="A1058" t="s">
        <v>7</v>
      </c>
      <c r="B1058" t="s">
        <v>38</v>
      </c>
      <c r="C1058" t="s">
        <v>24</v>
      </c>
      <c r="D1058" s="27">
        <v>0</v>
      </c>
      <c r="E1058" s="3">
        <v>0</v>
      </c>
      <c r="F1058" s="23">
        <v>0</v>
      </c>
      <c r="G1058" s="3">
        <v>0</v>
      </c>
      <c r="I1058" s="22">
        <f t="shared" ref="I1058:J1058" si="186">IF(L1058="","",L1058)</f>
        <v>0</v>
      </c>
      <c r="J1058" s="22">
        <f t="shared" si="186"/>
        <v>0</v>
      </c>
      <c r="L1058" s="3">
        <v>0</v>
      </c>
      <c r="M1058" s="3">
        <v>0</v>
      </c>
    </row>
    <row r="1059" spans="1:13" x14ac:dyDescent="0.45">
      <c r="A1059" t="s">
        <v>10</v>
      </c>
      <c r="B1059" t="s">
        <v>38</v>
      </c>
      <c r="C1059" t="s">
        <v>24</v>
      </c>
      <c r="D1059" s="28">
        <v>0</v>
      </c>
      <c r="E1059" s="4">
        <v>0</v>
      </c>
      <c r="F1059" s="24">
        <v>0</v>
      </c>
      <c r="G1059" s="4">
        <v>0</v>
      </c>
      <c r="I1059" s="25">
        <f t="shared" ref="I1059:J1059" si="187">IF(L1059="","",L1059-L1058)</f>
        <v>0</v>
      </c>
      <c r="J1059" s="25">
        <f t="shared" si="187"/>
        <v>0</v>
      </c>
      <c r="L1059" s="4">
        <v>0</v>
      </c>
      <c r="M1059" s="4">
        <v>0</v>
      </c>
    </row>
    <row r="1060" spans="1:13" x14ac:dyDescent="0.45">
      <c r="A1060" t="s">
        <v>11</v>
      </c>
      <c r="B1060" t="s">
        <v>38</v>
      </c>
      <c r="C1060" t="s">
        <v>24</v>
      </c>
      <c r="D1060" s="27">
        <v>0</v>
      </c>
      <c r="E1060" s="3">
        <v>0</v>
      </c>
      <c r="F1060" s="23">
        <v>0</v>
      </c>
      <c r="G1060" s="3">
        <v>0</v>
      </c>
      <c r="I1060" s="25">
        <f t="shared" si="183"/>
        <v>0</v>
      </c>
      <c r="J1060" s="25">
        <f t="shared" si="183"/>
        <v>0</v>
      </c>
      <c r="L1060" s="29">
        <f>SUMIFS(Pivot_!C:C,Pivot_!A:A,'Hitung Per Bulan'!B1060,Pivot_!B:B,'Hitung Per Bulan'!C1060)</f>
        <v>0</v>
      </c>
      <c r="M1060" s="29">
        <f>SUMIFS(Pivot_!D:D,Pivot_!A:A,'Hitung Per Bulan'!B1060,Pivot_!B:B,'Hitung Per Bulan'!C1060)</f>
        <v>0</v>
      </c>
    </row>
    <row r="1061" spans="1:13" x14ac:dyDescent="0.45">
      <c r="A1061" t="s">
        <v>12</v>
      </c>
      <c r="B1061" t="s">
        <v>38</v>
      </c>
      <c r="C1061" t="s">
        <v>24</v>
      </c>
      <c r="D1061" s="27">
        <v>0</v>
      </c>
      <c r="E1061" s="3" t="s">
        <v>41</v>
      </c>
      <c r="F1061" s="23">
        <v>0</v>
      </c>
      <c r="G1061" s="3" t="s">
        <v>41</v>
      </c>
      <c r="I1061" s="25" t="str">
        <f t="shared" si="183"/>
        <v/>
      </c>
      <c r="J1061" s="25" t="str">
        <f t="shared" si="183"/>
        <v/>
      </c>
      <c r="L1061" s="3"/>
      <c r="M1061" s="3"/>
    </row>
    <row r="1062" spans="1:13" x14ac:dyDescent="0.45">
      <c r="A1062" t="s">
        <v>13</v>
      </c>
      <c r="B1062" t="s">
        <v>38</v>
      </c>
      <c r="C1062" t="s">
        <v>24</v>
      </c>
      <c r="D1062" s="27">
        <v>0</v>
      </c>
      <c r="E1062" s="3" t="s">
        <v>41</v>
      </c>
      <c r="F1062" s="23">
        <v>0</v>
      </c>
      <c r="G1062" s="3" t="s">
        <v>41</v>
      </c>
      <c r="I1062" s="25" t="str">
        <f t="shared" si="183"/>
        <v/>
      </c>
      <c r="J1062" s="25" t="str">
        <f t="shared" si="183"/>
        <v/>
      </c>
      <c r="L1062" s="3"/>
      <c r="M1062" s="3"/>
    </row>
    <row r="1063" spans="1:13" x14ac:dyDescent="0.45">
      <c r="A1063" t="s">
        <v>14</v>
      </c>
      <c r="B1063" t="s">
        <v>38</v>
      </c>
      <c r="C1063" t="s">
        <v>24</v>
      </c>
      <c r="D1063" s="27">
        <v>0</v>
      </c>
      <c r="E1063" s="3" t="s">
        <v>41</v>
      </c>
      <c r="F1063" s="23">
        <v>0</v>
      </c>
      <c r="G1063" s="3" t="s">
        <v>41</v>
      </c>
      <c r="I1063" s="25" t="str">
        <f t="shared" si="183"/>
        <v/>
      </c>
      <c r="J1063" s="25" t="str">
        <f t="shared" si="183"/>
        <v/>
      </c>
      <c r="L1063" s="3"/>
      <c r="M1063" s="3"/>
    </row>
    <row r="1064" spans="1:13" x14ac:dyDescent="0.45">
      <c r="A1064" t="s">
        <v>15</v>
      </c>
      <c r="B1064" t="s">
        <v>38</v>
      </c>
      <c r="C1064" t="s">
        <v>24</v>
      </c>
      <c r="D1064" s="27">
        <v>0</v>
      </c>
      <c r="E1064" s="3" t="s">
        <v>41</v>
      </c>
      <c r="F1064" s="23">
        <v>0</v>
      </c>
      <c r="G1064" s="3" t="s">
        <v>41</v>
      </c>
      <c r="I1064" s="25" t="str">
        <f t="shared" si="183"/>
        <v/>
      </c>
      <c r="J1064" s="25" t="str">
        <f t="shared" si="183"/>
        <v/>
      </c>
      <c r="L1064" s="3"/>
      <c r="M1064" s="3"/>
    </row>
    <row r="1065" spans="1:13" x14ac:dyDescent="0.45">
      <c r="A1065" t="s">
        <v>16</v>
      </c>
      <c r="B1065" t="s">
        <v>38</v>
      </c>
      <c r="C1065" t="s">
        <v>24</v>
      </c>
      <c r="D1065" s="27">
        <v>0</v>
      </c>
      <c r="E1065" s="3" t="s">
        <v>41</v>
      </c>
      <c r="F1065" s="23">
        <v>0</v>
      </c>
      <c r="G1065" s="3" t="s">
        <v>41</v>
      </c>
      <c r="I1065" s="25" t="str">
        <f t="shared" si="183"/>
        <v/>
      </c>
      <c r="J1065" s="25" t="str">
        <f t="shared" si="183"/>
        <v/>
      </c>
      <c r="L1065" s="3"/>
      <c r="M1065" s="3"/>
    </row>
    <row r="1066" spans="1:13" x14ac:dyDescent="0.45">
      <c r="A1066" t="s">
        <v>17</v>
      </c>
      <c r="B1066" t="s">
        <v>38</v>
      </c>
      <c r="C1066" t="s">
        <v>24</v>
      </c>
      <c r="D1066" s="27">
        <v>0</v>
      </c>
      <c r="E1066" s="3" t="s">
        <v>41</v>
      </c>
      <c r="F1066" s="23">
        <v>0</v>
      </c>
      <c r="G1066" s="3" t="s">
        <v>41</v>
      </c>
      <c r="I1066" s="25" t="str">
        <f t="shared" si="183"/>
        <v/>
      </c>
      <c r="J1066" s="25" t="str">
        <f t="shared" si="183"/>
        <v/>
      </c>
      <c r="L1066" s="3"/>
      <c r="M1066" s="3"/>
    </row>
    <row r="1067" spans="1:13" x14ac:dyDescent="0.45">
      <c r="A1067" t="s">
        <v>18</v>
      </c>
      <c r="B1067" t="s">
        <v>38</v>
      </c>
      <c r="C1067" t="s">
        <v>24</v>
      </c>
      <c r="D1067" s="27">
        <v>0</v>
      </c>
      <c r="E1067" s="3" t="s">
        <v>41</v>
      </c>
      <c r="F1067" s="23">
        <v>0</v>
      </c>
      <c r="G1067" s="3" t="s">
        <v>41</v>
      </c>
      <c r="I1067" s="25" t="str">
        <f t="shared" si="183"/>
        <v/>
      </c>
      <c r="J1067" s="25" t="str">
        <f t="shared" si="183"/>
        <v/>
      </c>
      <c r="L1067" s="3"/>
      <c r="M1067" s="3"/>
    </row>
    <row r="1068" spans="1:13" x14ac:dyDescent="0.45">
      <c r="A1068" t="s">
        <v>19</v>
      </c>
      <c r="B1068" t="s">
        <v>38</v>
      </c>
      <c r="C1068" t="s">
        <v>24</v>
      </c>
      <c r="D1068" s="27">
        <v>0</v>
      </c>
      <c r="E1068" s="3" t="s">
        <v>41</v>
      </c>
      <c r="F1068" s="23">
        <v>0</v>
      </c>
      <c r="G1068" s="3" t="s">
        <v>41</v>
      </c>
      <c r="I1068" s="25" t="str">
        <f t="shared" si="183"/>
        <v/>
      </c>
      <c r="J1068" s="25" t="str">
        <f t="shared" si="183"/>
        <v/>
      </c>
      <c r="L1068" s="3"/>
      <c r="M1068" s="3"/>
    </row>
    <row r="1069" spans="1:13" x14ac:dyDescent="0.45">
      <c r="A1069" t="s">
        <v>20</v>
      </c>
      <c r="B1069" t="s">
        <v>38</v>
      </c>
      <c r="C1069" t="s">
        <v>24</v>
      </c>
      <c r="D1069" s="27">
        <v>0</v>
      </c>
      <c r="E1069" s="3" t="s">
        <v>41</v>
      </c>
      <c r="F1069" s="23">
        <v>0</v>
      </c>
      <c r="G1069" s="3" t="s">
        <v>41</v>
      </c>
      <c r="I1069" s="25" t="str">
        <f t="shared" si="183"/>
        <v/>
      </c>
      <c r="J1069" s="25" t="str">
        <f t="shared" si="183"/>
        <v/>
      </c>
      <c r="L1069" s="3"/>
      <c r="M1069" s="3"/>
    </row>
    <row r="1070" spans="1:13" x14ac:dyDescent="0.45">
      <c r="A1070" t="s">
        <v>7</v>
      </c>
      <c r="B1070" t="s">
        <v>38</v>
      </c>
      <c r="C1070" t="s">
        <v>25</v>
      </c>
      <c r="D1070" s="27">
        <v>11870000</v>
      </c>
      <c r="E1070" s="3">
        <v>3485900</v>
      </c>
      <c r="F1070" s="23">
        <v>11870000</v>
      </c>
      <c r="G1070" s="3">
        <v>2487500</v>
      </c>
      <c r="I1070" s="22">
        <f t="shared" ref="I1070:J1070" si="188">IF(L1070="","",L1070)</f>
        <v>3485900</v>
      </c>
      <c r="J1070" s="22">
        <f t="shared" si="188"/>
        <v>2487500</v>
      </c>
      <c r="L1070" s="3">
        <v>3485900</v>
      </c>
      <c r="M1070" s="3">
        <v>2487500</v>
      </c>
    </row>
    <row r="1071" spans="1:13" x14ac:dyDescent="0.45">
      <c r="A1071" t="s">
        <v>10</v>
      </c>
      <c r="B1071" t="s">
        <v>38</v>
      </c>
      <c r="C1071" t="s">
        <v>25</v>
      </c>
      <c r="D1071" s="28">
        <v>17925000</v>
      </c>
      <c r="E1071" s="4">
        <v>3123150</v>
      </c>
      <c r="F1071" s="24">
        <v>16425000</v>
      </c>
      <c r="G1071" s="4">
        <v>3117150</v>
      </c>
      <c r="I1071" s="25">
        <f t="shared" ref="I1071:J1071" si="189">IF(L1071="","",L1071-L1070)</f>
        <v>3123150</v>
      </c>
      <c r="J1071" s="25">
        <f t="shared" si="189"/>
        <v>3117150</v>
      </c>
      <c r="L1071" s="4">
        <v>6609050</v>
      </c>
      <c r="M1071" s="4">
        <v>5604650</v>
      </c>
    </row>
    <row r="1072" spans="1:13" x14ac:dyDescent="0.45">
      <c r="A1072" t="s">
        <v>11</v>
      </c>
      <c r="B1072" t="s">
        <v>38</v>
      </c>
      <c r="C1072" t="s">
        <v>25</v>
      </c>
      <c r="D1072" s="27">
        <v>14870000</v>
      </c>
      <c r="E1072" s="3">
        <v>2658300</v>
      </c>
      <c r="F1072" s="23">
        <v>16370000</v>
      </c>
      <c r="G1072" s="3">
        <v>0</v>
      </c>
      <c r="I1072" s="25">
        <f t="shared" si="183"/>
        <v>7908300</v>
      </c>
      <c r="J1072" s="25">
        <f t="shared" si="183"/>
        <v>0</v>
      </c>
      <c r="L1072" s="29">
        <f>SUMIFS(Pivot_!C:C,Pivot_!A:A,'Hitung Per Bulan'!B1072,Pivot_!B:B,'Hitung Per Bulan'!C1072)</f>
        <v>14517350</v>
      </c>
      <c r="M1072" s="29">
        <f>SUMIFS(Pivot_!D:D,Pivot_!A:A,'Hitung Per Bulan'!B1072,Pivot_!B:B,'Hitung Per Bulan'!C1072)</f>
        <v>5604650</v>
      </c>
    </row>
    <row r="1073" spans="1:13" x14ac:dyDescent="0.45">
      <c r="A1073" t="s">
        <v>12</v>
      </c>
      <c r="B1073" t="s">
        <v>38</v>
      </c>
      <c r="C1073" t="s">
        <v>25</v>
      </c>
      <c r="D1073" s="27">
        <v>11870000</v>
      </c>
      <c r="E1073" s="3" t="s">
        <v>41</v>
      </c>
      <c r="F1073" s="23">
        <v>11870000</v>
      </c>
      <c r="G1073" s="3" t="s">
        <v>41</v>
      </c>
      <c r="I1073" s="25" t="str">
        <f t="shared" si="183"/>
        <v/>
      </c>
      <c r="J1073" s="25" t="str">
        <f t="shared" si="183"/>
        <v/>
      </c>
      <c r="L1073" s="3"/>
      <c r="M1073" s="3"/>
    </row>
    <row r="1074" spans="1:13" x14ac:dyDescent="0.45">
      <c r="A1074" t="s">
        <v>13</v>
      </c>
      <c r="B1074" t="s">
        <v>38</v>
      </c>
      <c r="C1074" t="s">
        <v>25</v>
      </c>
      <c r="D1074" s="27">
        <v>85925000</v>
      </c>
      <c r="E1074" s="3" t="s">
        <v>41</v>
      </c>
      <c r="F1074" s="23">
        <v>16425000</v>
      </c>
      <c r="G1074" s="3" t="s">
        <v>41</v>
      </c>
      <c r="I1074" s="25" t="str">
        <f t="shared" si="183"/>
        <v/>
      </c>
      <c r="J1074" s="25" t="str">
        <f t="shared" si="183"/>
        <v/>
      </c>
      <c r="L1074" s="3"/>
      <c r="M1074" s="3"/>
    </row>
    <row r="1075" spans="1:13" x14ac:dyDescent="0.45">
      <c r="A1075" t="s">
        <v>14</v>
      </c>
      <c r="B1075" t="s">
        <v>38</v>
      </c>
      <c r="C1075" t="s">
        <v>25</v>
      </c>
      <c r="D1075" s="27">
        <v>85870000</v>
      </c>
      <c r="E1075" s="3" t="s">
        <v>41</v>
      </c>
      <c r="F1075" s="23">
        <v>101370000</v>
      </c>
      <c r="G1075" s="3" t="s">
        <v>41</v>
      </c>
      <c r="I1075" s="25" t="str">
        <f t="shared" si="183"/>
        <v/>
      </c>
      <c r="J1075" s="25" t="str">
        <f t="shared" si="183"/>
        <v/>
      </c>
      <c r="L1075" s="3"/>
      <c r="M1075" s="3"/>
    </row>
    <row r="1076" spans="1:13" x14ac:dyDescent="0.45">
      <c r="A1076" t="s">
        <v>15</v>
      </c>
      <c r="B1076" t="s">
        <v>38</v>
      </c>
      <c r="C1076" t="s">
        <v>25</v>
      </c>
      <c r="D1076" s="27">
        <v>66870000</v>
      </c>
      <c r="E1076" s="3" t="s">
        <v>41</v>
      </c>
      <c r="F1076" s="23">
        <v>65870000</v>
      </c>
      <c r="G1076" s="3" t="s">
        <v>41</v>
      </c>
      <c r="I1076" s="25" t="str">
        <f t="shared" si="183"/>
        <v/>
      </c>
      <c r="J1076" s="25" t="str">
        <f t="shared" si="183"/>
        <v/>
      </c>
      <c r="L1076" s="3"/>
      <c r="M1076" s="3"/>
    </row>
    <row r="1077" spans="1:13" x14ac:dyDescent="0.45">
      <c r="A1077" t="s">
        <v>16</v>
      </c>
      <c r="B1077" t="s">
        <v>38</v>
      </c>
      <c r="C1077" t="s">
        <v>25</v>
      </c>
      <c r="D1077" s="27">
        <v>17925000</v>
      </c>
      <c r="E1077" s="3" t="s">
        <v>41</v>
      </c>
      <c r="F1077" s="23">
        <v>71425000</v>
      </c>
      <c r="G1077" s="3" t="s">
        <v>41</v>
      </c>
      <c r="I1077" s="25" t="str">
        <f t="shared" si="183"/>
        <v/>
      </c>
      <c r="J1077" s="25" t="str">
        <f t="shared" si="183"/>
        <v/>
      </c>
      <c r="L1077" s="3"/>
      <c r="M1077" s="3"/>
    </row>
    <row r="1078" spans="1:13" x14ac:dyDescent="0.45">
      <c r="A1078" t="s">
        <v>17</v>
      </c>
      <c r="B1078" t="s">
        <v>38</v>
      </c>
      <c r="C1078" t="s">
        <v>25</v>
      </c>
      <c r="D1078" s="27">
        <v>14870000</v>
      </c>
      <c r="E1078" s="3" t="s">
        <v>41</v>
      </c>
      <c r="F1078" s="23">
        <v>16370000</v>
      </c>
      <c r="G1078" s="3" t="s">
        <v>41</v>
      </c>
      <c r="I1078" s="25" t="str">
        <f t="shared" si="183"/>
        <v/>
      </c>
      <c r="J1078" s="25" t="str">
        <f t="shared" si="183"/>
        <v/>
      </c>
      <c r="L1078" s="3"/>
      <c r="M1078" s="3"/>
    </row>
    <row r="1079" spans="1:13" x14ac:dyDescent="0.45">
      <c r="A1079" t="s">
        <v>18</v>
      </c>
      <c r="B1079" t="s">
        <v>38</v>
      </c>
      <c r="C1079" t="s">
        <v>25</v>
      </c>
      <c r="D1079" s="27">
        <v>11870000</v>
      </c>
      <c r="E1079" s="3" t="s">
        <v>41</v>
      </c>
      <c r="F1079" s="23">
        <v>11870000</v>
      </c>
      <c r="G1079" s="3" t="s">
        <v>41</v>
      </c>
      <c r="I1079" s="25" t="str">
        <f t="shared" si="183"/>
        <v/>
      </c>
      <c r="J1079" s="25" t="str">
        <f t="shared" si="183"/>
        <v/>
      </c>
      <c r="L1079" s="3"/>
      <c r="M1079" s="3"/>
    </row>
    <row r="1080" spans="1:13" x14ac:dyDescent="0.45">
      <c r="A1080" t="s">
        <v>19</v>
      </c>
      <c r="B1080" t="s">
        <v>38</v>
      </c>
      <c r="C1080" t="s">
        <v>25</v>
      </c>
      <c r="D1080" s="27">
        <v>17925000</v>
      </c>
      <c r="E1080" s="3" t="s">
        <v>41</v>
      </c>
      <c r="F1080" s="23">
        <v>16425000</v>
      </c>
      <c r="G1080" s="3" t="s">
        <v>41</v>
      </c>
      <c r="I1080" s="25" t="str">
        <f t="shared" si="183"/>
        <v/>
      </c>
      <c r="J1080" s="25" t="str">
        <f t="shared" si="183"/>
        <v/>
      </c>
      <c r="L1080" s="3"/>
      <c r="M1080" s="3"/>
    </row>
    <row r="1081" spans="1:13" x14ac:dyDescent="0.45">
      <c r="A1081" t="s">
        <v>20</v>
      </c>
      <c r="B1081" t="s">
        <v>38</v>
      </c>
      <c r="C1081" t="s">
        <v>25</v>
      </c>
      <c r="D1081" s="27">
        <v>14870000</v>
      </c>
      <c r="E1081" s="3" t="s">
        <v>41</v>
      </c>
      <c r="F1081" s="23">
        <v>16370000</v>
      </c>
      <c r="G1081" s="3" t="s">
        <v>41</v>
      </c>
      <c r="I1081" s="25" t="str">
        <f t="shared" si="183"/>
        <v/>
      </c>
      <c r="J1081" s="25" t="str">
        <f t="shared" si="183"/>
        <v/>
      </c>
      <c r="L1081" s="3"/>
      <c r="M1081" s="3"/>
    </row>
    <row r="1082" spans="1:13" x14ac:dyDescent="0.45">
      <c r="A1082" t="s">
        <v>7</v>
      </c>
      <c r="B1082" t="s">
        <v>38</v>
      </c>
      <c r="C1082" t="s">
        <v>26</v>
      </c>
      <c r="D1082" s="27">
        <v>0</v>
      </c>
      <c r="E1082" s="3">
        <v>0</v>
      </c>
      <c r="F1082" s="23">
        <v>0</v>
      </c>
      <c r="G1082" s="3">
        <v>0</v>
      </c>
      <c r="I1082" s="22">
        <f t="shared" ref="I1082:J1082" si="190">IF(L1082="","",L1082)</f>
        <v>0</v>
      </c>
      <c r="J1082" s="22">
        <f t="shared" si="190"/>
        <v>0</v>
      </c>
      <c r="L1082" s="3">
        <v>0</v>
      </c>
      <c r="M1082" s="3">
        <v>0</v>
      </c>
    </row>
    <row r="1083" spans="1:13" x14ac:dyDescent="0.45">
      <c r="A1083" t="s">
        <v>10</v>
      </c>
      <c r="B1083" t="s">
        <v>38</v>
      </c>
      <c r="C1083" t="s">
        <v>26</v>
      </c>
      <c r="D1083" s="28">
        <v>0</v>
      </c>
      <c r="E1083" s="4">
        <v>0</v>
      </c>
      <c r="F1083" s="24">
        <v>0</v>
      </c>
      <c r="G1083" s="4">
        <v>0</v>
      </c>
      <c r="I1083" s="25">
        <f t="shared" ref="I1083:J1083" si="191">IF(L1083="","",L1083-L1082)</f>
        <v>0</v>
      </c>
      <c r="J1083" s="25">
        <f t="shared" si="191"/>
        <v>0</v>
      </c>
      <c r="L1083" s="4">
        <v>0</v>
      </c>
      <c r="M1083" s="4">
        <v>0</v>
      </c>
    </row>
    <row r="1084" spans="1:13" x14ac:dyDescent="0.45">
      <c r="A1084" t="s">
        <v>11</v>
      </c>
      <c r="B1084" t="s">
        <v>38</v>
      </c>
      <c r="C1084" t="s">
        <v>26</v>
      </c>
      <c r="D1084" s="27">
        <v>0</v>
      </c>
      <c r="E1084" s="3">
        <v>0</v>
      </c>
      <c r="F1084" s="23">
        <v>0</v>
      </c>
      <c r="G1084" s="3">
        <v>0</v>
      </c>
      <c r="I1084" s="25">
        <f t="shared" si="183"/>
        <v>0</v>
      </c>
      <c r="J1084" s="25">
        <f t="shared" si="183"/>
        <v>0</v>
      </c>
      <c r="L1084" s="29">
        <f>SUMIFS(Pivot_!C:C,Pivot_!A:A,'Hitung Per Bulan'!B1084,Pivot_!B:B,'Hitung Per Bulan'!C1084)</f>
        <v>0</v>
      </c>
      <c r="M1084" s="29">
        <f>SUMIFS(Pivot_!D:D,Pivot_!A:A,'Hitung Per Bulan'!B1084,Pivot_!B:B,'Hitung Per Bulan'!C1084)</f>
        <v>0</v>
      </c>
    </row>
    <row r="1085" spans="1:13" x14ac:dyDescent="0.45">
      <c r="A1085" t="s">
        <v>12</v>
      </c>
      <c r="B1085" t="s">
        <v>38</v>
      </c>
      <c r="C1085" t="s">
        <v>26</v>
      </c>
      <c r="D1085" s="27">
        <v>0</v>
      </c>
      <c r="E1085" s="3" t="s">
        <v>41</v>
      </c>
      <c r="F1085" s="23">
        <v>0</v>
      </c>
      <c r="G1085" s="3" t="s">
        <v>41</v>
      </c>
      <c r="I1085" s="25" t="str">
        <f t="shared" si="183"/>
        <v/>
      </c>
      <c r="J1085" s="25" t="str">
        <f t="shared" si="183"/>
        <v/>
      </c>
      <c r="L1085" s="3"/>
      <c r="M1085" s="3"/>
    </row>
    <row r="1086" spans="1:13" x14ac:dyDescent="0.45">
      <c r="A1086" t="s">
        <v>13</v>
      </c>
      <c r="B1086" t="s">
        <v>38</v>
      </c>
      <c r="C1086" t="s">
        <v>26</v>
      </c>
      <c r="D1086" s="27">
        <v>0</v>
      </c>
      <c r="E1086" s="3" t="s">
        <v>41</v>
      </c>
      <c r="F1086" s="23">
        <v>0</v>
      </c>
      <c r="G1086" s="3" t="s">
        <v>41</v>
      </c>
      <c r="I1086" s="25" t="str">
        <f t="shared" si="183"/>
        <v/>
      </c>
      <c r="J1086" s="25" t="str">
        <f t="shared" si="183"/>
        <v/>
      </c>
      <c r="L1086" s="3"/>
      <c r="M1086" s="3"/>
    </row>
    <row r="1087" spans="1:13" x14ac:dyDescent="0.45">
      <c r="A1087" t="s">
        <v>14</v>
      </c>
      <c r="B1087" t="s">
        <v>38</v>
      </c>
      <c r="C1087" t="s">
        <v>26</v>
      </c>
      <c r="D1087" s="27">
        <v>0</v>
      </c>
      <c r="E1087" s="3" t="s">
        <v>41</v>
      </c>
      <c r="F1087" s="23">
        <v>0</v>
      </c>
      <c r="G1087" s="3" t="s">
        <v>41</v>
      </c>
      <c r="I1087" s="25" t="str">
        <f t="shared" si="183"/>
        <v/>
      </c>
      <c r="J1087" s="25" t="str">
        <f t="shared" si="183"/>
        <v/>
      </c>
      <c r="L1087" s="3"/>
      <c r="M1087" s="3"/>
    </row>
    <row r="1088" spans="1:13" x14ac:dyDescent="0.45">
      <c r="A1088" t="s">
        <v>15</v>
      </c>
      <c r="B1088" t="s">
        <v>38</v>
      </c>
      <c r="C1088" t="s">
        <v>26</v>
      </c>
      <c r="D1088" s="27">
        <v>0</v>
      </c>
      <c r="E1088" s="3" t="s">
        <v>41</v>
      </c>
      <c r="F1088" s="23">
        <v>0</v>
      </c>
      <c r="G1088" s="3" t="s">
        <v>41</v>
      </c>
      <c r="I1088" s="25" t="str">
        <f t="shared" si="183"/>
        <v/>
      </c>
      <c r="J1088" s="25" t="str">
        <f t="shared" si="183"/>
        <v/>
      </c>
      <c r="L1088" s="3"/>
      <c r="M1088" s="3"/>
    </row>
    <row r="1089" spans="1:13" x14ac:dyDescent="0.45">
      <c r="A1089" t="s">
        <v>16</v>
      </c>
      <c r="B1089" t="s">
        <v>38</v>
      </c>
      <c r="C1089" t="s">
        <v>26</v>
      </c>
      <c r="D1089" s="27">
        <v>0</v>
      </c>
      <c r="E1089" s="3" t="s">
        <v>41</v>
      </c>
      <c r="F1089" s="23">
        <v>0</v>
      </c>
      <c r="G1089" s="3" t="s">
        <v>41</v>
      </c>
      <c r="I1089" s="25" t="str">
        <f t="shared" si="183"/>
        <v/>
      </c>
      <c r="J1089" s="25" t="str">
        <f t="shared" si="183"/>
        <v/>
      </c>
      <c r="L1089" s="3"/>
      <c r="M1089" s="3"/>
    </row>
    <row r="1090" spans="1:13" x14ac:dyDescent="0.45">
      <c r="A1090" t="s">
        <v>17</v>
      </c>
      <c r="B1090" t="s">
        <v>38</v>
      </c>
      <c r="C1090" t="s">
        <v>26</v>
      </c>
      <c r="D1090" s="27">
        <v>0</v>
      </c>
      <c r="E1090" s="3" t="s">
        <v>41</v>
      </c>
      <c r="F1090" s="23">
        <v>0</v>
      </c>
      <c r="G1090" s="3" t="s">
        <v>41</v>
      </c>
      <c r="I1090" s="25" t="str">
        <f t="shared" si="183"/>
        <v/>
      </c>
      <c r="J1090" s="25" t="str">
        <f t="shared" si="183"/>
        <v/>
      </c>
      <c r="L1090" s="3"/>
      <c r="M1090" s="3"/>
    </row>
    <row r="1091" spans="1:13" x14ac:dyDescent="0.45">
      <c r="A1091" t="s">
        <v>18</v>
      </c>
      <c r="B1091" t="s">
        <v>38</v>
      </c>
      <c r="C1091" t="s">
        <v>26</v>
      </c>
      <c r="D1091" s="27">
        <v>0</v>
      </c>
      <c r="E1091" s="3" t="s">
        <v>41</v>
      </c>
      <c r="F1091" s="23">
        <v>0</v>
      </c>
      <c r="G1091" s="3" t="s">
        <v>41</v>
      </c>
      <c r="I1091" s="25" t="str">
        <f t="shared" si="183"/>
        <v/>
      </c>
      <c r="J1091" s="25" t="str">
        <f t="shared" si="183"/>
        <v/>
      </c>
      <c r="L1091" s="3"/>
      <c r="M1091" s="3"/>
    </row>
    <row r="1092" spans="1:13" x14ac:dyDescent="0.45">
      <c r="A1092" t="s">
        <v>19</v>
      </c>
      <c r="B1092" t="s">
        <v>38</v>
      </c>
      <c r="C1092" t="s">
        <v>26</v>
      </c>
      <c r="D1092" s="27">
        <v>0</v>
      </c>
      <c r="E1092" s="3" t="s">
        <v>41</v>
      </c>
      <c r="F1092" s="23">
        <v>0</v>
      </c>
      <c r="G1092" s="3" t="s">
        <v>41</v>
      </c>
      <c r="I1092" s="25" t="str">
        <f t="shared" si="183"/>
        <v/>
      </c>
      <c r="J1092" s="25" t="str">
        <f t="shared" si="183"/>
        <v/>
      </c>
      <c r="L1092" s="3"/>
      <c r="M1092" s="3"/>
    </row>
    <row r="1093" spans="1:13" x14ac:dyDescent="0.45">
      <c r="A1093" t="s">
        <v>20</v>
      </c>
      <c r="B1093" t="s">
        <v>38</v>
      </c>
      <c r="C1093" t="s">
        <v>26</v>
      </c>
      <c r="D1093" s="27">
        <v>0</v>
      </c>
      <c r="E1093" s="3" t="s">
        <v>41</v>
      </c>
      <c r="F1093" s="23">
        <v>0</v>
      </c>
      <c r="G1093" s="3" t="s">
        <v>41</v>
      </c>
      <c r="I1093" s="25" t="str">
        <f t="shared" si="183"/>
        <v/>
      </c>
      <c r="J1093" s="25" t="str">
        <f t="shared" si="183"/>
        <v/>
      </c>
      <c r="L1093" s="3"/>
      <c r="M1093" s="3"/>
    </row>
    <row r="1094" spans="1:13" x14ac:dyDescent="0.45">
      <c r="A1094" t="s">
        <v>7</v>
      </c>
      <c r="B1094" t="s">
        <v>39</v>
      </c>
      <c r="C1094" t="s">
        <v>9</v>
      </c>
      <c r="D1094" s="27">
        <v>0</v>
      </c>
      <c r="E1094" s="3">
        <v>0</v>
      </c>
      <c r="F1094" s="23">
        <v>0</v>
      </c>
      <c r="G1094" s="3">
        <v>0</v>
      </c>
      <c r="I1094" s="22">
        <f t="shared" ref="I1094:J1094" si="192">IF(L1094="","",L1094)</f>
        <v>0</v>
      </c>
      <c r="J1094" s="22">
        <f t="shared" si="192"/>
        <v>0</v>
      </c>
      <c r="L1094" s="3">
        <v>0</v>
      </c>
      <c r="M1094" s="3">
        <v>0</v>
      </c>
    </row>
    <row r="1095" spans="1:13" x14ac:dyDescent="0.45">
      <c r="A1095" t="s">
        <v>10</v>
      </c>
      <c r="B1095" t="s">
        <v>39</v>
      </c>
      <c r="C1095" t="s">
        <v>9</v>
      </c>
      <c r="D1095" s="28">
        <v>0</v>
      </c>
      <c r="E1095" s="4">
        <v>0</v>
      </c>
      <c r="F1095" s="24">
        <v>0</v>
      </c>
      <c r="G1095" s="4">
        <v>0</v>
      </c>
      <c r="I1095" s="25">
        <f t="shared" ref="I1095:J1095" si="193">IF(L1095="","",L1095-L1094)</f>
        <v>0</v>
      </c>
      <c r="J1095" s="25">
        <f t="shared" si="193"/>
        <v>0</v>
      </c>
      <c r="L1095" s="4">
        <v>0</v>
      </c>
      <c r="M1095" s="4">
        <v>0</v>
      </c>
    </row>
    <row r="1096" spans="1:13" x14ac:dyDescent="0.45">
      <c r="A1096" t="s">
        <v>11</v>
      </c>
      <c r="B1096" t="s">
        <v>39</v>
      </c>
      <c r="C1096" t="s">
        <v>9</v>
      </c>
      <c r="D1096" s="27">
        <v>0</v>
      </c>
      <c r="E1096" s="3">
        <v>0</v>
      </c>
      <c r="F1096" s="23">
        <v>0</v>
      </c>
      <c r="G1096" s="3">
        <v>0</v>
      </c>
      <c r="I1096" s="25">
        <f t="shared" si="183"/>
        <v>5458456599</v>
      </c>
      <c r="J1096" s="25">
        <f t="shared" si="183"/>
        <v>0</v>
      </c>
      <c r="L1096" s="29">
        <f>SUMIFS(Pivot_!C:C,Pivot_!A:A,'Hitung Per Bulan'!B1096,Pivot_!B:B,'Hitung Per Bulan'!C1096)</f>
        <v>5458456599</v>
      </c>
      <c r="M1096" s="29">
        <f>SUMIFS(Pivot_!D:D,Pivot_!A:A,'Hitung Per Bulan'!B1096,Pivot_!B:B,'Hitung Per Bulan'!C1096)</f>
        <v>0</v>
      </c>
    </row>
    <row r="1097" spans="1:13" x14ac:dyDescent="0.45">
      <c r="A1097" t="s">
        <v>12</v>
      </c>
      <c r="B1097" t="s">
        <v>39</v>
      </c>
      <c r="C1097" t="s">
        <v>9</v>
      </c>
      <c r="D1097" s="27">
        <v>0</v>
      </c>
      <c r="E1097" s="3" t="s">
        <v>41</v>
      </c>
      <c r="F1097" s="23">
        <v>0</v>
      </c>
      <c r="G1097" s="3" t="s">
        <v>41</v>
      </c>
      <c r="I1097" s="25" t="str">
        <f t="shared" si="183"/>
        <v/>
      </c>
      <c r="J1097" s="25" t="str">
        <f t="shared" si="183"/>
        <v/>
      </c>
      <c r="L1097" s="3"/>
      <c r="M1097" s="3"/>
    </row>
    <row r="1098" spans="1:13" x14ac:dyDescent="0.45">
      <c r="A1098" t="s">
        <v>13</v>
      </c>
      <c r="B1098" t="s">
        <v>39</v>
      </c>
      <c r="C1098" t="s">
        <v>9</v>
      </c>
      <c r="D1098" s="27">
        <v>0</v>
      </c>
      <c r="E1098" s="3" t="s">
        <v>41</v>
      </c>
      <c r="F1098" s="23">
        <v>0</v>
      </c>
      <c r="G1098" s="3" t="s">
        <v>41</v>
      </c>
      <c r="I1098" s="25" t="str">
        <f t="shared" si="183"/>
        <v/>
      </c>
      <c r="J1098" s="25" t="str">
        <f t="shared" si="183"/>
        <v/>
      </c>
      <c r="L1098" s="3"/>
      <c r="M1098" s="3"/>
    </row>
    <row r="1099" spans="1:13" x14ac:dyDescent="0.45">
      <c r="A1099" t="s">
        <v>14</v>
      </c>
      <c r="B1099" t="s">
        <v>39</v>
      </c>
      <c r="C1099" t="s">
        <v>9</v>
      </c>
      <c r="D1099" s="27">
        <v>0</v>
      </c>
      <c r="E1099" s="3" t="s">
        <v>41</v>
      </c>
      <c r="F1099" s="23">
        <v>0</v>
      </c>
      <c r="G1099" s="3" t="s">
        <v>41</v>
      </c>
      <c r="I1099" s="25" t="str">
        <f t="shared" si="183"/>
        <v/>
      </c>
      <c r="J1099" s="25" t="str">
        <f t="shared" si="183"/>
        <v/>
      </c>
      <c r="L1099" s="3"/>
      <c r="M1099" s="3"/>
    </row>
    <row r="1100" spans="1:13" x14ac:dyDescent="0.45">
      <c r="A1100" t="s">
        <v>15</v>
      </c>
      <c r="B1100" t="s">
        <v>39</v>
      </c>
      <c r="C1100" t="s">
        <v>9</v>
      </c>
      <c r="D1100" s="27">
        <v>0</v>
      </c>
      <c r="E1100" s="3" t="s">
        <v>41</v>
      </c>
      <c r="F1100" s="23">
        <v>0</v>
      </c>
      <c r="G1100" s="3" t="s">
        <v>41</v>
      </c>
      <c r="I1100" s="25" t="str">
        <f t="shared" si="183"/>
        <v/>
      </c>
      <c r="J1100" s="25" t="str">
        <f t="shared" si="183"/>
        <v/>
      </c>
      <c r="L1100" s="3"/>
      <c r="M1100" s="3"/>
    </row>
    <row r="1101" spans="1:13" x14ac:dyDescent="0.45">
      <c r="A1101" t="s">
        <v>16</v>
      </c>
      <c r="B1101" t="s">
        <v>39</v>
      </c>
      <c r="C1101" t="s">
        <v>9</v>
      </c>
      <c r="D1101" s="27">
        <v>0</v>
      </c>
      <c r="E1101" s="3" t="s">
        <v>41</v>
      </c>
      <c r="F1101" s="23">
        <v>0</v>
      </c>
      <c r="G1101" s="3" t="s">
        <v>41</v>
      </c>
      <c r="I1101" s="25" t="str">
        <f t="shared" si="183"/>
        <v/>
      </c>
      <c r="J1101" s="25" t="str">
        <f t="shared" si="183"/>
        <v/>
      </c>
      <c r="L1101" s="3"/>
      <c r="M1101" s="3"/>
    </row>
    <row r="1102" spans="1:13" x14ac:dyDescent="0.45">
      <c r="A1102" t="s">
        <v>17</v>
      </c>
      <c r="B1102" t="s">
        <v>39</v>
      </c>
      <c r="C1102" t="s">
        <v>9</v>
      </c>
      <c r="D1102" s="27">
        <v>0</v>
      </c>
      <c r="E1102" s="3" t="s">
        <v>41</v>
      </c>
      <c r="F1102" s="23">
        <v>0</v>
      </c>
      <c r="G1102" s="3" t="s">
        <v>41</v>
      </c>
      <c r="I1102" s="25" t="str">
        <f t="shared" si="183"/>
        <v/>
      </c>
      <c r="J1102" s="25" t="str">
        <f t="shared" si="183"/>
        <v/>
      </c>
      <c r="L1102" s="3"/>
      <c r="M1102" s="3"/>
    </row>
    <row r="1103" spans="1:13" x14ac:dyDescent="0.45">
      <c r="A1103" t="s">
        <v>18</v>
      </c>
      <c r="B1103" t="s">
        <v>39</v>
      </c>
      <c r="C1103" t="s">
        <v>9</v>
      </c>
      <c r="D1103" s="27">
        <v>0</v>
      </c>
      <c r="E1103" s="3" t="s">
        <v>41</v>
      </c>
      <c r="F1103" s="23">
        <v>0</v>
      </c>
      <c r="G1103" s="3" t="s">
        <v>41</v>
      </c>
      <c r="I1103" s="25" t="str">
        <f t="shared" ref="I1103:J1165" si="194">IF(L1103="","",L1103-L1102)</f>
        <v/>
      </c>
      <c r="J1103" s="25" t="str">
        <f t="shared" si="194"/>
        <v/>
      </c>
      <c r="L1103" s="3"/>
      <c r="M1103" s="3"/>
    </row>
    <row r="1104" spans="1:13" x14ac:dyDescent="0.45">
      <c r="A1104" t="s">
        <v>19</v>
      </c>
      <c r="B1104" t="s">
        <v>39</v>
      </c>
      <c r="C1104" t="s">
        <v>9</v>
      </c>
      <c r="D1104" s="27">
        <v>0</v>
      </c>
      <c r="E1104" s="3" t="s">
        <v>41</v>
      </c>
      <c r="F1104" s="23">
        <v>0</v>
      </c>
      <c r="G1104" s="3" t="s">
        <v>41</v>
      </c>
      <c r="I1104" s="25" t="str">
        <f t="shared" si="194"/>
        <v/>
      </c>
      <c r="J1104" s="25" t="str">
        <f t="shared" si="194"/>
        <v/>
      </c>
      <c r="L1104" s="3"/>
      <c r="M1104" s="3"/>
    </row>
    <row r="1105" spans="1:13" x14ac:dyDescent="0.45">
      <c r="A1105" t="s">
        <v>20</v>
      </c>
      <c r="B1105" t="s">
        <v>39</v>
      </c>
      <c r="C1105" t="s">
        <v>9</v>
      </c>
      <c r="D1105" s="27">
        <v>0</v>
      </c>
      <c r="E1105" s="3" t="s">
        <v>41</v>
      </c>
      <c r="F1105" s="23">
        <v>0</v>
      </c>
      <c r="G1105" s="3" t="s">
        <v>41</v>
      </c>
      <c r="I1105" s="25" t="str">
        <f t="shared" si="194"/>
        <v/>
      </c>
      <c r="J1105" s="25" t="str">
        <f t="shared" si="194"/>
        <v/>
      </c>
      <c r="L1105" s="3"/>
      <c r="M1105" s="3"/>
    </row>
    <row r="1106" spans="1:13" x14ac:dyDescent="0.45">
      <c r="A1106" t="s">
        <v>7</v>
      </c>
      <c r="B1106" t="s">
        <v>39</v>
      </c>
      <c r="C1106" t="s">
        <v>21</v>
      </c>
      <c r="D1106" s="27">
        <v>781668000</v>
      </c>
      <c r="E1106" s="3">
        <v>4033286500</v>
      </c>
      <c r="F1106" s="23">
        <v>0</v>
      </c>
      <c r="G1106" s="3">
        <v>0</v>
      </c>
      <c r="I1106" s="22">
        <f t="shared" ref="I1106:J1106" si="195">IF(L1106="","",L1106)</f>
        <v>4033286500</v>
      </c>
      <c r="J1106" s="22">
        <f t="shared" si="195"/>
        <v>0</v>
      </c>
      <c r="L1106" s="3">
        <f>355854000+3677432500</f>
        <v>4033286500</v>
      </c>
      <c r="M1106" s="3">
        <v>0</v>
      </c>
    </row>
    <row r="1107" spans="1:13" x14ac:dyDescent="0.45">
      <c r="A1107" t="s">
        <v>10</v>
      </c>
      <c r="B1107" t="s">
        <v>39</v>
      </c>
      <c r="C1107" t="s">
        <v>21</v>
      </c>
      <c r="D1107" s="28">
        <v>660000000</v>
      </c>
      <c r="E1107" s="4">
        <v>4210736952</v>
      </c>
      <c r="F1107" s="24">
        <v>80000000</v>
      </c>
      <c r="G1107" s="4">
        <v>96556000</v>
      </c>
      <c r="I1107" s="25">
        <f t="shared" ref="I1107:J1107" si="196">IF(L1107="","",L1107-L1106)</f>
        <v>4210736952</v>
      </c>
      <c r="J1107" s="25">
        <f t="shared" si="196"/>
        <v>96556000</v>
      </c>
      <c r="L1107" s="4">
        <f>3275360952+4968662500</f>
        <v>8244023452</v>
      </c>
      <c r="M1107" s="4">
        <v>96556000</v>
      </c>
    </row>
    <row r="1108" spans="1:13" x14ac:dyDescent="0.45">
      <c r="A1108" t="s">
        <v>11</v>
      </c>
      <c r="B1108" t="s">
        <v>39</v>
      </c>
      <c r="C1108" t="s">
        <v>21</v>
      </c>
      <c r="D1108" s="27">
        <v>997950000</v>
      </c>
      <c r="E1108" s="3">
        <v>271010715</v>
      </c>
      <c r="F1108" s="23">
        <v>90000000</v>
      </c>
      <c r="G1108" s="3">
        <v>104836248</v>
      </c>
      <c r="I1108" s="25">
        <f t="shared" si="194"/>
        <v>-4385106071</v>
      </c>
      <c r="J1108" s="25">
        <f t="shared" si="194"/>
        <v>250225748</v>
      </c>
      <c r="L1108" s="29">
        <f>SUMIFS(Pivot_!C:C,Pivot_!A:A,'Hitung Per Bulan'!B1108,Pivot_!B:B,'Hitung Per Bulan'!C1108)</f>
        <v>3858917381</v>
      </c>
      <c r="M1108" s="29">
        <f>SUMIFS(Pivot_!D:D,Pivot_!A:A,'Hitung Per Bulan'!B1108,Pivot_!B:B,'Hitung Per Bulan'!C1108)</f>
        <v>346781748</v>
      </c>
    </row>
    <row r="1109" spans="1:13" x14ac:dyDescent="0.45">
      <c r="A1109" t="s">
        <v>12</v>
      </c>
      <c r="B1109" t="s">
        <v>39</v>
      </c>
      <c r="C1109" t="s">
        <v>21</v>
      </c>
      <c r="D1109" s="27">
        <v>12352032000</v>
      </c>
      <c r="E1109" s="3" t="s">
        <v>41</v>
      </c>
      <c r="F1109" s="23">
        <v>300000000</v>
      </c>
      <c r="G1109" s="3" t="s">
        <v>41</v>
      </c>
      <c r="I1109" s="25" t="str">
        <f t="shared" si="194"/>
        <v/>
      </c>
      <c r="J1109" s="25" t="str">
        <f t="shared" si="194"/>
        <v/>
      </c>
      <c r="L1109" s="3"/>
      <c r="M1109" s="3"/>
    </row>
    <row r="1110" spans="1:13" x14ac:dyDescent="0.45">
      <c r="A1110" t="s">
        <v>13</v>
      </c>
      <c r="B1110" t="s">
        <v>39</v>
      </c>
      <c r="C1110" t="s">
        <v>21</v>
      </c>
      <c r="D1110" s="27">
        <v>2505262000</v>
      </c>
      <c r="E1110" s="3" t="s">
        <v>41</v>
      </c>
      <c r="F1110" s="23">
        <v>288400000</v>
      </c>
      <c r="G1110" s="3" t="s">
        <v>41</v>
      </c>
      <c r="I1110" s="25" t="str">
        <f t="shared" si="194"/>
        <v/>
      </c>
      <c r="J1110" s="25" t="str">
        <f t="shared" si="194"/>
        <v/>
      </c>
      <c r="L1110" s="3"/>
      <c r="M1110" s="3"/>
    </row>
    <row r="1111" spans="1:13" x14ac:dyDescent="0.45">
      <c r="A1111" t="s">
        <v>14</v>
      </c>
      <c r="B1111" t="s">
        <v>39</v>
      </c>
      <c r="C1111" t="s">
        <v>21</v>
      </c>
      <c r="D1111" s="27">
        <v>2623666000</v>
      </c>
      <c r="E1111" s="3" t="s">
        <v>41</v>
      </c>
      <c r="F1111" s="23">
        <v>1190651000</v>
      </c>
      <c r="G1111" s="3" t="s">
        <v>41</v>
      </c>
      <c r="I1111" s="25" t="str">
        <f t="shared" si="194"/>
        <v/>
      </c>
      <c r="J1111" s="25" t="str">
        <f t="shared" si="194"/>
        <v/>
      </c>
      <c r="L1111" s="3"/>
      <c r="M1111" s="3"/>
    </row>
    <row r="1112" spans="1:13" x14ac:dyDescent="0.45">
      <c r="A1112" t="s">
        <v>15</v>
      </c>
      <c r="B1112" t="s">
        <v>39</v>
      </c>
      <c r="C1112" t="s">
        <v>21</v>
      </c>
      <c r="D1112" s="27">
        <v>1447500000</v>
      </c>
      <c r="E1112" s="3" t="s">
        <v>41</v>
      </c>
      <c r="F1112" s="23">
        <v>680000000</v>
      </c>
      <c r="G1112" s="3" t="s">
        <v>41</v>
      </c>
      <c r="I1112" s="25" t="str">
        <f t="shared" si="194"/>
        <v/>
      </c>
      <c r="J1112" s="25" t="str">
        <f t="shared" si="194"/>
        <v/>
      </c>
      <c r="L1112" s="3"/>
      <c r="M1112" s="3"/>
    </row>
    <row r="1113" spans="1:13" x14ac:dyDescent="0.45">
      <c r="A1113" t="s">
        <v>16</v>
      </c>
      <c r="B1113" t="s">
        <v>39</v>
      </c>
      <c r="C1113" t="s">
        <v>21</v>
      </c>
      <c r="D1113" s="27">
        <v>1655000000</v>
      </c>
      <c r="E1113" s="3" t="s">
        <v>41</v>
      </c>
      <c r="F1113" s="23">
        <v>3524356000</v>
      </c>
      <c r="G1113" s="3" t="s">
        <v>41</v>
      </c>
      <c r="I1113" s="25" t="str">
        <f t="shared" si="194"/>
        <v/>
      </c>
      <c r="J1113" s="25" t="str">
        <f t="shared" si="194"/>
        <v/>
      </c>
      <c r="L1113" s="3"/>
      <c r="M1113" s="3"/>
    </row>
    <row r="1114" spans="1:13" x14ac:dyDescent="0.45">
      <c r="A1114" t="s">
        <v>17</v>
      </c>
      <c r="B1114" t="s">
        <v>39</v>
      </c>
      <c r="C1114" t="s">
        <v>21</v>
      </c>
      <c r="D1114" s="27">
        <v>2324500000</v>
      </c>
      <c r="E1114" s="3" t="s">
        <v>41</v>
      </c>
      <c r="F1114" s="23">
        <v>3769450000</v>
      </c>
      <c r="G1114" s="3" t="s">
        <v>41</v>
      </c>
      <c r="I1114" s="25" t="str">
        <f t="shared" si="194"/>
        <v/>
      </c>
      <c r="J1114" s="25" t="str">
        <f t="shared" si="194"/>
        <v/>
      </c>
      <c r="L1114" s="3"/>
      <c r="M1114" s="3"/>
    </row>
    <row r="1115" spans="1:13" x14ac:dyDescent="0.45">
      <c r="A1115" t="s">
        <v>18</v>
      </c>
      <c r="B1115" t="s">
        <v>39</v>
      </c>
      <c r="C1115" t="s">
        <v>21</v>
      </c>
      <c r="D1115" s="27">
        <v>2065000000</v>
      </c>
      <c r="E1115" s="3" t="s">
        <v>41</v>
      </c>
      <c r="F1115" s="23">
        <v>9580221000</v>
      </c>
      <c r="G1115" s="3" t="s">
        <v>41</v>
      </c>
      <c r="I1115" s="25" t="str">
        <f t="shared" si="194"/>
        <v/>
      </c>
      <c r="J1115" s="25" t="str">
        <f t="shared" si="194"/>
        <v/>
      </c>
      <c r="L1115" s="3"/>
      <c r="M1115" s="3"/>
    </row>
    <row r="1116" spans="1:13" x14ac:dyDescent="0.45">
      <c r="A1116" t="s">
        <v>19</v>
      </c>
      <c r="B1116" t="s">
        <v>39</v>
      </c>
      <c r="C1116" t="s">
        <v>21</v>
      </c>
      <c r="D1116" s="27">
        <v>349900000</v>
      </c>
      <c r="E1116" s="3" t="s">
        <v>41</v>
      </c>
      <c r="F1116" s="23">
        <v>2624900000</v>
      </c>
      <c r="G1116" s="3" t="s">
        <v>41</v>
      </c>
      <c r="I1116" s="25" t="str">
        <f t="shared" si="194"/>
        <v/>
      </c>
      <c r="J1116" s="25" t="str">
        <f t="shared" si="194"/>
        <v/>
      </c>
      <c r="L1116" s="3"/>
      <c r="M1116" s="3"/>
    </row>
    <row r="1117" spans="1:13" x14ac:dyDescent="0.45">
      <c r="A1117" t="s">
        <v>20</v>
      </c>
      <c r="B1117" t="s">
        <v>39</v>
      </c>
      <c r="C1117" t="s">
        <v>21</v>
      </c>
      <c r="D1117" s="27">
        <v>230000000</v>
      </c>
      <c r="E1117" s="3" t="s">
        <v>41</v>
      </c>
      <c r="F1117" s="23">
        <v>5864500000</v>
      </c>
      <c r="G1117" s="3" t="s">
        <v>41</v>
      </c>
      <c r="I1117" s="25" t="str">
        <f t="shared" si="194"/>
        <v/>
      </c>
      <c r="J1117" s="25" t="str">
        <f t="shared" si="194"/>
        <v/>
      </c>
      <c r="L1117" s="3"/>
      <c r="M1117" s="3"/>
    </row>
    <row r="1118" spans="1:13" x14ac:dyDescent="0.45">
      <c r="A1118" t="s">
        <v>7</v>
      </c>
      <c r="B1118" t="s">
        <v>39</v>
      </c>
      <c r="C1118" t="s">
        <v>22</v>
      </c>
      <c r="D1118" s="27">
        <v>0</v>
      </c>
      <c r="E1118" s="3">
        <v>82800000</v>
      </c>
      <c r="F1118" s="23">
        <v>0</v>
      </c>
      <c r="G1118" s="3">
        <v>0</v>
      </c>
      <c r="I1118" s="22">
        <f t="shared" ref="I1118:J1118" si="197">IF(L1118="","",L1118)</f>
        <v>82800000</v>
      </c>
      <c r="J1118" s="22">
        <f t="shared" si="197"/>
        <v>0</v>
      </c>
      <c r="L1118" s="3">
        <v>82800000</v>
      </c>
      <c r="M1118" s="3">
        <v>0</v>
      </c>
    </row>
    <row r="1119" spans="1:13" x14ac:dyDescent="0.45">
      <c r="A1119" t="s">
        <v>10</v>
      </c>
      <c r="B1119" t="s">
        <v>39</v>
      </c>
      <c r="C1119" t="s">
        <v>22</v>
      </c>
      <c r="D1119" s="28">
        <v>254037000</v>
      </c>
      <c r="E1119" s="4">
        <v>45540000</v>
      </c>
      <c r="F1119" s="24">
        <v>0</v>
      </c>
      <c r="G1119" s="4">
        <v>82800000</v>
      </c>
      <c r="I1119" s="25">
        <f t="shared" ref="I1119:J1119" si="198">IF(L1119="","",L1119-L1118)</f>
        <v>45540000</v>
      </c>
      <c r="J1119" s="25">
        <f t="shared" si="198"/>
        <v>82800000</v>
      </c>
      <c r="L1119" s="4">
        <v>128340000</v>
      </c>
      <c r="M1119" s="4">
        <v>82800000</v>
      </c>
    </row>
    <row r="1120" spans="1:13" x14ac:dyDescent="0.45">
      <c r="A1120" t="s">
        <v>11</v>
      </c>
      <c r="B1120" t="s">
        <v>39</v>
      </c>
      <c r="C1120" t="s">
        <v>22</v>
      </c>
      <c r="D1120" s="27">
        <v>0</v>
      </c>
      <c r="E1120" s="3">
        <v>20325000</v>
      </c>
      <c r="F1120" s="23">
        <v>254037000</v>
      </c>
      <c r="G1120" s="3">
        <v>45540000</v>
      </c>
      <c r="I1120" s="25">
        <f t="shared" si="194"/>
        <v>34825000</v>
      </c>
      <c r="J1120" s="25">
        <f t="shared" si="194"/>
        <v>45540000</v>
      </c>
      <c r="L1120" s="29">
        <f>SUMIFS(Pivot_!C:C,Pivot_!A:A,'Hitung Per Bulan'!B1120,Pivot_!B:B,'Hitung Per Bulan'!C1120)</f>
        <v>163165000</v>
      </c>
      <c r="M1120" s="29">
        <f>SUMIFS(Pivot_!D:D,Pivot_!A:A,'Hitung Per Bulan'!B1120,Pivot_!B:B,'Hitung Per Bulan'!C1120)</f>
        <v>128340000</v>
      </c>
    </row>
    <row r="1121" spans="1:13" x14ac:dyDescent="0.45">
      <c r="A1121" t="s">
        <v>12</v>
      </c>
      <c r="B1121" t="s">
        <v>39</v>
      </c>
      <c r="C1121" t="s">
        <v>22</v>
      </c>
      <c r="D1121" s="27">
        <v>0</v>
      </c>
      <c r="E1121" s="3" t="s">
        <v>41</v>
      </c>
      <c r="F1121" s="23">
        <v>0</v>
      </c>
      <c r="G1121" s="3" t="s">
        <v>41</v>
      </c>
      <c r="I1121" s="25" t="str">
        <f t="shared" si="194"/>
        <v/>
      </c>
      <c r="J1121" s="25" t="str">
        <f t="shared" si="194"/>
        <v/>
      </c>
      <c r="L1121" s="3"/>
      <c r="M1121" s="3"/>
    </row>
    <row r="1122" spans="1:13" x14ac:dyDescent="0.45">
      <c r="A1122" t="s">
        <v>13</v>
      </c>
      <c r="B1122" t="s">
        <v>39</v>
      </c>
      <c r="C1122" t="s">
        <v>22</v>
      </c>
      <c r="D1122" s="27">
        <v>254037000</v>
      </c>
      <c r="E1122" s="3" t="s">
        <v>41</v>
      </c>
      <c r="F1122" s="23">
        <v>0</v>
      </c>
      <c r="G1122" s="3" t="s">
        <v>41</v>
      </c>
      <c r="I1122" s="25" t="str">
        <f t="shared" si="194"/>
        <v/>
      </c>
      <c r="J1122" s="25" t="str">
        <f t="shared" si="194"/>
        <v/>
      </c>
      <c r="L1122" s="3"/>
      <c r="M1122" s="3"/>
    </row>
    <row r="1123" spans="1:13" x14ac:dyDescent="0.45">
      <c r="A1123" t="s">
        <v>14</v>
      </c>
      <c r="B1123" t="s">
        <v>39</v>
      </c>
      <c r="C1123" t="s">
        <v>22</v>
      </c>
      <c r="D1123" s="27">
        <v>0</v>
      </c>
      <c r="E1123" s="3" t="s">
        <v>41</v>
      </c>
      <c r="F1123" s="23">
        <v>254037000</v>
      </c>
      <c r="G1123" s="3" t="s">
        <v>41</v>
      </c>
      <c r="I1123" s="25" t="str">
        <f t="shared" si="194"/>
        <v/>
      </c>
      <c r="J1123" s="25" t="str">
        <f t="shared" si="194"/>
        <v/>
      </c>
      <c r="L1123" s="3"/>
      <c r="M1123" s="3"/>
    </row>
    <row r="1124" spans="1:13" x14ac:dyDescent="0.45">
      <c r="A1124" t="s">
        <v>15</v>
      </c>
      <c r="B1124" t="s">
        <v>39</v>
      </c>
      <c r="C1124" t="s">
        <v>22</v>
      </c>
      <c r="D1124" s="27">
        <v>0</v>
      </c>
      <c r="E1124" s="3" t="s">
        <v>41</v>
      </c>
      <c r="F1124" s="23">
        <v>0</v>
      </c>
      <c r="G1124" s="3" t="s">
        <v>41</v>
      </c>
      <c r="I1124" s="25" t="str">
        <f t="shared" si="194"/>
        <v/>
      </c>
      <c r="J1124" s="25" t="str">
        <f t="shared" si="194"/>
        <v/>
      </c>
      <c r="L1124" s="3"/>
      <c r="M1124" s="3"/>
    </row>
    <row r="1125" spans="1:13" x14ac:dyDescent="0.45">
      <c r="A1125" t="s">
        <v>16</v>
      </c>
      <c r="B1125" t="s">
        <v>39</v>
      </c>
      <c r="C1125" t="s">
        <v>22</v>
      </c>
      <c r="D1125" s="27">
        <v>254037000</v>
      </c>
      <c r="E1125" s="3" t="s">
        <v>41</v>
      </c>
      <c r="F1125" s="23">
        <v>0</v>
      </c>
      <c r="G1125" s="3" t="s">
        <v>41</v>
      </c>
      <c r="I1125" s="25" t="str">
        <f t="shared" si="194"/>
        <v/>
      </c>
      <c r="J1125" s="25" t="str">
        <f t="shared" si="194"/>
        <v/>
      </c>
      <c r="L1125" s="3"/>
      <c r="M1125" s="3"/>
    </row>
    <row r="1126" spans="1:13" x14ac:dyDescent="0.45">
      <c r="A1126" t="s">
        <v>17</v>
      </c>
      <c r="B1126" t="s">
        <v>39</v>
      </c>
      <c r="C1126" t="s">
        <v>22</v>
      </c>
      <c r="D1126" s="27">
        <v>0</v>
      </c>
      <c r="E1126" s="3" t="s">
        <v>41</v>
      </c>
      <c r="F1126" s="23">
        <v>254037000</v>
      </c>
      <c r="G1126" s="3" t="s">
        <v>41</v>
      </c>
      <c r="I1126" s="25" t="str">
        <f t="shared" si="194"/>
        <v/>
      </c>
      <c r="J1126" s="25" t="str">
        <f t="shared" si="194"/>
        <v/>
      </c>
      <c r="L1126" s="3"/>
      <c r="M1126" s="3"/>
    </row>
    <row r="1127" spans="1:13" x14ac:dyDescent="0.45">
      <c r="A1127" t="s">
        <v>18</v>
      </c>
      <c r="B1127" t="s">
        <v>39</v>
      </c>
      <c r="C1127" t="s">
        <v>22</v>
      </c>
      <c r="D1127" s="27">
        <v>0</v>
      </c>
      <c r="E1127" s="3" t="s">
        <v>41</v>
      </c>
      <c r="F1127" s="23">
        <v>0</v>
      </c>
      <c r="G1127" s="3" t="s">
        <v>41</v>
      </c>
      <c r="I1127" s="25" t="str">
        <f t="shared" si="194"/>
        <v/>
      </c>
      <c r="J1127" s="25" t="str">
        <f t="shared" si="194"/>
        <v/>
      </c>
      <c r="L1127" s="3"/>
      <c r="M1127" s="3"/>
    </row>
    <row r="1128" spans="1:13" x14ac:dyDescent="0.45">
      <c r="A1128" t="s">
        <v>19</v>
      </c>
      <c r="B1128" t="s">
        <v>39</v>
      </c>
      <c r="C1128" t="s">
        <v>22</v>
      </c>
      <c r="D1128" s="27">
        <v>254039000</v>
      </c>
      <c r="E1128" s="3" t="s">
        <v>41</v>
      </c>
      <c r="F1128" s="23">
        <v>0</v>
      </c>
      <c r="G1128" s="3" t="s">
        <v>41</v>
      </c>
      <c r="I1128" s="25" t="str">
        <f t="shared" si="194"/>
        <v/>
      </c>
      <c r="J1128" s="25" t="str">
        <f t="shared" si="194"/>
        <v/>
      </c>
      <c r="L1128" s="3"/>
      <c r="M1128" s="3"/>
    </row>
    <row r="1129" spans="1:13" x14ac:dyDescent="0.45">
      <c r="A1129" t="s">
        <v>20</v>
      </c>
      <c r="B1129" t="s">
        <v>39</v>
      </c>
      <c r="C1129" t="s">
        <v>22</v>
      </c>
      <c r="D1129" s="27">
        <v>0</v>
      </c>
      <c r="E1129" s="3" t="s">
        <v>41</v>
      </c>
      <c r="F1129" s="23">
        <v>254039000</v>
      </c>
      <c r="G1129" s="3" t="s">
        <v>41</v>
      </c>
      <c r="I1129" s="25" t="str">
        <f t="shared" si="194"/>
        <v/>
      </c>
      <c r="J1129" s="25" t="str">
        <f t="shared" si="194"/>
        <v/>
      </c>
      <c r="L1129" s="3"/>
      <c r="M1129" s="3"/>
    </row>
    <row r="1130" spans="1:13" x14ac:dyDescent="0.45">
      <c r="A1130" t="s">
        <v>7</v>
      </c>
      <c r="B1130" t="s">
        <v>39</v>
      </c>
      <c r="C1130" t="s">
        <v>23</v>
      </c>
      <c r="D1130" s="27">
        <v>0</v>
      </c>
      <c r="E1130" s="3">
        <v>0</v>
      </c>
      <c r="F1130" s="23">
        <v>0</v>
      </c>
      <c r="G1130" s="3">
        <v>0</v>
      </c>
      <c r="I1130" s="22">
        <f t="shared" ref="I1130:J1130" si="199">IF(L1130="","",L1130)</f>
        <v>0</v>
      </c>
      <c r="J1130" s="22">
        <f t="shared" si="199"/>
        <v>0</v>
      </c>
      <c r="L1130" s="3">
        <v>0</v>
      </c>
      <c r="M1130" s="3">
        <v>0</v>
      </c>
    </row>
    <row r="1131" spans="1:13" x14ac:dyDescent="0.45">
      <c r="A1131" t="s">
        <v>10</v>
      </c>
      <c r="B1131" t="s">
        <v>39</v>
      </c>
      <c r="C1131" t="s">
        <v>23</v>
      </c>
      <c r="D1131" s="28">
        <v>0</v>
      </c>
      <c r="E1131" s="4">
        <v>12720000</v>
      </c>
      <c r="F1131" s="24">
        <v>0</v>
      </c>
      <c r="G1131" s="4">
        <v>0</v>
      </c>
      <c r="I1131" s="25">
        <f t="shared" ref="I1131:J1131" si="200">IF(L1131="","",L1131-L1130)</f>
        <v>12720000</v>
      </c>
      <c r="J1131" s="25">
        <f t="shared" si="200"/>
        <v>0</v>
      </c>
      <c r="L1131" s="4">
        <v>12720000</v>
      </c>
      <c r="M1131" s="4">
        <v>0</v>
      </c>
    </row>
    <row r="1132" spans="1:13" x14ac:dyDescent="0.45">
      <c r="A1132" t="s">
        <v>11</v>
      </c>
      <c r="B1132" t="s">
        <v>39</v>
      </c>
      <c r="C1132" t="s">
        <v>23</v>
      </c>
      <c r="D1132" s="27">
        <v>0</v>
      </c>
      <c r="E1132" s="3">
        <v>0</v>
      </c>
      <c r="F1132" s="23">
        <v>0</v>
      </c>
      <c r="G1132" s="3">
        <v>0</v>
      </c>
      <c r="I1132" s="25">
        <f t="shared" si="194"/>
        <v>0</v>
      </c>
      <c r="J1132" s="25">
        <f t="shared" si="194"/>
        <v>12720000</v>
      </c>
      <c r="L1132" s="29">
        <f>SUMIFS(Pivot_!C:C,Pivot_!A:A,'Hitung Per Bulan'!B1132,Pivot_!B:B,'Hitung Per Bulan'!C1132)</f>
        <v>12720000</v>
      </c>
      <c r="M1132" s="29">
        <f>SUMIFS(Pivot_!D:D,Pivot_!A:A,'Hitung Per Bulan'!B1132,Pivot_!B:B,'Hitung Per Bulan'!C1132)</f>
        <v>12720000</v>
      </c>
    </row>
    <row r="1133" spans="1:13" x14ac:dyDescent="0.45">
      <c r="A1133" t="s">
        <v>12</v>
      </c>
      <c r="B1133" t="s">
        <v>39</v>
      </c>
      <c r="C1133" t="s">
        <v>23</v>
      </c>
      <c r="D1133" s="27">
        <v>0</v>
      </c>
      <c r="E1133" s="3" t="s">
        <v>41</v>
      </c>
      <c r="F1133" s="23">
        <v>0</v>
      </c>
      <c r="G1133" s="3" t="s">
        <v>41</v>
      </c>
      <c r="I1133" s="25" t="str">
        <f t="shared" si="194"/>
        <v/>
      </c>
      <c r="J1133" s="25" t="str">
        <f t="shared" si="194"/>
        <v/>
      </c>
      <c r="L1133" s="3"/>
      <c r="M1133" s="3"/>
    </row>
    <row r="1134" spans="1:13" x14ac:dyDescent="0.45">
      <c r="A1134" t="s">
        <v>13</v>
      </c>
      <c r="B1134" t="s">
        <v>39</v>
      </c>
      <c r="C1134" t="s">
        <v>23</v>
      </c>
      <c r="D1134" s="27">
        <v>0</v>
      </c>
      <c r="E1134" s="3" t="s">
        <v>41</v>
      </c>
      <c r="F1134" s="23">
        <v>0</v>
      </c>
      <c r="G1134" s="3" t="s">
        <v>41</v>
      </c>
      <c r="I1134" s="25" t="str">
        <f t="shared" si="194"/>
        <v/>
      </c>
      <c r="J1134" s="25" t="str">
        <f t="shared" si="194"/>
        <v/>
      </c>
      <c r="L1134" s="3"/>
      <c r="M1134" s="3"/>
    </row>
    <row r="1135" spans="1:13" x14ac:dyDescent="0.45">
      <c r="A1135" t="s">
        <v>14</v>
      </c>
      <c r="B1135" t="s">
        <v>39</v>
      </c>
      <c r="C1135" t="s">
        <v>23</v>
      </c>
      <c r="D1135" s="27">
        <v>0</v>
      </c>
      <c r="E1135" s="3" t="s">
        <v>41</v>
      </c>
      <c r="F1135" s="23">
        <v>0</v>
      </c>
      <c r="G1135" s="3" t="s">
        <v>41</v>
      </c>
      <c r="I1135" s="25" t="str">
        <f t="shared" si="194"/>
        <v/>
      </c>
      <c r="J1135" s="25" t="str">
        <f t="shared" si="194"/>
        <v/>
      </c>
      <c r="L1135" s="3"/>
      <c r="M1135" s="3"/>
    </row>
    <row r="1136" spans="1:13" x14ac:dyDescent="0.45">
      <c r="A1136" t="s">
        <v>15</v>
      </c>
      <c r="B1136" t="s">
        <v>39</v>
      </c>
      <c r="C1136" t="s">
        <v>23</v>
      </c>
      <c r="D1136" s="27">
        <v>50000000</v>
      </c>
      <c r="E1136" s="3" t="s">
        <v>41</v>
      </c>
      <c r="F1136" s="23">
        <v>0</v>
      </c>
      <c r="G1136" s="3" t="s">
        <v>41</v>
      </c>
      <c r="I1136" s="25" t="str">
        <f t="shared" si="194"/>
        <v/>
      </c>
      <c r="J1136" s="25" t="str">
        <f t="shared" si="194"/>
        <v/>
      </c>
      <c r="L1136" s="3"/>
      <c r="M1136" s="3"/>
    </row>
    <row r="1137" spans="1:13" x14ac:dyDescent="0.45">
      <c r="A1137" t="s">
        <v>16</v>
      </c>
      <c r="B1137" t="s">
        <v>39</v>
      </c>
      <c r="C1137" t="s">
        <v>23</v>
      </c>
      <c r="D1137" s="27">
        <v>0</v>
      </c>
      <c r="E1137" s="3" t="s">
        <v>41</v>
      </c>
      <c r="F1137" s="23">
        <v>50000000</v>
      </c>
      <c r="G1137" s="3" t="s">
        <v>41</v>
      </c>
      <c r="I1137" s="25" t="str">
        <f t="shared" si="194"/>
        <v/>
      </c>
      <c r="J1137" s="25" t="str">
        <f t="shared" si="194"/>
        <v/>
      </c>
      <c r="L1137" s="3"/>
      <c r="M1137" s="3"/>
    </row>
    <row r="1138" spans="1:13" x14ac:dyDescent="0.45">
      <c r="A1138" t="s">
        <v>17</v>
      </c>
      <c r="B1138" t="s">
        <v>39</v>
      </c>
      <c r="C1138" t="s">
        <v>23</v>
      </c>
      <c r="D1138" s="27">
        <v>50000000</v>
      </c>
      <c r="E1138" s="3" t="s">
        <v>41</v>
      </c>
      <c r="F1138" s="23">
        <v>0</v>
      </c>
      <c r="G1138" s="3" t="s">
        <v>41</v>
      </c>
      <c r="I1138" s="25" t="str">
        <f t="shared" si="194"/>
        <v/>
      </c>
      <c r="J1138" s="25" t="str">
        <f t="shared" si="194"/>
        <v/>
      </c>
      <c r="L1138" s="3"/>
      <c r="M1138" s="3"/>
    </row>
    <row r="1139" spans="1:13" x14ac:dyDescent="0.45">
      <c r="A1139" t="s">
        <v>18</v>
      </c>
      <c r="B1139" t="s">
        <v>39</v>
      </c>
      <c r="C1139" t="s">
        <v>23</v>
      </c>
      <c r="D1139" s="27">
        <v>0</v>
      </c>
      <c r="E1139" s="3" t="s">
        <v>41</v>
      </c>
      <c r="F1139" s="23">
        <v>50000000</v>
      </c>
      <c r="G1139" s="3" t="s">
        <v>41</v>
      </c>
      <c r="I1139" s="25" t="str">
        <f t="shared" si="194"/>
        <v/>
      </c>
      <c r="J1139" s="25" t="str">
        <f t="shared" si="194"/>
        <v/>
      </c>
      <c r="L1139" s="3"/>
      <c r="M1139" s="3"/>
    </row>
    <row r="1140" spans="1:13" x14ac:dyDescent="0.45">
      <c r="A1140" t="s">
        <v>19</v>
      </c>
      <c r="B1140" t="s">
        <v>39</v>
      </c>
      <c r="C1140" t="s">
        <v>23</v>
      </c>
      <c r="D1140" s="27">
        <v>0</v>
      </c>
      <c r="E1140" s="3" t="s">
        <v>41</v>
      </c>
      <c r="F1140" s="23">
        <v>0</v>
      </c>
      <c r="G1140" s="3" t="s">
        <v>41</v>
      </c>
      <c r="I1140" s="25" t="str">
        <f t="shared" si="194"/>
        <v/>
      </c>
      <c r="J1140" s="25" t="str">
        <f t="shared" si="194"/>
        <v/>
      </c>
      <c r="L1140" s="3"/>
      <c r="M1140" s="3"/>
    </row>
    <row r="1141" spans="1:13" x14ac:dyDescent="0.45">
      <c r="A1141" t="s">
        <v>20</v>
      </c>
      <c r="B1141" t="s">
        <v>39</v>
      </c>
      <c r="C1141" t="s">
        <v>23</v>
      </c>
      <c r="D1141" s="27">
        <v>0</v>
      </c>
      <c r="E1141" s="3" t="s">
        <v>41</v>
      </c>
      <c r="F1141" s="23">
        <v>0</v>
      </c>
      <c r="G1141" s="3" t="s">
        <v>41</v>
      </c>
      <c r="I1141" s="25" t="str">
        <f t="shared" si="194"/>
        <v/>
      </c>
      <c r="J1141" s="25" t="str">
        <f t="shared" si="194"/>
        <v/>
      </c>
      <c r="L1141" s="3"/>
      <c r="M1141" s="3"/>
    </row>
    <row r="1142" spans="1:13" x14ac:dyDescent="0.45">
      <c r="A1142" t="s">
        <v>7</v>
      </c>
      <c r="B1142" t="s">
        <v>39</v>
      </c>
      <c r="C1142" t="s">
        <v>24</v>
      </c>
      <c r="D1142" s="27">
        <v>0</v>
      </c>
      <c r="E1142" s="3">
        <v>0</v>
      </c>
      <c r="F1142" s="23">
        <v>0</v>
      </c>
      <c r="G1142" s="3">
        <v>0</v>
      </c>
      <c r="I1142" s="22">
        <f t="shared" ref="I1142:J1142" si="201">IF(L1142="","",L1142)</f>
        <v>0</v>
      </c>
      <c r="J1142" s="22">
        <f t="shared" si="201"/>
        <v>0</v>
      </c>
      <c r="L1142" s="3">
        <v>0</v>
      </c>
      <c r="M1142" s="3">
        <v>0</v>
      </c>
    </row>
    <row r="1143" spans="1:13" x14ac:dyDescent="0.45">
      <c r="A1143" t="s">
        <v>10</v>
      </c>
      <c r="B1143" t="s">
        <v>39</v>
      </c>
      <c r="C1143" t="s">
        <v>24</v>
      </c>
      <c r="D1143" s="28">
        <v>0</v>
      </c>
      <c r="E1143" s="4">
        <v>0</v>
      </c>
      <c r="F1143" s="24">
        <v>0</v>
      </c>
      <c r="G1143" s="4">
        <v>0</v>
      </c>
      <c r="I1143" s="25">
        <f t="shared" ref="I1143:J1143" si="202">IF(L1143="","",L1143-L1142)</f>
        <v>0</v>
      </c>
      <c r="J1143" s="25">
        <f t="shared" si="202"/>
        <v>0</v>
      </c>
      <c r="L1143" s="4">
        <v>0</v>
      </c>
      <c r="M1143" s="4">
        <v>0</v>
      </c>
    </row>
    <row r="1144" spans="1:13" x14ac:dyDescent="0.45">
      <c r="A1144" t="s">
        <v>11</v>
      </c>
      <c r="B1144" t="s">
        <v>39</v>
      </c>
      <c r="C1144" t="s">
        <v>24</v>
      </c>
      <c r="D1144" s="27">
        <v>0</v>
      </c>
      <c r="E1144" s="3">
        <v>0</v>
      </c>
      <c r="F1144" s="23">
        <v>0</v>
      </c>
      <c r="G1144" s="3">
        <v>0</v>
      </c>
      <c r="I1144" s="25">
        <f t="shared" si="194"/>
        <v>0</v>
      </c>
      <c r="J1144" s="25">
        <f t="shared" si="194"/>
        <v>0</v>
      </c>
      <c r="L1144" s="29">
        <f>SUMIFS(Pivot_!C:C,Pivot_!A:A,'Hitung Per Bulan'!B1144,Pivot_!B:B,'Hitung Per Bulan'!C1144)</f>
        <v>0</v>
      </c>
      <c r="M1144" s="29">
        <f>SUMIFS(Pivot_!D:D,Pivot_!A:A,'Hitung Per Bulan'!B1144,Pivot_!B:B,'Hitung Per Bulan'!C1144)</f>
        <v>0</v>
      </c>
    </row>
    <row r="1145" spans="1:13" x14ac:dyDescent="0.45">
      <c r="A1145" t="s">
        <v>12</v>
      </c>
      <c r="B1145" t="s">
        <v>39</v>
      </c>
      <c r="C1145" t="s">
        <v>24</v>
      </c>
      <c r="D1145" s="27">
        <v>0</v>
      </c>
      <c r="E1145" s="3" t="s">
        <v>41</v>
      </c>
      <c r="F1145" s="23">
        <v>0</v>
      </c>
      <c r="G1145" s="3" t="s">
        <v>41</v>
      </c>
      <c r="I1145" s="25" t="str">
        <f t="shared" si="194"/>
        <v/>
      </c>
      <c r="J1145" s="25" t="str">
        <f t="shared" si="194"/>
        <v/>
      </c>
      <c r="L1145" s="3"/>
      <c r="M1145" s="3"/>
    </row>
    <row r="1146" spans="1:13" x14ac:dyDescent="0.45">
      <c r="A1146" t="s">
        <v>13</v>
      </c>
      <c r="B1146" t="s">
        <v>39</v>
      </c>
      <c r="C1146" t="s">
        <v>24</v>
      </c>
      <c r="D1146" s="27">
        <v>0</v>
      </c>
      <c r="E1146" s="3" t="s">
        <v>41</v>
      </c>
      <c r="F1146" s="23">
        <v>0</v>
      </c>
      <c r="G1146" s="3" t="s">
        <v>41</v>
      </c>
      <c r="I1146" s="25" t="str">
        <f t="shared" si="194"/>
        <v/>
      </c>
      <c r="J1146" s="25" t="str">
        <f t="shared" si="194"/>
        <v/>
      </c>
      <c r="L1146" s="3"/>
      <c r="M1146" s="3"/>
    </row>
    <row r="1147" spans="1:13" x14ac:dyDescent="0.45">
      <c r="A1147" t="s">
        <v>14</v>
      </c>
      <c r="B1147" t="s">
        <v>39</v>
      </c>
      <c r="C1147" t="s">
        <v>24</v>
      </c>
      <c r="D1147" s="27">
        <v>0</v>
      </c>
      <c r="E1147" s="3" t="s">
        <v>41</v>
      </c>
      <c r="F1147" s="23">
        <v>0</v>
      </c>
      <c r="G1147" s="3" t="s">
        <v>41</v>
      </c>
      <c r="I1147" s="25" t="str">
        <f t="shared" si="194"/>
        <v/>
      </c>
      <c r="J1147" s="25" t="str">
        <f t="shared" si="194"/>
        <v/>
      </c>
      <c r="L1147" s="3"/>
      <c r="M1147" s="3"/>
    </row>
    <row r="1148" spans="1:13" x14ac:dyDescent="0.45">
      <c r="A1148" t="s">
        <v>15</v>
      </c>
      <c r="B1148" t="s">
        <v>39</v>
      </c>
      <c r="C1148" t="s">
        <v>24</v>
      </c>
      <c r="D1148" s="27">
        <v>0</v>
      </c>
      <c r="E1148" s="3" t="s">
        <v>41</v>
      </c>
      <c r="F1148" s="23">
        <v>0</v>
      </c>
      <c r="G1148" s="3" t="s">
        <v>41</v>
      </c>
      <c r="I1148" s="25" t="str">
        <f t="shared" si="194"/>
        <v/>
      </c>
      <c r="J1148" s="25" t="str">
        <f t="shared" si="194"/>
        <v/>
      </c>
      <c r="L1148" s="3"/>
      <c r="M1148" s="3"/>
    </row>
    <row r="1149" spans="1:13" x14ac:dyDescent="0.45">
      <c r="A1149" t="s">
        <v>16</v>
      </c>
      <c r="B1149" t="s">
        <v>39</v>
      </c>
      <c r="C1149" t="s">
        <v>24</v>
      </c>
      <c r="D1149" s="27">
        <v>0</v>
      </c>
      <c r="E1149" s="3" t="s">
        <v>41</v>
      </c>
      <c r="F1149" s="23">
        <v>0</v>
      </c>
      <c r="G1149" s="3" t="s">
        <v>41</v>
      </c>
      <c r="I1149" s="25" t="str">
        <f t="shared" si="194"/>
        <v/>
      </c>
      <c r="J1149" s="25" t="str">
        <f t="shared" si="194"/>
        <v/>
      </c>
      <c r="L1149" s="3"/>
      <c r="M1149" s="3"/>
    </row>
    <row r="1150" spans="1:13" x14ac:dyDescent="0.45">
      <c r="A1150" t="s">
        <v>17</v>
      </c>
      <c r="B1150" t="s">
        <v>39</v>
      </c>
      <c r="C1150" t="s">
        <v>24</v>
      </c>
      <c r="D1150" s="27">
        <v>0</v>
      </c>
      <c r="E1150" s="3" t="s">
        <v>41</v>
      </c>
      <c r="F1150" s="23">
        <v>0</v>
      </c>
      <c r="G1150" s="3" t="s">
        <v>41</v>
      </c>
      <c r="I1150" s="25" t="str">
        <f t="shared" si="194"/>
        <v/>
      </c>
      <c r="J1150" s="25" t="str">
        <f t="shared" si="194"/>
        <v/>
      </c>
      <c r="L1150" s="3"/>
      <c r="M1150" s="3"/>
    </row>
    <row r="1151" spans="1:13" x14ac:dyDescent="0.45">
      <c r="A1151" t="s">
        <v>18</v>
      </c>
      <c r="B1151" t="s">
        <v>39</v>
      </c>
      <c r="C1151" t="s">
        <v>24</v>
      </c>
      <c r="D1151" s="27">
        <v>0</v>
      </c>
      <c r="E1151" s="3" t="s">
        <v>41</v>
      </c>
      <c r="F1151" s="23">
        <v>0</v>
      </c>
      <c r="G1151" s="3" t="s">
        <v>41</v>
      </c>
      <c r="I1151" s="25" t="str">
        <f t="shared" si="194"/>
        <v/>
      </c>
      <c r="J1151" s="25" t="str">
        <f t="shared" si="194"/>
        <v/>
      </c>
      <c r="L1151" s="3"/>
      <c r="M1151" s="3"/>
    </row>
    <row r="1152" spans="1:13" x14ac:dyDescent="0.45">
      <c r="A1152" t="s">
        <v>19</v>
      </c>
      <c r="B1152" t="s">
        <v>39</v>
      </c>
      <c r="C1152" t="s">
        <v>24</v>
      </c>
      <c r="D1152" s="27">
        <v>0</v>
      </c>
      <c r="E1152" s="3" t="s">
        <v>41</v>
      </c>
      <c r="F1152" s="23">
        <v>0</v>
      </c>
      <c r="G1152" s="3" t="s">
        <v>41</v>
      </c>
      <c r="I1152" s="25" t="str">
        <f t="shared" si="194"/>
        <v/>
      </c>
      <c r="J1152" s="25" t="str">
        <f t="shared" si="194"/>
        <v/>
      </c>
      <c r="L1152" s="3"/>
      <c r="M1152" s="3"/>
    </row>
    <row r="1153" spans="1:13" x14ac:dyDescent="0.45">
      <c r="A1153" t="s">
        <v>20</v>
      </c>
      <c r="B1153" t="s">
        <v>39</v>
      </c>
      <c r="C1153" t="s">
        <v>24</v>
      </c>
      <c r="D1153" s="27">
        <v>0</v>
      </c>
      <c r="E1153" s="3" t="s">
        <v>41</v>
      </c>
      <c r="F1153" s="23">
        <v>0</v>
      </c>
      <c r="G1153" s="3" t="s">
        <v>41</v>
      </c>
      <c r="I1153" s="25" t="str">
        <f t="shared" si="194"/>
        <v/>
      </c>
      <c r="J1153" s="25" t="str">
        <f t="shared" si="194"/>
        <v/>
      </c>
      <c r="L1153" s="3"/>
      <c r="M1153" s="3"/>
    </row>
    <row r="1154" spans="1:13" x14ac:dyDescent="0.45">
      <c r="A1154" t="s">
        <v>7</v>
      </c>
      <c r="B1154" t="s">
        <v>39</v>
      </c>
      <c r="C1154" t="s">
        <v>25</v>
      </c>
      <c r="D1154" s="27">
        <v>183078000</v>
      </c>
      <c r="E1154" s="3">
        <v>142025182</v>
      </c>
      <c r="F1154" s="23">
        <v>178078000</v>
      </c>
      <c r="G1154" s="3">
        <v>20219062</v>
      </c>
      <c r="I1154" s="22">
        <f t="shared" ref="I1154:J1154" si="203">IF(L1154="","",L1154)</f>
        <v>142025182</v>
      </c>
      <c r="J1154" s="22">
        <f t="shared" si="203"/>
        <v>20219062</v>
      </c>
      <c r="L1154" s="3">
        <v>142025182</v>
      </c>
      <c r="M1154" s="3">
        <v>20219062</v>
      </c>
    </row>
    <row r="1155" spans="1:13" x14ac:dyDescent="0.45">
      <c r="A1155" t="s">
        <v>10</v>
      </c>
      <c r="B1155" t="s">
        <v>39</v>
      </c>
      <c r="C1155" t="s">
        <v>25</v>
      </c>
      <c r="D1155" s="28">
        <v>278078000</v>
      </c>
      <c r="E1155" s="4">
        <v>130923900</v>
      </c>
      <c r="F1155" s="24">
        <v>183078000</v>
      </c>
      <c r="G1155" s="4">
        <v>163539770</v>
      </c>
      <c r="I1155" s="25">
        <f t="shared" ref="I1155:J1155" si="204">IF(L1155="","",L1155-L1154)</f>
        <v>130923900</v>
      </c>
      <c r="J1155" s="25">
        <f t="shared" si="204"/>
        <v>163539770</v>
      </c>
      <c r="L1155" s="4">
        <v>272949082</v>
      </c>
      <c r="M1155" s="4">
        <v>183758832</v>
      </c>
    </row>
    <row r="1156" spans="1:13" x14ac:dyDescent="0.45">
      <c r="A1156" t="s">
        <v>11</v>
      </c>
      <c r="B1156" t="s">
        <v>39</v>
      </c>
      <c r="C1156" t="s">
        <v>25</v>
      </c>
      <c r="D1156" s="27">
        <v>232846000</v>
      </c>
      <c r="E1156" s="3">
        <v>179797884</v>
      </c>
      <c r="F1156" s="23">
        <v>286078000</v>
      </c>
      <c r="G1156" s="3">
        <v>18847500</v>
      </c>
      <c r="I1156" s="25">
        <f t="shared" si="194"/>
        <v>256687584</v>
      </c>
      <c r="J1156" s="25">
        <f t="shared" si="194"/>
        <v>125921845</v>
      </c>
      <c r="L1156" s="29">
        <f>SUMIFS(Pivot_!C:C,Pivot_!A:A,'Hitung Per Bulan'!B1156,Pivot_!B:B,'Hitung Per Bulan'!C1156)</f>
        <v>529636666</v>
      </c>
      <c r="M1156" s="29">
        <f>SUMIFS(Pivot_!D:D,Pivot_!A:A,'Hitung Per Bulan'!B1156,Pivot_!B:B,'Hitung Per Bulan'!C1156)</f>
        <v>309680677</v>
      </c>
    </row>
    <row r="1157" spans="1:13" x14ac:dyDescent="0.45">
      <c r="A1157" t="s">
        <v>12</v>
      </c>
      <c r="B1157" t="s">
        <v>39</v>
      </c>
      <c r="C1157" t="s">
        <v>25</v>
      </c>
      <c r="D1157" s="27">
        <v>282233000</v>
      </c>
      <c r="E1157" s="3" t="s">
        <v>41</v>
      </c>
      <c r="F1157" s="23">
        <v>224846000</v>
      </c>
      <c r="G1157" s="3" t="s">
        <v>41</v>
      </c>
      <c r="I1157" s="25" t="str">
        <f t="shared" si="194"/>
        <v/>
      </c>
      <c r="J1157" s="25" t="str">
        <f t="shared" si="194"/>
        <v/>
      </c>
      <c r="L1157" s="3"/>
      <c r="M1157" s="3"/>
    </row>
    <row r="1158" spans="1:13" x14ac:dyDescent="0.45">
      <c r="A1158" t="s">
        <v>13</v>
      </c>
      <c r="B1158" t="s">
        <v>39</v>
      </c>
      <c r="C1158" t="s">
        <v>25</v>
      </c>
      <c r="D1158" s="27">
        <v>200078000</v>
      </c>
      <c r="E1158" s="3" t="s">
        <v>41</v>
      </c>
      <c r="F1158" s="23">
        <v>282233000</v>
      </c>
      <c r="G1158" s="3" t="s">
        <v>41</v>
      </c>
      <c r="I1158" s="25" t="str">
        <f t="shared" si="194"/>
        <v/>
      </c>
      <c r="J1158" s="25" t="str">
        <f t="shared" si="194"/>
        <v/>
      </c>
      <c r="L1158" s="3"/>
      <c r="M1158" s="3"/>
    </row>
    <row r="1159" spans="1:13" x14ac:dyDescent="0.45">
      <c r="A1159" t="s">
        <v>14</v>
      </c>
      <c r="B1159" t="s">
        <v>39</v>
      </c>
      <c r="C1159" t="s">
        <v>25</v>
      </c>
      <c r="D1159" s="27">
        <v>318078000</v>
      </c>
      <c r="E1159" s="3" t="s">
        <v>41</v>
      </c>
      <c r="F1159" s="23">
        <v>240078000</v>
      </c>
      <c r="G1159" s="3" t="s">
        <v>41</v>
      </c>
      <c r="I1159" s="25" t="str">
        <f t="shared" si="194"/>
        <v/>
      </c>
      <c r="J1159" s="25" t="str">
        <f t="shared" si="194"/>
        <v/>
      </c>
      <c r="L1159" s="3"/>
      <c r="M1159" s="3"/>
    </row>
    <row r="1160" spans="1:13" x14ac:dyDescent="0.45">
      <c r="A1160" t="s">
        <v>15</v>
      </c>
      <c r="B1160" t="s">
        <v>39</v>
      </c>
      <c r="C1160" t="s">
        <v>25</v>
      </c>
      <c r="D1160" s="27">
        <v>228078000</v>
      </c>
      <c r="E1160" s="3" t="s">
        <v>41</v>
      </c>
      <c r="F1160" s="23">
        <v>278078000</v>
      </c>
      <c r="G1160" s="3" t="s">
        <v>41</v>
      </c>
      <c r="I1160" s="25" t="str">
        <f t="shared" si="194"/>
        <v/>
      </c>
      <c r="J1160" s="25" t="str">
        <f t="shared" si="194"/>
        <v/>
      </c>
      <c r="L1160" s="3"/>
      <c r="M1160" s="3"/>
    </row>
    <row r="1161" spans="1:13" x14ac:dyDescent="0.45">
      <c r="A1161" t="s">
        <v>16</v>
      </c>
      <c r="B1161" t="s">
        <v>39</v>
      </c>
      <c r="C1161" t="s">
        <v>25</v>
      </c>
      <c r="D1161" s="27">
        <v>896057000</v>
      </c>
      <c r="E1161" s="3" t="s">
        <v>41</v>
      </c>
      <c r="F1161" s="23">
        <v>228078000</v>
      </c>
      <c r="G1161" s="3" t="s">
        <v>41</v>
      </c>
      <c r="I1161" s="25" t="str">
        <f t="shared" si="194"/>
        <v/>
      </c>
      <c r="J1161" s="25" t="str">
        <f t="shared" si="194"/>
        <v/>
      </c>
      <c r="L1161" s="3"/>
      <c r="M1161" s="3"/>
    </row>
    <row r="1162" spans="1:13" x14ac:dyDescent="0.45">
      <c r="A1162" t="s">
        <v>17</v>
      </c>
      <c r="B1162" t="s">
        <v>39</v>
      </c>
      <c r="C1162" t="s">
        <v>25</v>
      </c>
      <c r="D1162" s="27">
        <v>190078000</v>
      </c>
      <c r="E1162" s="3" t="s">
        <v>41</v>
      </c>
      <c r="F1162" s="23">
        <v>245078000</v>
      </c>
      <c r="G1162" s="3" t="s">
        <v>41</v>
      </c>
      <c r="I1162" s="25" t="str">
        <f t="shared" si="194"/>
        <v/>
      </c>
      <c r="J1162" s="25" t="str">
        <f t="shared" si="194"/>
        <v/>
      </c>
      <c r="L1162" s="3"/>
      <c r="M1162" s="3"/>
    </row>
    <row r="1163" spans="1:13" x14ac:dyDescent="0.45">
      <c r="A1163" t="s">
        <v>18</v>
      </c>
      <c r="B1163" t="s">
        <v>39</v>
      </c>
      <c r="C1163" t="s">
        <v>25</v>
      </c>
      <c r="D1163" s="27">
        <v>329274000</v>
      </c>
      <c r="E1163" s="3" t="s">
        <v>41</v>
      </c>
      <c r="F1163" s="23">
        <v>202533000</v>
      </c>
      <c r="G1163" s="3" t="s">
        <v>41</v>
      </c>
      <c r="I1163" s="25" t="str">
        <f t="shared" si="194"/>
        <v/>
      </c>
      <c r="J1163" s="25" t="str">
        <f t="shared" si="194"/>
        <v/>
      </c>
      <c r="L1163" s="3"/>
      <c r="M1163" s="3"/>
    </row>
    <row r="1164" spans="1:13" x14ac:dyDescent="0.45">
      <c r="A1164" t="s">
        <v>19</v>
      </c>
      <c r="B1164" t="s">
        <v>39</v>
      </c>
      <c r="C1164" t="s">
        <v>25</v>
      </c>
      <c r="D1164" s="27">
        <v>178088000</v>
      </c>
      <c r="E1164" s="3" t="s">
        <v>41</v>
      </c>
      <c r="F1164" s="23">
        <v>309829000</v>
      </c>
      <c r="G1164" s="3" t="s">
        <v>41</v>
      </c>
      <c r="I1164" s="25" t="str">
        <f t="shared" si="194"/>
        <v/>
      </c>
      <c r="J1164" s="25" t="str">
        <f t="shared" si="194"/>
        <v/>
      </c>
      <c r="L1164" s="3"/>
      <c r="M1164" s="3"/>
    </row>
    <row r="1165" spans="1:13" x14ac:dyDescent="0.45">
      <c r="A1165" t="s">
        <v>20</v>
      </c>
      <c r="B1165" t="s">
        <v>39</v>
      </c>
      <c r="C1165" t="s">
        <v>25</v>
      </c>
      <c r="D1165" s="27">
        <v>178084000</v>
      </c>
      <c r="E1165" s="3" t="s">
        <v>41</v>
      </c>
      <c r="F1165" s="23">
        <v>836063000</v>
      </c>
      <c r="G1165" s="3" t="s">
        <v>41</v>
      </c>
      <c r="I1165" s="25" t="str">
        <f t="shared" si="194"/>
        <v/>
      </c>
      <c r="J1165" s="25" t="str">
        <f t="shared" si="194"/>
        <v/>
      </c>
      <c r="L1165" s="3"/>
      <c r="M1165" s="3"/>
    </row>
    <row r="1166" spans="1:13" x14ac:dyDescent="0.45">
      <c r="A1166" t="s">
        <v>7</v>
      </c>
      <c r="B1166" t="s">
        <v>39</v>
      </c>
      <c r="C1166" t="s">
        <v>26</v>
      </c>
      <c r="D1166" s="27">
        <v>213333000</v>
      </c>
      <c r="E1166" s="3">
        <v>268881303</v>
      </c>
      <c r="F1166" s="23">
        <v>213333000</v>
      </c>
      <c r="G1166" s="3">
        <v>268553262</v>
      </c>
      <c r="I1166" s="22">
        <f t="shared" ref="I1166:J1166" si="205">IF(L1166="","",L1166)</f>
        <v>268881303</v>
      </c>
      <c r="J1166" s="22">
        <f t="shared" si="205"/>
        <v>268553262</v>
      </c>
      <c r="L1166" s="3">
        <v>268881303</v>
      </c>
      <c r="M1166" s="3">
        <v>268553262</v>
      </c>
    </row>
    <row r="1167" spans="1:13" x14ac:dyDescent="0.45">
      <c r="A1167" t="s">
        <v>10</v>
      </c>
      <c r="B1167" t="s">
        <v>39</v>
      </c>
      <c r="C1167" t="s">
        <v>26</v>
      </c>
      <c r="D1167" s="28">
        <v>213333000</v>
      </c>
      <c r="E1167" s="4">
        <v>186153806</v>
      </c>
      <c r="F1167" s="24">
        <v>213333000</v>
      </c>
      <c r="G1167" s="4">
        <v>178077441</v>
      </c>
      <c r="I1167" s="25">
        <f t="shared" ref="I1167:J1230" si="206">IF(L1167="","",L1167-L1166)</f>
        <v>186153806</v>
      </c>
      <c r="J1167" s="25">
        <f t="shared" si="206"/>
        <v>178077441</v>
      </c>
      <c r="L1167" s="4">
        <v>455035109</v>
      </c>
      <c r="M1167" s="4">
        <v>446630703</v>
      </c>
    </row>
    <row r="1168" spans="1:13" x14ac:dyDescent="0.45">
      <c r="A1168" t="s">
        <v>11</v>
      </c>
      <c r="B1168" t="s">
        <v>39</v>
      </c>
      <c r="C1168" t="s">
        <v>26</v>
      </c>
      <c r="D1168" s="27">
        <v>213333000</v>
      </c>
      <c r="E1168" s="3">
        <v>0</v>
      </c>
      <c r="F1168" s="23">
        <v>213333000</v>
      </c>
      <c r="G1168" s="3">
        <v>0</v>
      </c>
      <c r="I1168" s="25">
        <f t="shared" si="206"/>
        <v>0</v>
      </c>
      <c r="J1168" s="25">
        <f t="shared" si="206"/>
        <v>0</v>
      </c>
      <c r="L1168" s="29">
        <f>SUMIFS(Pivot_!C:C,Pivot_!A:A,'Hitung Per Bulan'!B1168,Pivot_!B:B,'Hitung Per Bulan'!C1168)</f>
        <v>455035109</v>
      </c>
      <c r="M1168" s="29">
        <f>SUMIFS(Pivot_!D:D,Pivot_!A:A,'Hitung Per Bulan'!B1168,Pivot_!B:B,'Hitung Per Bulan'!C1168)</f>
        <v>446630703</v>
      </c>
    </row>
    <row r="1169" spans="1:13" x14ac:dyDescent="0.45">
      <c r="A1169" t="s">
        <v>12</v>
      </c>
      <c r="B1169" t="s">
        <v>39</v>
      </c>
      <c r="C1169" t="s">
        <v>26</v>
      </c>
      <c r="D1169" s="27">
        <v>213333000</v>
      </c>
      <c r="E1169" s="3" t="s">
        <v>41</v>
      </c>
      <c r="F1169" s="23">
        <v>213333000</v>
      </c>
      <c r="G1169" s="3" t="s">
        <v>41</v>
      </c>
      <c r="I1169" s="25" t="str">
        <f t="shared" si="206"/>
        <v/>
      </c>
      <c r="J1169" s="25" t="str">
        <f t="shared" si="206"/>
        <v/>
      </c>
      <c r="L1169" s="3"/>
      <c r="M1169" s="3"/>
    </row>
    <row r="1170" spans="1:13" x14ac:dyDescent="0.45">
      <c r="A1170" t="s">
        <v>13</v>
      </c>
      <c r="B1170" t="s">
        <v>39</v>
      </c>
      <c r="C1170" t="s">
        <v>26</v>
      </c>
      <c r="D1170" s="27">
        <v>213333000</v>
      </c>
      <c r="E1170" s="3" t="s">
        <v>41</v>
      </c>
      <c r="F1170" s="23">
        <v>213333000</v>
      </c>
      <c r="G1170" s="3" t="s">
        <v>41</v>
      </c>
      <c r="I1170" s="25" t="str">
        <f t="shared" si="206"/>
        <v/>
      </c>
      <c r="J1170" s="25" t="str">
        <f t="shared" si="206"/>
        <v/>
      </c>
      <c r="L1170" s="3"/>
      <c r="M1170" s="3"/>
    </row>
    <row r="1171" spans="1:13" x14ac:dyDescent="0.45">
      <c r="A1171" t="s">
        <v>14</v>
      </c>
      <c r="B1171" t="s">
        <v>39</v>
      </c>
      <c r="C1171" t="s">
        <v>26</v>
      </c>
      <c r="D1171" s="27">
        <v>213333000</v>
      </c>
      <c r="E1171" s="3" t="s">
        <v>41</v>
      </c>
      <c r="F1171" s="23">
        <v>213333000</v>
      </c>
      <c r="G1171" s="3" t="s">
        <v>41</v>
      </c>
      <c r="I1171" s="25" t="str">
        <f t="shared" si="206"/>
        <v/>
      </c>
      <c r="J1171" s="25" t="str">
        <f t="shared" si="206"/>
        <v/>
      </c>
      <c r="L1171" s="3"/>
      <c r="M1171" s="3"/>
    </row>
    <row r="1172" spans="1:13" x14ac:dyDescent="0.45">
      <c r="A1172" t="s">
        <v>15</v>
      </c>
      <c r="B1172" t="s">
        <v>39</v>
      </c>
      <c r="C1172" t="s">
        <v>26</v>
      </c>
      <c r="D1172" s="27">
        <v>213333000</v>
      </c>
      <c r="E1172" s="3" t="s">
        <v>41</v>
      </c>
      <c r="F1172" s="23">
        <v>213333000</v>
      </c>
      <c r="G1172" s="3" t="s">
        <v>41</v>
      </c>
      <c r="I1172" s="25" t="str">
        <f t="shared" si="206"/>
        <v/>
      </c>
      <c r="J1172" s="25" t="str">
        <f t="shared" si="206"/>
        <v/>
      </c>
      <c r="L1172" s="3"/>
      <c r="M1172" s="3"/>
    </row>
    <row r="1173" spans="1:13" x14ac:dyDescent="0.45">
      <c r="A1173" t="s">
        <v>16</v>
      </c>
      <c r="B1173" t="s">
        <v>39</v>
      </c>
      <c r="C1173" t="s">
        <v>26</v>
      </c>
      <c r="D1173" s="27">
        <v>213333000</v>
      </c>
      <c r="E1173" s="3" t="s">
        <v>41</v>
      </c>
      <c r="F1173" s="23">
        <v>213333000</v>
      </c>
      <c r="G1173" s="3" t="s">
        <v>41</v>
      </c>
      <c r="I1173" s="25" t="str">
        <f t="shared" si="206"/>
        <v/>
      </c>
      <c r="J1173" s="25" t="str">
        <f t="shared" si="206"/>
        <v/>
      </c>
      <c r="L1173" s="3"/>
      <c r="M1173" s="3"/>
    </row>
    <row r="1174" spans="1:13" x14ac:dyDescent="0.45">
      <c r="A1174" t="s">
        <v>17</v>
      </c>
      <c r="B1174" t="s">
        <v>39</v>
      </c>
      <c r="C1174" t="s">
        <v>26</v>
      </c>
      <c r="D1174" s="27">
        <v>213333000</v>
      </c>
      <c r="E1174" s="3" t="s">
        <v>41</v>
      </c>
      <c r="F1174" s="23">
        <v>213333000</v>
      </c>
      <c r="G1174" s="3" t="s">
        <v>41</v>
      </c>
      <c r="I1174" s="25" t="str">
        <f t="shared" si="206"/>
        <v/>
      </c>
      <c r="J1174" s="25" t="str">
        <f t="shared" si="206"/>
        <v/>
      </c>
      <c r="L1174" s="3"/>
      <c r="M1174" s="3"/>
    </row>
    <row r="1175" spans="1:13" x14ac:dyDescent="0.45">
      <c r="A1175" t="s">
        <v>18</v>
      </c>
      <c r="B1175" t="s">
        <v>39</v>
      </c>
      <c r="C1175" t="s">
        <v>26</v>
      </c>
      <c r="D1175" s="27">
        <v>213333000</v>
      </c>
      <c r="E1175" s="3" t="s">
        <v>41</v>
      </c>
      <c r="F1175" s="23">
        <v>213333000</v>
      </c>
      <c r="G1175" s="3" t="s">
        <v>41</v>
      </c>
      <c r="I1175" s="25" t="str">
        <f t="shared" si="206"/>
        <v/>
      </c>
      <c r="J1175" s="25" t="str">
        <f t="shared" si="206"/>
        <v/>
      </c>
      <c r="L1175" s="3"/>
      <c r="M1175" s="3"/>
    </row>
    <row r="1176" spans="1:13" x14ac:dyDescent="0.45">
      <c r="A1176" t="s">
        <v>19</v>
      </c>
      <c r="B1176" t="s">
        <v>39</v>
      </c>
      <c r="C1176" t="s">
        <v>26</v>
      </c>
      <c r="D1176" s="27">
        <v>213333000</v>
      </c>
      <c r="E1176" s="3" t="s">
        <v>41</v>
      </c>
      <c r="F1176" s="23">
        <v>213333000</v>
      </c>
      <c r="G1176" s="3" t="s">
        <v>41</v>
      </c>
      <c r="I1176" s="25" t="str">
        <f t="shared" si="206"/>
        <v/>
      </c>
      <c r="J1176" s="25" t="str">
        <f t="shared" si="206"/>
        <v/>
      </c>
      <c r="L1176" s="3"/>
      <c r="M1176" s="3"/>
    </row>
    <row r="1177" spans="1:13" x14ac:dyDescent="0.45">
      <c r="A1177" t="s">
        <v>20</v>
      </c>
      <c r="B1177" t="s">
        <v>39</v>
      </c>
      <c r="C1177" t="s">
        <v>26</v>
      </c>
      <c r="D1177" s="27">
        <v>213337000</v>
      </c>
      <c r="E1177" s="3" t="s">
        <v>41</v>
      </c>
      <c r="F1177" s="23">
        <v>213337000</v>
      </c>
      <c r="G1177" s="3" t="s">
        <v>41</v>
      </c>
      <c r="I1177" s="25" t="str">
        <f t="shared" si="206"/>
        <v/>
      </c>
      <c r="J1177" s="25" t="str">
        <f t="shared" si="206"/>
        <v/>
      </c>
      <c r="L1177" s="3"/>
      <c r="M1177" s="3"/>
    </row>
    <row r="1178" spans="1:13" x14ac:dyDescent="0.45">
      <c r="A1178" t="s">
        <v>7</v>
      </c>
      <c r="B1178" t="s">
        <v>40</v>
      </c>
      <c r="C1178" t="s">
        <v>9</v>
      </c>
      <c r="D1178" s="27">
        <v>100000000</v>
      </c>
      <c r="E1178" s="3">
        <v>9143456586</v>
      </c>
      <c r="F1178" s="23">
        <v>0</v>
      </c>
      <c r="G1178" s="3">
        <v>0</v>
      </c>
      <c r="I1178" s="22">
        <f t="shared" ref="I1178:J1178" si="207">IF(L1178="","",L1178)</f>
        <v>9143456586</v>
      </c>
      <c r="J1178" s="22">
        <f t="shared" si="207"/>
        <v>0</v>
      </c>
      <c r="L1178" s="3">
        <v>9143456586</v>
      </c>
      <c r="M1178" s="3">
        <v>0</v>
      </c>
    </row>
    <row r="1179" spans="1:13" x14ac:dyDescent="0.45">
      <c r="A1179" t="s">
        <v>10</v>
      </c>
      <c r="B1179" t="s">
        <v>40</v>
      </c>
      <c r="C1179" t="s">
        <v>9</v>
      </c>
      <c r="D1179" s="28">
        <v>720600000</v>
      </c>
      <c r="E1179" s="4">
        <v>477983925</v>
      </c>
      <c r="F1179" s="24">
        <v>100000000</v>
      </c>
      <c r="G1179" s="4">
        <v>166766116</v>
      </c>
      <c r="I1179" s="25">
        <f t="shared" ref="I1179:J1179" si="208">IF(L1179="","",L1179-L1178)</f>
        <v>477983925</v>
      </c>
      <c r="J1179" s="25">
        <f t="shared" si="208"/>
        <v>166766116</v>
      </c>
      <c r="L1179" s="4">
        <v>9621440511</v>
      </c>
      <c r="M1179" s="4">
        <v>166766116</v>
      </c>
    </row>
    <row r="1180" spans="1:13" x14ac:dyDescent="0.45">
      <c r="A1180" t="s">
        <v>11</v>
      </c>
      <c r="B1180" t="s">
        <v>40</v>
      </c>
      <c r="C1180" t="s">
        <v>9</v>
      </c>
      <c r="D1180" s="27">
        <v>12889972000</v>
      </c>
      <c r="E1180" s="3">
        <v>22962533</v>
      </c>
      <c r="F1180" s="23">
        <v>100000000</v>
      </c>
      <c r="G1180" s="3">
        <v>53553451</v>
      </c>
      <c r="I1180" s="25">
        <f t="shared" si="206"/>
        <v>719989345</v>
      </c>
      <c r="J1180" s="25">
        <f t="shared" si="206"/>
        <v>131419191</v>
      </c>
      <c r="L1180" s="29">
        <f>SUMIFS(Pivot_!C:C,Pivot_!A:A,'Hitung Per Bulan'!B1180,Pivot_!B:B,'Hitung Per Bulan'!C1180)</f>
        <v>10341429856</v>
      </c>
      <c r="M1180" s="29">
        <f>SUMIFS(Pivot_!D:D,Pivot_!A:A,'Hitung Per Bulan'!B1180,Pivot_!B:B,'Hitung Per Bulan'!C1180)</f>
        <v>298185307</v>
      </c>
    </row>
    <row r="1181" spans="1:13" x14ac:dyDescent="0.45">
      <c r="A1181" t="s">
        <v>12</v>
      </c>
      <c r="B1181" t="s">
        <v>40</v>
      </c>
      <c r="C1181" t="s">
        <v>9</v>
      </c>
      <c r="D1181" s="27">
        <v>2342762000</v>
      </c>
      <c r="E1181" s="3" t="s">
        <v>41</v>
      </c>
      <c r="F1181" s="23">
        <v>400000000</v>
      </c>
      <c r="G1181" s="3" t="s">
        <v>41</v>
      </c>
      <c r="I1181" s="25" t="str">
        <f t="shared" si="206"/>
        <v/>
      </c>
      <c r="J1181" s="25" t="str">
        <f t="shared" si="206"/>
        <v/>
      </c>
      <c r="L1181" s="3"/>
      <c r="M1181" s="3"/>
    </row>
    <row r="1182" spans="1:13" x14ac:dyDescent="0.45">
      <c r="A1182" t="s">
        <v>13</v>
      </c>
      <c r="B1182" t="s">
        <v>40</v>
      </c>
      <c r="C1182" t="s">
        <v>9</v>
      </c>
      <c r="D1182" s="27">
        <v>4570752000</v>
      </c>
      <c r="E1182" s="3" t="s">
        <v>41</v>
      </c>
      <c r="F1182" s="23">
        <v>1255838000</v>
      </c>
      <c r="G1182" s="3" t="s">
        <v>41</v>
      </c>
      <c r="I1182" s="25" t="str">
        <f t="shared" si="206"/>
        <v/>
      </c>
      <c r="J1182" s="25" t="str">
        <f t="shared" si="206"/>
        <v/>
      </c>
      <c r="L1182" s="3"/>
      <c r="M1182" s="3"/>
    </row>
    <row r="1183" spans="1:13" x14ac:dyDescent="0.45">
      <c r="A1183" t="s">
        <v>14</v>
      </c>
      <c r="B1183" t="s">
        <v>40</v>
      </c>
      <c r="C1183" t="s">
        <v>9</v>
      </c>
      <c r="D1183" s="27">
        <v>3338000000</v>
      </c>
      <c r="E1183" s="3" t="s">
        <v>41</v>
      </c>
      <c r="F1183" s="23">
        <v>2086687000</v>
      </c>
      <c r="G1183" s="3" t="s">
        <v>41</v>
      </c>
      <c r="I1183" s="25" t="str">
        <f t="shared" si="206"/>
        <v/>
      </c>
      <c r="J1183" s="25" t="str">
        <f t="shared" si="206"/>
        <v/>
      </c>
      <c r="L1183" s="3"/>
      <c r="M1183" s="3"/>
    </row>
    <row r="1184" spans="1:13" x14ac:dyDescent="0.45">
      <c r="A1184" t="s">
        <v>15</v>
      </c>
      <c r="B1184" t="s">
        <v>40</v>
      </c>
      <c r="C1184" t="s">
        <v>9</v>
      </c>
      <c r="D1184" s="27">
        <v>3740485000</v>
      </c>
      <c r="E1184" s="3" t="s">
        <v>41</v>
      </c>
      <c r="F1184" s="23">
        <v>1503128000</v>
      </c>
      <c r="G1184" s="3" t="s">
        <v>41</v>
      </c>
      <c r="I1184" s="25" t="str">
        <f t="shared" si="206"/>
        <v/>
      </c>
      <c r="J1184" s="25" t="str">
        <f t="shared" si="206"/>
        <v/>
      </c>
      <c r="L1184" s="3"/>
      <c r="M1184" s="3"/>
    </row>
    <row r="1185" spans="1:13" x14ac:dyDescent="0.45">
      <c r="A1185" t="s">
        <v>16</v>
      </c>
      <c r="B1185" t="s">
        <v>40</v>
      </c>
      <c r="C1185" t="s">
        <v>9</v>
      </c>
      <c r="D1185" s="27">
        <v>957197000</v>
      </c>
      <c r="E1185" s="3" t="s">
        <v>41</v>
      </c>
      <c r="F1185" s="23">
        <v>463000000</v>
      </c>
      <c r="G1185" s="3" t="s">
        <v>41</v>
      </c>
      <c r="I1185" s="25" t="str">
        <f t="shared" si="206"/>
        <v/>
      </c>
      <c r="J1185" s="25" t="str">
        <f t="shared" si="206"/>
        <v/>
      </c>
      <c r="L1185" s="3"/>
      <c r="M1185" s="3"/>
    </row>
    <row r="1186" spans="1:13" x14ac:dyDescent="0.45">
      <c r="A1186" t="s">
        <v>17</v>
      </c>
      <c r="B1186" t="s">
        <v>40</v>
      </c>
      <c r="C1186" t="s">
        <v>9</v>
      </c>
      <c r="D1186" s="27">
        <v>700784000</v>
      </c>
      <c r="E1186" s="3" t="s">
        <v>41</v>
      </c>
      <c r="F1186" s="23">
        <v>5434938000</v>
      </c>
      <c r="G1186" s="3" t="s">
        <v>41</v>
      </c>
      <c r="I1186" s="25" t="str">
        <f t="shared" si="206"/>
        <v/>
      </c>
      <c r="J1186" s="25" t="str">
        <f t="shared" si="206"/>
        <v/>
      </c>
      <c r="L1186" s="3"/>
      <c r="M1186" s="3"/>
    </row>
    <row r="1187" spans="1:13" x14ac:dyDescent="0.45">
      <c r="A1187" t="s">
        <v>18</v>
      </c>
      <c r="B1187" t="s">
        <v>40</v>
      </c>
      <c r="C1187" t="s">
        <v>9</v>
      </c>
      <c r="D1187" s="27">
        <v>600000000</v>
      </c>
      <c r="E1187" s="3" t="s">
        <v>41</v>
      </c>
      <c r="F1187" s="23">
        <v>6916826000</v>
      </c>
      <c r="G1187" s="3" t="s">
        <v>41</v>
      </c>
      <c r="I1187" s="25" t="str">
        <f t="shared" si="206"/>
        <v/>
      </c>
      <c r="J1187" s="25" t="str">
        <f t="shared" si="206"/>
        <v/>
      </c>
      <c r="L1187" s="3"/>
      <c r="M1187" s="3"/>
    </row>
    <row r="1188" spans="1:13" x14ac:dyDescent="0.45">
      <c r="A1188" t="s">
        <v>19</v>
      </c>
      <c r="B1188" t="s">
        <v>40</v>
      </c>
      <c r="C1188" t="s">
        <v>9</v>
      </c>
      <c r="D1188" s="27">
        <v>264698000</v>
      </c>
      <c r="E1188" s="3" t="s">
        <v>41</v>
      </c>
      <c r="F1188" s="23">
        <v>8663150000</v>
      </c>
      <c r="G1188" s="3" t="s">
        <v>41</v>
      </c>
      <c r="I1188" s="25" t="str">
        <f t="shared" si="206"/>
        <v/>
      </c>
      <c r="J1188" s="25" t="str">
        <f t="shared" si="206"/>
        <v/>
      </c>
      <c r="L1188" s="3"/>
      <c r="M1188" s="3"/>
    </row>
    <row r="1189" spans="1:13" x14ac:dyDescent="0.45">
      <c r="A1189" t="s">
        <v>20</v>
      </c>
      <c r="B1189" t="s">
        <v>40</v>
      </c>
      <c r="C1189" t="s">
        <v>9</v>
      </c>
      <c r="D1189" s="27">
        <v>100000000</v>
      </c>
      <c r="E1189" s="3" t="s">
        <v>41</v>
      </c>
      <c r="F1189" s="23">
        <v>3401683000</v>
      </c>
      <c r="G1189" s="3" t="s">
        <v>41</v>
      </c>
      <c r="I1189" s="25" t="str">
        <f t="shared" si="206"/>
        <v/>
      </c>
      <c r="J1189" s="25" t="str">
        <f t="shared" si="206"/>
        <v/>
      </c>
      <c r="L1189" s="3"/>
      <c r="M1189" s="3"/>
    </row>
    <row r="1190" spans="1:13" x14ac:dyDescent="0.45">
      <c r="A1190" t="s">
        <v>7</v>
      </c>
      <c r="B1190" t="s">
        <v>40</v>
      </c>
      <c r="C1190" t="s">
        <v>21</v>
      </c>
      <c r="D1190" s="27">
        <v>0</v>
      </c>
      <c r="E1190" s="3">
        <v>0</v>
      </c>
      <c r="F1190" s="23">
        <v>0</v>
      </c>
      <c r="G1190" s="3">
        <v>0</v>
      </c>
      <c r="I1190" s="22">
        <f t="shared" ref="I1190:J1190" si="209">IF(L1190="","",L1190)</f>
        <v>0</v>
      </c>
      <c r="J1190" s="22">
        <f t="shared" si="209"/>
        <v>0</v>
      </c>
      <c r="L1190" s="3">
        <v>0</v>
      </c>
      <c r="M1190" s="3">
        <v>0</v>
      </c>
    </row>
    <row r="1191" spans="1:13" x14ac:dyDescent="0.45">
      <c r="A1191" t="s">
        <v>10</v>
      </c>
      <c r="B1191" t="s">
        <v>40</v>
      </c>
      <c r="C1191" t="s">
        <v>21</v>
      </c>
      <c r="D1191" s="28">
        <v>0</v>
      </c>
      <c r="E1191" s="4">
        <v>0</v>
      </c>
      <c r="F1191" s="24">
        <v>0</v>
      </c>
      <c r="G1191" s="4">
        <v>0</v>
      </c>
      <c r="I1191" s="25">
        <f t="shared" ref="I1191:J1191" si="210">IF(L1191="","",L1191-L1190)</f>
        <v>0</v>
      </c>
      <c r="J1191" s="25">
        <f t="shared" si="210"/>
        <v>0</v>
      </c>
      <c r="L1191" s="4">
        <v>0</v>
      </c>
      <c r="M1191" s="4">
        <v>0</v>
      </c>
    </row>
    <row r="1192" spans="1:13" x14ac:dyDescent="0.45">
      <c r="A1192" t="s">
        <v>11</v>
      </c>
      <c r="B1192" t="s">
        <v>40</v>
      </c>
      <c r="C1192" t="s">
        <v>21</v>
      </c>
      <c r="D1192" s="27">
        <v>0</v>
      </c>
      <c r="E1192" s="3">
        <v>4951687</v>
      </c>
      <c r="F1192" s="23">
        <v>0</v>
      </c>
      <c r="G1192" s="3">
        <v>0</v>
      </c>
      <c r="I1192" s="25">
        <f t="shared" si="206"/>
        <v>4951687</v>
      </c>
      <c r="J1192" s="25">
        <f t="shared" si="206"/>
        <v>0</v>
      </c>
      <c r="L1192" s="29">
        <f>SUMIFS(Pivot_!C:C,Pivot_!A:A,'Hitung Per Bulan'!B1192,Pivot_!B:B,'Hitung Per Bulan'!C1192)</f>
        <v>4951687</v>
      </c>
      <c r="M1192" s="29">
        <f>SUMIFS(Pivot_!D:D,Pivot_!A:A,'Hitung Per Bulan'!B1192,Pivot_!B:B,'Hitung Per Bulan'!C1192)</f>
        <v>0</v>
      </c>
    </row>
    <row r="1193" spans="1:13" x14ac:dyDescent="0.45">
      <c r="A1193" t="s">
        <v>12</v>
      </c>
      <c r="B1193" t="s">
        <v>40</v>
      </c>
      <c r="C1193" t="s">
        <v>21</v>
      </c>
      <c r="D1193" s="27">
        <v>0</v>
      </c>
      <c r="E1193" s="3" t="s">
        <v>41</v>
      </c>
      <c r="F1193" s="23">
        <v>0</v>
      </c>
      <c r="G1193" s="3" t="s">
        <v>41</v>
      </c>
      <c r="I1193" s="25" t="str">
        <f t="shared" si="206"/>
        <v/>
      </c>
      <c r="J1193" s="25" t="str">
        <f t="shared" si="206"/>
        <v/>
      </c>
      <c r="L1193" s="3"/>
      <c r="M1193" s="3"/>
    </row>
    <row r="1194" spans="1:13" x14ac:dyDescent="0.45">
      <c r="A1194" t="s">
        <v>13</v>
      </c>
      <c r="B1194" t="s">
        <v>40</v>
      </c>
      <c r="C1194" t="s">
        <v>21</v>
      </c>
      <c r="D1194" s="27">
        <v>0</v>
      </c>
      <c r="E1194" s="3" t="s">
        <v>41</v>
      </c>
      <c r="F1194" s="23">
        <v>0</v>
      </c>
      <c r="G1194" s="3" t="s">
        <v>41</v>
      </c>
      <c r="I1194" s="25" t="str">
        <f t="shared" si="206"/>
        <v/>
      </c>
      <c r="J1194" s="25" t="str">
        <f t="shared" si="206"/>
        <v/>
      </c>
      <c r="L1194" s="3"/>
      <c r="M1194" s="3"/>
    </row>
    <row r="1195" spans="1:13" x14ac:dyDescent="0.45">
      <c r="A1195" t="s">
        <v>14</v>
      </c>
      <c r="B1195" t="s">
        <v>40</v>
      </c>
      <c r="C1195" t="s">
        <v>21</v>
      </c>
      <c r="D1195" s="27">
        <v>0</v>
      </c>
      <c r="E1195" s="3" t="s">
        <v>41</v>
      </c>
      <c r="F1195" s="23">
        <v>0</v>
      </c>
      <c r="G1195" s="3" t="s">
        <v>41</v>
      </c>
      <c r="I1195" s="25" t="str">
        <f t="shared" si="206"/>
        <v/>
      </c>
      <c r="J1195" s="25" t="str">
        <f t="shared" si="206"/>
        <v/>
      </c>
      <c r="L1195" s="3"/>
      <c r="M1195" s="3"/>
    </row>
    <row r="1196" spans="1:13" x14ac:dyDescent="0.45">
      <c r="A1196" t="s">
        <v>15</v>
      </c>
      <c r="B1196" t="s">
        <v>40</v>
      </c>
      <c r="C1196" t="s">
        <v>21</v>
      </c>
      <c r="D1196" s="27">
        <v>0</v>
      </c>
      <c r="E1196" s="3" t="s">
        <v>41</v>
      </c>
      <c r="F1196" s="23">
        <v>0</v>
      </c>
      <c r="G1196" s="3" t="s">
        <v>41</v>
      </c>
      <c r="I1196" s="25" t="str">
        <f t="shared" si="206"/>
        <v/>
      </c>
      <c r="J1196" s="25" t="str">
        <f t="shared" si="206"/>
        <v/>
      </c>
      <c r="L1196" s="3"/>
      <c r="M1196" s="3"/>
    </row>
    <row r="1197" spans="1:13" x14ac:dyDescent="0.45">
      <c r="A1197" t="s">
        <v>16</v>
      </c>
      <c r="B1197" t="s">
        <v>40</v>
      </c>
      <c r="C1197" t="s">
        <v>21</v>
      </c>
      <c r="D1197" s="27">
        <v>150000000</v>
      </c>
      <c r="E1197" s="3" t="s">
        <v>41</v>
      </c>
      <c r="F1197" s="23">
        <v>0</v>
      </c>
      <c r="G1197" s="3" t="s">
        <v>41</v>
      </c>
      <c r="I1197" s="25" t="str">
        <f t="shared" si="206"/>
        <v/>
      </c>
      <c r="J1197" s="25" t="str">
        <f t="shared" si="206"/>
        <v/>
      </c>
      <c r="L1197" s="3"/>
      <c r="M1197" s="3"/>
    </row>
    <row r="1198" spans="1:13" x14ac:dyDescent="0.45">
      <c r="A1198" t="s">
        <v>17</v>
      </c>
      <c r="B1198" t="s">
        <v>40</v>
      </c>
      <c r="C1198" t="s">
        <v>21</v>
      </c>
      <c r="D1198" s="27">
        <v>0</v>
      </c>
      <c r="E1198" s="3" t="s">
        <v>41</v>
      </c>
      <c r="F1198" s="23">
        <v>0</v>
      </c>
      <c r="G1198" s="3" t="s">
        <v>41</v>
      </c>
      <c r="I1198" s="25" t="str">
        <f t="shared" si="206"/>
        <v/>
      </c>
      <c r="J1198" s="25" t="str">
        <f t="shared" si="206"/>
        <v/>
      </c>
      <c r="L1198" s="3"/>
      <c r="M1198" s="3"/>
    </row>
    <row r="1199" spans="1:13" x14ac:dyDescent="0.45">
      <c r="A1199" t="s">
        <v>18</v>
      </c>
      <c r="B1199" t="s">
        <v>40</v>
      </c>
      <c r="C1199" t="s">
        <v>21</v>
      </c>
      <c r="D1199" s="27">
        <v>0</v>
      </c>
      <c r="E1199" s="3" t="s">
        <v>41</v>
      </c>
      <c r="F1199" s="23">
        <v>150000000</v>
      </c>
      <c r="G1199" s="3" t="s">
        <v>41</v>
      </c>
      <c r="I1199" s="25" t="str">
        <f t="shared" si="206"/>
        <v/>
      </c>
      <c r="J1199" s="25" t="str">
        <f t="shared" si="206"/>
        <v/>
      </c>
      <c r="L1199" s="3"/>
      <c r="M1199" s="3"/>
    </row>
    <row r="1200" spans="1:13" x14ac:dyDescent="0.45">
      <c r="A1200" t="s">
        <v>19</v>
      </c>
      <c r="B1200" t="s">
        <v>40</v>
      </c>
      <c r="C1200" t="s">
        <v>21</v>
      </c>
      <c r="D1200" s="27">
        <v>150000000</v>
      </c>
      <c r="E1200" s="3" t="s">
        <v>41</v>
      </c>
      <c r="F1200" s="23">
        <v>0</v>
      </c>
      <c r="G1200" s="3" t="s">
        <v>41</v>
      </c>
      <c r="I1200" s="25" t="str">
        <f t="shared" si="206"/>
        <v/>
      </c>
      <c r="J1200" s="25" t="str">
        <f t="shared" si="206"/>
        <v/>
      </c>
      <c r="L1200" s="3"/>
      <c r="M1200" s="3"/>
    </row>
    <row r="1201" spans="1:13" x14ac:dyDescent="0.45">
      <c r="A1201" t="s">
        <v>20</v>
      </c>
      <c r="B1201" t="s">
        <v>40</v>
      </c>
      <c r="C1201" t="s">
        <v>21</v>
      </c>
      <c r="D1201" s="27">
        <v>0</v>
      </c>
      <c r="E1201" s="3" t="s">
        <v>41</v>
      </c>
      <c r="F1201" s="23">
        <v>150000000</v>
      </c>
      <c r="G1201" s="3" t="s">
        <v>41</v>
      </c>
      <c r="I1201" s="25" t="str">
        <f t="shared" si="206"/>
        <v/>
      </c>
      <c r="J1201" s="25" t="str">
        <f t="shared" si="206"/>
        <v/>
      </c>
      <c r="L1201" s="3"/>
      <c r="M1201" s="3"/>
    </row>
    <row r="1202" spans="1:13" x14ac:dyDescent="0.45">
      <c r="A1202" t="s">
        <v>7</v>
      </c>
      <c r="B1202" t="s">
        <v>40</v>
      </c>
      <c r="C1202" t="s">
        <v>22</v>
      </c>
      <c r="D1202" s="27">
        <v>0</v>
      </c>
      <c r="E1202" s="3">
        <v>32200000</v>
      </c>
      <c r="F1202" s="23">
        <v>0</v>
      </c>
      <c r="G1202" s="3">
        <v>0</v>
      </c>
      <c r="I1202" s="22">
        <f t="shared" ref="I1202:J1202" si="211">IF(L1202="","",L1202)</f>
        <v>32200000</v>
      </c>
      <c r="J1202" s="22">
        <f t="shared" si="211"/>
        <v>0</v>
      </c>
      <c r="L1202" s="3">
        <v>32200000</v>
      </c>
      <c r="M1202" s="3">
        <v>0</v>
      </c>
    </row>
    <row r="1203" spans="1:13" x14ac:dyDescent="0.45">
      <c r="A1203" t="s">
        <v>10</v>
      </c>
      <c r="B1203" t="s">
        <v>40</v>
      </c>
      <c r="C1203" t="s">
        <v>22</v>
      </c>
      <c r="D1203" s="28">
        <v>0</v>
      </c>
      <c r="E1203" s="4">
        <v>0</v>
      </c>
      <c r="F1203" s="24">
        <v>0</v>
      </c>
      <c r="G1203" s="4">
        <v>32200000</v>
      </c>
      <c r="I1203" s="25">
        <f t="shared" ref="I1203:J1203" si="212">IF(L1203="","",L1203-L1202)</f>
        <v>0</v>
      </c>
      <c r="J1203" s="25">
        <f t="shared" si="212"/>
        <v>32200000</v>
      </c>
      <c r="L1203" s="4">
        <v>32200000</v>
      </c>
      <c r="M1203" s="4">
        <v>32200000</v>
      </c>
    </row>
    <row r="1204" spans="1:13" x14ac:dyDescent="0.45">
      <c r="A1204" t="s">
        <v>11</v>
      </c>
      <c r="B1204" t="s">
        <v>40</v>
      </c>
      <c r="C1204" t="s">
        <v>22</v>
      </c>
      <c r="D1204" s="27">
        <v>28597000</v>
      </c>
      <c r="E1204" s="3">
        <v>23285000</v>
      </c>
      <c r="F1204" s="23">
        <v>23831000</v>
      </c>
      <c r="G1204" s="3">
        <v>0</v>
      </c>
      <c r="I1204" s="25">
        <f t="shared" si="206"/>
        <v>23285000</v>
      </c>
      <c r="J1204" s="25">
        <f t="shared" si="206"/>
        <v>0</v>
      </c>
      <c r="L1204" s="29">
        <f>SUMIFS(Pivot_!C:C,Pivot_!A:A,'Hitung Per Bulan'!B1204,Pivot_!B:B,'Hitung Per Bulan'!C1204)</f>
        <v>55485000</v>
      </c>
      <c r="M1204" s="29">
        <f>SUMIFS(Pivot_!D:D,Pivot_!A:A,'Hitung Per Bulan'!B1204,Pivot_!B:B,'Hitung Per Bulan'!C1204)</f>
        <v>32200000</v>
      </c>
    </row>
    <row r="1205" spans="1:13" x14ac:dyDescent="0.45">
      <c r="A1205" t="s">
        <v>12</v>
      </c>
      <c r="B1205" t="s">
        <v>40</v>
      </c>
      <c r="C1205" t="s">
        <v>22</v>
      </c>
      <c r="D1205" s="27">
        <v>28597000</v>
      </c>
      <c r="E1205" s="3" t="s">
        <v>41</v>
      </c>
      <c r="F1205" s="23">
        <v>23831000</v>
      </c>
      <c r="G1205" s="3" t="s">
        <v>41</v>
      </c>
      <c r="I1205" s="25" t="str">
        <f t="shared" si="206"/>
        <v/>
      </c>
      <c r="J1205" s="25" t="str">
        <f t="shared" si="206"/>
        <v/>
      </c>
      <c r="L1205" s="3"/>
      <c r="M1205" s="3"/>
    </row>
    <row r="1206" spans="1:13" x14ac:dyDescent="0.45">
      <c r="A1206" t="s">
        <v>13</v>
      </c>
      <c r="B1206" t="s">
        <v>40</v>
      </c>
      <c r="C1206" t="s">
        <v>22</v>
      </c>
      <c r="D1206" s="27">
        <v>28597000</v>
      </c>
      <c r="E1206" s="3" t="s">
        <v>41</v>
      </c>
      <c r="F1206" s="23">
        <v>23831000</v>
      </c>
      <c r="G1206" s="3" t="s">
        <v>41</v>
      </c>
      <c r="I1206" s="25" t="str">
        <f t="shared" si="206"/>
        <v/>
      </c>
      <c r="J1206" s="25" t="str">
        <f t="shared" si="206"/>
        <v/>
      </c>
      <c r="L1206" s="3"/>
      <c r="M1206" s="3"/>
    </row>
    <row r="1207" spans="1:13" x14ac:dyDescent="0.45">
      <c r="A1207" t="s">
        <v>14</v>
      </c>
      <c r="B1207" t="s">
        <v>40</v>
      </c>
      <c r="C1207" t="s">
        <v>22</v>
      </c>
      <c r="D1207" s="27">
        <v>28597000</v>
      </c>
      <c r="E1207" s="3" t="s">
        <v>41</v>
      </c>
      <c r="F1207" s="23">
        <v>23831000</v>
      </c>
      <c r="G1207" s="3" t="s">
        <v>41</v>
      </c>
      <c r="I1207" s="25" t="str">
        <f t="shared" si="206"/>
        <v/>
      </c>
      <c r="J1207" s="25" t="str">
        <f t="shared" si="206"/>
        <v/>
      </c>
      <c r="L1207" s="3"/>
      <c r="M1207" s="3"/>
    </row>
    <row r="1208" spans="1:13" x14ac:dyDescent="0.45">
      <c r="A1208" t="s">
        <v>15</v>
      </c>
      <c r="B1208" t="s">
        <v>40</v>
      </c>
      <c r="C1208" t="s">
        <v>22</v>
      </c>
      <c r="D1208" s="27">
        <v>28597000</v>
      </c>
      <c r="E1208" s="3" t="s">
        <v>41</v>
      </c>
      <c r="F1208" s="23">
        <v>47662000</v>
      </c>
      <c r="G1208" s="3" t="s">
        <v>41</v>
      </c>
      <c r="I1208" s="25" t="str">
        <f t="shared" si="206"/>
        <v/>
      </c>
      <c r="J1208" s="25" t="str">
        <f t="shared" si="206"/>
        <v/>
      </c>
      <c r="L1208" s="3"/>
      <c r="M1208" s="3"/>
    </row>
    <row r="1209" spans="1:13" x14ac:dyDescent="0.45">
      <c r="A1209" t="s">
        <v>16</v>
      </c>
      <c r="B1209" t="s">
        <v>40</v>
      </c>
      <c r="C1209" t="s">
        <v>22</v>
      </c>
      <c r="D1209" s="27">
        <v>28597000</v>
      </c>
      <c r="E1209" s="3" t="s">
        <v>41</v>
      </c>
      <c r="F1209" s="23">
        <v>23831000</v>
      </c>
      <c r="G1209" s="3" t="s">
        <v>41</v>
      </c>
      <c r="I1209" s="25" t="str">
        <f t="shared" si="206"/>
        <v/>
      </c>
      <c r="J1209" s="25" t="str">
        <f t="shared" si="206"/>
        <v/>
      </c>
      <c r="L1209" s="3"/>
      <c r="M1209" s="3"/>
    </row>
    <row r="1210" spans="1:13" x14ac:dyDescent="0.45">
      <c r="A1210" t="s">
        <v>17</v>
      </c>
      <c r="B1210" t="s">
        <v>40</v>
      </c>
      <c r="C1210" t="s">
        <v>22</v>
      </c>
      <c r="D1210" s="27">
        <v>28597000</v>
      </c>
      <c r="E1210" s="3" t="s">
        <v>41</v>
      </c>
      <c r="F1210" s="23">
        <v>23831000</v>
      </c>
      <c r="G1210" s="3" t="s">
        <v>41</v>
      </c>
      <c r="I1210" s="25" t="str">
        <f t="shared" si="206"/>
        <v/>
      </c>
      <c r="J1210" s="25" t="str">
        <f t="shared" si="206"/>
        <v/>
      </c>
      <c r="L1210" s="3"/>
      <c r="M1210" s="3"/>
    </row>
    <row r="1211" spans="1:13" x14ac:dyDescent="0.45">
      <c r="A1211" t="s">
        <v>18</v>
      </c>
      <c r="B1211" t="s">
        <v>40</v>
      </c>
      <c r="C1211" t="s">
        <v>22</v>
      </c>
      <c r="D1211" s="27">
        <v>28597000</v>
      </c>
      <c r="E1211" s="3" t="s">
        <v>41</v>
      </c>
      <c r="F1211" s="23">
        <v>23831000</v>
      </c>
      <c r="G1211" s="3" t="s">
        <v>41</v>
      </c>
      <c r="I1211" s="25" t="str">
        <f t="shared" si="206"/>
        <v/>
      </c>
      <c r="J1211" s="25" t="str">
        <f t="shared" si="206"/>
        <v/>
      </c>
      <c r="L1211" s="3"/>
      <c r="M1211" s="3"/>
    </row>
    <row r="1212" spans="1:13" x14ac:dyDescent="0.45">
      <c r="A1212" t="s">
        <v>19</v>
      </c>
      <c r="B1212" t="s">
        <v>40</v>
      </c>
      <c r="C1212" t="s">
        <v>22</v>
      </c>
      <c r="D1212" s="27">
        <v>28597000</v>
      </c>
      <c r="E1212" s="3" t="s">
        <v>41</v>
      </c>
      <c r="F1212" s="23">
        <v>23831000</v>
      </c>
      <c r="G1212" s="3" t="s">
        <v>41</v>
      </c>
      <c r="I1212" s="25" t="str">
        <f t="shared" si="206"/>
        <v/>
      </c>
      <c r="J1212" s="25" t="str">
        <f t="shared" si="206"/>
        <v/>
      </c>
      <c r="L1212" s="3"/>
      <c r="M1212" s="3"/>
    </row>
    <row r="1213" spans="1:13" x14ac:dyDescent="0.45">
      <c r="A1213" t="s">
        <v>20</v>
      </c>
      <c r="B1213" t="s">
        <v>40</v>
      </c>
      <c r="C1213" t="s">
        <v>22</v>
      </c>
      <c r="D1213" s="27">
        <v>28599000</v>
      </c>
      <c r="E1213" s="3" t="s">
        <v>41</v>
      </c>
      <c r="F1213" s="23">
        <v>47662000</v>
      </c>
      <c r="G1213" s="3" t="s">
        <v>41</v>
      </c>
      <c r="I1213" s="25" t="str">
        <f t="shared" si="206"/>
        <v/>
      </c>
      <c r="J1213" s="25" t="str">
        <f t="shared" si="206"/>
        <v/>
      </c>
      <c r="L1213" s="3"/>
      <c r="M1213" s="3"/>
    </row>
    <row r="1214" spans="1:13" x14ac:dyDescent="0.45">
      <c r="A1214" t="s">
        <v>7</v>
      </c>
      <c r="B1214" t="s">
        <v>40</v>
      </c>
      <c r="C1214" t="s">
        <v>23</v>
      </c>
      <c r="D1214" s="27">
        <v>0</v>
      </c>
      <c r="E1214" s="3">
        <v>18435000</v>
      </c>
      <c r="F1214" s="23">
        <v>0</v>
      </c>
      <c r="G1214" s="3">
        <v>0</v>
      </c>
      <c r="I1214" s="22">
        <f t="shared" ref="I1214:J1214" si="213">IF(L1214="","",L1214)</f>
        <v>18435000</v>
      </c>
      <c r="J1214" s="22">
        <f t="shared" si="213"/>
        <v>0</v>
      </c>
      <c r="L1214" s="3">
        <v>18435000</v>
      </c>
      <c r="M1214" s="3">
        <v>0</v>
      </c>
    </row>
    <row r="1215" spans="1:13" x14ac:dyDescent="0.45">
      <c r="A1215" t="s">
        <v>10</v>
      </c>
      <c r="B1215" t="s">
        <v>40</v>
      </c>
      <c r="C1215" t="s">
        <v>23</v>
      </c>
      <c r="D1215" s="28">
        <v>0</v>
      </c>
      <c r="E1215" s="4">
        <v>64735000</v>
      </c>
      <c r="F1215" s="24">
        <v>0</v>
      </c>
      <c r="G1215" s="4">
        <v>18435000</v>
      </c>
      <c r="I1215" s="25">
        <f t="shared" ref="I1215:J1215" si="214">IF(L1215="","",L1215-L1214)</f>
        <v>64735000</v>
      </c>
      <c r="J1215" s="25">
        <f t="shared" si="214"/>
        <v>18435000</v>
      </c>
      <c r="L1215" s="4">
        <v>83170000</v>
      </c>
      <c r="M1215" s="4">
        <v>18435000</v>
      </c>
    </row>
    <row r="1216" spans="1:13" x14ac:dyDescent="0.45">
      <c r="A1216" t="s">
        <v>11</v>
      </c>
      <c r="B1216" t="s">
        <v>40</v>
      </c>
      <c r="C1216" t="s">
        <v>23</v>
      </c>
      <c r="D1216" s="27">
        <v>0</v>
      </c>
      <c r="E1216" s="3">
        <v>0</v>
      </c>
      <c r="F1216" s="23">
        <v>0</v>
      </c>
      <c r="G1216" s="3">
        <v>0</v>
      </c>
      <c r="I1216" s="25">
        <f t="shared" si="206"/>
        <v>0</v>
      </c>
      <c r="J1216" s="25">
        <f t="shared" si="206"/>
        <v>49920000</v>
      </c>
      <c r="L1216" s="29">
        <f>SUMIFS(Pivot_!C:C,Pivot_!A:A,'Hitung Per Bulan'!B1216,Pivot_!B:B,'Hitung Per Bulan'!C1216)</f>
        <v>83170000</v>
      </c>
      <c r="M1216" s="29">
        <f>SUMIFS(Pivot_!D:D,Pivot_!A:A,'Hitung Per Bulan'!B1216,Pivot_!B:B,'Hitung Per Bulan'!C1216)</f>
        <v>68355000</v>
      </c>
    </row>
    <row r="1217" spans="1:13" x14ac:dyDescent="0.45">
      <c r="A1217" t="s">
        <v>12</v>
      </c>
      <c r="B1217" t="s">
        <v>40</v>
      </c>
      <c r="C1217" t="s">
        <v>23</v>
      </c>
      <c r="D1217" s="27">
        <v>0</v>
      </c>
      <c r="E1217" s="3" t="s">
        <v>41</v>
      </c>
      <c r="F1217" s="23">
        <v>0</v>
      </c>
      <c r="G1217" s="3" t="s">
        <v>41</v>
      </c>
      <c r="I1217" s="25" t="str">
        <f t="shared" si="206"/>
        <v/>
      </c>
      <c r="J1217" s="25" t="str">
        <f t="shared" si="206"/>
        <v/>
      </c>
      <c r="L1217" s="3"/>
      <c r="M1217" s="3"/>
    </row>
    <row r="1218" spans="1:13" x14ac:dyDescent="0.45">
      <c r="A1218" t="s">
        <v>13</v>
      </c>
      <c r="B1218" t="s">
        <v>40</v>
      </c>
      <c r="C1218" t="s">
        <v>23</v>
      </c>
      <c r="D1218" s="27">
        <v>130000000</v>
      </c>
      <c r="E1218" s="3" t="s">
        <v>41</v>
      </c>
      <c r="F1218" s="23">
        <v>0</v>
      </c>
      <c r="G1218" s="3" t="s">
        <v>41</v>
      </c>
      <c r="I1218" s="25" t="str">
        <f t="shared" si="206"/>
        <v/>
      </c>
      <c r="J1218" s="25" t="str">
        <f t="shared" si="206"/>
        <v/>
      </c>
      <c r="L1218" s="3"/>
      <c r="M1218" s="3"/>
    </row>
    <row r="1219" spans="1:13" x14ac:dyDescent="0.45">
      <c r="A1219" t="s">
        <v>14</v>
      </c>
      <c r="B1219" t="s">
        <v>40</v>
      </c>
      <c r="C1219" t="s">
        <v>23</v>
      </c>
      <c r="D1219" s="27">
        <v>0</v>
      </c>
      <c r="E1219" s="3" t="s">
        <v>41</v>
      </c>
      <c r="F1219" s="23">
        <v>0</v>
      </c>
      <c r="G1219" s="3" t="s">
        <v>41</v>
      </c>
      <c r="I1219" s="25" t="str">
        <f t="shared" si="206"/>
        <v/>
      </c>
      <c r="J1219" s="25" t="str">
        <f t="shared" si="206"/>
        <v/>
      </c>
      <c r="L1219" s="3"/>
      <c r="M1219" s="3"/>
    </row>
    <row r="1220" spans="1:13" x14ac:dyDescent="0.45">
      <c r="A1220" t="s">
        <v>15</v>
      </c>
      <c r="B1220" t="s">
        <v>40</v>
      </c>
      <c r="C1220" t="s">
        <v>23</v>
      </c>
      <c r="D1220" s="27">
        <v>0</v>
      </c>
      <c r="E1220" s="3" t="s">
        <v>41</v>
      </c>
      <c r="F1220" s="23">
        <v>0</v>
      </c>
      <c r="G1220" s="3" t="s">
        <v>41</v>
      </c>
      <c r="I1220" s="25" t="str">
        <f t="shared" si="206"/>
        <v/>
      </c>
      <c r="J1220" s="25" t="str">
        <f t="shared" si="206"/>
        <v/>
      </c>
      <c r="L1220" s="3"/>
      <c r="M1220" s="3"/>
    </row>
    <row r="1221" spans="1:13" x14ac:dyDescent="0.45">
      <c r="A1221" t="s">
        <v>16</v>
      </c>
      <c r="B1221" t="s">
        <v>40</v>
      </c>
      <c r="C1221" t="s">
        <v>23</v>
      </c>
      <c r="D1221" s="27">
        <v>350000000</v>
      </c>
      <c r="E1221" s="3" t="s">
        <v>41</v>
      </c>
      <c r="F1221" s="23">
        <v>130000000</v>
      </c>
      <c r="G1221" s="3" t="s">
        <v>41</v>
      </c>
      <c r="I1221" s="25" t="str">
        <f t="shared" si="206"/>
        <v/>
      </c>
      <c r="J1221" s="25" t="str">
        <f t="shared" si="206"/>
        <v/>
      </c>
      <c r="L1221" s="3"/>
      <c r="M1221" s="3"/>
    </row>
    <row r="1222" spans="1:13" x14ac:dyDescent="0.45">
      <c r="A1222" t="s">
        <v>17</v>
      </c>
      <c r="B1222" t="s">
        <v>40</v>
      </c>
      <c r="C1222" t="s">
        <v>23</v>
      </c>
      <c r="D1222" s="27">
        <v>0</v>
      </c>
      <c r="E1222" s="3" t="s">
        <v>41</v>
      </c>
      <c r="F1222" s="23">
        <v>0</v>
      </c>
      <c r="G1222" s="3" t="s">
        <v>41</v>
      </c>
      <c r="I1222" s="25" t="str">
        <f t="shared" si="206"/>
        <v/>
      </c>
      <c r="J1222" s="25" t="str">
        <f t="shared" si="206"/>
        <v/>
      </c>
      <c r="L1222" s="3"/>
      <c r="M1222" s="3"/>
    </row>
    <row r="1223" spans="1:13" x14ac:dyDescent="0.45">
      <c r="A1223" t="s">
        <v>18</v>
      </c>
      <c r="B1223" t="s">
        <v>40</v>
      </c>
      <c r="C1223" t="s">
        <v>23</v>
      </c>
      <c r="D1223" s="27">
        <v>0</v>
      </c>
      <c r="E1223" s="3" t="s">
        <v>41</v>
      </c>
      <c r="F1223" s="23">
        <v>350000000</v>
      </c>
      <c r="G1223" s="3" t="s">
        <v>41</v>
      </c>
      <c r="I1223" s="25" t="str">
        <f t="shared" si="206"/>
        <v/>
      </c>
      <c r="J1223" s="25" t="str">
        <f t="shared" si="206"/>
        <v/>
      </c>
      <c r="L1223" s="3"/>
      <c r="M1223" s="3"/>
    </row>
    <row r="1224" spans="1:13" x14ac:dyDescent="0.45">
      <c r="A1224" t="s">
        <v>19</v>
      </c>
      <c r="B1224" t="s">
        <v>40</v>
      </c>
      <c r="C1224" t="s">
        <v>23</v>
      </c>
      <c r="D1224" s="27">
        <v>165000000</v>
      </c>
      <c r="E1224" s="3" t="s">
        <v>41</v>
      </c>
      <c r="F1224" s="23">
        <v>0</v>
      </c>
      <c r="G1224" s="3" t="s">
        <v>41</v>
      </c>
      <c r="I1224" s="25" t="str">
        <f t="shared" si="206"/>
        <v/>
      </c>
      <c r="J1224" s="25" t="str">
        <f t="shared" si="206"/>
        <v/>
      </c>
      <c r="L1224" s="3"/>
      <c r="M1224" s="3"/>
    </row>
    <row r="1225" spans="1:13" x14ac:dyDescent="0.45">
      <c r="A1225" t="s">
        <v>20</v>
      </c>
      <c r="B1225" t="s">
        <v>40</v>
      </c>
      <c r="C1225" t="s">
        <v>23</v>
      </c>
      <c r="D1225" s="27">
        <v>0</v>
      </c>
      <c r="E1225" s="3" t="s">
        <v>41</v>
      </c>
      <c r="F1225" s="23">
        <v>165000000</v>
      </c>
      <c r="G1225" s="3" t="s">
        <v>41</v>
      </c>
      <c r="I1225" s="25" t="str">
        <f t="shared" si="206"/>
        <v/>
      </c>
      <c r="J1225" s="25" t="str">
        <f t="shared" si="206"/>
        <v/>
      </c>
      <c r="L1225" s="3"/>
      <c r="M1225" s="3"/>
    </row>
    <row r="1226" spans="1:13" x14ac:dyDescent="0.45">
      <c r="A1226" t="s">
        <v>7</v>
      </c>
      <c r="B1226" t="s">
        <v>40</v>
      </c>
      <c r="C1226" t="s">
        <v>24</v>
      </c>
      <c r="D1226" s="27">
        <v>0</v>
      </c>
      <c r="E1226" s="3">
        <v>0</v>
      </c>
      <c r="F1226" s="23">
        <v>0</v>
      </c>
      <c r="G1226" s="3">
        <v>0</v>
      </c>
      <c r="I1226" s="22">
        <f t="shared" ref="I1226:J1226" si="215">IF(L1226="","",L1226)</f>
        <v>0</v>
      </c>
      <c r="J1226" s="22">
        <f t="shared" si="215"/>
        <v>0</v>
      </c>
      <c r="L1226" s="3">
        <v>0</v>
      </c>
      <c r="M1226" s="3">
        <v>0</v>
      </c>
    </row>
    <row r="1227" spans="1:13" x14ac:dyDescent="0.45">
      <c r="A1227" t="s">
        <v>10</v>
      </c>
      <c r="B1227" t="s">
        <v>40</v>
      </c>
      <c r="C1227" t="s">
        <v>24</v>
      </c>
      <c r="D1227" s="28">
        <v>0</v>
      </c>
      <c r="E1227" s="4">
        <v>0</v>
      </c>
      <c r="F1227" s="24">
        <v>0</v>
      </c>
      <c r="G1227" s="4">
        <v>0</v>
      </c>
      <c r="I1227" s="25">
        <f t="shared" ref="I1227:J1227" si="216">IF(L1227="","",L1227-L1226)</f>
        <v>0</v>
      </c>
      <c r="J1227" s="25">
        <f t="shared" si="216"/>
        <v>0</v>
      </c>
      <c r="L1227" s="4">
        <v>0</v>
      </c>
      <c r="M1227" s="4">
        <v>0</v>
      </c>
    </row>
    <row r="1228" spans="1:13" x14ac:dyDescent="0.45">
      <c r="A1228" t="s">
        <v>11</v>
      </c>
      <c r="B1228" t="s">
        <v>40</v>
      </c>
      <c r="C1228" t="s">
        <v>24</v>
      </c>
      <c r="D1228" s="27">
        <v>0</v>
      </c>
      <c r="E1228" s="3">
        <v>0</v>
      </c>
      <c r="F1228" s="23">
        <v>0</v>
      </c>
      <c r="G1228" s="3">
        <v>0</v>
      </c>
      <c r="I1228" s="25">
        <f t="shared" si="206"/>
        <v>0</v>
      </c>
      <c r="J1228" s="25">
        <f t="shared" si="206"/>
        <v>0</v>
      </c>
      <c r="L1228" s="29">
        <f>SUMIFS(Pivot_!C:C,Pivot_!A:A,'Hitung Per Bulan'!B1228,Pivot_!B:B,'Hitung Per Bulan'!C1228)</f>
        <v>0</v>
      </c>
      <c r="M1228" s="29">
        <f>SUMIFS(Pivot_!D:D,Pivot_!A:A,'Hitung Per Bulan'!B1228,Pivot_!B:B,'Hitung Per Bulan'!C1228)</f>
        <v>0</v>
      </c>
    </row>
    <row r="1229" spans="1:13" x14ac:dyDescent="0.45">
      <c r="A1229" t="s">
        <v>12</v>
      </c>
      <c r="B1229" t="s">
        <v>40</v>
      </c>
      <c r="C1229" t="s">
        <v>24</v>
      </c>
      <c r="D1229" s="27">
        <v>0</v>
      </c>
      <c r="E1229" s="3" t="s">
        <v>41</v>
      </c>
      <c r="F1229" s="23">
        <v>0</v>
      </c>
      <c r="G1229" s="3" t="s">
        <v>41</v>
      </c>
      <c r="I1229" s="25" t="str">
        <f t="shared" si="206"/>
        <v/>
      </c>
      <c r="J1229" s="25" t="str">
        <f t="shared" si="206"/>
        <v/>
      </c>
      <c r="L1229" s="3"/>
      <c r="M1229" s="3"/>
    </row>
    <row r="1230" spans="1:13" x14ac:dyDescent="0.45">
      <c r="A1230" t="s">
        <v>13</v>
      </c>
      <c r="B1230" t="s">
        <v>40</v>
      </c>
      <c r="C1230" t="s">
        <v>24</v>
      </c>
      <c r="D1230" s="27">
        <v>0</v>
      </c>
      <c r="E1230" s="3" t="s">
        <v>41</v>
      </c>
      <c r="F1230" s="23">
        <v>0</v>
      </c>
      <c r="G1230" s="3" t="s">
        <v>41</v>
      </c>
      <c r="I1230" s="25" t="str">
        <f t="shared" si="206"/>
        <v/>
      </c>
      <c r="J1230" s="25" t="str">
        <f t="shared" si="206"/>
        <v/>
      </c>
      <c r="L1230" s="3"/>
      <c r="M1230" s="3"/>
    </row>
    <row r="1231" spans="1:13" x14ac:dyDescent="0.45">
      <c r="A1231" t="s">
        <v>14</v>
      </c>
      <c r="B1231" t="s">
        <v>40</v>
      </c>
      <c r="C1231" t="s">
        <v>24</v>
      </c>
      <c r="D1231" s="27">
        <v>0</v>
      </c>
      <c r="E1231" s="3" t="s">
        <v>41</v>
      </c>
      <c r="F1231" s="23">
        <v>0</v>
      </c>
      <c r="G1231" s="3" t="s">
        <v>41</v>
      </c>
      <c r="I1231" s="25" t="str">
        <f t="shared" ref="I1231:J1261" si="217">IF(L1231="","",L1231-L1230)</f>
        <v/>
      </c>
      <c r="J1231" s="25" t="str">
        <f t="shared" si="217"/>
        <v/>
      </c>
      <c r="L1231" s="3"/>
      <c r="M1231" s="3"/>
    </row>
    <row r="1232" spans="1:13" x14ac:dyDescent="0.45">
      <c r="A1232" t="s">
        <v>15</v>
      </c>
      <c r="B1232" t="s">
        <v>40</v>
      </c>
      <c r="C1232" t="s">
        <v>24</v>
      </c>
      <c r="D1232" s="27">
        <v>0</v>
      </c>
      <c r="E1232" s="3" t="s">
        <v>41</v>
      </c>
      <c r="F1232" s="23">
        <v>0</v>
      </c>
      <c r="G1232" s="3" t="s">
        <v>41</v>
      </c>
      <c r="I1232" s="25" t="str">
        <f t="shared" si="217"/>
        <v/>
      </c>
      <c r="J1232" s="25" t="str">
        <f t="shared" si="217"/>
        <v/>
      </c>
      <c r="L1232" s="3"/>
      <c r="M1232" s="3"/>
    </row>
    <row r="1233" spans="1:13" x14ac:dyDescent="0.45">
      <c r="A1233" t="s">
        <v>16</v>
      </c>
      <c r="B1233" t="s">
        <v>40</v>
      </c>
      <c r="C1233" t="s">
        <v>24</v>
      </c>
      <c r="D1233" s="27">
        <v>0</v>
      </c>
      <c r="E1233" s="3" t="s">
        <v>41</v>
      </c>
      <c r="F1233" s="23">
        <v>0</v>
      </c>
      <c r="G1233" s="3" t="s">
        <v>41</v>
      </c>
      <c r="I1233" s="25" t="str">
        <f t="shared" si="217"/>
        <v/>
      </c>
      <c r="J1233" s="25" t="str">
        <f t="shared" si="217"/>
        <v/>
      </c>
      <c r="L1233" s="3"/>
      <c r="M1233" s="3"/>
    </row>
    <row r="1234" spans="1:13" x14ac:dyDescent="0.45">
      <c r="A1234" t="s">
        <v>17</v>
      </c>
      <c r="B1234" t="s">
        <v>40</v>
      </c>
      <c r="C1234" t="s">
        <v>24</v>
      </c>
      <c r="D1234" s="27">
        <v>0</v>
      </c>
      <c r="E1234" s="3" t="s">
        <v>41</v>
      </c>
      <c r="F1234" s="23">
        <v>0</v>
      </c>
      <c r="G1234" s="3" t="s">
        <v>41</v>
      </c>
      <c r="I1234" s="25" t="str">
        <f t="shared" si="217"/>
        <v/>
      </c>
      <c r="J1234" s="25" t="str">
        <f t="shared" si="217"/>
        <v/>
      </c>
      <c r="L1234" s="3"/>
      <c r="M1234" s="3"/>
    </row>
    <row r="1235" spans="1:13" x14ac:dyDescent="0.45">
      <c r="A1235" t="s">
        <v>18</v>
      </c>
      <c r="B1235" t="s">
        <v>40</v>
      </c>
      <c r="C1235" t="s">
        <v>24</v>
      </c>
      <c r="D1235" s="27">
        <v>0</v>
      </c>
      <c r="E1235" s="3" t="s">
        <v>41</v>
      </c>
      <c r="F1235" s="23">
        <v>0</v>
      </c>
      <c r="G1235" s="3" t="s">
        <v>41</v>
      </c>
      <c r="I1235" s="25" t="str">
        <f t="shared" si="217"/>
        <v/>
      </c>
      <c r="J1235" s="25" t="str">
        <f t="shared" si="217"/>
        <v/>
      </c>
      <c r="L1235" s="3"/>
      <c r="M1235" s="3"/>
    </row>
    <row r="1236" spans="1:13" x14ac:dyDescent="0.45">
      <c r="A1236" t="s">
        <v>19</v>
      </c>
      <c r="B1236" t="s">
        <v>40</v>
      </c>
      <c r="C1236" t="s">
        <v>24</v>
      </c>
      <c r="D1236" s="27">
        <v>0</v>
      </c>
      <c r="E1236" s="3" t="s">
        <v>41</v>
      </c>
      <c r="F1236" s="23">
        <v>0</v>
      </c>
      <c r="G1236" s="3" t="s">
        <v>41</v>
      </c>
      <c r="I1236" s="25" t="str">
        <f t="shared" si="217"/>
        <v/>
      </c>
      <c r="J1236" s="25" t="str">
        <f t="shared" si="217"/>
        <v/>
      </c>
      <c r="L1236" s="3"/>
      <c r="M1236" s="3"/>
    </row>
    <row r="1237" spans="1:13" x14ac:dyDescent="0.45">
      <c r="A1237" t="s">
        <v>20</v>
      </c>
      <c r="B1237" t="s">
        <v>40</v>
      </c>
      <c r="C1237" t="s">
        <v>24</v>
      </c>
      <c r="D1237" s="27">
        <v>0</v>
      </c>
      <c r="E1237" s="3" t="s">
        <v>41</v>
      </c>
      <c r="F1237" s="23">
        <v>0</v>
      </c>
      <c r="G1237" s="3" t="s">
        <v>41</v>
      </c>
      <c r="I1237" s="25" t="str">
        <f t="shared" si="217"/>
        <v/>
      </c>
      <c r="J1237" s="25" t="str">
        <f t="shared" si="217"/>
        <v/>
      </c>
      <c r="L1237" s="3"/>
      <c r="M1237" s="3"/>
    </row>
    <row r="1238" spans="1:13" x14ac:dyDescent="0.45">
      <c r="A1238" t="s">
        <v>7</v>
      </c>
      <c r="B1238" t="s">
        <v>40</v>
      </c>
      <c r="C1238" t="s">
        <v>25</v>
      </c>
      <c r="D1238" s="27">
        <v>48354000</v>
      </c>
      <c r="E1238" s="3">
        <v>78887534</v>
      </c>
      <c r="F1238" s="23">
        <v>0</v>
      </c>
      <c r="G1238" s="3">
        <v>17317500</v>
      </c>
      <c r="I1238" s="22">
        <f t="shared" ref="I1238:J1238" si="218">IF(L1238="","",L1238)</f>
        <v>78887534</v>
      </c>
      <c r="J1238" s="22">
        <f t="shared" si="218"/>
        <v>17317500</v>
      </c>
      <c r="L1238" s="3">
        <v>78887534</v>
      </c>
      <c r="M1238" s="3">
        <v>17317500</v>
      </c>
    </row>
    <row r="1239" spans="1:13" x14ac:dyDescent="0.45">
      <c r="A1239" t="s">
        <v>10</v>
      </c>
      <c r="B1239" t="s">
        <v>40</v>
      </c>
      <c r="C1239" t="s">
        <v>25</v>
      </c>
      <c r="D1239" s="28">
        <v>98291000</v>
      </c>
      <c r="E1239" s="4">
        <v>37118745</v>
      </c>
      <c r="F1239" s="24">
        <v>49253000</v>
      </c>
      <c r="G1239" s="4">
        <v>97688779</v>
      </c>
      <c r="I1239" s="25">
        <f t="shared" ref="I1239:J1239" si="219">IF(L1239="","",L1239-L1238)</f>
        <v>37118745</v>
      </c>
      <c r="J1239" s="25">
        <f t="shared" si="219"/>
        <v>97688779</v>
      </c>
      <c r="L1239" s="4">
        <v>116006279</v>
      </c>
      <c r="M1239" s="4">
        <v>115006279</v>
      </c>
    </row>
    <row r="1240" spans="1:13" x14ac:dyDescent="0.45">
      <c r="A1240" t="s">
        <v>11</v>
      </c>
      <c r="B1240" t="s">
        <v>40</v>
      </c>
      <c r="C1240" t="s">
        <v>25</v>
      </c>
      <c r="D1240" s="27">
        <v>145006000</v>
      </c>
      <c r="E1240" s="3">
        <v>46287020</v>
      </c>
      <c r="F1240" s="23">
        <v>117649000</v>
      </c>
      <c r="G1240" s="3">
        <v>24430000</v>
      </c>
      <c r="I1240" s="25">
        <f t="shared" si="217"/>
        <v>65629520</v>
      </c>
      <c r="J1240" s="25">
        <f t="shared" si="217"/>
        <v>25473750</v>
      </c>
      <c r="L1240" s="29">
        <f>SUMIFS(Pivot_!C:C,Pivot_!A:A,'Hitung Per Bulan'!B1240,Pivot_!B:B,'Hitung Per Bulan'!C1240)</f>
        <v>181635799</v>
      </c>
      <c r="M1240" s="29">
        <f>SUMIFS(Pivot_!D:D,Pivot_!A:A,'Hitung Per Bulan'!B1240,Pivot_!B:B,'Hitung Per Bulan'!C1240)</f>
        <v>140480029</v>
      </c>
    </row>
    <row r="1241" spans="1:13" x14ac:dyDescent="0.45">
      <c r="A1241" t="s">
        <v>12</v>
      </c>
      <c r="B1241" t="s">
        <v>40</v>
      </c>
      <c r="C1241" t="s">
        <v>25</v>
      </c>
      <c r="D1241" s="27">
        <v>118885000</v>
      </c>
      <c r="E1241" s="3" t="s">
        <v>41</v>
      </c>
      <c r="F1241" s="23">
        <v>157715000</v>
      </c>
      <c r="G1241" s="3" t="s">
        <v>41</v>
      </c>
      <c r="I1241" s="25" t="str">
        <f t="shared" si="217"/>
        <v/>
      </c>
      <c r="J1241" s="25" t="str">
        <f t="shared" si="217"/>
        <v/>
      </c>
      <c r="L1241" s="3"/>
      <c r="M1241" s="3"/>
    </row>
    <row r="1242" spans="1:13" x14ac:dyDescent="0.45">
      <c r="A1242" t="s">
        <v>13</v>
      </c>
      <c r="B1242" t="s">
        <v>40</v>
      </c>
      <c r="C1242" t="s">
        <v>25</v>
      </c>
      <c r="D1242" s="27">
        <v>119285000</v>
      </c>
      <c r="E1242" s="3" t="s">
        <v>41</v>
      </c>
      <c r="F1242" s="23">
        <v>110812000</v>
      </c>
      <c r="G1242" s="3" t="s">
        <v>41</v>
      </c>
      <c r="I1242" s="25" t="str">
        <f t="shared" si="217"/>
        <v/>
      </c>
      <c r="J1242" s="25" t="str">
        <f t="shared" si="217"/>
        <v/>
      </c>
      <c r="L1242" s="3"/>
      <c r="M1242" s="3"/>
    </row>
    <row r="1243" spans="1:13" x14ac:dyDescent="0.45">
      <c r="A1243" t="s">
        <v>14</v>
      </c>
      <c r="B1243" t="s">
        <v>40</v>
      </c>
      <c r="C1243" t="s">
        <v>25</v>
      </c>
      <c r="D1243" s="27">
        <v>76431000</v>
      </c>
      <c r="E1243" s="3" t="s">
        <v>41</v>
      </c>
      <c r="F1243" s="23">
        <v>147281000</v>
      </c>
      <c r="G1243" s="3" t="s">
        <v>41</v>
      </c>
      <c r="I1243" s="25" t="str">
        <f t="shared" si="217"/>
        <v/>
      </c>
      <c r="J1243" s="25" t="str">
        <f t="shared" si="217"/>
        <v/>
      </c>
      <c r="L1243" s="3"/>
      <c r="M1243" s="3"/>
    </row>
    <row r="1244" spans="1:13" x14ac:dyDescent="0.45">
      <c r="A1244" t="s">
        <v>15</v>
      </c>
      <c r="B1244" t="s">
        <v>40</v>
      </c>
      <c r="C1244" t="s">
        <v>25</v>
      </c>
      <c r="D1244" s="27">
        <v>70435000</v>
      </c>
      <c r="E1244" s="3" t="s">
        <v>41</v>
      </c>
      <c r="F1244" s="23">
        <v>92765000</v>
      </c>
      <c r="G1244" s="3" t="s">
        <v>41</v>
      </c>
      <c r="I1244" s="25" t="str">
        <f t="shared" si="217"/>
        <v/>
      </c>
      <c r="J1244" s="25" t="str">
        <f t="shared" si="217"/>
        <v/>
      </c>
      <c r="L1244" s="3"/>
      <c r="M1244" s="3"/>
    </row>
    <row r="1245" spans="1:13" x14ac:dyDescent="0.45">
      <c r="A1245" t="s">
        <v>16</v>
      </c>
      <c r="B1245" t="s">
        <v>40</v>
      </c>
      <c r="C1245" t="s">
        <v>25</v>
      </c>
      <c r="D1245" s="27">
        <v>153559000</v>
      </c>
      <c r="E1245" s="3" t="s">
        <v>41</v>
      </c>
      <c r="F1245" s="23">
        <v>80150000</v>
      </c>
      <c r="G1245" s="3" t="s">
        <v>41</v>
      </c>
      <c r="I1245" s="25" t="str">
        <f t="shared" si="217"/>
        <v/>
      </c>
      <c r="J1245" s="25" t="str">
        <f t="shared" si="217"/>
        <v/>
      </c>
      <c r="L1245" s="3"/>
      <c r="M1245" s="3"/>
    </row>
    <row r="1246" spans="1:13" x14ac:dyDescent="0.45">
      <c r="A1246" t="s">
        <v>17</v>
      </c>
      <c r="B1246" t="s">
        <v>40</v>
      </c>
      <c r="C1246" t="s">
        <v>25</v>
      </c>
      <c r="D1246" s="27">
        <v>515308000</v>
      </c>
      <c r="E1246" s="3" t="s">
        <v>41</v>
      </c>
      <c r="F1246" s="23">
        <v>122196000</v>
      </c>
      <c r="G1246" s="3" t="s">
        <v>41</v>
      </c>
      <c r="I1246" s="25" t="str">
        <f t="shared" si="217"/>
        <v/>
      </c>
      <c r="J1246" s="25" t="str">
        <f t="shared" si="217"/>
        <v/>
      </c>
      <c r="L1246" s="3"/>
      <c r="M1246" s="3"/>
    </row>
    <row r="1247" spans="1:13" x14ac:dyDescent="0.45">
      <c r="A1247" t="s">
        <v>18</v>
      </c>
      <c r="B1247" t="s">
        <v>40</v>
      </c>
      <c r="C1247" t="s">
        <v>25</v>
      </c>
      <c r="D1247" s="27">
        <v>213688000</v>
      </c>
      <c r="E1247" s="3" t="s">
        <v>41</v>
      </c>
      <c r="F1247" s="23">
        <v>470142000</v>
      </c>
      <c r="G1247" s="3" t="s">
        <v>41</v>
      </c>
      <c r="I1247" s="25" t="str">
        <f t="shared" si="217"/>
        <v/>
      </c>
      <c r="J1247" s="25" t="str">
        <f t="shared" si="217"/>
        <v/>
      </c>
      <c r="L1247" s="3"/>
      <c r="M1247" s="3"/>
    </row>
    <row r="1248" spans="1:13" x14ac:dyDescent="0.45">
      <c r="A1248" t="s">
        <v>19</v>
      </c>
      <c r="B1248" t="s">
        <v>40</v>
      </c>
      <c r="C1248" t="s">
        <v>25</v>
      </c>
      <c r="D1248" s="27">
        <v>518156000</v>
      </c>
      <c r="E1248" s="3" t="s">
        <v>41</v>
      </c>
      <c r="F1248" s="23">
        <v>179167000</v>
      </c>
      <c r="G1248" s="3" t="s">
        <v>41</v>
      </c>
      <c r="I1248" s="25" t="str">
        <f t="shared" si="217"/>
        <v/>
      </c>
      <c r="J1248" s="25" t="str">
        <f t="shared" si="217"/>
        <v/>
      </c>
      <c r="L1248" s="3"/>
      <c r="M1248" s="3"/>
    </row>
    <row r="1249" spans="1:13" x14ac:dyDescent="0.45">
      <c r="A1249" t="s">
        <v>20</v>
      </c>
      <c r="B1249" t="s">
        <v>40</v>
      </c>
      <c r="C1249" t="s">
        <v>25</v>
      </c>
      <c r="D1249" s="27">
        <v>323825000</v>
      </c>
      <c r="E1249" s="3" t="s">
        <v>41</v>
      </c>
      <c r="F1249" s="23">
        <v>874093000</v>
      </c>
      <c r="G1249" s="3" t="s">
        <v>41</v>
      </c>
      <c r="I1249" s="25" t="str">
        <f t="shared" si="217"/>
        <v/>
      </c>
      <c r="J1249" s="25" t="str">
        <f t="shared" si="217"/>
        <v/>
      </c>
      <c r="L1249" s="3"/>
      <c r="M1249" s="3"/>
    </row>
    <row r="1250" spans="1:13" x14ac:dyDescent="0.45">
      <c r="A1250" t="s">
        <v>7</v>
      </c>
      <c r="B1250" t="s">
        <v>40</v>
      </c>
      <c r="C1250" t="s">
        <v>26</v>
      </c>
      <c r="D1250" s="27">
        <v>128276000</v>
      </c>
      <c r="E1250" s="3">
        <v>122102415</v>
      </c>
      <c r="F1250" s="23">
        <v>0</v>
      </c>
      <c r="G1250" s="3">
        <v>116102415</v>
      </c>
      <c r="I1250" s="22">
        <f t="shared" ref="I1250:J1250" si="220">IF(L1250="","",L1250)</f>
        <v>122102415</v>
      </c>
      <c r="J1250" s="22">
        <f t="shared" si="220"/>
        <v>116102415</v>
      </c>
      <c r="L1250" s="3">
        <v>122102415</v>
      </c>
      <c r="M1250" s="3">
        <v>116102415</v>
      </c>
    </row>
    <row r="1251" spans="1:13" x14ac:dyDescent="0.45">
      <c r="A1251" t="s">
        <v>10</v>
      </c>
      <c r="B1251" t="s">
        <v>40</v>
      </c>
      <c r="C1251" t="s">
        <v>26</v>
      </c>
      <c r="D1251" s="28">
        <v>128276000</v>
      </c>
      <c r="E1251" s="4">
        <v>108945350</v>
      </c>
      <c r="F1251" s="24">
        <v>128276000</v>
      </c>
      <c r="G1251" s="4">
        <v>114601656</v>
      </c>
      <c r="I1251" s="25">
        <f t="shared" ref="I1251:J1251" si="221">IF(L1251="","",L1251-L1250)</f>
        <v>108945350</v>
      </c>
      <c r="J1251" s="25">
        <f t="shared" si="221"/>
        <v>114601656</v>
      </c>
      <c r="L1251" s="4">
        <v>231047765</v>
      </c>
      <c r="M1251" s="4">
        <v>230704071</v>
      </c>
    </row>
    <row r="1252" spans="1:13" x14ac:dyDescent="0.45">
      <c r="A1252" t="s">
        <v>11</v>
      </c>
      <c r="B1252" t="s">
        <v>40</v>
      </c>
      <c r="C1252" t="s">
        <v>26</v>
      </c>
      <c r="D1252" s="27">
        <v>128276000</v>
      </c>
      <c r="E1252" s="3">
        <v>3000000</v>
      </c>
      <c r="F1252" s="23">
        <v>128276000</v>
      </c>
      <c r="G1252" s="3">
        <v>0</v>
      </c>
      <c r="I1252" s="25">
        <f t="shared" si="217"/>
        <v>3305960</v>
      </c>
      <c r="J1252" s="25">
        <f t="shared" si="217"/>
        <v>0</v>
      </c>
      <c r="L1252" s="29">
        <f>SUMIFS(Pivot_!C:C,Pivot_!A:A,'Hitung Per Bulan'!B1252,Pivot_!B:B,'Hitung Per Bulan'!C1252)</f>
        <v>234353725</v>
      </c>
      <c r="M1252" s="29">
        <f>SUMIFS(Pivot_!D:D,Pivot_!A:A,'Hitung Per Bulan'!B1252,Pivot_!B:B,'Hitung Per Bulan'!C1252)</f>
        <v>230704071</v>
      </c>
    </row>
    <row r="1253" spans="1:13" x14ac:dyDescent="0.45">
      <c r="A1253" t="s">
        <v>12</v>
      </c>
      <c r="B1253" t="s">
        <v>40</v>
      </c>
      <c r="C1253" t="s">
        <v>26</v>
      </c>
      <c r="D1253" s="27">
        <v>128276000</v>
      </c>
      <c r="E1253" s="3" t="s">
        <v>41</v>
      </c>
      <c r="F1253" s="23">
        <v>128276000</v>
      </c>
      <c r="G1253" s="3" t="s">
        <v>41</v>
      </c>
      <c r="I1253" s="25" t="str">
        <f t="shared" si="217"/>
        <v/>
      </c>
      <c r="J1253" s="25" t="str">
        <f t="shared" si="217"/>
        <v/>
      </c>
      <c r="L1253" s="3"/>
      <c r="M1253" s="3"/>
    </row>
    <row r="1254" spans="1:13" x14ac:dyDescent="0.45">
      <c r="A1254" t="s">
        <v>13</v>
      </c>
      <c r="B1254" t="s">
        <v>40</v>
      </c>
      <c r="C1254" t="s">
        <v>26</v>
      </c>
      <c r="D1254" s="27">
        <v>128276000</v>
      </c>
      <c r="E1254" s="3" t="s">
        <v>41</v>
      </c>
      <c r="F1254" s="23">
        <v>128276000</v>
      </c>
      <c r="G1254" s="3" t="s">
        <v>41</v>
      </c>
      <c r="I1254" s="25" t="str">
        <f t="shared" si="217"/>
        <v/>
      </c>
      <c r="J1254" s="25" t="str">
        <f t="shared" si="217"/>
        <v/>
      </c>
      <c r="L1254" s="3"/>
      <c r="M1254" s="3"/>
    </row>
    <row r="1255" spans="1:13" x14ac:dyDescent="0.45">
      <c r="A1255" t="s">
        <v>14</v>
      </c>
      <c r="B1255" t="s">
        <v>40</v>
      </c>
      <c r="C1255" t="s">
        <v>26</v>
      </c>
      <c r="D1255" s="27">
        <v>128276000</v>
      </c>
      <c r="E1255" s="3" t="s">
        <v>41</v>
      </c>
      <c r="F1255" s="23">
        <v>128276000</v>
      </c>
      <c r="G1255" s="3" t="s">
        <v>41</v>
      </c>
      <c r="I1255" s="25" t="str">
        <f t="shared" si="217"/>
        <v/>
      </c>
      <c r="J1255" s="25" t="str">
        <f t="shared" si="217"/>
        <v/>
      </c>
      <c r="L1255" s="3"/>
      <c r="M1255" s="3"/>
    </row>
    <row r="1256" spans="1:13" x14ac:dyDescent="0.45">
      <c r="A1256" t="s">
        <v>15</v>
      </c>
      <c r="B1256" t="s">
        <v>40</v>
      </c>
      <c r="C1256" t="s">
        <v>26</v>
      </c>
      <c r="D1256" s="27">
        <v>128276000</v>
      </c>
      <c r="E1256" s="3" t="s">
        <v>41</v>
      </c>
      <c r="F1256" s="23">
        <v>128276000</v>
      </c>
      <c r="G1256" s="3" t="s">
        <v>41</v>
      </c>
      <c r="I1256" s="25" t="str">
        <f t="shared" si="217"/>
        <v/>
      </c>
      <c r="J1256" s="25" t="str">
        <f t="shared" si="217"/>
        <v/>
      </c>
      <c r="L1256" s="3"/>
      <c r="M1256" s="3"/>
    </row>
    <row r="1257" spans="1:13" x14ac:dyDescent="0.45">
      <c r="A1257" t="s">
        <v>16</v>
      </c>
      <c r="B1257" t="s">
        <v>40</v>
      </c>
      <c r="C1257" t="s">
        <v>26</v>
      </c>
      <c r="D1257" s="27">
        <v>128276000</v>
      </c>
      <c r="E1257" s="3" t="s">
        <v>41</v>
      </c>
      <c r="F1257" s="23">
        <v>128276000</v>
      </c>
      <c r="G1257" s="3" t="s">
        <v>41</v>
      </c>
      <c r="I1257" s="25" t="str">
        <f t="shared" si="217"/>
        <v/>
      </c>
      <c r="J1257" s="25" t="str">
        <f t="shared" si="217"/>
        <v/>
      </c>
      <c r="L1257" s="3"/>
      <c r="M1257" s="3"/>
    </row>
    <row r="1258" spans="1:13" x14ac:dyDescent="0.45">
      <c r="A1258" t="s">
        <v>17</v>
      </c>
      <c r="B1258" t="s">
        <v>40</v>
      </c>
      <c r="C1258" t="s">
        <v>26</v>
      </c>
      <c r="D1258" s="27">
        <v>128276000</v>
      </c>
      <c r="E1258" s="3" t="s">
        <v>41</v>
      </c>
      <c r="F1258" s="23">
        <v>128276000</v>
      </c>
      <c r="G1258" s="3" t="s">
        <v>41</v>
      </c>
      <c r="I1258" s="25" t="str">
        <f t="shared" si="217"/>
        <v/>
      </c>
      <c r="J1258" s="25" t="str">
        <f t="shared" si="217"/>
        <v/>
      </c>
      <c r="L1258" s="3"/>
      <c r="M1258" s="3"/>
    </row>
    <row r="1259" spans="1:13" x14ac:dyDescent="0.45">
      <c r="A1259" t="s">
        <v>18</v>
      </c>
      <c r="B1259" t="s">
        <v>40</v>
      </c>
      <c r="C1259" t="s">
        <v>26</v>
      </c>
      <c r="D1259" s="27">
        <v>128276000</v>
      </c>
      <c r="E1259" s="3" t="s">
        <v>41</v>
      </c>
      <c r="F1259" s="23">
        <v>128276000</v>
      </c>
      <c r="G1259" s="3" t="s">
        <v>41</v>
      </c>
      <c r="I1259" s="25" t="str">
        <f t="shared" si="217"/>
        <v/>
      </c>
      <c r="J1259" s="25" t="str">
        <f t="shared" si="217"/>
        <v/>
      </c>
      <c r="L1259" s="3"/>
      <c r="M1259" s="3"/>
    </row>
    <row r="1260" spans="1:13" x14ac:dyDescent="0.45">
      <c r="A1260" t="s">
        <v>19</v>
      </c>
      <c r="B1260" t="s">
        <v>40</v>
      </c>
      <c r="C1260" t="s">
        <v>26</v>
      </c>
      <c r="D1260" s="27">
        <v>128276000</v>
      </c>
      <c r="E1260" s="3" t="s">
        <v>41</v>
      </c>
      <c r="F1260" s="23">
        <v>128276000</v>
      </c>
      <c r="G1260" s="3" t="s">
        <v>41</v>
      </c>
      <c r="I1260" s="25" t="str">
        <f t="shared" si="217"/>
        <v/>
      </c>
      <c r="J1260" s="25" t="str">
        <f t="shared" si="217"/>
        <v/>
      </c>
      <c r="L1260" s="3"/>
      <c r="M1260" s="3"/>
    </row>
    <row r="1261" spans="1:13" x14ac:dyDescent="0.45">
      <c r="A1261" t="s">
        <v>20</v>
      </c>
      <c r="B1261" t="s">
        <v>40</v>
      </c>
      <c r="C1261" t="s">
        <v>26</v>
      </c>
      <c r="D1261" s="27">
        <v>128279000</v>
      </c>
      <c r="E1261" s="3" t="s">
        <v>41</v>
      </c>
      <c r="F1261" s="23">
        <v>256555000</v>
      </c>
      <c r="G1261" s="3" t="s">
        <v>41</v>
      </c>
      <c r="I1261" s="25" t="str">
        <f t="shared" si="217"/>
        <v/>
      </c>
      <c r="J1261" s="25" t="str">
        <f t="shared" si="217"/>
        <v/>
      </c>
      <c r="L1261" s="3"/>
      <c r="M1261" s="3"/>
    </row>
  </sheetData>
  <autoFilter ref="A1:G1261" xr:uid="{00000000-0001-0000-0000-000000000000}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6B8B5-4B13-48AA-BEA8-AAB72D55AAC5}">
  <dimension ref="A1:L125"/>
  <sheetViews>
    <sheetView showGridLines="0" zoomScaleNormal="100" workbookViewId="0">
      <pane xSplit="2" ySplit="2" topLeftCell="C3" activePane="bottomRight" state="frozen"/>
      <selection activeCell="B16" sqref="B16"/>
      <selection pane="topRight" activeCell="B16" sqref="B16"/>
      <selection pane="bottomLeft" activeCell="B16" sqref="B16"/>
      <selection pane="bottomRight" activeCell="E7" sqref="E7"/>
    </sheetView>
  </sheetViews>
  <sheetFormatPr defaultColWidth="0" defaultRowHeight="14.25" zeroHeight="1" x14ac:dyDescent="0.45"/>
  <cols>
    <col min="1" max="1" width="2.59765625" customWidth="1"/>
    <col min="2" max="2" width="24.53125" customWidth="1"/>
    <col min="3" max="4" width="18.53125" style="17" customWidth="1"/>
    <col min="5" max="5" width="18.53125" style="7" customWidth="1"/>
    <col min="6" max="6" width="2.59765625" customWidth="1"/>
    <col min="7" max="7" width="18.53125" style="7" customWidth="1"/>
    <col min="8" max="8" width="2.59765625" customWidth="1"/>
    <col min="9" max="9" width="18.53125" style="7" customWidth="1"/>
    <col min="10" max="10" width="2.59765625" customWidth="1"/>
    <col min="11" max="12" width="0" hidden="1" customWidth="1"/>
    <col min="13" max="16384" width="9.06640625" hidden="1"/>
  </cols>
  <sheetData>
    <row r="1" spans="2:9" x14ac:dyDescent="0.45"/>
    <row r="2" spans="2:9" s="15" customFormat="1" ht="32.75" customHeight="1" x14ac:dyDescent="0.45">
      <c r="B2" s="13" t="s">
        <v>42</v>
      </c>
      <c r="C2" s="18" t="s">
        <v>44</v>
      </c>
      <c r="D2" s="18" t="s">
        <v>45</v>
      </c>
      <c r="E2" s="14" t="s">
        <v>46</v>
      </c>
      <c r="G2" s="16" t="s">
        <v>47</v>
      </c>
      <c r="I2" s="16" t="s">
        <v>48</v>
      </c>
    </row>
    <row r="3" spans="2:9" x14ac:dyDescent="0.45">
      <c r="B3" s="5" t="s">
        <v>27</v>
      </c>
      <c r="C3" s="19">
        <v>63265781000</v>
      </c>
      <c r="D3" s="8">
        <v>63265781000</v>
      </c>
      <c r="E3" s="8">
        <v>0</v>
      </c>
      <c r="G3" s="10">
        <f>SUM(G4:G10)</f>
        <v>63265782000</v>
      </c>
      <c r="I3" s="9">
        <f>G3-D3</f>
        <v>1000</v>
      </c>
    </row>
    <row r="4" spans="2:9" x14ac:dyDescent="0.45">
      <c r="B4" s="6" t="s">
        <v>22</v>
      </c>
      <c r="C4" s="19">
        <v>180000000</v>
      </c>
      <c r="D4" s="8">
        <v>180000000</v>
      </c>
      <c r="E4" s="8">
        <v>0</v>
      </c>
      <c r="G4" s="8">
        <v>180000000</v>
      </c>
      <c r="I4" s="8">
        <f>G4-D4</f>
        <v>0</v>
      </c>
    </row>
    <row r="5" spans="2:9" x14ac:dyDescent="0.45">
      <c r="B5" s="6" t="s">
        <v>24</v>
      </c>
      <c r="C5" s="19">
        <v>0</v>
      </c>
      <c r="D5" s="8">
        <v>0</v>
      </c>
      <c r="E5" s="8">
        <v>0</v>
      </c>
      <c r="G5" s="8">
        <v>0</v>
      </c>
      <c r="I5" s="8">
        <f>G5-D5</f>
        <v>0</v>
      </c>
    </row>
    <row r="6" spans="2:9" x14ac:dyDescent="0.45">
      <c r="B6" s="6" t="s">
        <v>25</v>
      </c>
      <c r="C6" s="19">
        <v>2561006000</v>
      </c>
      <c r="D6" s="8">
        <v>2561006000</v>
      </c>
      <c r="E6" s="8">
        <v>0</v>
      </c>
      <c r="G6" s="8">
        <v>2561006000</v>
      </c>
      <c r="I6" s="8">
        <f t="shared" ref="I6:I69" si="0">G6-D6</f>
        <v>0</v>
      </c>
    </row>
    <row r="7" spans="2:9" x14ac:dyDescent="0.45">
      <c r="B7" s="6" t="s">
        <v>26</v>
      </c>
      <c r="C7" s="19">
        <v>3500000000</v>
      </c>
      <c r="D7" s="8">
        <v>3500000000</v>
      </c>
      <c r="E7" s="8">
        <v>0</v>
      </c>
      <c r="G7" s="8">
        <v>3500000000</v>
      </c>
      <c r="I7" s="8">
        <f t="shared" si="0"/>
        <v>0</v>
      </c>
    </row>
    <row r="8" spans="2:9" x14ac:dyDescent="0.45">
      <c r="B8" s="6" t="s">
        <v>23</v>
      </c>
      <c r="C8" s="19">
        <v>400000000</v>
      </c>
      <c r="D8" s="8">
        <v>400000000</v>
      </c>
      <c r="E8" s="8">
        <v>0</v>
      </c>
      <c r="G8" s="8">
        <v>400000000</v>
      </c>
      <c r="I8" s="8">
        <f t="shared" si="0"/>
        <v>0</v>
      </c>
    </row>
    <row r="9" spans="2:9" x14ac:dyDescent="0.45">
      <c r="B9" s="6" t="s">
        <v>9</v>
      </c>
      <c r="C9" s="19">
        <v>50254775000</v>
      </c>
      <c r="D9" s="8">
        <v>50254775000</v>
      </c>
      <c r="E9" s="8">
        <v>0</v>
      </c>
      <c r="G9" s="8">
        <v>50254776000</v>
      </c>
      <c r="I9" s="8">
        <f t="shared" si="0"/>
        <v>1000</v>
      </c>
    </row>
    <row r="10" spans="2:9" x14ac:dyDescent="0.45">
      <c r="B10" s="6" t="s">
        <v>21</v>
      </c>
      <c r="C10" s="19">
        <v>6370000000</v>
      </c>
      <c r="D10" s="8">
        <v>6370000000</v>
      </c>
      <c r="E10" s="8">
        <v>0</v>
      </c>
      <c r="G10" s="11">
        <v>6370000000</v>
      </c>
      <c r="I10" s="8">
        <f t="shared" si="0"/>
        <v>0</v>
      </c>
    </row>
    <row r="11" spans="2:9" x14ac:dyDescent="0.45">
      <c r="B11" s="5" t="s">
        <v>28</v>
      </c>
      <c r="C11" s="19">
        <v>47253818337</v>
      </c>
      <c r="D11" s="8">
        <v>47253818000</v>
      </c>
      <c r="E11" s="8">
        <v>-337</v>
      </c>
      <c r="G11" s="9">
        <f>SUM(G12:G18)</f>
        <v>47253817201</v>
      </c>
      <c r="I11" s="9">
        <f t="shared" si="0"/>
        <v>-799</v>
      </c>
    </row>
    <row r="12" spans="2:9" x14ac:dyDescent="0.45">
      <c r="B12" s="6" t="s">
        <v>22</v>
      </c>
      <c r="C12" s="19">
        <v>0</v>
      </c>
      <c r="D12" s="8">
        <v>0</v>
      </c>
      <c r="E12" s="8">
        <v>0</v>
      </c>
      <c r="G12" s="8">
        <v>0</v>
      </c>
      <c r="I12" s="8">
        <f t="shared" si="0"/>
        <v>0</v>
      </c>
    </row>
    <row r="13" spans="2:9" x14ac:dyDescent="0.45">
      <c r="B13" s="6" t="s">
        <v>24</v>
      </c>
      <c r="C13" s="19">
        <v>0</v>
      </c>
      <c r="D13" s="8">
        <v>0</v>
      </c>
      <c r="E13" s="8">
        <v>0</v>
      </c>
      <c r="G13" s="8">
        <v>0</v>
      </c>
      <c r="I13" s="8">
        <f t="shared" si="0"/>
        <v>0</v>
      </c>
    </row>
    <row r="14" spans="2:9" x14ac:dyDescent="0.45">
      <c r="B14" s="6" t="s">
        <v>25</v>
      </c>
      <c r="C14" s="19">
        <v>1931870000</v>
      </c>
      <c r="D14" s="8">
        <v>1931870000</v>
      </c>
      <c r="E14" s="8">
        <v>0</v>
      </c>
      <c r="G14" s="8">
        <v>1931870000</v>
      </c>
      <c r="I14" s="8">
        <f t="shared" si="0"/>
        <v>0</v>
      </c>
    </row>
    <row r="15" spans="2:9" x14ac:dyDescent="0.45">
      <c r="B15" s="6" t="s">
        <v>26</v>
      </c>
      <c r="C15" s="19">
        <v>0</v>
      </c>
      <c r="D15" s="8">
        <v>0</v>
      </c>
      <c r="E15" s="8">
        <v>0</v>
      </c>
      <c r="G15" s="8">
        <v>0</v>
      </c>
      <c r="I15" s="8">
        <f t="shared" si="0"/>
        <v>0</v>
      </c>
    </row>
    <row r="16" spans="2:9" x14ac:dyDescent="0.45">
      <c r="B16" s="6" t="s">
        <v>23</v>
      </c>
      <c r="C16" s="19">
        <v>200000000</v>
      </c>
      <c r="D16" s="8">
        <v>200000000</v>
      </c>
      <c r="E16" s="8">
        <v>0</v>
      </c>
      <c r="G16" s="8">
        <v>200000000</v>
      </c>
      <c r="I16" s="8">
        <f t="shared" si="0"/>
        <v>0</v>
      </c>
    </row>
    <row r="17" spans="2:9" x14ac:dyDescent="0.45">
      <c r="B17" s="6" t="s">
        <v>9</v>
      </c>
      <c r="C17" s="19">
        <v>41949880337</v>
      </c>
      <c r="D17" s="8">
        <v>41949880000</v>
      </c>
      <c r="E17" s="8">
        <v>-337</v>
      </c>
      <c r="G17" s="8">
        <v>41949878537</v>
      </c>
      <c r="I17" s="8">
        <f t="shared" si="0"/>
        <v>-1463</v>
      </c>
    </row>
    <row r="18" spans="2:9" x14ac:dyDescent="0.45">
      <c r="B18" s="6" t="s">
        <v>21</v>
      </c>
      <c r="C18" s="19">
        <v>3172068000</v>
      </c>
      <c r="D18" s="8">
        <v>3172068000</v>
      </c>
      <c r="E18" s="8">
        <v>0</v>
      </c>
      <c r="G18" s="8">
        <v>3172068664</v>
      </c>
      <c r="I18" s="8">
        <f t="shared" si="0"/>
        <v>664</v>
      </c>
    </row>
    <row r="19" spans="2:9" x14ac:dyDescent="0.45">
      <c r="B19" s="5" t="s">
        <v>29</v>
      </c>
      <c r="C19" s="19">
        <v>28292912000</v>
      </c>
      <c r="D19" s="8">
        <v>28292912000</v>
      </c>
      <c r="E19" s="8">
        <v>0</v>
      </c>
      <c r="G19" s="9">
        <f>SUM(G20:G26)</f>
        <v>28292912000</v>
      </c>
      <c r="I19" s="9">
        <f t="shared" si="0"/>
        <v>0</v>
      </c>
    </row>
    <row r="20" spans="2:9" x14ac:dyDescent="0.45">
      <c r="B20" s="6" t="s">
        <v>22</v>
      </c>
      <c r="C20" s="19">
        <v>118875000</v>
      </c>
      <c r="D20" s="8">
        <v>118875000</v>
      </c>
      <c r="E20" s="8">
        <v>0</v>
      </c>
      <c r="G20" s="8">
        <v>118875000</v>
      </c>
      <c r="I20" s="8">
        <f t="shared" si="0"/>
        <v>0</v>
      </c>
    </row>
    <row r="21" spans="2:9" x14ac:dyDescent="0.45">
      <c r="B21" s="6" t="s">
        <v>24</v>
      </c>
      <c r="C21" s="19">
        <v>0</v>
      </c>
      <c r="D21" s="8"/>
      <c r="E21" s="8">
        <v>0</v>
      </c>
      <c r="G21" s="8">
        <v>0</v>
      </c>
      <c r="I21" s="8">
        <f t="shared" si="0"/>
        <v>0</v>
      </c>
    </row>
    <row r="22" spans="2:9" x14ac:dyDescent="0.45">
      <c r="B22" s="6" t="s">
        <v>25</v>
      </c>
      <c r="C22" s="19">
        <v>1162320000</v>
      </c>
      <c r="D22" s="8">
        <v>1162320000</v>
      </c>
      <c r="E22" s="8">
        <v>0</v>
      </c>
      <c r="G22" s="8">
        <v>1162320000</v>
      </c>
      <c r="I22" s="8">
        <f t="shared" si="0"/>
        <v>0</v>
      </c>
    </row>
    <row r="23" spans="2:9" x14ac:dyDescent="0.45">
      <c r="B23" s="6" t="s">
        <v>26</v>
      </c>
      <c r="C23" s="19">
        <v>2260000000</v>
      </c>
      <c r="D23" s="8">
        <v>2260000000</v>
      </c>
      <c r="E23" s="8">
        <v>0</v>
      </c>
      <c r="G23" s="8">
        <v>2260000000</v>
      </c>
      <c r="I23" s="8">
        <f t="shared" si="0"/>
        <v>0</v>
      </c>
    </row>
    <row r="24" spans="2:9" x14ac:dyDescent="0.45">
      <c r="B24" s="6" t="s">
        <v>23</v>
      </c>
      <c r="C24" s="19">
        <v>705000000</v>
      </c>
      <c r="D24" s="8">
        <v>705000000</v>
      </c>
      <c r="E24" s="8">
        <v>0</v>
      </c>
      <c r="G24" s="8">
        <v>705000000</v>
      </c>
      <c r="I24" s="8">
        <f t="shared" si="0"/>
        <v>0</v>
      </c>
    </row>
    <row r="25" spans="2:9" x14ac:dyDescent="0.45">
      <c r="B25" s="6" t="s">
        <v>9</v>
      </c>
      <c r="C25" s="19">
        <v>22542717000</v>
      </c>
      <c r="D25" s="8">
        <v>22542717000</v>
      </c>
      <c r="E25" s="8">
        <v>0</v>
      </c>
      <c r="G25" s="8">
        <v>22542717000</v>
      </c>
      <c r="I25" s="8">
        <f t="shared" si="0"/>
        <v>0</v>
      </c>
    </row>
    <row r="26" spans="2:9" x14ac:dyDescent="0.45">
      <c r="B26" s="6" t="s">
        <v>21</v>
      </c>
      <c r="C26" s="19">
        <v>1504000000</v>
      </c>
      <c r="D26" s="8">
        <v>1504000000</v>
      </c>
      <c r="E26" s="8">
        <v>0</v>
      </c>
      <c r="G26" s="8">
        <v>1504000000</v>
      </c>
      <c r="I26" s="8">
        <f t="shared" si="0"/>
        <v>0</v>
      </c>
    </row>
    <row r="27" spans="2:9" x14ac:dyDescent="0.45">
      <c r="B27" s="5" t="s">
        <v>30</v>
      </c>
      <c r="C27" s="19">
        <v>26776307000</v>
      </c>
      <c r="D27" s="8">
        <v>26776307000</v>
      </c>
      <c r="E27" s="8">
        <v>0</v>
      </c>
      <c r="G27" s="9">
        <f>SUM(G28:G34)</f>
        <v>26776308000</v>
      </c>
      <c r="I27" s="9">
        <f t="shared" si="0"/>
        <v>1000</v>
      </c>
    </row>
    <row r="28" spans="2:9" x14ac:dyDescent="0.45">
      <c r="B28" s="6" t="s">
        <v>22</v>
      </c>
      <c r="C28" s="19">
        <v>90090000</v>
      </c>
      <c r="D28" s="8">
        <v>90090000</v>
      </c>
      <c r="E28" s="8">
        <v>0</v>
      </c>
      <c r="G28" s="8">
        <v>90090000</v>
      </c>
      <c r="I28" s="8">
        <f t="shared" si="0"/>
        <v>0</v>
      </c>
    </row>
    <row r="29" spans="2:9" x14ac:dyDescent="0.45">
      <c r="B29" s="6" t="s">
        <v>24</v>
      </c>
      <c r="C29" s="19">
        <v>0</v>
      </c>
      <c r="D29" s="8">
        <v>0</v>
      </c>
      <c r="E29" s="8">
        <v>0</v>
      </c>
      <c r="G29" s="8">
        <v>0</v>
      </c>
      <c r="I29" s="8">
        <f t="shared" si="0"/>
        <v>0</v>
      </c>
    </row>
    <row r="30" spans="2:9" x14ac:dyDescent="0.45">
      <c r="B30" s="6" t="s">
        <v>25</v>
      </c>
      <c r="C30" s="19">
        <v>1682602000</v>
      </c>
      <c r="D30" s="8">
        <v>1682602000</v>
      </c>
      <c r="E30" s="8">
        <v>0</v>
      </c>
      <c r="G30" s="8">
        <v>1682602000</v>
      </c>
      <c r="I30" s="8">
        <f t="shared" si="0"/>
        <v>0</v>
      </c>
    </row>
    <row r="31" spans="2:9" x14ac:dyDescent="0.45">
      <c r="B31" s="6" t="s">
        <v>26</v>
      </c>
      <c r="C31" s="19">
        <v>2501300000</v>
      </c>
      <c r="D31" s="8">
        <v>2501300000</v>
      </c>
      <c r="E31" s="8">
        <v>0</v>
      </c>
      <c r="G31" s="8">
        <v>2501300000</v>
      </c>
      <c r="I31" s="8">
        <f t="shared" si="0"/>
        <v>0</v>
      </c>
    </row>
    <row r="32" spans="2:9" x14ac:dyDescent="0.45">
      <c r="B32" s="6" t="s">
        <v>23</v>
      </c>
      <c r="C32" s="19">
        <v>250000000</v>
      </c>
      <c r="D32" s="8">
        <v>250000000</v>
      </c>
      <c r="E32" s="8">
        <v>0</v>
      </c>
      <c r="G32" s="8">
        <v>250000000</v>
      </c>
      <c r="I32" s="8">
        <f t="shared" si="0"/>
        <v>0</v>
      </c>
    </row>
    <row r="33" spans="2:9" x14ac:dyDescent="0.45">
      <c r="B33" s="6" t="s">
        <v>9</v>
      </c>
      <c r="C33" s="19">
        <v>20805475000</v>
      </c>
      <c r="D33" s="8">
        <v>20805475000</v>
      </c>
      <c r="E33" s="8">
        <v>0</v>
      </c>
      <c r="G33" s="8">
        <v>20805476000</v>
      </c>
      <c r="I33" s="8">
        <f t="shared" si="0"/>
        <v>1000</v>
      </c>
    </row>
    <row r="34" spans="2:9" x14ac:dyDescent="0.45">
      <c r="B34" s="6" t="s">
        <v>21</v>
      </c>
      <c r="C34" s="19">
        <v>1446840000</v>
      </c>
      <c r="D34" s="8">
        <v>1446840000</v>
      </c>
      <c r="E34" s="8">
        <v>0</v>
      </c>
      <c r="G34" s="8">
        <v>1446840000</v>
      </c>
      <c r="I34" s="8">
        <f t="shared" si="0"/>
        <v>0</v>
      </c>
    </row>
    <row r="35" spans="2:9" x14ac:dyDescent="0.45">
      <c r="B35" s="5" t="s">
        <v>31</v>
      </c>
      <c r="C35" s="19">
        <v>22738648941</v>
      </c>
      <c r="D35" s="8">
        <v>22738649867</v>
      </c>
      <c r="E35" s="8">
        <v>926</v>
      </c>
      <c r="G35" s="9">
        <f>SUM(G36:G42)</f>
        <v>22738650000</v>
      </c>
      <c r="I35" s="9">
        <f t="shared" si="0"/>
        <v>133</v>
      </c>
    </row>
    <row r="36" spans="2:9" x14ac:dyDescent="0.45">
      <c r="B36" s="6" t="s">
        <v>22</v>
      </c>
      <c r="C36" s="19">
        <v>320100000</v>
      </c>
      <c r="D36" s="8">
        <v>320100000</v>
      </c>
      <c r="E36" s="8">
        <v>0</v>
      </c>
      <c r="G36" s="8">
        <v>320100000</v>
      </c>
      <c r="I36" s="8">
        <f t="shared" si="0"/>
        <v>0</v>
      </c>
    </row>
    <row r="37" spans="2:9" x14ac:dyDescent="0.45">
      <c r="B37" s="6" t="s">
        <v>24</v>
      </c>
      <c r="C37" s="19">
        <v>0</v>
      </c>
      <c r="D37" s="8">
        <v>0</v>
      </c>
      <c r="E37" s="8">
        <v>0</v>
      </c>
      <c r="G37" s="8">
        <v>0</v>
      </c>
      <c r="I37" s="8">
        <f t="shared" si="0"/>
        <v>0</v>
      </c>
    </row>
    <row r="38" spans="2:9" x14ac:dyDescent="0.45">
      <c r="B38" s="6" t="s">
        <v>25</v>
      </c>
      <c r="C38" s="19">
        <v>1684046000</v>
      </c>
      <c r="D38" s="8">
        <v>1684046000</v>
      </c>
      <c r="E38" s="8">
        <v>0</v>
      </c>
      <c r="G38" s="8">
        <v>1684046000</v>
      </c>
      <c r="I38" s="8">
        <f t="shared" si="0"/>
        <v>0</v>
      </c>
    </row>
    <row r="39" spans="2:9" x14ac:dyDescent="0.45">
      <c r="B39" s="6" t="s">
        <v>26</v>
      </c>
      <c r="C39" s="19">
        <v>2570000000</v>
      </c>
      <c r="D39" s="8">
        <v>2570000000</v>
      </c>
      <c r="E39" s="8">
        <v>0</v>
      </c>
      <c r="G39" s="8">
        <v>2570000000</v>
      </c>
      <c r="I39" s="8">
        <f t="shared" si="0"/>
        <v>0</v>
      </c>
    </row>
    <row r="40" spans="2:9" x14ac:dyDescent="0.45">
      <c r="B40" s="6" t="s">
        <v>23</v>
      </c>
      <c r="C40" s="19">
        <v>150000000</v>
      </c>
      <c r="D40" s="8">
        <v>150000000</v>
      </c>
      <c r="E40" s="8">
        <v>0</v>
      </c>
      <c r="G40" s="8">
        <v>150000000</v>
      </c>
      <c r="I40" s="8">
        <f t="shared" si="0"/>
        <v>0</v>
      </c>
    </row>
    <row r="41" spans="2:9" x14ac:dyDescent="0.45">
      <c r="B41" s="6" t="s">
        <v>9</v>
      </c>
      <c r="C41" s="19">
        <v>17365502941</v>
      </c>
      <c r="D41" s="8">
        <v>17365503867</v>
      </c>
      <c r="E41" s="8">
        <v>926</v>
      </c>
      <c r="G41" s="8">
        <v>17365504000</v>
      </c>
      <c r="I41" s="8">
        <f t="shared" si="0"/>
        <v>133</v>
      </c>
    </row>
    <row r="42" spans="2:9" x14ac:dyDescent="0.45">
      <c r="B42" s="6" t="s">
        <v>21</v>
      </c>
      <c r="C42" s="19">
        <v>649000000</v>
      </c>
      <c r="D42" s="8">
        <v>649000000</v>
      </c>
      <c r="E42" s="8">
        <v>0</v>
      </c>
      <c r="G42" s="8">
        <v>649000000</v>
      </c>
      <c r="I42" s="8">
        <f t="shared" si="0"/>
        <v>0</v>
      </c>
    </row>
    <row r="43" spans="2:9" x14ac:dyDescent="0.45">
      <c r="B43" s="5" t="s">
        <v>32</v>
      </c>
      <c r="C43" s="19">
        <v>27448857000</v>
      </c>
      <c r="D43" s="8">
        <v>27448857000</v>
      </c>
      <c r="E43" s="8">
        <v>0</v>
      </c>
      <c r="G43" s="9">
        <f>SUM(G44:G50)</f>
        <v>27448857000</v>
      </c>
      <c r="I43" s="9">
        <f t="shared" si="0"/>
        <v>0</v>
      </c>
    </row>
    <row r="44" spans="2:9" x14ac:dyDescent="0.45">
      <c r="B44" s="6" t="s">
        <v>22</v>
      </c>
      <c r="C44" s="19">
        <v>250000000</v>
      </c>
      <c r="D44" s="8">
        <v>250000000</v>
      </c>
      <c r="E44" s="8">
        <v>0</v>
      </c>
      <c r="G44" s="8">
        <v>250000000</v>
      </c>
      <c r="I44" s="8">
        <f t="shared" si="0"/>
        <v>0</v>
      </c>
    </row>
    <row r="45" spans="2:9" x14ac:dyDescent="0.45">
      <c r="B45" s="6" t="s">
        <v>24</v>
      </c>
      <c r="C45" s="19">
        <v>0</v>
      </c>
      <c r="D45" s="8">
        <v>0</v>
      </c>
      <c r="E45" s="8">
        <v>0</v>
      </c>
      <c r="G45" s="8">
        <v>0</v>
      </c>
      <c r="I45" s="8">
        <f t="shared" si="0"/>
        <v>0</v>
      </c>
    </row>
    <row r="46" spans="2:9" x14ac:dyDescent="0.45">
      <c r="B46" s="6" t="s">
        <v>25</v>
      </c>
      <c r="C46" s="19">
        <v>1822912999.9999998</v>
      </c>
      <c r="D46" s="8">
        <v>1822912999.9999995</v>
      </c>
      <c r="E46" s="8">
        <v>0</v>
      </c>
      <c r="G46" s="8">
        <v>1822913000</v>
      </c>
      <c r="I46" s="8">
        <f t="shared" si="0"/>
        <v>0</v>
      </c>
    </row>
    <row r="47" spans="2:9" x14ac:dyDescent="0.45">
      <c r="B47" s="6" t="s">
        <v>26</v>
      </c>
      <c r="C47" s="19">
        <v>3063576000</v>
      </c>
      <c r="D47" s="8">
        <v>3063576000</v>
      </c>
      <c r="E47" s="8">
        <v>0</v>
      </c>
      <c r="G47" s="8">
        <v>3063576000</v>
      </c>
      <c r="I47" s="8">
        <f t="shared" si="0"/>
        <v>0</v>
      </c>
    </row>
    <row r="48" spans="2:9" x14ac:dyDescent="0.45">
      <c r="B48" s="6" t="s">
        <v>23</v>
      </c>
      <c r="C48" s="19">
        <v>1040000000</v>
      </c>
      <c r="D48" s="8">
        <v>1040000000</v>
      </c>
      <c r="E48" s="8">
        <v>0</v>
      </c>
      <c r="G48" s="8">
        <v>1040000000</v>
      </c>
      <c r="I48" s="8">
        <f t="shared" si="0"/>
        <v>0</v>
      </c>
    </row>
    <row r="49" spans="2:9" x14ac:dyDescent="0.45">
      <c r="B49" s="6" t="s">
        <v>9</v>
      </c>
      <c r="C49" s="19">
        <v>20087368000</v>
      </c>
      <c r="D49" s="8">
        <v>20087368000</v>
      </c>
      <c r="E49" s="8">
        <v>0</v>
      </c>
      <c r="G49" s="8">
        <v>20087368000</v>
      </c>
      <c r="I49" s="8">
        <f t="shared" si="0"/>
        <v>0</v>
      </c>
    </row>
    <row r="50" spans="2:9" x14ac:dyDescent="0.45">
      <c r="B50" s="6" t="s">
        <v>21</v>
      </c>
      <c r="C50" s="19">
        <v>1185000000</v>
      </c>
      <c r="D50" s="8">
        <v>1185000000</v>
      </c>
      <c r="E50" s="8">
        <v>0</v>
      </c>
      <c r="G50" s="8">
        <v>1185000000</v>
      </c>
      <c r="I50" s="8">
        <f t="shared" si="0"/>
        <v>0</v>
      </c>
    </row>
    <row r="51" spans="2:9" x14ac:dyDescent="0.45">
      <c r="B51" s="5" t="s">
        <v>33</v>
      </c>
      <c r="C51" s="19">
        <v>35394555333.333336</v>
      </c>
      <c r="D51" s="8">
        <v>35394555333.333336</v>
      </c>
      <c r="E51" s="8">
        <v>0</v>
      </c>
      <c r="G51" s="9">
        <f>SUM(G52:G58)</f>
        <v>35394555000</v>
      </c>
      <c r="I51" s="9">
        <f t="shared" si="0"/>
        <v>-333.33333587646484</v>
      </c>
    </row>
    <row r="52" spans="2:9" x14ac:dyDescent="0.45">
      <c r="B52" s="6" t="s">
        <v>22</v>
      </c>
      <c r="C52" s="19">
        <v>346378000</v>
      </c>
      <c r="D52" s="8">
        <v>346378000</v>
      </c>
      <c r="E52" s="8">
        <v>0</v>
      </c>
      <c r="G52" s="8">
        <v>346378000</v>
      </c>
      <c r="I52" s="8">
        <f t="shared" si="0"/>
        <v>0</v>
      </c>
    </row>
    <row r="53" spans="2:9" x14ac:dyDescent="0.45">
      <c r="B53" s="6" t="s">
        <v>24</v>
      </c>
      <c r="C53" s="19">
        <v>0</v>
      </c>
      <c r="D53" s="8">
        <v>0</v>
      </c>
      <c r="E53" s="8">
        <v>0</v>
      </c>
      <c r="G53" s="8">
        <v>0</v>
      </c>
      <c r="I53" s="8">
        <f t="shared" si="0"/>
        <v>0</v>
      </c>
    </row>
    <row r="54" spans="2:9" x14ac:dyDescent="0.45">
      <c r="B54" s="6" t="s">
        <v>25</v>
      </c>
      <c r="C54" s="19">
        <v>1882128000</v>
      </c>
      <c r="D54" s="8">
        <v>1882128000</v>
      </c>
      <c r="E54" s="8">
        <v>0</v>
      </c>
      <c r="G54" s="8">
        <v>1882128000</v>
      </c>
      <c r="I54" s="8">
        <f t="shared" si="0"/>
        <v>0</v>
      </c>
    </row>
    <row r="55" spans="2:9" x14ac:dyDescent="0.45">
      <c r="B55" s="6" t="s">
        <v>26</v>
      </c>
      <c r="C55" s="19">
        <v>2185360333.3333335</v>
      </c>
      <c r="D55" s="8">
        <v>2185360333.3333335</v>
      </c>
      <c r="E55" s="8">
        <v>0</v>
      </c>
      <c r="G55" s="8">
        <v>2185360000</v>
      </c>
      <c r="I55" s="8">
        <f t="shared" si="0"/>
        <v>-333.33333349227905</v>
      </c>
    </row>
    <row r="56" spans="2:9" x14ac:dyDescent="0.45">
      <c r="B56" s="6" t="s">
        <v>23</v>
      </c>
      <c r="C56" s="19">
        <v>200000000</v>
      </c>
      <c r="D56" s="8">
        <v>200000000</v>
      </c>
      <c r="E56" s="8">
        <v>0</v>
      </c>
      <c r="G56" s="8">
        <v>200000000</v>
      </c>
      <c r="I56" s="8">
        <f t="shared" si="0"/>
        <v>0</v>
      </c>
    </row>
    <row r="57" spans="2:9" x14ac:dyDescent="0.45">
      <c r="B57" s="6" t="s">
        <v>9</v>
      </c>
      <c r="C57" s="19">
        <v>28538689000</v>
      </c>
      <c r="D57" s="8">
        <v>28538689000</v>
      </c>
      <c r="E57" s="8">
        <v>0</v>
      </c>
      <c r="G57" s="8">
        <v>28538689000</v>
      </c>
      <c r="I57" s="8">
        <f t="shared" si="0"/>
        <v>0</v>
      </c>
    </row>
    <row r="58" spans="2:9" x14ac:dyDescent="0.45">
      <c r="B58" s="6" t="s">
        <v>21</v>
      </c>
      <c r="C58" s="19">
        <v>2242000000</v>
      </c>
      <c r="D58" s="8">
        <v>2242000000</v>
      </c>
      <c r="E58" s="8">
        <v>0</v>
      </c>
      <c r="G58" s="8">
        <v>2242000000</v>
      </c>
      <c r="I58" s="8">
        <f t="shared" si="0"/>
        <v>0</v>
      </c>
    </row>
    <row r="59" spans="2:9" x14ac:dyDescent="0.45">
      <c r="B59" s="5" t="s">
        <v>34</v>
      </c>
      <c r="C59" s="19">
        <v>13759223000</v>
      </c>
      <c r="D59" s="8">
        <v>13759223000</v>
      </c>
      <c r="E59" s="8">
        <v>0</v>
      </c>
      <c r="G59" s="9">
        <f>SUM(G60:G66)</f>
        <v>13759223000</v>
      </c>
      <c r="I59" s="9">
        <f t="shared" si="0"/>
        <v>0</v>
      </c>
    </row>
    <row r="60" spans="2:9" x14ac:dyDescent="0.45">
      <c r="B60" s="6" t="s">
        <v>22</v>
      </c>
      <c r="C60" s="19">
        <v>111310000</v>
      </c>
      <c r="D60" s="8">
        <v>111310000</v>
      </c>
      <c r="E60" s="8">
        <v>0</v>
      </c>
      <c r="G60" s="8">
        <v>111310000</v>
      </c>
      <c r="I60" s="8">
        <f t="shared" si="0"/>
        <v>0</v>
      </c>
    </row>
    <row r="61" spans="2:9" x14ac:dyDescent="0.45">
      <c r="B61" s="6" t="s">
        <v>24</v>
      </c>
      <c r="C61" s="19">
        <v>0</v>
      </c>
      <c r="D61" s="8">
        <v>0</v>
      </c>
      <c r="E61" s="8">
        <v>0</v>
      </c>
      <c r="G61" s="8">
        <v>0</v>
      </c>
      <c r="I61" s="8">
        <f t="shared" si="0"/>
        <v>0</v>
      </c>
    </row>
    <row r="62" spans="2:9" x14ac:dyDescent="0.45">
      <c r="B62" s="6" t="s">
        <v>25</v>
      </c>
      <c r="C62" s="19">
        <v>1216858000</v>
      </c>
      <c r="D62" s="8">
        <v>1216858000</v>
      </c>
      <c r="E62" s="8">
        <v>0</v>
      </c>
      <c r="G62" s="8">
        <v>1216858000</v>
      </c>
      <c r="I62" s="8">
        <f t="shared" si="0"/>
        <v>0</v>
      </c>
    </row>
    <row r="63" spans="2:9" x14ac:dyDescent="0.45">
      <c r="B63" s="6" t="s">
        <v>26</v>
      </c>
      <c r="C63" s="19">
        <v>2310000000</v>
      </c>
      <c r="D63" s="8">
        <v>2310000000</v>
      </c>
      <c r="E63" s="8">
        <v>0</v>
      </c>
      <c r="G63" s="8">
        <v>2310000000</v>
      </c>
      <c r="I63" s="8">
        <f t="shared" si="0"/>
        <v>0</v>
      </c>
    </row>
    <row r="64" spans="2:9" x14ac:dyDescent="0.45">
      <c r="B64" s="6" t="s">
        <v>23</v>
      </c>
      <c r="C64" s="19">
        <v>100000000</v>
      </c>
      <c r="D64" s="8">
        <v>100000000</v>
      </c>
      <c r="E64" s="8">
        <v>0</v>
      </c>
      <c r="G64" s="8">
        <v>100000000</v>
      </c>
      <c r="I64" s="8">
        <f t="shared" si="0"/>
        <v>0</v>
      </c>
    </row>
    <row r="65" spans="2:9" x14ac:dyDescent="0.45">
      <c r="B65" s="6" t="s">
        <v>9</v>
      </c>
      <c r="C65" s="19">
        <v>9243055000</v>
      </c>
      <c r="D65" s="8">
        <v>9243055000</v>
      </c>
      <c r="E65" s="8">
        <v>0</v>
      </c>
      <c r="G65" s="8">
        <v>9243055000</v>
      </c>
      <c r="I65" s="8">
        <f t="shared" si="0"/>
        <v>0</v>
      </c>
    </row>
    <row r="66" spans="2:9" x14ac:dyDescent="0.45">
      <c r="B66" s="6" t="s">
        <v>21</v>
      </c>
      <c r="C66" s="19">
        <v>778000000</v>
      </c>
      <c r="D66" s="8">
        <v>778000000</v>
      </c>
      <c r="E66" s="8">
        <v>0</v>
      </c>
      <c r="G66" s="8">
        <v>778000000</v>
      </c>
      <c r="I66" s="8">
        <f t="shared" si="0"/>
        <v>0</v>
      </c>
    </row>
    <row r="67" spans="2:9" x14ac:dyDescent="0.45">
      <c r="B67" s="5" t="s">
        <v>35</v>
      </c>
      <c r="C67" s="19">
        <v>33298005000</v>
      </c>
      <c r="D67" s="8">
        <v>33298005000</v>
      </c>
      <c r="E67" s="8">
        <v>0</v>
      </c>
      <c r="G67" s="9">
        <f>SUM(G68:G74)</f>
        <v>33298000000</v>
      </c>
      <c r="I67" s="9">
        <f t="shared" si="0"/>
        <v>-5000</v>
      </c>
    </row>
    <row r="68" spans="2:9" x14ac:dyDescent="0.45">
      <c r="B68" s="6" t="s">
        <v>22</v>
      </c>
      <c r="C68" s="19">
        <v>141550000</v>
      </c>
      <c r="D68" s="8">
        <v>141550000</v>
      </c>
      <c r="E68" s="8">
        <v>0</v>
      </c>
      <c r="G68" s="8">
        <v>141550000</v>
      </c>
      <c r="I68" s="8">
        <f t="shared" si="0"/>
        <v>0</v>
      </c>
    </row>
    <row r="69" spans="2:9" x14ac:dyDescent="0.45">
      <c r="B69" s="6" t="s">
        <v>24</v>
      </c>
      <c r="C69" s="19">
        <v>0</v>
      </c>
      <c r="D69" s="8">
        <v>0</v>
      </c>
      <c r="E69" s="8">
        <v>0</v>
      </c>
      <c r="G69" s="8">
        <v>0</v>
      </c>
      <c r="I69" s="8">
        <f t="shared" si="0"/>
        <v>0</v>
      </c>
    </row>
    <row r="70" spans="2:9" x14ac:dyDescent="0.45">
      <c r="B70" s="26" t="s">
        <v>25</v>
      </c>
      <c r="C70" s="19">
        <v>1861257000</v>
      </c>
      <c r="D70" s="19">
        <v>1861257000</v>
      </c>
      <c r="E70" s="19">
        <v>0</v>
      </c>
      <c r="F70" s="20"/>
      <c r="G70" s="19">
        <v>1861257000</v>
      </c>
      <c r="H70" s="20"/>
      <c r="I70" s="19">
        <f t="shared" ref="I70:I122" si="1">G70-D70</f>
        <v>0</v>
      </c>
    </row>
    <row r="71" spans="2:9" s="20" customFormat="1" x14ac:dyDescent="0.45">
      <c r="B71" s="26" t="s">
        <v>26</v>
      </c>
      <c r="C71" s="19">
        <v>2911764000</v>
      </c>
      <c r="D71" s="19">
        <v>2911764000</v>
      </c>
      <c r="E71" s="19">
        <v>0</v>
      </c>
      <c r="G71" s="19">
        <v>2911760000</v>
      </c>
      <c r="I71" s="19">
        <f t="shared" si="1"/>
        <v>-4000</v>
      </c>
    </row>
    <row r="72" spans="2:9" x14ac:dyDescent="0.45">
      <c r="B72" s="6" t="s">
        <v>23</v>
      </c>
      <c r="C72" s="19">
        <v>200000000</v>
      </c>
      <c r="D72" s="8">
        <v>200000000</v>
      </c>
      <c r="E72" s="8">
        <v>0</v>
      </c>
      <c r="G72" s="8">
        <v>200000000</v>
      </c>
      <c r="I72" s="8">
        <f t="shared" si="1"/>
        <v>0</v>
      </c>
    </row>
    <row r="73" spans="2:9" x14ac:dyDescent="0.45">
      <c r="B73" s="6" t="s">
        <v>9</v>
      </c>
      <c r="C73" s="19">
        <v>26583434000</v>
      </c>
      <c r="D73" s="8">
        <v>26583434000</v>
      </c>
      <c r="E73" s="8">
        <v>0</v>
      </c>
      <c r="G73" s="8">
        <v>26583433000</v>
      </c>
      <c r="I73" s="8">
        <f t="shared" si="1"/>
        <v>-1000</v>
      </c>
    </row>
    <row r="74" spans="2:9" x14ac:dyDescent="0.45">
      <c r="B74" s="6" t="s">
        <v>21</v>
      </c>
      <c r="C74" s="19">
        <v>1600000000</v>
      </c>
      <c r="D74" s="8">
        <v>1600000000</v>
      </c>
      <c r="E74" s="8">
        <v>0</v>
      </c>
      <c r="G74" s="8">
        <v>1600000000</v>
      </c>
      <c r="I74" s="8">
        <f t="shared" si="1"/>
        <v>0</v>
      </c>
    </row>
    <row r="75" spans="2:9" x14ac:dyDescent="0.45">
      <c r="B75" s="5" t="s">
        <v>36</v>
      </c>
      <c r="C75" s="19">
        <v>12904694000</v>
      </c>
      <c r="D75" s="8">
        <v>12904694000</v>
      </c>
      <c r="E75" s="8">
        <v>0</v>
      </c>
      <c r="G75" s="9">
        <f>SUM(G76:G82)</f>
        <v>12904694000</v>
      </c>
      <c r="I75" s="9">
        <f t="shared" si="1"/>
        <v>0</v>
      </c>
    </row>
    <row r="76" spans="2:9" x14ac:dyDescent="0.45">
      <c r="B76" s="6" t="s">
        <v>22</v>
      </c>
      <c r="C76" s="19">
        <v>99980000</v>
      </c>
      <c r="D76" s="8">
        <v>99980000</v>
      </c>
      <c r="E76" s="8">
        <v>0</v>
      </c>
      <c r="G76" s="8">
        <v>99980000</v>
      </c>
      <c r="I76" s="8">
        <f t="shared" si="1"/>
        <v>0</v>
      </c>
    </row>
    <row r="77" spans="2:9" x14ac:dyDescent="0.45">
      <c r="B77" s="6" t="s">
        <v>24</v>
      </c>
      <c r="C77" s="19">
        <v>0</v>
      </c>
      <c r="D77" s="8">
        <v>0</v>
      </c>
      <c r="E77" s="8">
        <v>0</v>
      </c>
      <c r="G77" s="8">
        <v>0</v>
      </c>
      <c r="I77" s="8">
        <f t="shared" si="1"/>
        <v>0</v>
      </c>
    </row>
    <row r="78" spans="2:9" x14ac:dyDescent="0.45">
      <c r="B78" s="6" t="s">
        <v>25</v>
      </c>
      <c r="C78" s="19">
        <v>960700000</v>
      </c>
      <c r="D78" s="8">
        <v>960700000</v>
      </c>
      <c r="E78" s="8">
        <v>0</v>
      </c>
      <c r="G78" s="8">
        <v>960700000</v>
      </c>
      <c r="I78" s="8">
        <f t="shared" si="1"/>
        <v>0</v>
      </c>
    </row>
    <row r="79" spans="2:9" x14ac:dyDescent="0.45">
      <c r="B79" s="6" t="s">
        <v>26</v>
      </c>
      <c r="C79" s="19">
        <v>411080000</v>
      </c>
      <c r="D79" s="8">
        <v>411080000</v>
      </c>
      <c r="E79" s="8">
        <v>0</v>
      </c>
      <c r="G79" s="8">
        <v>411080000</v>
      </c>
      <c r="I79" s="8">
        <f t="shared" si="1"/>
        <v>0</v>
      </c>
    </row>
    <row r="80" spans="2:9" x14ac:dyDescent="0.45">
      <c r="B80" s="6" t="s">
        <v>23</v>
      </c>
      <c r="C80" s="19">
        <v>110000000</v>
      </c>
      <c r="D80" s="8">
        <v>110000000</v>
      </c>
      <c r="E80" s="8">
        <v>0</v>
      </c>
      <c r="G80" s="8">
        <v>110000000</v>
      </c>
      <c r="I80" s="8">
        <f t="shared" si="1"/>
        <v>0</v>
      </c>
    </row>
    <row r="81" spans="2:9" x14ac:dyDescent="0.45">
      <c r="B81" s="6" t="s">
        <v>9</v>
      </c>
      <c r="C81" s="19">
        <v>11122934000</v>
      </c>
      <c r="D81" s="8">
        <v>11122934000</v>
      </c>
      <c r="E81" s="8">
        <v>0</v>
      </c>
      <c r="G81" s="8">
        <v>11122934000</v>
      </c>
      <c r="I81" s="8">
        <f t="shared" si="1"/>
        <v>0</v>
      </c>
    </row>
    <row r="82" spans="2:9" x14ac:dyDescent="0.45">
      <c r="B82" s="6" t="s">
        <v>21</v>
      </c>
      <c r="C82" s="19">
        <v>200000000</v>
      </c>
      <c r="D82" s="8">
        <v>200000000</v>
      </c>
      <c r="E82" s="8">
        <v>0</v>
      </c>
      <c r="G82" s="8">
        <v>200000000</v>
      </c>
      <c r="I82" s="8">
        <f t="shared" si="1"/>
        <v>0</v>
      </c>
    </row>
    <row r="83" spans="2:9" x14ac:dyDescent="0.45">
      <c r="B83" s="5" t="s">
        <v>37</v>
      </c>
      <c r="C83" s="19">
        <v>14076601000</v>
      </c>
      <c r="D83" s="8">
        <v>14076601000</v>
      </c>
      <c r="E83" s="8">
        <v>0</v>
      </c>
      <c r="G83" s="9">
        <f>SUM(G84:G90)</f>
        <v>14076601000</v>
      </c>
      <c r="I83" s="9">
        <f t="shared" si="1"/>
        <v>0</v>
      </c>
    </row>
    <row r="84" spans="2:9" x14ac:dyDescent="0.45">
      <c r="B84" s="6" t="s">
        <v>22</v>
      </c>
      <c r="C84" s="19">
        <v>316800000</v>
      </c>
      <c r="D84" s="8">
        <v>316800000</v>
      </c>
      <c r="E84" s="8">
        <v>0</v>
      </c>
      <c r="G84" s="8">
        <v>316800000</v>
      </c>
      <c r="I84" s="8">
        <f t="shared" si="1"/>
        <v>0</v>
      </c>
    </row>
    <row r="85" spans="2:9" x14ac:dyDescent="0.45">
      <c r="B85" s="6" t="s">
        <v>24</v>
      </c>
      <c r="C85" s="19">
        <v>0</v>
      </c>
      <c r="D85" s="8">
        <v>0</v>
      </c>
      <c r="E85" s="8">
        <v>0</v>
      </c>
      <c r="G85" s="8">
        <v>0</v>
      </c>
      <c r="I85" s="8">
        <f t="shared" si="1"/>
        <v>0</v>
      </c>
    </row>
    <row r="86" spans="2:9" x14ac:dyDescent="0.45">
      <c r="B86" s="6" t="s">
        <v>25</v>
      </c>
      <c r="C86" s="19">
        <v>1792230999.9999998</v>
      </c>
      <c r="D86" s="8">
        <v>1792230999.9999998</v>
      </c>
      <c r="E86" s="8">
        <v>0</v>
      </c>
      <c r="G86" s="8">
        <v>1792231000</v>
      </c>
      <c r="I86" s="8">
        <f t="shared" si="1"/>
        <v>0</v>
      </c>
    </row>
    <row r="87" spans="2:9" x14ac:dyDescent="0.45">
      <c r="B87" s="6" t="s">
        <v>26</v>
      </c>
      <c r="C87" s="19">
        <v>2229999999.9999995</v>
      </c>
      <c r="D87" s="8">
        <v>2229999999.9999995</v>
      </c>
      <c r="E87" s="8">
        <v>0</v>
      </c>
      <c r="G87" s="8">
        <v>2230000000</v>
      </c>
      <c r="I87" s="8">
        <f t="shared" si="1"/>
        <v>0</v>
      </c>
    </row>
    <row r="88" spans="2:9" x14ac:dyDescent="0.45">
      <c r="B88" s="6" t="s">
        <v>23</v>
      </c>
      <c r="C88" s="19">
        <v>250000000</v>
      </c>
      <c r="D88" s="8">
        <v>250000000</v>
      </c>
      <c r="E88" s="8">
        <v>0</v>
      </c>
      <c r="G88" s="8">
        <v>250000000</v>
      </c>
      <c r="I88" s="8">
        <f t="shared" si="1"/>
        <v>0</v>
      </c>
    </row>
    <row r="89" spans="2:9" x14ac:dyDescent="0.45">
      <c r="B89" s="6" t="s">
        <v>9</v>
      </c>
      <c r="C89" s="19">
        <v>8737570000</v>
      </c>
      <c r="D89" s="8">
        <v>8737570000</v>
      </c>
      <c r="E89" s="8">
        <v>0</v>
      </c>
      <c r="G89" s="8">
        <v>8737570000</v>
      </c>
      <c r="I89" s="8">
        <f t="shared" si="1"/>
        <v>0</v>
      </c>
    </row>
    <row r="90" spans="2:9" x14ac:dyDescent="0.45">
      <c r="B90" s="6" t="s">
        <v>21</v>
      </c>
      <c r="C90" s="19">
        <v>750000000</v>
      </c>
      <c r="D90" s="8">
        <v>750000000</v>
      </c>
      <c r="E90" s="8">
        <v>0</v>
      </c>
      <c r="G90" s="8">
        <v>750000000</v>
      </c>
      <c r="I90" s="8">
        <f t="shared" si="1"/>
        <v>0</v>
      </c>
    </row>
    <row r="91" spans="2:9" x14ac:dyDescent="0.45">
      <c r="B91" s="5" t="s">
        <v>38</v>
      </c>
      <c r="C91" s="19">
        <v>2349761000</v>
      </c>
      <c r="D91" s="8">
        <v>2349761000</v>
      </c>
      <c r="E91" s="8">
        <v>0</v>
      </c>
      <c r="G91" s="9">
        <f>SUM(G92:G98)</f>
        <v>2349760730</v>
      </c>
      <c r="I91" s="9">
        <f t="shared" si="1"/>
        <v>-270</v>
      </c>
    </row>
    <row r="92" spans="2:9" x14ac:dyDescent="0.45">
      <c r="B92" s="6" t="s">
        <v>22</v>
      </c>
      <c r="C92" s="19">
        <v>45150000</v>
      </c>
      <c r="D92" s="8">
        <v>45150000</v>
      </c>
      <c r="E92" s="8">
        <v>0</v>
      </c>
      <c r="G92" s="8">
        <v>45150000</v>
      </c>
      <c r="I92" s="8">
        <f t="shared" si="1"/>
        <v>0</v>
      </c>
    </row>
    <row r="93" spans="2:9" x14ac:dyDescent="0.45">
      <c r="B93" s="6" t="s">
        <v>24</v>
      </c>
      <c r="C93" s="19">
        <v>0</v>
      </c>
      <c r="D93" s="8">
        <v>0</v>
      </c>
      <c r="E93" s="8">
        <v>0</v>
      </c>
      <c r="G93" s="8">
        <v>0</v>
      </c>
      <c r="I93" s="8">
        <f t="shared" si="1"/>
        <v>0</v>
      </c>
    </row>
    <row r="94" spans="2:9" x14ac:dyDescent="0.45">
      <c r="B94" s="6" t="s">
        <v>25</v>
      </c>
      <c r="C94" s="19">
        <v>372660000</v>
      </c>
      <c r="D94" s="8">
        <v>372660000</v>
      </c>
      <c r="E94" s="8">
        <v>0</v>
      </c>
      <c r="G94" s="8">
        <v>372660000</v>
      </c>
      <c r="I94" s="8">
        <f t="shared" si="1"/>
        <v>0</v>
      </c>
    </row>
    <row r="95" spans="2:9" x14ac:dyDescent="0.45">
      <c r="B95" s="6" t="s">
        <v>26</v>
      </c>
      <c r="C95" s="19">
        <v>0</v>
      </c>
      <c r="D95" s="8">
        <v>0</v>
      </c>
      <c r="E95" s="8">
        <v>0</v>
      </c>
      <c r="G95" s="8">
        <v>0</v>
      </c>
      <c r="I95" s="8">
        <f t="shared" si="1"/>
        <v>0</v>
      </c>
    </row>
    <row r="96" spans="2:9" x14ac:dyDescent="0.45">
      <c r="B96" s="6" t="s">
        <v>23</v>
      </c>
      <c r="C96" s="19">
        <v>60000000</v>
      </c>
      <c r="D96" s="8">
        <v>60000000</v>
      </c>
      <c r="E96" s="8">
        <v>0</v>
      </c>
      <c r="G96" s="8">
        <v>60000000</v>
      </c>
      <c r="I96" s="8">
        <f t="shared" si="1"/>
        <v>0</v>
      </c>
    </row>
    <row r="97" spans="2:9" x14ac:dyDescent="0.45">
      <c r="B97" s="6" t="s">
        <v>9</v>
      </c>
      <c r="C97" s="19">
        <v>1871951000</v>
      </c>
      <c r="D97" s="8">
        <v>1871951000</v>
      </c>
      <c r="E97" s="8">
        <v>0</v>
      </c>
      <c r="G97" s="8">
        <v>1871950730</v>
      </c>
      <c r="I97" s="8">
        <f t="shared" si="1"/>
        <v>-270</v>
      </c>
    </row>
    <row r="98" spans="2:9" x14ac:dyDescent="0.45">
      <c r="B98" s="6" t="s">
        <v>21</v>
      </c>
      <c r="C98" s="19">
        <v>0</v>
      </c>
      <c r="D98" s="8">
        <v>0</v>
      </c>
      <c r="E98" s="8">
        <v>0</v>
      </c>
      <c r="G98" s="8">
        <v>0</v>
      </c>
      <c r="I98" s="8">
        <f t="shared" si="1"/>
        <v>0</v>
      </c>
    </row>
    <row r="99" spans="2:9" x14ac:dyDescent="0.45">
      <c r="B99" s="5" t="s">
        <v>39</v>
      </c>
      <c r="C99" s="19">
        <v>35162678000</v>
      </c>
      <c r="D99" s="8">
        <v>35162678000</v>
      </c>
      <c r="E99" s="8">
        <v>0</v>
      </c>
      <c r="G99" s="9">
        <f>SUM(G100:G106)</f>
        <v>35162678000</v>
      </c>
      <c r="I99" s="9">
        <f t="shared" si="1"/>
        <v>0</v>
      </c>
    </row>
    <row r="100" spans="2:9" x14ac:dyDescent="0.45">
      <c r="B100" s="6" t="s">
        <v>22</v>
      </c>
      <c r="C100" s="19">
        <v>1016150000</v>
      </c>
      <c r="D100" s="8">
        <v>1016150000</v>
      </c>
      <c r="E100" s="8">
        <v>0</v>
      </c>
      <c r="G100" s="8">
        <v>1016150000</v>
      </c>
      <c r="I100" s="8">
        <f t="shared" si="1"/>
        <v>0</v>
      </c>
    </row>
    <row r="101" spans="2:9" x14ac:dyDescent="0.45">
      <c r="B101" s="6" t="s">
        <v>24</v>
      </c>
      <c r="C101" s="19">
        <v>0</v>
      </c>
      <c r="D101" s="8">
        <v>0</v>
      </c>
      <c r="E101" s="8">
        <v>0</v>
      </c>
      <c r="G101" s="8">
        <v>0</v>
      </c>
      <c r="I101" s="8">
        <f t="shared" si="1"/>
        <v>0</v>
      </c>
    </row>
    <row r="102" spans="2:9" x14ac:dyDescent="0.45">
      <c r="B102" s="6" t="s">
        <v>25</v>
      </c>
      <c r="C102" s="19">
        <v>3494050000</v>
      </c>
      <c r="D102" s="8">
        <v>3494050000</v>
      </c>
      <c r="E102" s="8">
        <v>0</v>
      </c>
      <c r="G102" s="8">
        <v>3494050000</v>
      </c>
      <c r="I102" s="8">
        <f t="shared" si="1"/>
        <v>0</v>
      </c>
    </row>
    <row r="103" spans="2:9" x14ac:dyDescent="0.45">
      <c r="B103" s="6" t="s">
        <v>26</v>
      </c>
      <c r="C103" s="19">
        <v>2560000000</v>
      </c>
      <c r="D103" s="8">
        <v>2560000000</v>
      </c>
      <c r="E103" s="8">
        <v>0</v>
      </c>
      <c r="G103" s="8">
        <v>2560000000</v>
      </c>
      <c r="I103" s="8">
        <f t="shared" si="1"/>
        <v>0</v>
      </c>
    </row>
    <row r="104" spans="2:9" x14ac:dyDescent="0.45">
      <c r="B104" s="6" t="s">
        <v>23</v>
      </c>
      <c r="C104" s="19">
        <v>100000000</v>
      </c>
      <c r="D104" s="8">
        <v>100000000</v>
      </c>
      <c r="E104" s="8">
        <v>0</v>
      </c>
      <c r="G104" s="8">
        <v>100000000</v>
      </c>
      <c r="I104" s="8">
        <f t="shared" si="1"/>
        <v>0</v>
      </c>
    </row>
    <row r="105" spans="2:9" x14ac:dyDescent="0.45">
      <c r="B105" s="6" t="s">
        <v>9</v>
      </c>
      <c r="C105" s="19">
        <v>0</v>
      </c>
      <c r="D105" s="8">
        <v>0</v>
      </c>
      <c r="E105" s="8">
        <v>0</v>
      </c>
      <c r="G105" s="8">
        <v>0</v>
      </c>
      <c r="I105" s="8">
        <f t="shared" si="1"/>
        <v>0</v>
      </c>
    </row>
    <row r="106" spans="2:9" x14ac:dyDescent="0.45">
      <c r="B106" s="6" t="s">
        <v>21</v>
      </c>
      <c r="C106" s="19">
        <v>27992478000</v>
      </c>
      <c r="D106" s="8">
        <v>27992478000</v>
      </c>
      <c r="E106" s="8">
        <v>0</v>
      </c>
      <c r="G106" s="8">
        <v>27992478000</v>
      </c>
      <c r="I106" s="8">
        <f t="shared" si="1"/>
        <v>0</v>
      </c>
    </row>
    <row r="107" spans="2:9" x14ac:dyDescent="0.45">
      <c r="B107" s="5" t="s">
        <v>40</v>
      </c>
      <c r="C107" s="19">
        <v>35496760000</v>
      </c>
      <c r="D107" s="8">
        <v>35496760000</v>
      </c>
      <c r="E107" s="8">
        <v>0</v>
      </c>
      <c r="G107" s="9">
        <f>SUM(G108:G114)</f>
        <v>35496760000</v>
      </c>
      <c r="I107" s="9">
        <f t="shared" si="1"/>
        <v>0</v>
      </c>
    </row>
    <row r="108" spans="2:9" x14ac:dyDescent="0.45">
      <c r="B108" s="6" t="s">
        <v>22</v>
      </c>
      <c r="C108" s="19">
        <v>285972000</v>
      </c>
      <c r="D108" s="8">
        <v>285972000</v>
      </c>
      <c r="E108" s="8">
        <v>0</v>
      </c>
      <c r="G108" s="8">
        <v>285972000</v>
      </c>
      <c r="I108" s="8">
        <f t="shared" si="1"/>
        <v>0</v>
      </c>
    </row>
    <row r="109" spans="2:9" x14ac:dyDescent="0.45">
      <c r="B109" s="6" t="s">
        <v>24</v>
      </c>
      <c r="C109" s="19">
        <v>0</v>
      </c>
      <c r="D109" s="8">
        <v>0</v>
      </c>
      <c r="E109" s="8">
        <v>0</v>
      </c>
      <c r="G109" s="8">
        <v>0</v>
      </c>
      <c r="I109" s="8">
        <f t="shared" si="1"/>
        <v>0</v>
      </c>
    </row>
    <row r="110" spans="2:9" x14ac:dyDescent="0.45">
      <c r="B110" s="6" t="s">
        <v>25</v>
      </c>
      <c r="C110" s="19">
        <v>2401223000</v>
      </c>
      <c r="D110" s="8">
        <v>2401223000</v>
      </c>
      <c r="E110" s="8">
        <v>0</v>
      </c>
      <c r="G110" s="8">
        <v>2401223000</v>
      </c>
      <c r="I110" s="8">
        <f t="shared" si="1"/>
        <v>0</v>
      </c>
    </row>
    <row r="111" spans="2:9" x14ac:dyDescent="0.45">
      <c r="B111" s="6" t="s">
        <v>26</v>
      </c>
      <c r="C111" s="19">
        <v>1539315000</v>
      </c>
      <c r="D111" s="8">
        <v>1539315000</v>
      </c>
      <c r="E111" s="8">
        <v>0</v>
      </c>
      <c r="G111" s="8">
        <v>1539315000</v>
      </c>
      <c r="I111" s="8">
        <f t="shared" si="1"/>
        <v>0</v>
      </c>
    </row>
    <row r="112" spans="2:9" x14ac:dyDescent="0.45">
      <c r="B112" s="6" t="s">
        <v>23</v>
      </c>
      <c r="C112" s="19">
        <v>645000000</v>
      </c>
      <c r="D112" s="8">
        <v>645000000</v>
      </c>
      <c r="E112" s="8">
        <v>0</v>
      </c>
      <c r="G112" s="8">
        <v>645000000</v>
      </c>
      <c r="I112" s="8">
        <f t="shared" si="1"/>
        <v>0</v>
      </c>
    </row>
    <row r="113" spans="2:9" x14ac:dyDescent="0.45">
      <c r="B113" s="6" t="s">
        <v>9</v>
      </c>
      <c r="C113" s="19">
        <v>30325250000</v>
      </c>
      <c r="D113" s="8">
        <v>30325250000</v>
      </c>
      <c r="E113" s="8">
        <v>0</v>
      </c>
      <c r="G113" s="8">
        <v>30325250000</v>
      </c>
      <c r="I113" s="8">
        <f t="shared" si="1"/>
        <v>0</v>
      </c>
    </row>
    <row r="114" spans="2:9" x14ac:dyDescent="0.45">
      <c r="B114" s="6" t="s">
        <v>21</v>
      </c>
      <c r="C114" s="19">
        <v>300000000</v>
      </c>
      <c r="D114" s="8">
        <v>300000000</v>
      </c>
      <c r="E114" s="8">
        <v>0</v>
      </c>
      <c r="G114" s="8">
        <v>300000000</v>
      </c>
      <c r="I114" s="8">
        <f t="shared" si="1"/>
        <v>0</v>
      </c>
    </row>
    <row r="115" spans="2:9" x14ac:dyDescent="0.45">
      <c r="B115" s="5" t="s">
        <v>8</v>
      </c>
      <c r="C115" s="19">
        <v>332108391054</v>
      </c>
      <c r="D115" s="8">
        <v>332108391332</v>
      </c>
      <c r="E115" s="8">
        <v>278</v>
      </c>
      <c r="G115" s="9">
        <f>SUM(G116:G122)</f>
        <v>332108391000</v>
      </c>
      <c r="I115" s="9">
        <f t="shared" si="1"/>
        <v>-332</v>
      </c>
    </row>
    <row r="116" spans="2:9" x14ac:dyDescent="0.45">
      <c r="B116" s="6" t="s">
        <v>22</v>
      </c>
      <c r="C116" s="19">
        <v>0</v>
      </c>
      <c r="D116" s="8">
        <v>0</v>
      </c>
      <c r="E116" s="8">
        <v>0</v>
      </c>
      <c r="G116" s="8">
        <v>0</v>
      </c>
      <c r="I116" s="8">
        <f t="shared" si="1"/>
        <v>0</v>
      </c>
    </row>
    <row r="117" spans="2:9" x14ac:dyDescent="0.45">
      <c r="B117" s="6" t="s">
        <v>24</v>
      </c>
      <c r="C117" s="19">
        <v>500000000</v>
      </c>
      <c r="D117" s="8">
        <v>500000000</v>
      </c>
      <c r="E117" s="8">
        <v>0</v>
      </c>
      <c r="G117" s="8">
        <v>500000000</v>
      </c>
      <c r="I117" s="8">
        <f t="shared" si="1"/>
        <v>0</v>
      </c>
    </row>
    <row r="118" spans="2:9" x14ac:dyDescent="0.45">
      <c r="B118" s="6" t="s">
        <v>25</v>
      </c>
      <c r="C118" s="19">
        <v>7946000000</v>
      </c>
      <c r="D118" s="8">
        <v>7946000000</v>
      </c>
      <c r="E118" s="8">
        <v>0</v>
      </c>
      <c r="G118" s="8">
        <v>7946000000</v>
      </c>
      <c r="I118" s="8">
        <f t="shared" si="1"/>
        <v>0</v>
      </c>
    </row>
    <row r="119" spans="2:9" x14ac:dyDescent="0.45">
      <c r="B119" s="6" t="s">
        <v>26</v>
      </c>
      <c r="C119" s="19">
        <v>4500000000</v>
      </c>
      <c r="D119" s="8">
        <v>4500000000</v>
      </c>
      <c r="E119" s="8">
        <v>0</v>
      </c>
      <c r="G119" s="8">
        <v>4500000000</v>
      </c>
      <c r="I119" s="8">
        <f t="shared" si="1"/>
        <v>0</v>
      </c>
    </row>
    <row r="120" spans="2:9" x14ac:dyDescent="0.45">
      <c r="B120" s="6" t="s">
        <v>23</v>
      </c>
      <c r="C120" s="19">
        <v>1600000000</v>
      </c>
      <c r="D120" s="8">
        <v>1600000000</v>
      </c>
      <c r="E120" s="8">
        <v>0</v>
      </c>
      <c r="G120" s="8">
        <v>1600000000</v>
      </c>
      <c r="I120" s="8">
        <f t="shared" si="1"/>
        <v>0</v>
      </c>
    </row>
    <row r="121" spans="2:9" x14ac:dyDescent="0.45">
      <c r="B121" s="6" t="s">
        <v>9</v>
      </c>
      <c r="C121" s="19">
        <v>317562391054</v>
      </c>
      <c r="D121" s="8">
        <v>317562391332</v>
      </c>
      <c r="E121" s="8">
        <v>278</v>
      </c>
      <c r="G121" s="8">
        <v>317562391000</v>
      </c>
      <c r="I121" s="8">
        <f t="shared" si="1"/>
        <v>-332</v>
      </c>
    </row>
    <row r="122" spans="2:9" x14ac:dyDescent="0.45">
      <c r="B122" s="6" t="s">
        <v>21</v>
      </c>
      <c r="C122" s="19">
        <v>0</v>
      </c>
      <c r="D122" s="8">
        <v>0</v>
      </c>
      <c r="E122" s="8">
        <v>0</v>
      </c>
      <c r="G122" s="8">
        <v>0</v>
      </c>
      <c r="I122" s="8">
        <f t="shared" si="1"/>
        <v>0</v>
      </c>
    </row>
    <row r="123" spans="2:9" x14ac:dyDescent="0.45">
      <c r="B123" s="5" t="s">
        <v>43</v>
      </c>
      <c r="C123" s="19">
        <v>730326992665.33337</v>
      </c>
      <c r="D123" s="8">
        <v>730326993532.33337</v>
      </c>
      <c r="E123" s="8">
        <v>867</v>
      </c>
      <c r="G123" s="12">
        <f>SUM(G3,G11,G19,G27,G35,G43,G51,G59,G67,G75,G83,G91,G99,G107,G115)</f>
        <v>730326988931</v>
      </c>
      <c r="I123" s="12">
        <f>SUM(I3,I11,I19,I27,I35,I43,I51,I59,I67,I75,I83,I91,I99,I107,I115)</f>
        <v>-4601.3333358764648</v>
      </c>
    </row>
    <row r="124" spans="2:9" x14ac:dyDescent="0.45">
      <c r="D124" s="20"/>
      <c r="E124"/>
      <c r="G124"/>
      <c r="I124"/>
    </row>
    <row r="125" spans="2:9" hidden="1" x14ac:dyDescent="0.45">
      <c r="C125" s="20"/>
      <c r="D125" s="20"/>
      <c r="E125"/>
      <c r="G125"/>
      <c r="I125"/>
    </row>
  </sheetData>
  <pageMargins left="0.7" right="0.7" top="0.75" bottom="0.75" header="0.3" footer="0.3"/>
  <pageSetup paperSize="9" orientation="portrait" horizontalDpi="0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065C2-3945-4A69-B15B-49379581950F}">
  <sheetPr>
    <tabColor theme="9" tint="-0.249977111117893"/>
    <outlinePr summaryBelow="0" summaryRight="0"/>
  </sheetPr>
  <dimension ref="A1:J547"/>
  <sheetViews>
    <sheetView showGridLines="0" workbookViewId="0">
      <pane ySplit="1" topLeftCell="A500" activePane="bottomLeft" state="frozen"/>
      <selection activeCell="B16" sqref="B16"/>
      <selection pane="bottomLeft" activeCell="F503" sqref="F503"/>
    </sheetView>
  </sheetViews>
  <sheetFormatPr defaultColWidth="0" defaultRowHeight="15.75" customHeight="1" x14ac:dyDescent="0.4"/>
  <cols>
    <col min="1" max="1" width="50" style="30" customWidth="1"/>
    <col min="2" max="8" width="12" style="30" customWidth="1"/>
    <col min="9" max="9" width="8.59765625" style="30" customWidth="1"/>
    <col min="10" max="10" width="18" style="30" customWidth="1"/>
    <col min="11" max="16384" width="12.59765625" style="30" hidden="1"/>
  </cols>
  <sheetData>
    <row r="1" spans="1:10" ht="13.15" x14ac:dyDescent="0.4">
      <c r="A1" s="31" t="s">
        <v>51</v>
      </c>
      <c r="B1" s="31" t="s">
        <v>52</v>
      </c>
      <c r="C1" s="31" t="s">
        <v>53</v>
      </c>
      <c r="D1" s="31" t="s">
        <v>54</v>
      </c>
      <c r="E1" s="31" t="s">
        <v>45</v>
      </c>
      <c r="F1" s="31" t="s">
        <v>44</v>
      </c>
      <c r="G1" s="31" t="s">
        <v>55</v>
      </c>
      <c r="H1" s="31" t="s">
        <v>56</v>
      </c>
      <c r="I1" s="32" t="s">
        <v>57</v>
      </c>
      <c r="J1" s="32" t="s">
        <v>58</v>
      </c>
    </row>
    <row r="2" spans="1:10" ht="13.15" x14ac:dyDescent="0.4">
      <c r="A2" s="45" t="s">
        <v>59</v>
      </c>
      <c r="B2" s="46">
        <v>92766189536</v>
      </c>
      <c r="C2" s="46">
        <v>92766189536</v>
      </c>
      <c r="D2" s="46">
        <v>32888582556</v>
      </c>
      <c r="E2" s="46">
        <v>46437298</v>
      </c>
      <c r="F2" s="46">
        <v>32935019854</v>
      </c>
      <c r="G2" s="46">
        <v>59831169682</v>
      </c>
      <c r="H2" s="47">
        <v>0</v>
      </c>
      <c r="I2" s="48" t="s">
        <v>60</v>
      </c>
      <c r="J2" s="48" t="s">
        <v>9</v>
      </c>
    </row>
    <row r="3" spans="1:10" ht="13.15" x14ac:dyDescent="0.4">
      <c r="A3" s="45" t="s">
        <v>61</v>
      </c>
      <c r="B3" s="47">
        <v>0</v>
      </c>
      <c r="C3" s="47">
        <v>0</v>
      </c>
      <c r="D3" s="47">
        <v>0</v>
      </c>
      <c r="E3" s="47">
        <v>0</v>
      </c>
      <c r="F3" s="47">
        <v>0</v>
      </c>
      <c r="G3" s="47">
        <v>0</v>
      </c>
      <c r="H3" s="47">
        <v>0</v>
      </c>
      <c r="I3" s="48" t="s">
        <v>60</v>
      </c>
      <c r="J3" s="48" t="s">
        <v>25</v>
      </c>
    </row>
    <row r="4" spans="1:10" ht="13.15" x14ac:dyDescent="0.4">
      <c r="A4" s="45" t="s">
        <v>62</v>
      </c>
      <c r="B4" s="46">
        <v>57855713800</v>
      </c>
      <c r="C4" s="46">
        <v>57855713800</v>
      </c>
      <c r="D4" s="46">
        <v>57455713800</v>
      </c>
      <c r="E4" s="47">
        <v>0</v>
      </c>
      <c r="F4" s="46">
        <v>57455713800</v>
      </c>
      <c r="G4" s="46">
        <v>400000000</v>
      </c>
      <c r="H4" s="47">
        <v>0</v>
      </c>
      <c r="I4" s="48" t="s">
        <v>60</v>
      </c>
      <c r="J4" s="48" t="s">
        <v>9</v>
      </c>
    </row>
    <row r="5" spans="1:10" ht="13.15" x14ac:dyDescent="0.4">
      <c r="A5" s="45" t="s">
        <v>63</v>
      </c>
      <c r="B5" s="46">
        <v>35064866298</v>
      </c>
      <c r="C5" s="46">
        <v>35064866298</v>
      </c>
      <c r="D5" s="46">
        <v>2662482200</v>
      </c>
      <c r="E5" s="46">
        <v>28199383820</v>
      </c>
      <c r="F5" s="46">
        <v>30861866020</v>
      </c>
      <c r="G5" s="46">
        <v>4203000278</v>
      </c>
      <c r="H5" s="47">
        <v>0</v>
      </c>
      <c r="I5" s="48" t="s">
        <v>60</v>
      </c>
      <c r="J5" s="48" t="s">
        <v>9</v>
      </c>
    </row>
    <row r="6" spans="1:10" ht="13.15" x14ac:dyDescent="0.4">
      <c r="A6" s="45" t="s">
        <v>101</v>
      </c>
      <c r="B6" s="46">
        <v>2001312000</v>
      </c>
      <c r="C6" s="46">
        <v>2001312000</v>
      </c>
      <c r="D6" s="46">
        <v>2001312000</v>
      </c>
      <c r="E6" s="47">
        <v>0</v>
      </c>
      <c r="F6" s="46">
        <v>2001312000</v>
      </c>
      <c r="G6" s="47">
        <v>0</v>
      </c>
      <c r="H6" s="47">
        <v>0</v>
      </c>
      <c r="I6" s="48" t="s">
        <v>60</v>
      </c>
      <c r="J6" s="48" t="s">
        <v>9</v>
      </c>
    </row>
    <row r="7" spans="1:10" ht="13.15" x14ac:dyDescent="0.4">
      <c r="A7" s="45" t="s">
        <v>64</v>
      </c>
      <c r="B7" s="46">
        <v>17448622000</v>
      </c>
      <c r="C7" s="46">
        <v>17448622000</v>
      </c>
      <c r="D7" s="46">
        <v>17448621050</v>
      </c>
      <c r="E7" s="47">
        <v>0</v>
      </c>
      <c r="F7" s="46">
        <v>17448621050</v>
      </c>
      <c r="G7" s="47">
        <v>950</v>
      </c>
      <c r="H7" s="47">
        <v>0</v>
      </c>
      <c r="I7" s="48" t="s">
        <v>60</v>
      </c>
      <c r="J7" s="48" t="s">
        <v>9</v>
      </c>
    </row>
    <row r="8" spans="1:10" ht="13.15" x14ac:dyDescent="0.4">
      <c r="A8" s="45" t="s">
        <v>65</v>
      </c>
      <c r="B8" s="46">
        <v>3947046000</v>
      </c>
      <c r="C8" s="46">
        <v>3947046000</v>
      </c>
      <c r="D8" s="47">
        <v>0</v>
      </c>
      <c r="E8" s="47">
        <v>0</v>
      </c>
      <c r="F8" s="47">
        <v>0</v>
      </c>
      <c r="G8" s="46">
        <v>3947046000</v>
      </c>
      <c r="H8" s="47">
        <v>0</v>
      </c>
      <c r="I8" s="48" t="s">
        <v>60</v>
      </c>
      <c r="J8" s="48" t="s">
        <v>9</v>
      </c>
    </row>
    <row r="9" spans="1:10" ht="13.15" x14ac:dyDescent="0.4">
      <c r="A9" s="45" t="s">
        <v>66</v>
      </c>
      <c r="B9" s="46">
        <v>63547356665</v>
      </c>
      <c r="C9" s="46">
        <v>63547356665</v>
      </c>
      <c r="D9" s="46">
        <v>53093285303</v>
      </c>
      <c r="E9" s="46">
        <v>8154071362</v>
      </c>
      <c r="F9" s="46">
        <v>61247356665</v>
      </c>
      <c r="G9" s="46">
        <v>2300000000</v>
      </c>
      <c r="H9" s="47">
        <v>0</v>
      </c>
      <c r="I9" s="48" t="s">
        <v>60</v>
      </c>
      <c r="J9" s="48" t="s">
        <v>9</v>
      </c>
    </row>
    <row r="10" spans="1:10" ht="13.15" x14ac:dyDescent="0.4">
      <c r="A10" s="45" t="s">
        <v>67</v>
      </c>
      <c r="B10" s="46">
        <v>1577077000</v>
      </c>
      <c r="C10" s="46">
        <v>1577077000</v>
      </c>
      <c r="D10" s="46">
        <v>67563765</v>
      </c>
      <c r="E10" s="47">
        <v>0</v>
      </c>
      <c r="F10" s="46">
        <v>67563765</v>
      </c>
      <c r="G10" s="46">
        <v>1509513235</v>
      </c>
      <c r="H10" s="47">
        <v>0</v>
      </c>
      <c r="I10" s="48" t="s">
        <v>60</v>
      </c>
      <c r="J10" s="48" t="s">
        <v>9</v>
      </c>
    </row>
    <row r="11" spans="1:10" ht="13.15" x14ac:dyDescent="0.4">
      <c r="A11" s="45" t="s">
        <v>68</v>
      </c>
      <c r="B11" s="46">
        <v>1010789797</v>
      </c>
      <c r="C11" s="46">
        <v>1010789797</v>
      </c>
      <c r="D11" s="47">
        <v>0</v>
      </c>
      <c r="E11" s="47">
        <v>0</v>
      </c>
      <c r="F11" s="47">
        <v>0</v>
      </c>
      <c r="G11" s="46">
        <v>1010789797</v>
      </c>
      <c r="H11" s="47">
        <v>0</v>
      </c>
      <c r="I11" s="48" t="s">
        <v>60</v>
      </c>
      <c r="J11" s="48" t="s">
        <v>9</v>
      </c>
    </row>
    <row r="12" spans="1:10" ht="13.15" x14ac:dyDescent="0.4">
      <c r="A12" s="45" t="s">
        <v>69</v>
      </c>
      <c r="B12" s="46">
        <v>26083685696</v>
      </c>
      <c r="C12" s="46">
        <v>26083685696</v>
      </c>
      <c r="D12" s="47">
        <v>0</v>
      </c>
      <c r="E12" s="46">
        <v>6309951800</v>
      </c>
      <c r="F12" s="46">
        <v>6309951800</v>
      </c>
      <c r="G12" s="46">
        <v>19773733896</v>
      </c>
      <c r="H12" s="47">
        <v>0</v>
      </c>
      <c r="I12" s="48" t="s">
        <v>60</v>
      </c>
      <c r="J12" s="48" t="s">
        <v>9</v>
      </c>
    </row>
    <row r="13" spans="1:10" ht="13.15" x14ac:dyDescent="0.4">
      <c r="A13" s="45" t="s">
        <v>70</v>
      </c>
      <c r="B13" s="46">
        <v>11951319669</v>
      </c>
      <c r="C13" s="46">
        <v>11951319669</v>
      </c>
      <c r="D13" s="46">
        <v>9730852838</v>
      </c>
      <c r="E13" s="47">
        <v>0</v>
      </c>
      <c r="F13" s="46">
        <v>9730852838</v>
      </c>
      <c r="G13" s="46">
        <v>2220466831</v>
      </c>
      <c r="H13" s="47">
        <v>0</v>
      </c>
      <c r="I13" s="48" t="s">
        <v>60</v>
      </c>
      <c r="J13" s="48" t="s">
        <v>9</v>
      </c>
    </row>
    <row r="14" spans="1:10" ht="13.15" x14ac:dyDescent="0.4">
      <c r="A14" s="45" t="s">
        <v>71</v>
      </c>
      <c r="B14" s="46">
        <v>1175883000</v>
      </c>
      <c r="C14" s="46">
        <v>1175883000</v>
      </c>
      <c r="D14" s="47">
        <v>0</v>
      </c>
      <c r="E14" s="47">
        <v>0</v>
      </c>
      <c r="F14" s="47">
        <v>0</v>
      </c>
      <c r="G14" s="46">
        <v>1175883000</v>
      </c>
      <c r="H14" s="47">
        <v>0</v>
      </c>
      <c r="I14" s="48" t="s">
        <v>60</v>
      </c>
      <c r="J14" s="48" t="s">
        <v>9</v>
      </c>
    </row>
    <row r="15" spans="1:10" ht="13.15" x14ac:dyDescent="0.4">
      <c r="A15" s="45" t="s">
        <v>72</v>
      </c>
      <c r="B15" s="47">
        <v>0</v>
      </c>
      <c r="C15" s="47">
        <v>0</v>
      </c>
      <c r="D15" s="47">
        <v>0</v>
      </c>
      <c r="E15" s="47">
        <v>0</v>
      </c>
      <c r="F15" s="47">
        <v>0</v>
      </c>
      <c r="G15" s="47">
        <v>0</v>
      </c>
      <c r="H15" s="47">
        <v>0</v>
      </c>
      <c r="I15" s="48" t="s">
        <v>60</v>
      </c>
      <c r="J15" s="48" t="s">
        <v>21</v>
      </c>
    </row>
    <row r="16" spans="1:10" ht="13.15" x14ac:dyDescent="0.4">
      <c r="A16" s="45" t="s">
        <v>73</v>
      </c>
      <c r="B16" s="46">
        <v>1600000000</v>
      </c>
      <c r="C16" s="46">
        <v>1200000000</v>
      </c>
      <c r="D16" s="47">
        <v>0</v>
      </c>
      <c r="E16" s="47">
        <v>0</v>
      </c>
      <c r="F16" s="47">
        <v>0</v>
      </c>
      <c r="G16" s="46">
        <v>1200000000</v>
      </c>
      <c r="H16" s="46">
        <v>400000000</v>
      </c>
      <c r="I16" s="48" t="s">
        <v>60</v>
      </c>
      <c r="J16" s="48" t="s">
        <v>23</v>
      </c>
    </row>
    <row r="17" spans="1:10" ht="13.15" x14ac:dyDescent="0.4">
      <c r="A17" s="45" t="s">
        <v>74</v>
      </c>
      <c r="B17" s="46">
        <v>500000000</v>
      </c>
      <c r="C17" s="46">
        <v>375000000</v>
      </c>
      <c r="D17" s="46">
        <v>20986164</v>
      </c>
      <c r="E17" s="47">
        <v>0</v>
      </c>
      <c r="F17" s="46">
        <v>20986164</v>
      </c>
      <c r="G17" s="46">
        <v>354013836</v>
      </c>
      <c r="H17" s="46">
        <v>125000000</v>
      </c>
      <c r="I17" s="48" t="s">
        <v>60</v>
      </c>
      <c r="J17" s="48" t="s">
        <v>24</v>
      </c>
    </row>
    <row r="18" spans="1:10" ht="13.15" x14ac:dyDescent="0.4">
      <c r="A18" s="45" t="s">
        <v>75</v>
      </c>
      <c r="B18" s="46">
        <v>4500000000</v>
      </c>
      <c r="C18" s="46">
        <v>4500000000</v>
      </c>
      <c r="D18" s="47">
        <v>0</v>
      </c>
      <c r="E18" s="46">
        <v>967917605</v>
      </c>
      <c r="F18" s="46">
        <v>967917605</v>
      </c>
      <c r="G18" s="46">
        <v>3532082395</v>
      </c>
      <c r="H18" s="47">
        <v>0</v>
      </c>
      <c r="I18" s="48" t="s">
        <v>60</v>
      </c>
      <c r="J18" s="48" t="s">
        <v>26</v>
      </c>
    </row>
    <row r="19" spans="1:10" ht="13.15" x14ac:dyDescent="0.4">
      <c r="A19" s="45" t="s">
        <v>76</v>
      </c>
      <c r="B19" s="46">
        <v>1493730000</v>
      </c>
      <c r="C19" s="46">
        <v>1118730000</v>
      </c>
      <c r="D19" s="46">
        <v>1948000</v>
      </c>
      <c r="E19" s="47">
        <v>0</v>
      </c>
      <c r="F19" s="46">
        <v>1948000</v>
      </c>
      <c r="G19" s="46">
        <v>1116782000</v>
      </c>
      <c r="H19" s="46">
        <v>375000000</v>
      </c>
      <c r="I19" s="48" t="s">
        <v>60</v>
      </c>
      <c r="J19" s="48" t="s">
        <v>25</v>
      </c>
    </row>
    <row r="20" spans="1:10" ht="13.15" x14ac:dyDescent="0.4">
      <c r="A20" s="45" t="s">
        <v>77</v>
      </c>
      <c r="B20" s="46">
        <v>744010000</v>
      </c>
      <c r="C20" s="46">
        <v>551510000</v>
      </c>
      <c r="D20" s="46">
        <v>24326714</v>
      </c>
      <c r="E20" s="46">
        <v>28810450</v>
      </c>
      <c r="F20" s="46">
        <v>53137164</v>
      </c>
      <c r="G20" s="46">
        <v>498372836</v>
      </c>
      <c r="H20" s="46">
        <v>192500000</v>
      </c>
      <c r="I20" s="48" t="s">
        <v>60</v>
      </c>
      <c r="J20" s="48" t="s">
        <v>25</v>
      </c>
    </row>
    <row r="21" spans="1:10" ht="13.15" x14ac:dyDescent="0.4">
      <c r="A21" s="45" t="s">
        <v>78</v>
      </c>
      <c r="B21" s="46">
        <v>156000000</v>
      </c>
      <c r="C21" s="46">
        <v>156000000</v>
      </c>
      <c r="D21" s="47">
        <v>0</v>
      </c>
      <c r="E21" s="46">
        <v>26000000</v>
      </c>
      <c r="F21" s="46">
        <v>26000000</v>
      </c>
      <c r="G21" s="46">
        <v>130000000</v>
      </c>
      <c r="H21" s="47">
        <v>0</v>
      </c>
      <c r="I21" s="48" t="s">
        <v>60</v>
      </c>
      <c r="J21" s="48" t="s">
        <v>25</v>
      </c>
    </row>
    <row r="22" spans="1:10" ht="13.15" x14ac:dyDescent="0.4">
      <c r="A22" s="45" t="s">
        <v>79</v>
      </c>
      <c r="B22" s="46">
        <v>500000000</v>
      </c>
      <c r="C22" s="46">
        <v>375000000</v>
      </c>
      <c r="D22" s="47">
        <v>0</v>
      </c>
      <c r="E22" s="47">
        <v>0</v>
      </c>
      <c r="F22" s="47">
        <v>0</v>
      </c>
      <c r="G22" s="46">
        <v>375000000</v>
      </c>
      <c r="H22" s="46">
        <v>125000000</v>
      </c>
      <c r="I22" s="48" t="s">
        <v>60</v>
      </c>
      <c r="J22" s="48" t="s">
        <v>25</v>
      </c>
    </row>
    <row r="23" spans="1:10" ht="13.15" x14ac:dyDescent="0.4">
      <c r="A23" s="45" t="s">
        <v>80</v>
      </c>
      <c r="B23" s="46">
        <v>800000000</v>
      </c>
      <c r="C23" s="46">
        <v>600000000</v>
      </c>
      <c r="D23" s="46">
        <v>56042500</v>
      </c>
      <c r="E23" s="46">
        <v>49833500</v>
      </c>
      <c r="F23" s="46">
        <v>105876000</v>
      </c>
      <c r="G23" s="46">
        <v>494124000</v>
      </c>
      <c r="H23" s="46">
        <v>200000000</v>
      </c>
      <c r="I23" s="48" t="s">
        <v>60</v>
      </c>
      <c r="J23" s="48" t="s">
        <v>25</v>
      </c>
    </row>
    <row r="24" spans="1:10" ht="13.15" x14ac:dyDescent="0.4">
      <c r="A24" s="45" t="s">
        <v>81</v>
      </c>
      <c r="B24" s="46">
        <v>2491692611</v>
      </c>
      <c r="C24" s="46">
        <v>1866692611</v>
      </c>
      <c r="D24" s="47">
        <v>0</v>
      </c>
      <c r="E24" s="46">
        <v>193087500</v>
      </c>
      <c r="F24" s="46">
        <v>193087500</v>
      </c>
      <c r="G24" s="46">
        <v>1673605111</v>
      </c>
      <c r="H24" s="46">
        <v>625000000</v>
      </c>
      <c r="I24" s="48" t="s">
        <v>60</v>
      </c>
      <c r="J24" s="48" t="s">
        <v>25</v>
      </c>
    </row>
    <row r="25" spans="1:10" ht="13.15" x14ac:dyDescent="0.4">
      <c r="A25" s="45" t="s">
        <v>82</v>
      </c>
      <c r="B25" s="46">
        <v>220000000</v>
      </c>
      <c r="C25" s="46">
        <v>220000000</v>
      </c>
      <c r="D25" s="47">
        <v>0</v>
      </c>
      <c r="E25" s="47">
        <v>0</v>
      </c>
      <c r="F25" s="47">
        <v>0</v>
      </c>
      <c r="G25" s="46">
        <v>220000000</v>
      </c>
      <c r="H25" s="47">
        <v>0</v>
      </c>
      <c r="I25" s="48" t="s">
        <v>60</v>
      </c>
      <c r="J25" s="48" t="s">
        <v>25</v>
      </c>
    </row>
    <row r="26" spans="1:10" ht="13.15" x14ac:dyDescent="0.4">
      <c r="A26" s="45" t="s">
        <v>83</v>
      </c>
      <c r="B26" s="46">
        <v>3456614204</v>
      </c>
      <c r="C26" s="46">
        <v>3456614204</v>
      </c>
      <c r="D26" s="47">
        <v>0</v>
      </c>
      <c r="E26" s="46">
        <v>413857628</v>
      </c>
      <c r="F26" s="46">
        <v>413857628</v>
      </c>
      <c r="G26" s="46">
        <v>3042756576</v>
      </c>
      <c r="H26" s="47">
        <v>0</v>
      </c>
      <c r="I26" s="48" t="s">
        <v>60</v>
      </c>
      <c r="J26" s="48" t="s">
        <v>84</v>
      </c>
    </row>
    <row r="27" spans="1:10" ht="13.15" x14ac:dyDescent="0.4">
      <c r="A27" s="45" t="s">
        <v>85</v>
      </c>
      <c r="B27" s="46">
        <v>52828623</v>
      </c>
      <c r="C27" s="46">
        <v>52828623</v>
      </c>
      <c r="D27" s="47">
        <v>0</v>
      </c>
      <c r="E27" s="46">
        <v>6538778</v>
      </c>
      <c r="F27" s="46">
        <v>6538778</v>
      </c>
      <c r="G27" s="46">
        <v>46289845</v>
      </c>
      <c r="H27" s="47">
        <v>0</v>
      </c>
      <c r="I27" s="48" t="s">
        <v>60</v>
      </c>
      <c r="J27" s="48" t="s">
        <v>84</v>
      </c>
    </row>
    <row r="28" spans="1:10" ht="13.15" x14ac:dyDescent="0.4">
      <c r="A28" s="45" t="s">
        <v>86</v>
      </c>
      <c r="B28" s="46">
        <v>4078270035</v>
      </c>
      <c r="C28" s="46">
        <v>4078270035</v>
      </c>
      <c r="D28" s="47">
        <v>0</v>
      </c>
      <c r="E28" s="46">
        <v>633673990</v>
      </c>
      <c r="F28" s="46">
        <v>633673990</v>
      </c>
      <c r="G28" s="46">
        <v>3444596045</v>
      </c>
      <c r="H28" s="47">
        <v>0</v>
      </c>
      <c r="I28" s="48" t="s">
        <v>60</v>
      </c>
      <c r="J28" s="48" t="s">
        <v>84</v>
      </c>
    </row>
    <row r="29" spans="1:10" ht="13.15" x14ac:dyDescent="0.4">
      <c r="A29" s="45" t="s">
        <v>87</v>
      </c>
      <c r="B29" s="46">
        <v>16502520</v>
      </c>
      <c r="C29" s="46">
        <v>16502520</v>
      </c>
      <c r="D29" s="47">
        <v>0</v>
      </c>
      <c r="E29" s="47">
        <v>0</v>
      </c>
      <c r="F29" s="47">
        <v>0</v>
      </c>
      <c r="G29" s="46">
        <v>16502520</v>
      </c>
      <c r="H29" s="47">
        <v>0</v>
      </c>
      <c r="I29" s="48" t="s">
        <v>60</v>
      </c>
      <c r="J29" s="48" t="s">
        <v>84</v>
      </c>
    </row>
    <row r="30" spans="1:10" ht="13.15" x14ac:dyDescent="0.4">
      <c r="A30" s="45" t="s">
        <v>88</v>
      </c>
      <c r="B30" s="46">
        <v>10947475255</v>
      </c>
      <c r="C30" s="46">
        <v>10947475255</v>
      </c>
      <c r="D30" s="47">
        <v>0</v>
      </c>
      <c r="E30" s="46">
        <v>1120324189</v>
      </c>
      <c r="F30" s="46">
        <v>1120324189</v>
      </c>
      <c r="G30" s="46">
        <v>9827151066</v>
      </c>
      <c r="H30" s="47">
        <v>0</v>
      </c>
      <c r="I30" s="48" t="s">
        <v>60</v>
      </c>
      <c r="J30" s="48" t="s">
        <v>84</v>
      </c>
    </row>
    <row r="31" spans="1:10" ht="13.15" x14ac:dyDescent="0.4">
      <c r="A31" s="45" t="s">
        <v>89</v>
      </c>
      <c r="B31" s="46">
        <v>248090002</v>
      </c>
      <c r="C31" s="46">
        <v>248090002</v>
      </c>
      <c r="D31" s="47">
        <v>0</v>
      </c>
      <c r="E31" s="46">
        <v>44762586</v>
      </c>
      <c r="F31" s="46">
        <v>44762586</v>
      </c>
      <c r="G31" s="46">
        <v>203327416</v>
      </c>
      <c r="H31" s="47">
        <v>0</v>
      </c>
      <c r="I31" s="48" t="s">
        <v>60</v>
      </c>
      <c r="J31" s="48" t="s">
        <v>84</v>
      </c>
    </row>
    <row r="32" spans="1:10" ht="13.15" x14ac:dyDescent="0.4">
      <c r="A32" s="45" t="s">
        <v>90</v>
      </c>
      <c r="B32" s="46">
        <v>13970066046</v>
      </c>
      <c r="C32" s="46">
        <v>13970066046</v>
      </c>
      <c r="D32" s="47">
        <v>0</v>
      </c>
      <c r="E32" s="46">
        <v>2185607574</v>
      </c>
      <c r="F32" s="46">
        <v>2185607574</v>
      </c>
      <c r="G32" s="46">
        <v>11784458472</v>
      </c>
      <c r="H32" s="47">
        <v>0</v>
      </c>
      <c r="I32" s="48" t="s">
        <v>60</v>
      </c>
      <c r="J32" s="48" t="s">
        <v>84</v>
      </c>
    </row>
    <row r="33" spans="1:10" ht="13.15" x14ac:dyDescent="0.4">
      <c r="A33" s="45" t="s">
        <v>91</v>
      </c>
      <c r="B33" s="46">
        <v>24203697</v>
      </c>
      <c r="C33" s="46">
        <v>24203697</v>
      </c>
      <c r="D33" s="47">
        <v>0</v>
      </c>
      <c r="E33" s="47">
        <v>0</v>
      </c>
      <c r="F33" s="47">
        <v>0</v>
      </c>
      <c r="G33" s="46">
        <v>24203697</v>
      </c>
      <c r="H33" s="47">
        <v>0</v>
      </c>
      <c r="I33" s="48" t="s">
        <v>60</v>
      </c>
      <c r="J33" s="48" t="s">
        <v>84</v>
      </c>
    </row>
    <row r="34" spans="1:10" ht="13.15" x14ac:dyDescent="0.4">
      <c r="A34" s="45" t="s">
        <v>92</v>
      </c>
      <c r="B34" s="47">
        <v>0</v>
      </c>
      <c r="C34" s="47">
        <v>0</v>
      </c>
      <c r="D34" s="47">
        <v>0</v>
      </c>
      <c r="E34" s="46">
        <v>-10748637</v>
      </c>
      <c r="F34" s="46">
        <v>-10748637</v>
      </c>
      <c r="G34" s="46">
        <v>10748637</v>
      </c>
      <c r="H34" s="47">
        <v>0</v>
      </c>
      <c r="I34" s="48" t="s">
        <v>60</v>
      </c>
      <c r="J34" s="48" t="s">
        <v>84</v>
      </c>
    </row>
    <row r="35" spans="1:10" ht="13.15" x14ac:dyDescent="0.4">
      <c r="A35" s="45" t="s">
        <v>93</v>
      </c>
      <c r="B35" s="46">
        <v>1000000000</v>
      </c>
      <c r="C35" s="46">
        <v>750000000</v>
      </c>
      <c r="D35" s="46">
        <v>9464000</v>
      </c>
      <c r="E35" s="47">
        <v>0</v>
      </c>
      <c r="F35" s="46">
        <v>9464000</v>
      </c>
      <c r="G35" s="46">
        <v>740536000</v>
      </c>
      <c r="H35" s="46">
        <v>250000000</v>
      </c>
      <c r="I35" s="48" t="s">
        <v>60</v>
      </c>
      <c r="J35" s="48" t="s">
        <v>25</v>
      </c>
    </row>
    <row r="36" spans="1:10" ht="13.15" x14ac:dyDescent="0.4">
      <c r="A36" s="45" t="s">
        <v>94</v>
      </c>
      <c r="B36" s="46">
        <v>500000000</v>
      </c>
      <c r="C36" s="46">
        <v>375000000</v>
      </c>
      <c r="D36" s="47">
        <v>0</v>
      </c>
      <c r="E36" s="47">
        <v>0</v>
      </c>
      <c r="F36" s="47">
        <v>0</v>
      </c>
      <c r="G36" s="46">
        <v>375000000</v>
      </c>
      <c r="H36" s="46">
        <v>125000000</v>
      </c>
      <c r="I36" s="48" t="s">
        <v>60</v>
      </c>
      <c r="J36" s="48" t="s">
        <v>25</v>
      </c>
    </row>
    <row r="37" spans="1:10" ht="13.15" x14ac:dyDescent="0.4">
      <c r="A37" s="45" t="s">
        <v>95</v>
      </c>
      <c r="B37" s="47">
        <v>0</v>
      </c>
      <c r="C37" s="47">
        <v>0</v>
      </c>
      <c r="D37" s="47">
        <v>0</v>
      </c>
      <c r="E37" s="46">
        <v>410815330</v>
      </c>
      <c r="F37" s="46">
        <v>410815330</v>
      </c>
      <c r="G37" s="46">
        <v>-410815330</v>
      </c>
      <c r="H37" s="47">
        <v>0</v>
      </c>
      <c r="I37" s="48" t="s">
        <v>60</v>
      </c>
      <c r="J37" s="48" t="s">
        <v>84</v>
      </c>
    </row>
    <row r="38" spans="1:10" ht="13.15" x14ac:dyDescent="0.4">
      <c r="A38" s="49" t="s">
        <v>96</v>
      </c>
      <c r="B38" s="50">
        <v>361729344454</v>
      </c>
      <c r="C38" s="50">
        <v>359311844454</v>
      </c>
      <c r="D38" s="50">
        <v>175461180890</v>
      </c>
      <c r="E38" s="50">
        <v>48780324773</v>
      </c>
      <c r="F38" s="50">
        <v>224241505663</v>
      </c>
      <c r="G38" s="50">
        <v>135070338791</v>
      </c>
      <c r="H38" s="50">
        <v>2417500000</v>
      </c>
      <c r="I38" s="51" t="s">
        <v>60</v>
      </c>
      <c r="J38" s="51" t="e">
        <v>#N/A</v>
      </c>
    </row>
    <row r="39" spans="1:10" ht="13.15" x14ac:dyDescent="0.4">
      <c r="A39" s="45" t="s">
        <v>59</v>
      </c>
      <c r="B39" s="46">
        <v>25194775704</v>
      </c>
      <c r="C39" s="46">
        <v>25194775704</v>
      </c>
      <c r="D39" s="46">
        <v>15690909964</v>
      </c>
      <c r="E39" s="47">
        <v>0</v>
      </c>
      <c r="F39" s="46">
        <v>15690909964</v>
      </c>
      <c r="G39" s="46">
        <v>9503865740</v>
      </c>
      <c r="H39" s="47">
        <v>0</v>
      </c>
      <c r="I39" s="48" t="s">
        <v>97</v>
      </c>
      <c r="J39" s="48" t="s">
        <v>9</v>
      </c>
    </row>
    <row r="40" spans="1:10" ht="13.15" x14ac:dyDescent="0.4">
      <c r="A40" s="45" t="s">
        <v>98</v>
      </c>
      <c r="B40" s="46">
        <v>17002987</v>
      </c>
      <c r="C40" s="46">
        <v>17002987</v>
      </c>
      <c r="D40" s="47">
        <v>0</v>
      </c>
      <c r="E40" s="47">
        <v>0</v>
      </c>
      <c r="F40" s="47">
        <v>0</v>
      </c>
      <c r="G40" s="46">
        <v>17002987</v>
      </c>
      <c r="H40" s="47">
        <v>0</v>
      </c>
      <c r="I40" s="48" t="s">
        <v>97</v>
      </c>
      <c r="J40" s="48" t="s">
        <v>84</v>
      </c>
    </row>
    <row r="41" spans="1:10" ht="13.15" x14ac:dyDescent="0.4">
      <c r="A41" s="45" t="s">
        <v>99</v>
      </c>
      <c r="B41" s="46">
        <v>32320895</v>
      </c>
      <c r="C41" s="46">
        <v>32320895</v>
      </c>
      <c r="D41" s="47">
        <v>0</v>
      </c>
      <c r="E41" s="47">
        <v>0</v>
      </c>
      <c r="F41" s="47">
        <v>0</v>
      </c>
      <c r="G41" s="46">
        <v>32320895</v>
      </c>
      <c r="H41" s="47">
        <v>0</v>
      </c>
      <c r="I41" s="48" t="s">
        <v>97</v>
      </c>
      <c r="J41" s="48" t="s">
        <v>84</v>
      </c>
    </row>
    <row r="42" spans="1:10" ht="13.15" x14ac:dyDescent="0.4">
      <c r="A42" s="45" t="s">
        <v>100</v>
      </c>
      <c r="B42" s="46">
        <v>550084</v>
      </c>
      <c r="C42" s="46">
        <v>550084</v>
      </c>
      <c r="D42" s="47">
        <v>0</v>
      </c>
      <c r="E42" s="47">
        <v>0</v>
      </c>
      <c r="F42" s="47">
        <v>0</v>
      </c>
      <c r="G42" s="46">
        <v>550084</v>
      </c>
      <c r="H42" s="47">
        <v>0</v>
      </c>
      <c r="I42" s="48" t="s">
        <v>97</v>
      </c>
      <c r="J42" s="48" t="s">
        <v>84</v>
      </c>
    </row>
    <row r="43" spans="1:10" ht="13.15" x14ac:dyDescent="0.4">
      <c r="A43" s="45" t="s">
        <v>62</v>
      </c>
      <c r="B43" s="46">
        <v>400000000</v>
      </c>
      <c r="C43" s="46">
        <v>400000000</v>
      </c>
      <c r="D43" s="47">
        <v>0</v>
      </c>
      <c r="E43" s="47">
        <v>0</v>
      </c>
      <c r="F43" s="47">
        <v>0</v>
      </c>
      <c r="G43" s="46">
        <v>400000000</v>
      </c>
      <c r="H43" s="47">
        <v>0</v>
      </c>
      <c r="I43" s="48" t="s">
        <v>97</v>
      </c>
      <c r="J43" s="48" t="s">
        <v>9</v>
      </c>
    </row>
    <row r="44" spans="1:10" ht="13.15" x14ac:dyDescent="0.4">
      <c r="A44" s="45" t="s">
        <v>63</v>
      </c>
      <c r="B44" s="46">
        <v>2000000000</v>
      </c>
      <c r="C44" s="46">
        <v>2000000000</v>
      </c>
      <c r="D44" s="47">
        <v>0</v>
      </c>
      <c r="E44" s="47">
        <v>0</v>
      </c>
      <c r="F44" s="47">
        <v>0</v>
      </c>
      <c r="G44" s="46">
        <v>2000000000</v>
      </c>
      <c r="H44" s="47">
        <v>0</v>
      </c>
      <c r="I44" s="48" t="s">
        <v>97</v>
      </c>
      <c r="J44" s="48" t="s">
        <v>9</v>
      </c>
    </row>
    <row r="45" spans="1:10" ht="13.15" x14ac:dyDescent="0.4">
      <c r="A45" s="45" t="s">
        <v>101</v>
      </c>
      <c r="B45" s="46">
        <v>100000000</v>
      </c>
      <c r="C45" s="46">
        <v>100000000</v>
      </c>
      <c r="D45" s="47">
        <v>0</v>
      </c>
      <c r="E45" s="47">
        <v>0</v>
      </c>
      <c r="F45" s="47">
        <v>0</v>
      </c>
      <c r="G45" s="46">
        <v>100000000</v>
      </c>
      <c r="H45" s="47">
        <v>0</v>
      </c>
      <c r="I45" s="48" t="s">
        <v>97</v>
      </c>
      <c r="J45" s="48" t="s">
        <v>9</v>
      </c>
    </row>
    <row r="46" spans="1:10" ht="13.15" x14ac:dyDescent="0.4">
      <c r="A46" s="45" t="s">
        <v>102</v>
      </c>
      <c r="B46" s="46">
        <v>400000000</v>
      </c>
      <c r="C46" s="46">
        <v>400000000</v>
      </c>
      <c r="D46" s="47">
        <v>0</v>
      </c>
      <c r="E46" s="47">
        <v>0</v>
      </c>
      <c r="F46" s="47">
        <v>0</v>
      </c>
      <c r="G46" s="46">
        <v>400000000</v>
      </c>
      <c r="H46" s="47">
        <v>0</v>
      </c>
      <c r="I46" s="48" t="s">
        <v>97</v>
      </c>
      <c r="J46" s="48" t="s">
        <v>9</v>
      </c>
    </row>
    <row r="47" spans="1:10" ht="13.15" x14ac:dyDescent="0.4">
      <c r="A47" s="45" t="s">
        <v>64</v>
      </c>
      <c r="B47" s="46">
        <v>1300000000</v>
      </c>
      <c r="C47" s="46">
        <v>1300000000</v>
      </c>
      <c r="D47" s="46">
        <v>463560600</v>
      </c>
      <c r="E47" s="47">
        <v>0</v>
      </c>
      <c r="F47" s="46">
        <v>463560600</v>
      </c>
      <c r="G47" s="46">
        <v>836439400</v>
      </c>
      <c r="H47" s="47">
        <v>0</v>
      </c>
      <c r="I47" s="48" t="s">
        <v>97</v>
      </c>
      <c r="J47" s="48" t="s">
        <v>9</v>
      </c>
    </row>
    <row r="48" spans="1:10" ht="13.15" x14ac:dyDescent="0.4">
      <c r="A48" s="45" t="s">
        <v>66</v>
      </c>
      <c r="B48" s="46">
        <v>6000000000</v>
      </c>
      <c r="C48" s="46">
        <v>6000000000</v>
      </c>
      <c r="D48" s="46">
        <v>2487092234</v>
      </c>
      <c r="E48" s="47">
        <v>0</v>
      </c>
      <c r="F48" s="46">
        <v>2487092234</v>
      </c>
      <c r="G48" s="46">
        <v>3512907766</v>
      </c>
      <c r="H48" s="47">
        <v>0</v>
      </c>
      <c r="I48" s="48" t="s">
        <v>97</v>
      </c>
      <c r="J48" s="48" t="s">
        <v>9</v>
      </c>
    </row>
    <row r="49" spans="1:10" ht="13.15" x14ac:dyDescent="0.4">
      <c r="A49" s="45" t="s">
        <v>67</v>
      </c>
      <c r="B49" s="46">
        <v>4260000000</v>
      </c>
      <c r="C49" s="46">
        <v>4260000000</v>
      </c>
      <c r="D49" s="46">
        <v>587152114</v>
      </c>
      <c r="E49" s="46">
        <v>389904675</v>
      </c>
      <c r="F49" s="46">
        <v>977056789</v>
      </c>
      <c r="G49" s="46">
        <v>3282943211</v>
      </c>
      <c r="H49" s="47">
        <v>0</v>
      </c>
      <c r="I49" s="48" t="s">
        <v>97</v>
      </c>
      <c r="J49" s="48" t="s">
        <v>9</v>
      </c>
    </row>
    <row r="50" spans="1:10" ht="13.15" x14ac:dyDescent="0.4">
      <c r="A50" s="45" t="s">
        <v>103</v>
      </c>
      <c r="B50" s="46">
        <v>1000000000</v>
      </c>
      <c r="C50" s="46">
        <v>1000000000</v>
      </c>
      <c r="D50" s="47">
        <v>0</v>
      </c>
      <c r="E50" s="47">
        <v>0</v>
      </c>
      <c r="F50" s="47">
        <v>0</v>
      </c>
      <c r="G50" s="46">
        <v>1000000000</v>
      </c>
      <c r="H50" s="47">
        <v>0</v>
      </c>
      <c r="I50" s="48" t="s">
        <v>97</v>
      </c>
      <c r="J50" s="48" t="s">
        <v>9</v>
      </c>
    </row>
    <row r="51" spans="1:10" ht="13.15" x14ac:dyDescent="0.4">
      <c r="A51" s="45" t="s">
        <v>104</v>
      </c>
      <c r="B51" s="46">
        <v>2500000000</v>
      </c>
      <c r="C51" s="46">
        <v>2500000000</v>
      </c>
      <c r="D51" s="47">
        <v>0</v>
      </c>
      <c r="E51" s="47">
        <v>0</v>
      </c>
      <c r="F51" s="47">
        <v>0</v>
      </c>
      <c r="G51" s="46">
        <v>2500000000</v>
      </c>
      <c r="H51" s="47">
        <v>0</v>
      </c>
      <c r="I51" s="48" t="s">
        <v>97</v>
      </c>
      <c r="J51" s="48" t="s">
        <v>9</v>
      </c>
    </row>
    <row r="52" spans="1:10" ht="13.15" x14ac:dyDescent="0.4">
      <c r="A52" s="45" t="s">
        <v>105</v>
      </c>
      <c r="B52" s="46">
        <v>250000000</v>
      </c>
      <c r="C52" s="46">
        <v>250000000</v>
      </c>
      <c r="D52" s="47">
        <v>0</v>
      </c>
      <c r="E52" s="47">
        <v>0</v>
      </c>
      <c r="F52" s="47">
        <v>0</v>
      </c>
      <c r="G52" s="46">
        <v>250000000</v>
      </c>
      <c r="H52" s="47">
        <v>0</v>
      </c>
      <c r="I52" s="48" t="s">
        <v>97</v>
      </c>
      <c r="J52" s="48" t="s">
        <v>9</v>
      </c>
    </row>
    <row r="53" spans="1:10" ht="13.15" x14ac:dyDescent="0.4">
      <c r="A53" s="45" t="s">
        <v>106</v>
      </c>
      <c r="B53" s="46">
        <v>6850000000</v>
      </c>
      <c r="C53" s="46">
        <v>6850000000</v>
      </c>
      <c r="D53" s="47">
        <v>0</v>
      </c>
      <c r="E53" s="46">
        <v>207269960</v>
      </c>
      <c r="F53" s="46">
        <v>207269960</v>
      </c>
      <c r="G53" s="46">
        <v>6642730040</v>
      </c>
      <c r="H53" s="47">
        <v>0</v>
      </c>
      <c r="I53" s="48" t="s">
        <v>97</v>
      </c>
      <c r="J53" s="48" t="s">
        <v>9</v>
      </c>
    </row>
    <row r="54" spans="1:10" ht="13.15" x14ac:dyDescent="0.4">
      <c r="A54" s="45" t="s">
        <v>107</v>
      </c>
      <c r="B54" s="46">
        <v>2620000000</v>
      </c>
      <c r="C54" s="46">
        <v>2620000000</v>
      </c>
      <c r="D54" s="46">
        <v>113020000</v>
      </c>
      <c r="E54" s="46">
        <v>69000000</v>
      </c>
      <c r="F54" s="46">
        <v>182020000</v>
      </c>
      <c r="G54" s="46">
        <v>2437980000</v>
      </c>
      <c r="H54" s="47">
        <v>0</v>
      </c>
      <c r="I54" s="48" t="s">
        <v>97</v>
      </c>
      <c r="J54" s="48" t="s">
        <v>21</v>
      </c>
    </row>
    <row r="55" spans="1:10" ht="13.15" x14ac:dyDescent="0.4">
      <c r="A55" s="45" t="s">
        <v>108</v>
      </c>
      <c r="B55" s="46">
        <v>750000000</v>
      </c>
      <c r="C55" s="46">
        <v>750000000</v>
      </c>
      <c r="D55" s="47">
        <v>0</v>
      </c>
      <c r="E55" s="47">
        <v>0</v>
      </c>
      <c r="F55" s="47">
        <v>0</v>
      </c>
      <c r="G55" s="46">
        <v>750000000</v>
      </c>
      <c r="H55" s="47">
        <v>0</v>
      </c>
      <c r="I55" s="48" t="s">
        <v>97</v>
      </c>
      <c r="J55" s="48" t="s">
        <v>21</v>
      </c>
    </row>
    <row r="56" spans="1:10" ht="13.15" x14ac:dyDescent="0.4">
      <c r="A56" s="45" t="s">
        <v>109</v>
      </c>
      <c r="B56" s="46">
        <v>500000000</v>
      </c>
      <c r="C56" s="46">
        <v>500000000</v>
      </c>
      <c r="D56" s="47">
        <v>0</v>
      </c>
      <c r="E56" s="47">
        <v>0</v>
      </c>
      <c r="F56" s="47">
        <v>0</v>
      </c>
      <c r="G56" s="46">
        <v>500000000</v>
      </c>
      <c r="H56" s="47">
        <v>0</v>
      </c>
      <c r="I56" s="48" t="s">
        <v>97</v>
      </c>
      <c r="J56" s="48" t="s">
        <v>21</v>
      </c>
    </row>
    <row r="57" spans="1:10" ht="13.15" x14ac:dyDescent="0.4">
      <c r="A57" s="45" t="s">
        <v>110</v>
      </c>
      <c r="B57" s="46">
        <v>2500000000</v>
      </c>
      <c r="C57" s="46">
        <v>2500000000</v>
      </c>
      <c r="D57" s="47">
        <v>0</v>
      </c>
      <c r="E57" s="47">
        <v>0</v>
      </c>
      <c r="F57" s="47">
        <v>0</v>
      </c>
      <c r="G57" s="46">
        <v>2500000000</v>
      </c>
      <c r="H57" s="47">
        <v>0</v>
      </c>
      <c r="I57" s="48" t="s">
        <v>97</v>
      </c>
      <c r="J57" s="48" t="s">
        <v>21</v>
      </c>
    </row>
    <row r="58" spans="1:10" ht="13.15" x14ac:dyDescent="0.4">
      <c r="A58" s="45" t="s">
        <v>73</v>
      </c>
      <c r="B58" s="46">
        <v>400000000</v>
      </c>
      <c r="C58" s="46">
        <v>300000000</v>
      </c>
      <c r="D58" s="47">
        <v>0</v>
      </c>
      <c r="E58" s="47">
        <v>0</v>
      </c>
      <c r="F58" s="47">
        <v>0</v>
      </c>
      <c r="G58" s="46">
        <v>300000000</v>
      </c>
      <c r="H58" s="46">
        <v>100000000</v>
      </c>
      <c r="I58" s="48" t="s">
        <v>97</v>
      </c>
      <c r="J58" s="48" t="s">
        <v>23</v>
      </c>
    </row>
    <row r="59" spans="1:10" ht="13.15" x14ac:dyDescent="0.4">
      <c r="A59" s="45" t="s">
        <v>111</v>
      </c>
      <c r="B59" s="46">
        <v>180000150</v>
      </c>
      <c r="C59" s="46">
        <v>180000150</v>
      </c>
      <c r="D59" s="46">
        <v>28710000</v>
      </c>
      <c r="E59" s="47">
        <v>0</v>
      </c>
      <c r="F59" s="46">
        <v>28710000</v>
      </c>
      <c r="G59" s="46">
        <v>151290150</v>
      </c>
      <c r="H59" s="47">
        <v>0</v>
      </c>
      <c r="I59" s="48" t="s">
        <v>97</v>
      </c>
      <c r="J59" s="48" t="s">
        <v>22</v>
      </c>
    </row>
    <row r="60" spans="1:10" ht="13.15" x14ac:dyDescent="0.4">
      <c r="A60" s="45" t="s">
        <v>112</v>
      </c>
      <c r="B60" s="46">
        <v>3500000000</v>
      </c>
      <c r="C60" s="46">
        <v>3500000000</v>
      </c>
      <c r="D60" s="47">
        <v>0</v>
      </c>
      <c r="E60" s="46">
        <v>466659980</v>
      </c>
      <c r="F60" s="46">
        <v>466659980</v>
      </c>
      <c r="G60" s="46">
        <v>3033340020</v>
      </c>
      <c r="H60" s="47">
        <v>0</v>
      </c>
      <c r="I60" s="48" t="s">
        <v>97</v>
      </c>
      <c r="J60" s="48" t="s">
        <v>26</v>
      </c>
    </row>
    <row r="61" spans="1:10" ht="13.15" x14ac:dyDescent="0.4">
      <c r="A61" s="45" t="s">
        <v>76</v>
      </c>
      <c r="B61" s="46">
        <v>556000000</v>
      </c>
      <c r="C61" s="46">
        <v>417000000</v>
      </c>
      <c r="D61" s="46">
        <v>30265575</v>
      </c>
      <c r="E61" s="46">
        <v>27969350</v>
      </c>
      <c r="F61" s="46">
        <v>58234925</v>
      </c>
      <c r="G61" s="46">
        <v>358765075</v>
      </c>
      <c r="H61" s="46">
        <v>139000000</v>
      </c>
      <c r="I61" s="48" t="s">
        <v>97</v>
      </c>
      <c r="J61" s="48" t="s">
        <v>25</v>
      </c>
    </row>
    <row r="62" spans="1:10" ht="13.15" x14ac:dyDescent="0.4">
      <c r="A62" s="45" t="s">
        <v>77</v>
      </c>
      <c r="B62" s="46">
        <v>446900000</v>
      </c>
      <c r="C62" s="46">
        <v>335175000</v>
      </c>
      <c r="D62" s="46">
        <v>49943816</v>
      </c>
      <c r="E62" s="46">
        <v>29488600</v>
      </c>
      <c r="F62" s="46">
        <v>79432416</v>
      </c>
      <c r="G62" s="46">
        <v>255742584</v>
      </c>
      <c r="H62" s="46">
        <v>111725000</v>
      </c>
      <c r="I62" s="48" t="s">
        <v>97</v>
      </c>
      <c r="J62" s="48" t="s">
        <v>25</v>
      </c>
    </row>
    <row r="63" spans="1:10" ht="13.15" x14ac:dyDescent="0.4">
      <c r="A63" s="45" t="s">
        <v>78</v>
      </c>
      <c r="B63" s="46">
        <v>195000000</v>
      </c>
      <c r="C63" s="46">
        <v>195000000</v>
      </c>
      <c r="D63" s="47">
        <v>0</v>
      </c>
      <c r="E63" s="46">
        <v>31957500</v>
      </c>
      <c r="F63" s="46">
        <v>31957500</v>
      </c>
      <c r="G63" s="46">
        <v>163042500</v>
      </c>
      <c r="H63" s="47">
        <v>0</v>
      </c>
      <c r="I63" s="48" t="s">
        <v>97</v>
      </c>
      <c r="J63" s="48" t="s">
        <v>25</v>
      </c>
    </row>
    <row r="64" spans="1:10" ht="13.15" x14ac:dyDescent="0.4">
      <c r="A64" s="45" t="s">
        <v>79</v>
      </c>
      <c r="B64" s="46">
        <v>810806000</v>
      </c>
      <c r="C64" s="46">
        <v>608104500</v>
      </c>
      <c r="D64" s="47">
        <v>0</v>
      </c>
      <c r="E64" s="47">
        <v>0</v>
      </c>
      <c r="F64" s="47">
        <v>0</v>
      </c>
      <c r="G64" s="46">
        <v>608104500</v>
      </c>
      <c r="H64" s="46">
        <v>202701500</v>
      </c>
      <c r="I64" s="48" t="s">
        <v>97</v>
      </c>
      <c r="J64" s="48" t="s">
        <v>25</v>
      </c>
    </row>
    <row r="65" spans="1:10" ht="13.15" x14ac:dyDescent="0.4">
      <c r="A65" s="45" t="s">
        <v>80</v>
      </c>
      <c r="B65" s="47">
        <v>0</v>
      </c>
      <c r="C65" s="47">
        <v>0</v>
      </c>
      <c r="D65" s="47">
        <v>0</v>
      </c>
      <c r="E65" s="47">
        <v>0</v>
      </c>
      <c r="F65" s="47">
        <v>0</v>
      </c>
      <c r="G65" s="47">
        <v>0</v>
      </c>
      <c r="H65" s="47">
        <v>0</v>
      </c>
      <c r="I65" s="48" t="s">
        <v>97</v>
      </c>
      <c r="J65" s="48" t="s">
        <v>25</v>
      </c>
    </row>
    <row r="66" spans="1:10" ht="13.15" x14ac:dyDescent="0.4">
      <c r="A66" s="45" t="s">
        <v>81</v>
      </c>
      <c r="B66" s="46">
        <v>472300000</v>
      </c>
      <c r="C66" s="46">
        <v>354225000</v>
      </c>
      <c r="D66" s="47">
        <v>0</v>
      </c>
      <c r="E66" s="46">
        <v>80369250</v>
      </c>
      <c r="F66" s="46">
        <v>80369250</v>
      </c>
      <c r="G66" s="46">
        <v>273855750</v>
      </c>
      <c r="H66" s="46">
        <v>118075000</v>
      </c>
      <c r="I66" s="48" t="s">
        <v>97</v>
      </c>
      <c r="J66" s="48" t="s">
        <v>25</v>
      </c>
    </row>
    <row r="67" spans="1:10" ht="13.15" x14ac:dyDescent="0.4">
      <c r="A67" s="45" t="s">
        <v>82</v>
      </c>
      <c r="B67" s="46">
        <v>80000000</v>
      </c>
      <c r="C67" s="46">
        <v>80000000</v>
      </c>
      <c r="D67" s="46">
        <v>35332700</v>
      </c>
      <c r="E67" s="47">
        <v>0</v>
      </c>
      <c r="F67" s="46">
        <v>35332700</v>
      </c>
      <c r="G67" s="46">
        <v>44667300</v>
      </c>
      <c r="H67" s="47">
        <v>0</v>
      </c>
      <c r="I67" s="48" t="s">
        <v>97</v>
      </c>
      <c r="J67" s="48" t="s">
        <v>25</v>
      </c>
    </row>
    <row r="68" spans="1:10" ht="13.15" x14ac:dyDescent="0.4">
      <c r="A68" s="45" t="s">
        <v>113</v>
      </c>
      <c r="B68" s="47">
        <v>0</v>
      </c>
      <c r="C68" s="47">
        <v>0</v>
      </c>
      <c r="D68" s="47">
        <v>0</v>
      </c>
      <c r="E68" s="46">
        <v>12636872</v>
      </c>
      <c r="F68" s="46">
        <v>12636872</v>
      </c>
      <c r="G68" s="46">
        <v>-12636872</v>
      </c>
      <c r="H68" s="47">
        <v>0</v>
      </c>
      <c r="I68" s="48" t="s">
        <v>97</v>
      </c>
      <c r="J68" s="48" t="s">
        <v>84</v>
      </c>
    </row>
    <row r="69" spans="1:10" ht="13.15" x14ac:dyDescent="0.4">
      <c r="A69" s="45" t="s">
        <v>83</v>
      </c>
      <c r="B69" s="46">
        <v>22931607229</v>
      </c>
      <c r="C69" s="46">
        <v>22931607229</v>
      </c>
      <c r="D69" s="47">
        <v>0</v>
      </c>
      <c r="E69" s="46">
        <v>3274220056</v>
      </c>
      <c r="F69" s="46">
        <v>3274220056</v>
      </c>
      <c r="G69" s="46">
        <v>19657387173</v>
      </c>
      <c r="H69" s="47">
        <v>0</v>
      </c>
      <c r="I69" s="48" t="s">
        <v>97</v>
      </c>
      <c r="J69" s="48" t="s">
        <v>84</v>
      </c>
    </row>
    <row r="70" spans="1:10" ht="13.15" x14ac:dyDescent="0.4">
      <c r="A70" s="45" t="s">
        <v>85</v>
      </c>
      <c r="B70" s="46">
        <v>604955157</v>
      </c>
      <c r="C70" s="46">
        <v>604955157</v>
      </c>
      <c r="D70" s="47">
        <v>0</v>
      </c>
      <c r="E70" s="46">
        <v>87915397</v>
      </c>
      <c r="F70" s="46">
        <v>87915397</v>
      </c>
      <c r="G70" s="46">
        <v>517039760</v>
      </c>
      <c r="H70" s="47">
        <v>0</v>
      </c>
      <c r="I70" s="48" t="s">
        <v>97</v>
      </c>
      <c r="J70" s="48" t="s">
        <v>84</v>
      </c>
    </row>
    <row r="71" spans="1:10" ht="13.15" x14ac:dyDescent="0.4">
      <c r="A71" s="45" t="s">
        <v>86</v>
      </c>
      <c r="B71" s="46">
        <v>20967421530</v>
      </c>
      <c r="C71" s="46">
        <v>20967421530</v>
      </c>
      <c r="D71" s="47">
        <v>0</v>
      </c>
      <c r="E71" s="46">
        <v>3699485886</v>
      </c>
      <c r="F71" s="46">
        <v>3699485886</v>
      </c>
      <c r="G71" s="46">
        <v>17267935644</v>
      </c>
      <c r="H71" s="47">
        <v>0</v>
      </c>
      <c r="I71" s="48" t="s">
        <v>97</v>
      </c>
      <c r="J71" s="48" t="s">
        <v>84</v>
      </c>
    </row>
    <row r="72" spans="1:10" ht="13.15" x14ac:dyDescent="0.4">
      <c r="A72" s="45" t="s">
        <v>87</v>
      </c>
      <c r="B72" s="46">
        <v>105616131</v>
      </c>
      <c r="C72" s="46">
        <v>105616131</v>
      </c>
      <c r="D72" s="47">
        <v>0</v>
      </c>
      <c r="E72" s="47">
        <v>0</v>
      </c>
      <c r="F72" s="47">
        <v>0</v>
      </c>
      <c r="G72" s="46">
        <v>105616131</v>
      </c>
      <c r="H72" s="47">
        <v>0</v>
      </c>
      <c r="I72" s="48" t="s">
        <v>97</v>
      </c>
      <c r="J72" s="48" t="s">
        <v>84</v>
      </c>
    </row>
    <row r="73" spans="1:10" ht="13.15" x14ac:dyDescent="0.4">
      <c r="A73" s="45" t="s">
        <v>88</v>
      </c>
      <c r="B73" s="46">
        <v>1649426585</v>
      </c>
      <c r="C73" s="46">
        <v>1649426585</v>
      </c>
      <c r="D73" s="47">
        <v>0</v>
      </c>
      <c r="E73" s="46">
        <v>258896079</v>
      </c>
      <c r="F73" s="46">
        <v>258896079</v>
      </c>
      <c r="G73" s="46">
        <v>1390530506</v>
      </c>
      <c r="H73" s="47">
        <v>0</v>
      </c>
      <c r="I73" s="48" t="s">
        <v>97</v>
      </c>
      <c r="J73" s="48" t="s">
        <v>84</v>
      </c>
    </row>
    <row r="74" spans="1:10" ht="13.15" x14ac:dyDescent="0.4">
      <c r="A74" s="45" t="s">
        <v>89</v>
      </c>
      <c r="B74" s="46">
        <v>53660123</v>
      </c>
      <c r="C74" s="46">
        <v>53660123</v>
      </c>
      <c r="D74" s="47">
        <v>0</v>
      </c>
      <c r="E74" s="46">
        <v>10936488</v>
      </c>
      <c r="F74" s="46">
        <v>10936488</v>
      </c>
      <c r="G74" s="46">
        <v>42723635</v>
      </c>
      <c r="H74" s="47">
        <v>0</v>
      </c>
      <c r="I74" s="48" t="s">
        <v>97</v>
      </c>
      <c r="J74" s="48" t="s">
        <v>84</v>
      </c>
    </row>
    <row r="75" spans="1:10" ht="13.15" x14ac:dyDescent="0.4">
      <c r="A75" s="45" t="s">
        <v>90</v>
      </c>
      <c r="B75" s="46">
        <v>1937118528</v>
      </c>
      <c r="C75" s="46">
        <v>1937118528</v>
      </c>
      <c r="D75" s="47">
        <v>0</v>
      </c>
      <c r="E75" s="46">
        <v>388851818</v>
      </c>
      <c r="F75" s="46">
        <v>388851818</v>
      </c>
      <c r="G75" s="46">
        <v>1548266710</v>
      </c>
      <c r="H75" s="47">
        <v>0</v>
      </c>
      <c r="I75" s="48" t="s">
        <v>97</v>
      </c>
      <c r="J75" s="48" t="s">
        <v>84</v>
      </c>
    </row>
    <row r="76" spans="1:10" ht="13.15" x14ac:dyDescent="0.4">
      <c r="A76" s="45" t="s">
        <v>91</v>
      </c>
      <c r="B76" s="46">
        <v>3850588</v>
      </c>
      <c r="C76" s="46">
        <v>3850588</v>
      </c>
      <c r="D76" s="47">
        <v>0</v>
      </c>
      <c r="E76" s="47">
        <v>0</v>
      </c>
      <c r="F76" s="47">
        <v>0</v>
      </c>
      <c r="G76" s="46">
        <v>3850588</v>
      </c>
      <c r="H76" s="47">
        <v>0</v>
      </c>
      <c r="I76" s="48" t="s">
        <v>97</v>
      </c>
      <c r="J76" s="48" t="s">
        <v>84</v>
      </c>
    </row>
    <row r="77" spans="1:10" ht="13.15" x14ac:dyDescent="0.4">
      <c r="A77" s="45" t="s">
        <v>114</v>
      </c>
      <c r="B77" s="47">
        <v>0</v>
      </c>
      <c r="C77" s="47">
        <v>0</v>
      </c>
      <c r="D77" s="47">
        <v>0</v>
      </c>
      <c r="E77" s="46">
        <v>416016</v>
      </c>
      <c r="F77" s="46">
        <v>416016</v>
      </c>
      <c r="G77" s="46">
        <v>-416016</v>
      </c>
      <c r="H77" s="47">
        <v>0</v>
      </c>
      <c r="I77" s="48" t="s">
        <v>97</v>
      </c>
      <c r="J77" s="48" t="s">
        <v>84</v>
      </c>
    </row>
    <row r="78" spans="1:10" ht="13.15" x14ac:dyDescent="0.4">
      <c r="A78" s="49" t="s">
        <v>115</v>
      </c>
      <c r="B78" s="50">
        <v>111569311691</v>
      </c>
      <c r="C78" s="50">
        <v>110897810191</v>
      </c>
      <c r="D78" s="50">
        <v>19485987003</v>
      </c>
      <c r="E78" s="50">
        <v>9035977927</v>
      </c>
      <c r="F78" s="50">
        <v>28521964930</v>
      </c>
      <c r="G78" s="50">
        <v>82375845261</v>
      </c>
      <c r="H78" s="50">
        <v>671501500</v>
      </c>
      <c r="I78" s="51" t="s">
        <v>97</v>
      </c>
      <c r="J78" s="51" t="e">
        <v>#N/A</v>
      </c>
    </row>
    <row r="79" spans="1:10" ht="13.15" x14ac:dyDescent="0.4">
      <c r="A79" s="45" t="s">
        <v>59</v>
      </c>
      <c r="B79" s="46">
        <v>4044107500</v>
      </c>
      <c r="C79" s="46">
        <v>4044107500</v>
      </c>
      <c r="D79" s="46">
        <v>644350000</v>
      </c>
      <c r="E79" s="46">
        <v>585361000</v>
      </c>
      <c r="F79" s="46">
        <v>1229711000</v>
      </c>
      <c r="G79" s="46">
        <v>2814396500</v>
      </c>
      <c r="H79" s="47">
        <v>0</v>
      </c>
      <c r="I79" s="48" t="s">
        <v>116</v>
      </c>
      <c r="J79" s="48" t="s">
        <v>9</v>
      </c>
    </row>
    <row r="80" spans="1:10" ht="13.15" x14ac:dyDescent="0.4">
      <c r="A80" s="45" t="s">
        <v>117</v>
      </c>
      <c r="B80" s="47">
        <v>0</v>
      </c>
      <c r="C80" s="47">
        <v>0</v>
      </c>
      <c r="D80" s="47">
        <v>0</v>
      </c>
      <c r="E80" s="46">
        <v>-2900000</v>
      </c>
      <c r="F80" s="46">
        <v>-2900000</v>
      </c>
      <c r="G80" s="46">
        <v>2900000</v>
      </c>
      <c r="H80" s="47">
        <v>0</v>
      </c>
      <c r="I80" s="48" t="s">
        <v>116</v>
      </c>
      <c r="J80" s="48" t="s">
        <v>84</v>
      </c>
    </row>
    <row r="81" spans="1:10" ht="13.15" x14ac:dyDescent="0.4">
      <c r="A81" s="45" t="s">
        <v>69</v>
      </c>
      <c r="B81" s="46">
        <v>1657269514</v>
      </c>
      <c r="C81" s="46">
        <v>1657269514</v>
      </c>
      <c r="D81" s="46">
        <v>40500000</v>
      </c>
      <c r="E81" s="46">
        <v>84698600</v>
      </c>
      <c r="F81" s="46">
        <v>125198600</v>
      </c>
      <c r="G81" s="46">
        <v>1532070914</v>
      </c>
      <c r="H81" s="47">
        <v>0</v>
      </c>
      <c r="I81" s="48" t="s">
        <v>116</v>
      </c>
      <c r="J81" s="48" t="s">
        <v>9</v>
      </c>
    </row>
    <row r="82" spans="1:10" ht="13.15" x14ac:dyDescent="0.4">
      <c r="A82" s="45" t="s">
        <v>70</v>
      </c>
      <c r="B82" s="46">
        <v>30639775739</v>
      </c>
      <c r="C82" s="46">
        <v>30639775739</v>
      </c>
      <c r="D82" s="46">
        <v>16506987418</v>
      </c>
      <c r="E82" s="46">
        <v>7766359971</v>
      </c>
      <c r="F82" s="46">
        <v>24273347389</v>
      </c>
      <c r="G82" s="46">
        <v>6366428350</v>
      </c>
      <c r="H82" s="47">
        <v>0</v>
      </c>
      <c r="I82" s="48" t="s">
        <v>116</v>
      </c>
      <c r="J82" s="48" t="s">
        <v>9</v>
      </c>
    </row>
    <row r="83" spans="1:10" ht="13.15" x14ac:dyDescent="0.4">
      <c r="A83" s="45" t="s">
        <v>118</v>
      </c>
      <c r="B83" s="46">
        <v>288221000</v>
      </c>
      <c r="C83" s="46">
        <v>288221000</v>
      </c>
      <c r="D83" s="47">
        <v>0</v>
      </c>
      <c r="E83" s="47">
        <v>0</v>
      </c>
      <c r="F83" s="47">
        <v>0</v>
      </c>
      <c r="G83" s="46">
        <v>288221000</v>
      </c>
      <c r="H83" s="47">
        <v>0</v>
      </c>
      <c r="I83" s="48" t="s">
        <v>116</v>
      </c>
      <c r="J83" s="48" t="s">
        <v>9</v>
      </c>
    </row>
    <row r="84" spans="1:10" ht="13.15" x14ac:dyDescent="0.4">
      <c r="A84" s="45" t="s">
        <v>119</v>
      </c>
      <c r="B84" s="46">
        <v>593000000</v>
      </c>
      <c r="C84" s="46">
        <v>593000000</v>
      </c>
      <c r="D84" s="47">
        <v>0</v>
      </c>
      <c r="E84" s="47">
        <v>0</v>
      </c>
      <c r="F84" s="47">
        <v>0</v>
      </c>
      <c r="G84" s="46">
        <v>593000000</v>
      </c>
      <c r="H84" s="47">
        <v>0</v>
      </c>
      <c r="I84" s="48" t="s">
        <v>116</v>
      </c>
      <c r="J84" s="48" t="s">
        <v>9</v>
      </c>
    </row>
    <row r="85" spans="1:10" ht="13.15" x14ac:dyDescent="0.4">
      <c r="A85" s="45" t="s">
        <v>120</v>
      </c>
      <c r="B85" s="46">
        <v>1210765056</v>
      </c>
      <c r="C85" s="46">
        <v>1210765056</v>
      </c>
      <c r="D85" s="47">
        <v>0</v>
      </c>
      <c r="E85" s="46">
        <v>101534440</v>
      </c>
      <c r="F85" s="46">
        <v>101534440</v>
      </c>
      <c r="G85" s="46">
        <v>1109230616</v>
      </c>
      <c r="H85" s="47">
        <v>0</v>
      </c>
      <c r="I85" s="48" t="s">
        <v>116</v>
      </c>
      <c r="J85" s="48" t="s">
        <v>9</v>
      </c>
    </row>
    <row r="86" spans="1:10" ht="13.15" x14ac:dyDescent="0.4">
      <c r="A86" s="45" t="s">
        <v>121</v>
      </c>
      <c r="B86" s="46">
        <v>720219728</v>
      </c>
      <c r="C86" s="46">
        <v>720219728</v>
      </c>
      <c r="D86" s="47">
        <v>0</v>
      </c>
      <c r="E86" s="46">
        <v>396500562</v>
      </c>
      <c r="F86" s="46">
        <v>396500562</v>
      </c>
      <c r="G86" s="46">
        <v>323719166</v>
      </c>
      <c r="H86" s="47">
        <v>0</v>
      </c>
      <c r="I86" s="48" t="s">
        <v>116</v>
      </c>
      <c r="J86" s="48" t="s">
        <v>9</v>
      </c>
    </row>
    <row r="87" spans="1:10" ht="13.15" x14ac:dyDescent="0.4">
      <c r="A87" s="45" t="s">
        <v>122</v>
      </c>
      <c r="B87" s="46">
        <v>2796520000</v>
      </c>
      <c r="C87" s="46">
        <v>2796520000</v>
      </c>
      <c r="D87" s="46">
        <v>437704607</v>
      </c>
      <c r="E87" s="46">
        <v>541996241</v>
      </c>
      <c r="F87" s="46">
        <v>979700848</v>
      </c>
      <c r="G87" s="46">
        <v>1816819152</v>
      </c>
      <c r="H87" s="47">
        <v>0</v>
      </c>
      <c r="I87" s="48" t="s">
        <v>116</v>
      </c>
      <c r="J87" s="48" t="s">
        <v>9</v>
      </c>
    </row>
    <row r="88" spans="1:10" ht="13.15" x14ac:dyDescent="0.4">
      <c r="A88" s="45" t="s">
        <v>72</v>
      </c>
      <c r="B88" s="46">
        <v>231587382</v>
      </c>
      <c r="C88" s="46">
        <v>231587382</v>
      </c>
      <c r="D88" s="47">
        <v>0</v>
      </c>
      <c r="E88" s="47">
        <v>0</v>
      </c>
      <c r="F88" s="47">
        <v>0</v>
      </c>
      <c r="G88" s="46">
        <v>231587382</v>
      </c>
      <c r="H88" s="47">
        <v>0</v>
      </c>
      <c r="I88" s="48" t="s">
        <v>116</v>
      </c>
      <c r="J88" s="48" t="s">
        <v>21</v>
      </c>
    </row>
    <row r="89" spans="1:10" ht="13.15" x14ac:dyDescent="0.4">
      <c r="A89" s="45" t="s">
        <v>123</v>
      </c>
      <c r="B89" s="46">
        <v>180831882</v>
      </c>
      <c r="C89" s="46">
        <v>180831882</v>
      </c>
      <c r="D89" s="47">
        <v>0</v>
      </c>
      <c r="E89" s="47">
        <v>0</v>
      </c>
      <c r="F89" s="47">
        <v>0</v>
      </c>
      <c r="G89" s="46">
        <v>180831882</v>
      </c>
      <c r="H89" s="47">
        <v>0</v>
      </c>
      <c r="I89" s="48" t="s">
        <v>116</v>
      </c>
      <c r="J89" s="48" t="s">
        <v>21</v>
      </c>
    </row>
    <row r="90" spans="1:10" ht="13.15" x14ac:dyDescent="0.4">
      <c r="A90" s="45" t="s">
        <v>124</v>
      </c>
      <c r="B90" s="46">
        <v>400000000</v>
      </c>
      <c r="C90" s="46">
        <v>400000000</v>
      </c>
      <c r="D90" s="47">
        <v>0</v>
      </c>
      <c r="E90" s="46">
        <v>52516373</v>
      </c>
      <c r="F90" s="46">
        <v>52516373</v>
      </c>
      <c r="G90" s="46">
        <v>347483627</v>
      </c>
      <c r="H90" s="47">
        <v>0</v>
      </c>
      <c r="I90" s="48" t="s">
        <v>116</v>
      </c>
      <c r="J90" s="48" t="s">
        <v>21</v>
      </c>
    </row>
    <row r="91" spans="1:10" ht="13.15" x14ac:dyDescent="0.4">
      <c r="A91" s="45" t="s">
        <v>125</v>
      </c>
      <c r="B91" s="46">
        <v>289155000</v>
      </c>
      <c r="C91" s="46">
        <v>289155000</v>
      </c>
      <c r="D91" s="47">
        <v>0</v>
      </c>
      <c r="E91" s="47">
        <v>0</v>
      </c>
      <c r="F91" s="47">
        <v>0</v>
      </c>
      <c r="G91" s="46">
        <v>289155000</v>
      </c>
      <c r="H91" s="47">
        <v>0</v>
      </c>
      <c r="I91" s="48" t="s">
        <v>116</v>
      </c>
      <c r="J91" s="48" t="s">
        <v>21</v>
      </c>
    </row>
    <row r="92" spans="1:10" ht="13.15" x14ac:dyDescent="0.4">
      <c r="A92" s="45" t="s">
        <v>126</v>
      </c>
      <c r="B92" s="46">
        <v>360000000</v>
      </c>
      <c r="C92" s="46">
        <v>360000000</v>
      </c>
      <c r="D92" s="46">
        <v>35470000</v>
      </c>
      <c r="E92" s="47">
        <v>0</v>
      </c>
      <c r="F92" s="46">
        <v>35470000</v>
      </c>
      <c r="G92" s="46">
        <v>324530000</v>
      </c>
      <c r="H92" s="47">
        <v>0</v>
      </c>
      <c r="I92" s="48" t="s">
        <v>116</v>
      </c>
      <c r="J92" s="48" t="s">
        <v>21</v>
      </c>
    </row>
    <row r="93" spans="1:10" ht="13.15" x14ac:dyDescent="0.4">
      <c r="A93" s="45" t="s">
        <v>127</v>
      </c>
      <c r="B93" s="46">
        <v>1710494400</v>
      </c>
      <c r="C93" s="46">
        <v>1710494400</v>
      </c>
      <c r="D93" s="46">
        <v>377862600</v>
      </c>
      <c r="E93" s="46">
        <v>38993000</v>
      </c>
      <c r="F93" s="46">
        <v>416855600</v>
      </c>
      <c r="G93" s="46">
        <v>1293638800</v>
      </c>
      <c r="H93" s="47">
        <v>0</v>
      </c>
      <c r="I93" s="48" t="s">
        <v>116</v>
      </c>
      <c r="J93" s="48" t="s">
        <v>21</v>
      </c>
    </row>
    <row r="94" spans="1:10" ht="13.15" x14ac:dyDescent="0.4">
      <c r="A94" s="45" t="s">
        <v>73</v>
      </c>
      <c r="B94" s="46">
        <v>200000000</v>
      </c>
      <c r="C94" s="46">
        <v>150000000</v>
      </c>
      <c r="D94" s="47">
        <v>0</v>
      </c>
      <c r="E94" s="46">
        <v>24488000</v>
      </c>
      <c r="F94" s="46">
        <v>24488000</v>
      </c>
      <c r="G94" s="46">
        <v>125512000</v>
      </c>
      <c r="H94" s="46">
        <v>50000000</v>
      </c>
      <c r="I94" s="48" t="s">
        <v>116</v>
      </c>
      <c r="J94" s="48" t="s">
        <v>23</v>
      </c>
    </row>
    <row r="95" spans="1:10" ht="13.15" x14ac:dyDescent="0.4">
      <c r="A95" s="45" t="s">
        <v>76</v>
      </c>
      <c r="B95" s="46">
        <v>559300000</v>
      </c>
      <c r="C95" s="46">
        <v>419475000</v>
      </c>
      <c r="D95" s="46">
        <v>30610000</v>
      </c>
      <c r="E95" s="46">
        <v>2008000</v>
      </c>
      <c r="F95" s="46">
        <v>32618000</v>
      </c>
      <c r="G95" s="46">
        <v>386857000</v>
      </c>
      <c r="H95" s="46">
        <v>139825000</v>
      </c>
      <c r="I95" s="48" t="s">
        <v>116</v>
      </c>
      <c r="J95" s="48" t="s">
        <v>25</v>
      </c>
    </row>
    <row r="96" spans="1:10" ht="13.15" x14ac:dyDescent="0.4">
      <c r="A96" s="45" t="s">
        <v>77</v>
      </c>
      <c r="B96" s="46">
        <v>341280000</v>
      </c>
      <c r="C96" s="46">
        <v>255960000</v>
      </c>
      <c r="D96" s="46">
        <v>19700000</v>
      </c>
      <c r="E96" s="46">
        <v>27200000</v>
      </c>
      <c r="F96" s="46">
        <v>46900000</v>
      </c>
      <c r="G96" s="46">
        <v>209060000</v>
      </c>
      <c r="H96" s="46">
        <v>85320000</v>
      </c>
      <c r="I96" s="48" t="s">
        <v>116</v>
      </c>
      <c r="J96" s="48" t="s">
        <v>25</v>
      </c>
    </row>
    <row r="97" spans="1:10" ht="13.15" x14ac:dyDescent="0.4">
      <c r="A97" s="45" t="s">
        <v>78</v>
      </c>
      <c r="B97" s="46">
        <v>138000000</v>
      </c>
      <c r="C97" s="46">
        <v>138000000</v>
      </c>
      <c r="D97" s="47">
        <v>0</v>
      </c>
      <c r="E97" s="46">
        <v>23000000</v>
      </c>
      <c r="F97" s="46">
        <v>23000000</v>
      </c>
      <c r="G97" s="46">
        <v>115000000</v>
      </c>
      <c r="H97" s="47">
        <v>0</v>
      </c>
      <c r="I97" s="48" t="s">
        <v>116</v>
      </c>
      <c r="J97" s="48" t="s">
        <v>25</v>
      </c>
    </row>
    <row r="98" spans="1:10" ht="13.15" x14ac:dyDescent="0.4">
      <c r="A98" s="45" t="s">
        <v>79</v>
      </c>
      <c r="B98" s="46">
        <v>388800000</v>
      </c>
      <c r="C98" s="46">
        <v>291600000</v>
      </c>
      <c r="D98" s="47">
        <v>0</v>
      </c>
      <c r="E98" s="47">
        <v>0</v>
      </c>
      <c r="F98" s="47">
        <v>0</v>
      </c>
      <c r="G98" s="46">
        <v>291600000</v>
      </c>
      <c r="H98" s="46">
        <v>97200000</v>
      </c>
      <c r="I98" s="48" t="s">
        <v>116</v>
      </c>
      <c r="J98" s="48" t="s">
        <v>25</v>
      </c>
    </row>
    <row r="99" spans="1:10" ht="13.15" x14ac:dyDescent="0.4">
      <c r="A99" s="45" t="s">
        <v>80</v>
      </c>
      <c r="B99" s="46">
        <v>20000000</v>
      </c>
      <c r="C99" s="46">
        <v>15000000</v>
      </c>
      <c r="D99" s="47">
        <v>0</v>
      </c>
      <c r="E99" s="47">
        <v>0</v>
      </c>
      <c r="F99" s="47">
        <v>0</v>
      </c>
      <c r="G99" s="46">
        <v>15000000</v>
      </c>
      <c r="H99" s="46">
        <v>5000000</v>
      </c>
      <c r="I99" s="48" t="s">
        <v>116</v>
      </c>
      <c r="J99" s="48" t="s">
        <v>25</v>
      </c>
    </row>
    <row r="100" spans="1:10" ht="13.15" x14ac:dyDescent="0.4">
      <c r="A100" s="45" t="s">
        <v>81</v>
      </c>
      <c r="B100" s="46">
        <v>393410000</v>
      </c>
      <c r="C100" s="46">
        <v>295057500</v>
      </c>
      <c r="D100" s="47">
        <v>0</v>
      </c>
      <c r="E100" s="46">
        <v>79589000</v>
      </c>
      <c r="F100" s="46">
        <v>79589000</v>
      </c>
      <c r="G100" s="46">
        <v>215468500</v>
      </c>
      <c r="H100" s="46">
        <v>98352500</v>
      </c>
      <c r="I100" s="48" t="s">
        <v>116</v>
      </c>
      <c r="J100" s="48" t="s">
        <v>25</v>
      </c>
    </row>
    <row r="101" spans="1:10" ht="13.15" x14ac:dyDescent="0.4">
      <c r="A101" s="45" t="s">
        <v>82</v>
      </c>
      <c r="B101" s="46">
        <v>91080000</v>
      </c>
      <c r="C101" s="46">
        <v>91080000</v>
      </c>
      <c r="D101" s="47">
        <v>0</v>
      </c>
      <c r="E101" s="47">
        <v>0</v>
      </c>
      <c r="F101" s="47">
        <v>0</v>
      </c>
      <c r="G101" s="46">
        <v>91080000</v>
      </c>
      <c r="H101" s="47">
        <v>0</v>
      </c>
      <c r="I101" s="48" t="s">
        <v>116</v>
      </c>
      <c r="J101" s="48" t="s">
        <v>25</v>
      </c>
    </row>
    <row r="102" spans="1:10" ht="13.15" x14ac:dyDescent="0.4">
      <c r="A102" s="45" t="s">
        <v>128</v>
      </c>
      <c r="B102" s="47">
        <v>0</v>
      </c>
      <c r="C102" s="47">
        <v>0</v>
      </c>
      <c r="D102" s="47">
        <v>0</v>
      </c>
      <c r="E102" s="46">
        <v>120464821</v>
      </c>
      <c r="F102" s="46">
        <v>120464821</v>
      </c>
      <c r="G102" s="46">
        <v>-120464821</v>
      </c>
      <c r="H102" s="47">
        <v>0</v>
      </c>
      <c r="I102" s="48" t="s">
        <v>116</v>
      </c>
      <c r="J102" s="48" t="s">
        <v>84</v>
      </c>
    </row>
    <row r="103" spans="1:10" ht="13.15" x14ac:dyDescent="0.4">
      <c r="A103" s="45" t="s">
        <v>113</v>
      </c>
      <c r="B103" s="47">
        <v>0</v>
      </c>
      <c r="C103" s="47">
        <v>0</v>
      </c>
      <c r="D103" s="47">
        <v>0</v>
      </c>
      <c r="E103" s="46">
        <v>8227433</v>
      </c>
      <c r="F103" s="46">
        <v>8227433</v>
      </c>
      <c r="G103" s="46">
        <v>-8227433</v>
      </c>
      <c r="H103" s="47">
        <v>0</v>
      </c>
      <c r="I103" s="48" t="s">
        <v>116</v>
      </c>
      <c r="J103" s="48" t="s">
        <v>84</v>
      </c>
    </row>
    <row r="104" spans="1:10" ht="13.15" x14ac:dyDescent="0.4">
      <c r="A104" s="45" t="s">
        <v>129</v>
      </c>
      <c r="B104" s="47">
        <v>0</v>
      </c>
      <c r="C104" s="47">
        <v>0</v>
      </c>
      <c r="D104" s="47">
        <v>0</v>
      </c>
      <c r="E104" s="46">
        <v>491371</v>
      </c>
      <c r="F104" s="46">
        <v>491371</v>
      </c>
      <c r="G104" s="46">
        <v>-491371</v>
      </c>
      <c r="H104" s="47">
        <v>0</v>
      </c>
      <c r="I104" s="48" t="s">
        <v>116</v>
      </c>
      <c r="J104" s="48" t="s">
        <v>84</v>
      </c>
    </row>
    <row r="105" spans="1:10" ht="13.15" x14ac:dyDescent="0.4">
      <c r="A105" s="45" t="s">
        <v>83</v>
      </c>
      <c r="B105" s="46">
        <v>16223644853</v>
      </c>
      <c r="C105" s="46">
        <v>16223644853</v>
      </c>
      <c r="D105" s="47">
        <v>0</v>
      </c>
      <c r="E105" s="46">
        <v>2331815673</v>
      </c>
      <c r="F105" s="46">
        <v>2331815673</v>
      </c>
      <c r="G105" s="46">
        <v>13891829180</v>
      </c>
      <c r="H105" s="47">
        <v>0</v>
      </c>
      <c r="I105" s="48" t="s">
        <v>116</v>
      </c>
      <c r="J105" s="48" t="s">
        <v>84</v>
      </c>
    </row>
    <row r="106" spans="1:10" ht="13.15" x14ac:dyDescent="0.4">
      <c r="A106" s="45" t="s">
        <v>85</v>
      </c>
      <c r="B106" s="46">
        <v>201591062</v>
      </c>
      <c r="C106" s="46">
        <v>201591062</v>
      </c>
      <c r="D106" s="47">
        <v>0</v>
      </c>
      <c r="E106" s="46">
        <v>32984926</v>
      </c>
      <c r="F106" s="46">
        <v>32984926</v>
      </c>
      <c r="G106" s="46">
        <v>168606136</v>
      </c>
      <c r="H106" s="47">
        <v>0</v>
      </c>
      <c r="I106" s="48" t="s">
        <v>116</v>
      </c>
      <c r="J106" s="48" t="s">
        <v>84</v>
      </c>
    </row>
    <row r="107" spans="1:10" ht="13.15" x14ac:dyDescent="0.4">
      <c r="A107" s="45" t="s">
        <v>86</v>
      </c>
      <c r="B107" s="46">
        <v>14498179948</v>
      </c>
      <c r="C107" s="46">
        <v>14498179948</v>
      </c>
      <c r="D107" s="47">
        <v>0</v>
      </c>
      <c r="E107" s="46">
        <v>2681491751</v>
      </c>
      <c r="F107" s="46">
        <v>2681491751</v>
      </c>
      <c r="G107" s="46">
        <v>11816688197</v>
      </c>
      <c r="H107" s="47">
        <v>0</v>
      </c>
      <c r="I107" s="48" t="s">
        <v>116</v>
      </c>
      <c r="J107" s="48" t="s">
        <v>84</v>
      </c>
    </row>
    <row r="108" spans="1:10" ht="13.15" x14ac:dyDescent="0.4">
      <c r="A108" s="45" t="s">
        <v>87</v>
      </c>
      <c r="B108" s="46">
        <v>79212098</v>
      </c>
      <c r="C108" s="46">
        <v>79212098</v>
      </c>
      <c r="D108" s="47">
        <v>0</v>
      </c>
      <c r="E108" s="47">
        <v>0</v>
      </c>
      <c r="F108" s="47">
        <v>0</v>
      </c>
      <c r="G108" s="46">
        <v>79212098</v>
      </c>
      <c r="H108" s="47">
        <v>0</v>
      </c>
      <c r="I108" s="48" t="s">
        <v>116</v>
      </c>
      <c r="J108" s="48" t="s">
        <v>84</v>
      </c>
    </row>
    <row r="109" spans="1:10" ht="13.15" x14ac:dyDescent="0.4">
      <c r="A109" s="45" t="s">
        <v>88</v>
      </c>
      <c r="B109" s="46">
        <v>1964472996</v>
      </c>
      <c r="C109" s="46">
        <v>1964472996</v>
      </c>
      <c r="D109" s="47">
        <v>0</v>
      </c>
      <c r="E109" s="46">
        <v>195522638</v>
      </c>
      <c r="F109" s="46">
        <v>195522638</v>
      </c>
      <c r="G109" s="46">
        <v>1768950358</v>
      </c>
      <c r="H109" s="47">
        <v>0</v>
      </c>
      <c r="I109" s="48" t="s">
        <v>116</v>
      </c>
      <c r="J109" s="48" t="s">
        <v>84</v>
      </c>
    </row>
    <row r="110" spans="1:10" ht="13.15" x14ac:dyDescent="0.4">
      <c r="A110" s="45" t="s">
        <v>89</v>
      </c>
      <c r="B110" s="46">
        <v>40912616</v>
      </c>
      <c r="C110" s="46">
        <v>40912616</v>
      </c>
      <c r="D110" s="47">
        <v>0</v>
      </c>
      <c r="E110" s="46">
        <v>6685068</v>
      </c>
      <c r="F110" s="46">
        <v>6685068</v>
      </c>
      <c r="G110" s="46">
        <v>34227548</v>
      </c>
      <c r="H110" s="47">
        <v>0</v>
      </c>
      <c r="I110" s="48" t="s">
        <v>116</v>
      </c>
      <c r="J110" s="48" t="s">
        <v>84</v>
      </c>
    </row>
    <row r="111" spans="1:10" ht="13.15" x14ac:dyDescent="0.4">
      <c r="A111" s="45" t="s">
        <v>90</v>
      </c>
      <c r="B111" s="46">
        <v>1928660874</v>
      </c>
      <c r="C111" s="46">
        <v>1928660874</v>
      </c>
      <c r="D111" s="47">
        <v>0</v>
      </c>
      <c r="E111" s="46">
        <v>314922189</v>
      </c>
      <c r="F111" s="46">
        <v>314922189</v>
      </c>
      <c r="G111" s="46">
        <v>1613738685</v>
      </c>
      <c r="H111" s="47">
        <v>0</v>
      </c>
      <c r="I111" s="48" t="s">
        <v>116</v>
      </c>
      <c r="J111" s="48" t="s">
        <v>84</v>
      </c>
    </row>
    <row r="112" spans="1:10" ht="13.15" x14ac:dyDescent="0.4">
      <c r="A112" s="45" t="s">
        <v>91</v>
      </c>
      <c r="B112" s="46">
        <v>3850588</v>
      </c>
      <c r="C112" s="46">
        <v>3850588</v>
      </c>
      <c r="D112" s="47">
        <v>0</v>
      </c>
      <c r="E112" s="47">
        <v>0</v>
      </c>
      <c r="F112" s="47">
        <v>0</v>
      </c>
      <c r="G112" s="46">
        <v>3850588</v>
      </c>
      <c r="H112" s="47">
        <v>0</v>
      </c>
      <c r="I112" s="48" t="s">
        <v>116</v>
      </c>
      <c r="J112" s="48" t="s">
        <v>84</v>
      </c>
    </row>
    <row r="113" spans="1:10" ht="13.15" x14ac:dyDescent="0.4">
      <c r="A113" s="49" t="s">
        <v>130</v>
      </c>
      <c r="B113" s="50">
        <v>82194342236</v>
      </c>
      <c r="C113" s="50">
        <v>81718644736</v>
      </c>
      <c r="D113" s="50">
        <v>18093184625</v>
      </c>
      <c r="E113" s="50">
        <v>15413951057</v>
      </c>
      <c r="F113" s="50">
        <v>33507135682</v>
      </c>
      <c r="G113" s="50">
        <v>48211509054</v>
      </c>
      <c r="H113" s="50">
        <v>475697500</v>
      </c>
      <c r="I113" s="51" t="s">
        <v>116</v>
      </c>
      <c r="J113" s="51" t="e">
        <v>#N/A</v>
      </c>
    </row>
    <row r="114" spans="1:10" ht="13.15" x14ac:dyDescent="0.4">
      <c r="A114" s="45" t="s">
        <v>59</v>
      </c>
      <c r="B114" s="46">
        <v>8995670000</v>
      </c>
      <c r="C114" s="46">
        <v>8995670000</v>
      </c>
      <c r="D114" s="46">
        <v>7795034312</v>
      </c>
      <c r="E114" s="47">
        <v>0</v>
      </c>
      <c r="F114" s="46">
        <v>7795034312</v>
      </c>
      <c r="G114" s="46">
        <v>1200635688</v>
      </c>
      <c r="H114" s="47">
        <v>0</v>
      </c>
      <c r="I114" s="48" t="s">
        <v>131</v>
      </c>
      <c r="J114" s="48" t="s">
        <v>9</v>
      </c>
    </row>
    <row r="115" spans="1:10" ht="13.15" x14ac:dyDescent="0.4">
      <c r="A115" s="45" t="s">
        <v>63</v>
      </c>
      <c r="B115" s="46">
        <v>435680000</v>
      </c>
      <c r="C115" s="46">
        <v>435680000</v>
      </c>
      <c r="D115" s="46">
        <v>8607111</v>
      </c>
      <c r="E115" s="47">
        <v>0</v>
      </c>
      <c r="F115" s="46">
        <v>8607111</v>
      </c>
      <c r="G115" s="46">
        <v>427072889</v>
      </c>
      <c r="H115" s="47">
        <v>0</v>
      </c>
      <c r="I115" s="48" t="s">
        <v>131</v>
      </c>
      <c r="J115" s="48" t="s">
        <v>9</v>
      </c>
    </row>
    <row r="116" spans="1:10" ht="13.15" x14ac:dyDescent="0.4">
      <c r="A116" s="45" t="s">
        <v>101</v>
      </c>
      <c r="B116" s="46">
        <v>229890000</v>
      </c>
      <c r="C116" s="46">
        <v>229890000</v>
      </c>
      <c r="D116" s="47">
        <v>0</v>
      </c>
      <c r="E116" s="47">
        <v>0</v>
      </c>
      <c r="F116" s="47">
        <v>0</v>
      </c>
      <c r="G116" s="46">
        <v>229890000</v>
      </c>
      <c r="H116" s="47">
        <v>0</v>
      </c>
      <c r="I116" s="48" t="s">
        <v>131</v>
      </c>
      <c r="J116" s="48" t="s">
        <v>9</v>
      </c>
    </row>
    <row r="117" spans="1:10" ht="13.15" x14ac:dyDescent="0.4">
      <c r="A117" s="45" t="s">
        <v>102</v>
      </c>
      <c r="B117" s="46">
        <v>929147000</v>
      </c>
      <c r="C117" s="46">
        <v>929147000</v>
      </c>
      <c r="D117" s="46">
        <v>499421772</v>
      </c>
      <c r="E117" s="46">
        <v>6937290</v>
      </c>
      <c r="F117" s="46">
        <v>506359062</v>
      </c>
      <c r="G117" s="46">
        <v>422787938</v>
      </c>
      <c r="H117" s="47">
        <v>0</v>
      </c>
      <c r="I117" s="48" t="s">
        <v>131</v>
      </c>
      <c r="J117" s="48" t="s">
        <v>9</v>
      </c>
    </row>
    <row r="118" spans="1:10" ht="13.15" x14ac:dyDescent="0.4">
      <c r="A118" s="45" t="s">
        <v>64</v>
      </c>
      <c r="B118" s="46">
        <v>1200699000</v>
      </c>
      <c r="C118" s="46">
        <v>1200699000</v>
      </c>
      <c r="D118" s="47">
        <v>0</v>
      </c>
      <c r="E118" s="47">
        <v>0</v>
      </c>
      <c r="F118" s="47">
        <v>0</v>
      </c>
      <c r="G118" s="46">
        <v>1200699000</v>
      </c>
      <c r="H118" s="47">
        <v>0</v>
      </c>
      <c r="I118" s="48" t="s">
        <v>131</v>
      </c>
      <c r="J118" s="48" t="s">
        <v>9</v>
      </c>
    </row>
    <row r="119" spans="1:10" ht="13.15" x14ac:dyDescent="0.4">
      <c r="A119" s="45" t="s">
        <v>65</v>
      </c>
      <c r="B119" s="46">
        <v>818532000</v>
      </c>
      <c r="C119" s="46">
        <v>818532000</v>
      </c>
      <c r="D119" s="46">
        <v>283749760</v>
      </c>
      <c r="E119" s="47">
        <v>0</v>
      </c>
      <c r="F119" s="46">
        <v>283749760</v>
      </c>
      <c r="G119" s="46">
        <v>534782240</v>
      </c>
      <c r="H119" s="47">
        <v>0</v>
      </c>
      <c r="I119" s="48" t="s">
        <v>131</v>
      </c>
      <c r="J119" s="48" t="s">
        <v>9</v>
      </c>
    </row>
    <row r="120" spans="1:10" ht="13.15" x14ac:dyDescent="0.4">
      <c r="A120" s="45" t="s">
        <v>66</v>
      </c>
      <c r="B120" s="46">
        <v>4824864000</v>
      </c>
      <c r="C120" s="46">
        <v>4824864000</v>
      </c>
      <c r="D120" s="46">
        <v>4422334413</v>
      </c>
      <c r="E120" s="47">
        <v>0</v>
      </c>
      <c r="F120" s="46">
        <v>4422334413</v>
      </c>
      <c r="G120" s="46">
        <v>402529587</v>
      </c>
      <c r="H120" s="47">
        <v>0</v>
      </c>
      <c r="I120" s="48" t="s">
        <v>131</v>
      </c>
      <c r="J120" s="48" t="s">
        <v>9</v>
      </c>
    </row>
    <row r="121" spans="1:10" ht="13.15" x14ac:dyDescent="0.4">
      <c r="A121" s="45" t="s">
        <v>67</v>
      </c>
      <c r="B121" s="46">
        <v>1665000000</v>
      </c>
      <c r="C121" s="46">
        <v>1665000000</v>
      </c>
      <c r="D121" s="46">
        <v>261038644</v>
      </c>
      <c r="E121" s="46">
        <v>142557241</v>
      </c>
      <c r="F121" s="46">
        <v>403595885</v>
      </c>
      <c r="G121" s="46">
        <v>1261404115</v>
      </c>
      <c r="H121" s="47">
        <v>0</v>
      </c>
      <c r="I121" s="48" t="s">
        <v>131</v>
      </c>
      <c r="J121" s="48" t="s">
        <v>9</v>
      </c>
    </row>
    <row r="122" spans="1:10" ht="13.15" x14ac:dyDescent="0.4">
      <c r="A122" s="45" t="s">
        <v>103</v>
      </c>
      <c r="B122" s="46">
        <v>530067000</v>
      </c>
      <c r="C122" s="46">
        <v>530067000</v>
      </c>
      <c r="D122" s="47">
        <v>0</v>
      </c>
      <c r="E122" s="47">
        <v>0</v>
      </c>
      <c r="F122" s="47">
        <v>0</v>
      </c>
      <c r="G122" s="46">
        <v>530067000</v>
      </c>
      <c r="H122" s="47">
        <v>0</v>
      </c>
      <c r="I122" s="48" t="s">
        <v>131</v>
      </c>
      <c r="J122" s="48" t="s">
        <v>9</v>
      </c>
    </row>
    <row r="123" spans="1:10" ht="13.15" x14ac:dyDescent="0.4">
      <c r="A123" s="45" t="s">
        <v>104</v>
      </c>
      <c r="B123" s="46">
        <v>680000000</v>
      </c>
      <c r="C123" s="46">
        <v>680000000</v>
      </c>
      <c r="D123" s="46">
        <v>465720901</v>
      </c>
      <c r="E123" s="46">
        <v>49555233</v>
      </c>
      <c r="F123" s="46">
        <v>515276134</v>
      </c>
      <c r="G123" s="46">
        <v>164723866</v>
      </c>
      <c r="H123" s="47">
        <v>0</v>
      </c>
      <c r="I123" s="48" t="s">
        <v>131</v>
      </c>
      <c r="J123" s="48" t="s">
        <v>9</v>
      </c>
    </row>
    <row r="124" spans="1:10" ht="13.15" x14ac:dyDescent="0.4">
      <c r="A124" s="45" t="s">
        <v>106</v>
      </c>
      <c r="B124" s="46">
        <v>2233168000</v>
      </c>
      <c r="C124" s="46">
        <v>2233168000</v>
      </c>
      <c r="D124" s="46">
        <v>1906218580</v>
      </c>
      <c r="E124" s="47">
        <v>0</v>
      </c>
      <c r="F124" s="46">
        <v>1906218580</v>
      </c>
      <c r="G124" s="46">
        <v>326949420</v>
      </c>
      <c r="H124" s="47">
        <v>0</v>
      </c>
      <c r="I124" s="48" t="s">
        <v>131</v>
      </c>
      <c r="J124" s="48" t="s">
        <v>9</v>
      </c>
    </row>
    <row r="125" spans="1:10" ht="13.15" x14ac:dyDescent="0.4">
      <c r="A125" s="45" t="s">
        <v>107</v>
      </c>
      <c r="B125" s="46">
        <v>354000000</v>
      </c>
      <c r="C125" s="46">
        <v>354000000</v>
      </c>
      <c r="D125" s="47">
        <v>0</v>
      </c>
      <c r="E125" s="47">
        <v>0</v>
      </c>
      <c r="F125" s="47">
        <v>0</v>
      </c>
      <c r="G125" s="46">
        <v>354000000</v>
      </c>
      <c r="H125" s="47">
        <v>0</v>
      </c>
      <c r="I125" s="48" t="s">
        <v>131</v>
      </c>
      <c r="J125" s="48" t="s">
        <v>21</v>
      </c>
    </row>
    <row r="126" spans="1:10" ht="13.15" x14ac:dyDescent="0.4">
      <c r="A126" s="45" t="s">
        <v>108</v>
      </c>
      <c r="B126" s="46">
        <v>450000000</v>
      </c>
      <c r="C126" s="46">
        <v>450000000</v>
      </c>
      <c r="D126" s="47">
        <v>0</v>
      </c>
      <c r="E126" s="47">
        <v>0</v>
      </c>
      <c r="F126" s="47">
        <v>0</v>
      </c>
      <c r="G126" s="46">
        <v>450000000</v>
      </c>
      <c r="H126" s="47">
        <v>0</v>
      </c>
      <c r="I126" s="48" t="s">
        <v>131</v>
      </c>
      <c r="J126" s="48" t="s">
        <v>21</v>
      </c>
    </row>
    <row r="127" spans="1:10" ht="13.15" x14ac:dyDescent="0.4">
      <c r="A127" s="45" t="s">
        <v>110</v>
      </c>
      <c r="B127" s="46">
        <v>700000000</v>
      </c>
      <c r="C127" s="46">
        <v>700000000</v>
      </c>
      <c r="D127" s="46">
        <v>394079880</v>
      </c>
      <c r="E127" s="47">
        <v>0</v>
      </c>
      <c r="F127" s="46">
        <v>394079880</v>
      </c>
      <c r="G127" s="46">
        <v>305920120</v>
      </c>
      <c r="H127" s="47">
        <v>0</v>
      </c>
      <c r="I127" s="48" t="s">
        <v>131</v>
      </c>
      <c r="J127" s="48" t="s">
        <v>21</v>
      </c>
    </row>
    <row r="128" spans="1:10" ht="13.15" x14ac:dyDescent="0.4">
      <c r="A128" s="45" t="s">
        <v>73</v>
      </c>
      <c r="B128" s="46">
        <v>705000000</v>
      </c>
      <c r="C128" s="46">
        <v>528750000</v>
      </c>
      <c r="D128" s="47">
        <v>0</v>
      </c>
      <c r="E128" s="47">
        <v>0</v>
      </c>
      <c r="F128" s="47">
        <v>0</v>
      </c>
      <c r="G128" s="46">
        <v>528750000</v>
      </c>
      <c r="H128" s="46">
        <v>176250000</v>
      </c>
      <c r="I128" s="48" t="s">
        <v>131</v>
      </c>
      <c r="J128" s="48" t="s">
        <v>23</v>
      </c>
    </row>
    <row r="129" spans="1:10" ht="13.15" x14ac:dyDescent="0.4">
      <c r="A129" s="45" t="s">
        <v>111</v>
      </c>
      <c r="B129" s="46">
        <v>118875000</v>
      </c>
      <c r="C129" s="46">
        <v>118875000</v>
      </c>
      <c r="D129" s="46">
        <v>11725000</v>
      </c>
      <c r="E129" s="46">
        <v>4050000</v>
      </c>
      <c r="F129" s="46">
        <v>15775000</v>
      </c>
      <c r="G129" s="46">
        <v>103100000</v>
      </c>
      <c r="H129" s="47">
        <v>0</v>
      </c>
      <c r="I129" s="48" t="s">
        <v>131</v>
      </c>
      <c r="J129" s="48" t="s">
        <v>22</v>
      </c>
    </row>
    <row r="130" spans="1:10" ht="13.15" x14ac:dyDescent="0.4">
      <c r="A130" s="45" t="s">
        <v>112</v>
      </c>
      <c r="B130" s="46">
        <v>2260000000</v>
      </c>
      <c r="C130" s="46">
        <v>2260000000</v>
      </c>
      <c r="D130" s="47">
        <v>0</v>
      </c>
      <c r="E130" s="46">
        <v>325092882</v>
      </c>
      <c r="F130" s="46">
        <v>325092882</v>
      </c>
      <c r="G130" s="46">
        <v>1934907118</v>
      </c>
      <c r="H130" s="47">
        <v>0</v>
      </c>
      <c r="I130" s="48" t="s">
        <v>131</v>
      </c>
      <c r="J130" s="48" t="s">
        <v>26</v>
      </c>
    </row>
    <row r="131" spans="1:10" ht="13.15" x14ac:dyDescent="0.4">
      <c r="A131" s="45" t="s">
        <v>76</v>
      </c>
      <c r="B131" s="46">
        <v>100000000</v>
      </c>
      <c r="C131" s="46">
        <v>75000000</v>
      </c>
      <c r="D131" s="46">
        <v>9515280</v>
      </c>
      <c r="E131" s="46">
        <v>18812609</v>
      </c>
      <c r="F131" s="46">
        <v>28327889</v>
      </c>
      <c r="G131" s="46">
        <v>46672111</v>
      </c>
      <c r="H131" s="46">
        <v>25000000</v>
      </c>
      <c r="I131" s="48" t="s">
        <v>131</v>
      </c>
      <c r="J131" s="48" t="s">
        <v>25</v>
      </c>
    </row>
    <row r="132" spans="1:10" ht="13.15" x14ac:dyDescent="0.4">
      <c r="A132" s="45" t="s">
        <v>77</v>
      </c>
      <c r="B132" s="46">
        <v>354600000</v>
      </c>
      <c r="C132" s="46">
        <v>265950000</v>
      </c>
      <c r="D132" s="46">
        <v>44932500</v>
      </c>
      <c r="E132" s="46">
        <v>34913500</v>
      </c>
      <c r="F132" s="46">
        <v>79846000</v>
      </c>
      <c r="G132" s="46">
        <v>186104000</v>
      </c>
      <c r="H132" s="46">
        <v>88650000</v>
      </c>
      <c r="I132" s="48" t="s">
        <v>131</v>
      </c>
      <c r="J132" s="48" t="s">
        <v>25</v>
      </c>
    </row>
    <row r="133" spans="1:10" ht="13.15" x14ac:dyDescent="0.4">
      <c r="A133" s="45" t="s">
        <v>78</v>
      </c>
      <c r="B133" s="46">
        <v>99000000</v>
      </c>
      <c r="C133" s="46">
        <v>99000000</v>
      </c>
      <c r="D133" s="47">
        <v>0</v>
      </c>
      <c r="E133" s="46">
        <v>16266000</v>
      </c>
      <c r="F133" s="46">
        <v>16266000</v>
      </c>
      <c r="G133" s="46">
        <v>82734000</v>
      </c>
      <c r="H133" s="47">
        <v>0</v>
      </c>
      <c r="I133" s="48" t="s">
        <v>131</v>
      </c>
      <c r="J133" s="48" t="s">
        <v>25</v>
      </c>
    </row>
    <row r="134" spans="1:10" ht="13.15" x14ac:dyDescent="0.4">
      <c r="A134" s="45" t="s">
        <v>79</v>
      </c>
      <c r="B134" s="46">
        <v>271400000</v>
      </c>
      <c r="C134" s="46">
        <v>203550000</v>
      </c>
      <c r="D134" s="46">
        <v>2958000</v>
      </c>
      <c r="E134" s="46">
        <v>44456500</v>
      </c>
      <c r="F134" s="46">
        <v>47414500</v>
      </c>
      <c r="G134" s="46">
        <v>156135500</v>
      </c>
      <c r="H134" s="46">
        <v>67850000</v>
      </c>
      <c r="I134" s="48" t="s">
        <v>131</v>
      </c>
      <c r="J134" s="48" t="s">
        <v>25</v>
      </c>
    </row>
    <row r="135" spans="1:10" ht="13.15" x14ac:dyDescent="0.4">
      <c r="A135" s="45" t="s">
        <v>81</v>
      </c>
      <c r="B135" s="46">
        <v>213320000</v>
      </c>
      <c r="C135" s="46">
        <v>159990000</v>
      </c>
      <c r="D135" s="47">
        <v>0</v>
      </c>
      <c r="E135" s="46">
        <v>46805500</v>
      </c>
      <c r="F135" s="46">
        <v>46805500</v>
      </c>
      <c r="G135" s="46">
        <v>113184500</v>
      </c>
      <c r="H135" s="46">
        <v>53330000</v>
      </c>
      <c r="I135" s="48" t="s">
        <v>131</v>
      </c>
      <c r="J135" s="48" t="s">
        <v>25</v>
      </c>
    </row>
    <row r="136" spans="1:10" ht="13.15" x14ac:dyDescent="0.4">
      <c r="A136" s="45" t="s">
        <v>82</v>
      </c>
      <c r="B136" s="46">
        <v>24000000</v>
      </c>
      <c r="C136" s="46">
        <v>24000000</v>
      </c>
      <c r="D136" s="47">
        <v>0</v>
      </c>
      <c r="E136" s="46">
        <v>7199500</v>
      </c>
      <c r="F136" s="46">
        <v>7199500</v>
      </c>
      <c r="G136" s="46">
        <v>16800500</v>
      </c>
      <c r="H136" s="47">
        <v>0</v>
      </c>
      <c r="I136" s="48" t="s">
        <v>131</v>
      </c>
      <c r="J136" s="48" t="s">
        <v>25</v>
      </c>
    </row>
    <row r="137" spans="1:10" ht="13.15" x14ac:dyDescent="0.4">
      <c r="A137" s="45" t="s">
        <v>113</v>
      </c>
      <c r="B137" s="47">
        <v>0</v>
      </c>
      <c r="C137" s="47">
        <v>0</v>
      </c>
      <c r="D137" s="47">
        <v>0</v>
      </c>
      <c r="E137" s="46">
        <v>77266957</v>
      </c>
      <c r="F137" s="46">
        <v>77266957</v>
      </c>
      <c r="G137" s="46">
        <v>-77266957</v>
      </c>
      <c r="H137" s="47">
        <v>0</v>
      </c>
      <c r="I137" s="48" t="s">
        <v>131</v>
      </c>
      <c r="J137" s="48" t="s">
        <v>84</v>
      </c>
    </row>
    <row r="138" spans="1:10" ht="13.15" x14ac:dyDescent="0.4">
      <c r="A138" s="45" t="s">
        <v>83</v>
      </c>
      <c r="B138" s="46">
        <v>9949094083</v>
      </c>
      <c r="C138" s="46">
        <v>9949094083</v>
      </c>
      <c r="D138" s="47">
        <v>0</v>
      </c>
      <c r="E138" s="46">
        <v>1450303742</v>
      </c>
      <c r="F138" s="46">
        <v>1450303742</v>
      </c>
      <c r="G138" s="46">
        <v>8498790341</v>
      </c>
      <c r="H138" s="47">
        <v>0</v>
      </c>
      <c r="I138" s="48" t="s">
        <v>131</v>
      </c>
      <c r="J138" s="48" t="s">
        <v>84</v>
      </c>
    </row>
    <row r="139" spans="1:10" ht="13.15" x14ac:dyDescent="0.4">
      <c r="A139" s="45" t="s">
        <v>85</v>
      </c>
      <c r="B139" s="46">
        <v>386565402</v>
      </c>
      <c r="C139" s="46">
        <v>386565402</v>
      </c>
      <c r="D139" s="47">
        <v>0</v>
      </c>
      <c r="E139" s="46">
        <v>64014112</v>
      </c>
      <c r="F139" s="46">
        <v>64014112</v>
      </c>
      <c r="G139" s="46">
        <v>322551290</v>
      </c>
      <c r="H139" s="47">
        <v>0</v>
      </c>
      <c r="I139" s="48" t="s">
        <v>131</v>
      </c>
      <c r="J139" s="48" t="s">
        <v>84</v>
      </c>
    </row>
    <row r="140" spans="1:10" ht="13.15" x14ac:dyDescent="0.4">
      <c r="A140" s="45" t="s">
        <v>86</v>
      </c>
      <c r="B140" s="46">
        <v>9769849891</v>
      </c>
      <c r="C140" s="46">
        <v>9769849891</v>
      </c>
      <c r="D140" s="47">
        <v>0</v>
      </c>
      <c r="E140" s="46">
        <v>1666876904</v>
      </c>
      <c r="F140" s="46">
        <v>1666876904</v>
      </c>
      <c r="G140" s="46">
        <v>8102972987</v>
      </c>
      <c r="H140" s="47">
        <v>0</v>
      </c>
      <c r="I140" s="48" t="s">
        <v>131</v>
      </c>
      <c r="J140" s="48" t="s">
        <v>84</v>
      </c>
    </row>
    <row r="141" spans="1:10" ht="13.15" x14ac:dyDescent="0.4">
      <c r="A141" s="45" t="s">
        <v>87</v>
      </c>
      <c r="B141" s="46">
        <v>57758822</v>
      </c>
      <c r="C141" s="46">
        <v>57758822</v>
      </c>
      <c r="D141" s="47">
        <v>0</v>
      </c>
      <c r="E141" s="47">
        <v>0</v>
      </c>
      <c r="F141" s="47">
        <v>0</v>
      </c>
      <c r="G141" s="46">
        <v>57758822</v>
      </c>
      <c r="H141" s="47">
        <v>0</v>
      </c>
      <c r="I141" s="48" t="s">
        <v>131</v>
      </c>
      <c r="J141" s="48" t="s">
        <v>84</v>
      </c>
    </row>
    <row r="142" spans="1:10" ht="13.15" x14ac:dyDescent="0.4">
      <c r="A142" s="45" t="s">
        <v>88</v>
      </c>
      <c r="B142" s="46">
        <v>1408512003</v>
      </c>
      <c r="C142" s="46">
        <v>1408512003</v>
      </c>
      <c r="D142" s="47">
        <v>0</v>
      </c>
      <c r="E142" s="46">
        <v>129978953</v>
      </c>
      <c r="F142" s="46">
        <v>129978953</v>
      </c>
      <c r="G142" s="46">
        <v>1278533050</v>
      </c>
      <c r="H142" s="47">
        <v>0</v>
      </c>
      <c r="I142" s="48" t="s">
        <v>131</v>
      </c>
      <c r="J142" s="48" t="s">
        <v>84</v>
      </c>
    </row>
    <row r="143" spans="1:10" ht="13.15" x14ac:dyDescent="0.4">
      <c r="A143" s="45" t="s">
        <v>89</v>
      </c>
      <c r="B143" s="46">
        <v>38319389</v>
      </c>
      <c r="C143" s="46">
        <v>38319389</v>
      </c>
      <c r="D143" s="47">
        <v>0</v>
      </c>
      <c r="E143" s="46">
        <v>4312708</v>
      </c>
      <c r="F143" s="46">
        <v>4312708</v>
      </c>
      <c r="G143" s="46">
        <v>34006681</v>
      </c>
      <c r="H143" s="47">
        <v>0</v>
      </c>
      <c r="I143" s="48" t="s">
        <v>131</v>
      </c>
      <c r="J143" s="48" t="s">
        <v>84</v>
      </c>
    </row>
    <row r="144" spans="1:10" ht="13.15" x14ac:dyDescent="0.4">
      <c r="A144" s="45" t="s">
        <v>90</v>
      </c>
      <c r="B144" s="46">
        <v>1330317539</v>
      </c>
      <c r="C144" s="46">
        <v>1330317539</v>
      </c>
      <c r="D144" s="47">
        <v>0</v>
      </c>
      <c r="E144" s="46">
        <v>222468989</v>
      </c>
      <c r="F144" s="46">
        <v>222468989</v>
      </c>
      <c r="G144" s="46">
        <v>1107848550</v>
      </c>
      <c r="H144" s="47">
        <v>0</v>
      </c>
      <c r="I144" s="48" t="s">
        <v>131</v>
      </c>
      <c r="J144" s="48" t="s">
        <v>84</v>
      </c>
    </row>
    <row r="145" spans="1:10" ht="13.15" x14ac:dyDescent="0.4">
      <c r="A145" s="45" t="s">
        <v>91</v>
      </c>
      <c r="B145" s="46">
        <v>3850588</v>
      </c>
      <c r="C145" s="46">
        <v>3850588</v>
      </c>
      <c r="D145" s="47">
        <v>0</v>
      </c>
      <c r="E145" s="47">
        <v>0</v>
      </c>
      <c r="F145" s="47">
        <v>0</v>
      </c>
      <c r="G145" s="46">
        <v>3850588</v>
      </c>
      <c r="H145" s="47">
        <v>0</v>
      </c>
      <c r="I145" s="48" t="s">
        <v>131</v>
      </c>
      <c r="J145" s="48" t="s">
        <v>84</v>
      </c>
    </row>
    <row r="146" spans="1:10" ht="13.15" x14ac:dyDescent="0.4">
      <c r="A146" s="45" t="s">
        <v>95</v>
      </c>
      <c r="B146" s="47">
        <v>0</v>
      </c>
      <c r="C146" s="47">
        <v>0</v>
      </c>
      <c r="D146" s="47">
        <v>0</v>
      </c>
      <c r="E146" s="46">
        <v>36550000</v>
      </c>
      <c r="F146" s="46">
        <v>36550000</v>
      </c>
      <c r="G146" s="46">
        <v>-36550000</v>
      </c>
      <c r="H146" s="47">
        <v>0</v>
      </c>
      <c r="I146" s="48" t="s">
        <v>131</v>
      </c>
      <c r="J146" s="48" t="s">
        <v>84</v>
      </c>
    </row>
    <row r="147" spans="1:10" ht="13.15" x14ac:dyDescent="0.4">
      <c r="A147" s="49" t="s">
        <v>132</v>
      </c>
      <c r="B147" s="50">
        <v>51137179717</v>
      </c>
      <c r="C147" s="50">
        <v>50726099717</v>
      </c>
      <c r="D147" s="50">
        <v>16105336153</v>
      </c>
      <c r="E147" s="50">
        <v>4348418620</v>
      </c>
      <c r="F147" s="50">
        <v>20453754773</v>
      </c>
      <c r="G147" s="50">
        <v>30272344944</v>
      </c>
      <c r="H147" s="50">
        <v>411080000</v>
      </c>
      <c r="I147" s="51" t="s">
        <v>131</v>
      </c>
      <c r="J147" s="51" t="e">
        <v>#N/A</v>
      </c>
    </row>
    <row r="148" spans="1:10" ht="13.15" x14ac:dyDescent="0.4">
      <c r="A148" s="45" t="s">
        <v>59</v>
      </c>
      <c r="B148" s="46">
        <v>5691755500</v>
      </c>
      <c r="C148" s="46">
        <v>5691755500</v>
      </c>
      <c r="D148" s="46">
        <v>5533217000</v>
      </c>
      <c r="E148" s="47">
        <v>0</v>
      </c>
      <c r="F148" s="46">
        <v>5533217000</v>
      </c>
      <c r="G148" s="46">
        <v>158538500</v>
      </c>
      <c r="H148" s="47">
        <v>0</v>
      </c>
      <c r="I148" s="48" t="s">
        <v>133</v>
      </c>
      <c r="J148" s="48" t="s">
        <v>9</v>
      </c>
    </row>
    <row r="149" spans="1:10" ht="13.15" x14ac:dyDescent="0.4">
      <c r="A149" s="45" t="s">
        <v>63</v>
      </c>
      <c r="B149" s="46">
        <v>874758000</v>
      </c>
      <c r="C149" s="46">
        <v>874758000</v>
      </c>
      <c r="D149" s="46">
        <v>872621317</v>
      </c>
      <c r="E149" s="47">
        <v>0</v>
      </c>
      <c r="F149" s="46">
        <v>872621317</v>
      </c>
      <c r="G149" s="46">
        <v>2136683</v>
      </c>
      <c r="H149" s="47">
        <v>0</v>
      </c>
      <c r="I149" s="48" t="s">
        <v>133</v>
      </c>
      <c r="J149" s="48" t="s">
        <v>9</v>
      </c>
    </row>
    <row r="150" spans="1:10" ht="13.15" x14ac:dyDescent="0.4">
      <c r="A150" s="45" t="s">
        <v>102</v>
      </c>
      <c r="B150" s="47">
        <v>0</v>
      </c>
      <c r="C150" s="47">
        <v>0</v>
      </c>
      <c r="D150" s="47">
        <v>0</v>
      </c>
      <c r="E150" s="47">
        <v>0</v>
      </c>
      <c r="F150" s="47">
        <v>0</v>
      </c>
      <c r="G150" s="47">
        <v>0</v>
      </c>
      <c r="H150" s="47">
        <v>0</v>
      </c>
      <c r="I150" s="48" t="s">
        <v>133</v>
      </c>
      <c r="J150" s="48" t="s">
        <v>9</v>
      </c>
    </row>
    <row r="151" spans="1:10" ht="13.15" x14ac:dyDescent="0.4">
      <c r="A151" s="45" t="s">
        <v>64</v>
      </c>
      <c r="B151" s="46">
        <v>249837500</v>
      </c>
      <c r="C151" s="46">
        <v>249837500</v>
      </c>
      <c r="D151" s="46">
        <v>106240051</v>
      </c>
      <c r="E151" s="47">
        <v>0</v>
      </c>
      <c r="F151" s="46">
        <v>106240051</v>
      </c>
      <c r="G151" s="46">
        <v>143597449</v>
      </c>
      <c r="H151" s="47">
        <v>0</v>
      </c>
      <c r="I151" s="48" t="s">
        <v>133</v>
      </c>
      <c r="J151" s="48" t="s">
        <v>9</v>
      </c>
    </row>
    <row r="152" spans="1:10" ht="13.15" x14ac:dyDescent="0.4">
      <c r="A152" s="45" t="s">
        <v>65</v>
      </c>
      <c r="B152" s="46">
        <v>435218500</v>
      </c>
      <c r="C152" s="46">
        <v>435218500</v>
      </c>
      <c r="D152" s="46">
        <v>72346470</v>
      </c>
      <c r="E152" s="46">
        <v>8315000</v>
      </c>
      <c r="F152" s="46">
        <v>80661470</v>
      </c>
      <c r="G152" s="46">
        <v>354557030</v>
      </c>
      <c r="H152" s="47">
        <v>0</v>
      </c>
      <c r="I152" s="48" t="s">
        <v>133</v>
      </c>
      <c r="J152" s="48" t="s">
        <v>9</v>
      </c>
    </row>
    <row r="153" spans="1:10" ht="13.15" x14ac:dyDescent="0.4">
      <c r="A153" s="45" t="s">
        <v>66</v>
      </c>
      <c r="B153" s="46">
        <v>196881500</v>
      </c>
      <c r="C153" s="46">
        <v>196881500</v>
      </c>
      <c r="D153" s="47">
        <v>0</v>
      </c>
      <c r="E153" s="46">
        <v>10224916</v>
      </c>
      <c r="F153" s="46">
        <v>10224916</v>
      </c>
      <c r="G153" s="46">
        <v>186656584</v>
      </c>
      <c r="H153" s="47">
        <v>0</v>
      </c>
      <c r="I153" s="48" t="s">
        <v>133</v>
      </c>
      <c r="J153" s="48" t="s">
        <v>9</v>
      </c>
    </row>
    <row r="154" spans="1:10" ht="13.15" x14ac:dyDescent="0.4">
      <c r="A154" s="45" t="s">
        <v>67</v>
      </c>
      <c r="B154" s="46">
        <v>1155703000</v>
      </c>
      <c r="C154" s="46">
        <v>1155703000</v>
      </c>
      <c r="D154" s="46">
        <v>297962777</v>
      </c>
      <c r="E154" s="46">
        <v>96677559</v>
      </c>
      <c r="F154" s="46">
        <v>394640336</v>
      </c>
      <c r="G154" s="46">
        <v>761062664</v>
      </c>
      <c r="H154" s="47">
        <v>0</v>
      </c>
      <c r="I154" s="48" t="s">
        <v>133</v>
      </c>
      <c r="J154" s="48" t="s">
        <v>9</v>
      </c>
    </row>
    <row r="155" spans="1:10" ht="13.15" x14ac:dyDescent="0.4">
      <c r="A155" s="45" t="s">
        <v>103</v>
      </c>
      <c r="B155" s="46">
        <v>231680000</v>
      </c>
      <c r="C155" s="46">
        <v>231680000</v>
      </c>
      <c r="D155" s="46">
        <v>22153380</v>
      </c>
      <c r="E155" s="47">
        <v>0</v>
      </c>
      <c r="F155" s="46">
        <v>22153380</v>
      </c>
      <c r="G155" s="46">
        <v>209526620</v>
      </c>
      <c r="H155" s="47">
        <v>0</v>
      </c>
      <c r="I155" s="48" t="s">
        <v>133</v>
      </c>
      <c r="J155" s="48" t="s">
        <v>9</v>
      </c>
    </row>
    <row r="156" spans="1:10" ht="13.15" x14ac:dyDescent="0.4">
      <c r="A156" s="45" t="s">
        <v>104</v>
      </c>
      <c r="B156" s="46">
        <v>498478000</v>
      </c>
      <c r="C156" s="46">
        <v>498478000</v>
      </c>
      <c r="D156" s="47">
        <v>0</v>
      </c>
      <c r="E156" s="47">
        <v>0</v>
      </c>
      <c r="F156" s="47">
        <v>0</v>
      </c>
      <c r="G156" s="46">
        <v>498478000</v>
      </c>
      <c r="H156" s="47">
        <v>0</v>
      </c>
      <c r="I156" s="48" t="s">
        <v>133</v>
      </c>
      <c r="J156" s="48" t="s">
        <v>9</v>
      </c>
    </row>
    <row r="157" spans="1:10" ht="13.15" x14ac:dyDescent="0.4">
      <c r="A157" s="45" t="s">
        <v>105</v>
      </c>
      <c r="B157" s="46">
        <v>158995000</v>
      </c>
      <c r="C157" s="46">
        <v>158995000</v>
      </c>
      <c r="D157" s="46">
        <v>3857000</v>
      </c>
      <c r="E157" s="47">
        <v>0</v>
      </c>
      <c r="F157" s="46">
        <v>3857000</v>
      </c>
      <c r="G157" s="46">
        <v>155138000</v>
      </c>
      <c r="H157" s="47">
        <v>0</v>
      </c>
      <c r="I157" s="48" t="s">
        <v>133</v>
      </c>
      <c r="J157" s="48" t="s">
        <v>9</v>
      </c>
    </row>
    <row r="158" spans="1:10" ht="13.15" x14ac:dyDescent="0.4">
      <c r="A158" s="45" t="s">
        <v>106</v>
      </c>
      <c r="B158" s="46">
        <v>1213930000</v>
      </c>
      <c r="C158" s="46">
        <v>1213930000</v>
      </c>
      <c r="D158" s="46">
        <v>48285000</v>
      </c>
      <c r="E158" s="47">
        <v>0</v>
      </c>
      <c r="F158" s="46">
        <v>48285000</v>
      </c>
      <c r="G158" s="46">
        <v>1165645000</v>
      </c>
      <c r="H158" s="47">
        <v>0</v>
      </c>
      <c r="I158" s="48" t="s">
        <v>133</v>
      </c>
      <c r="J158" s="48" t="s">
        <v>9</v>
      </c>
    </row>
    <row r="159" spans="1:10" ht="13.15" x14ac:dyDescent="0.4">
      <c r="A159" s="45" t="s">
        <v>108</v>
      </c>
      <c r="B159" s="46">
        <v>250000000</v>
      </c>
      <c r="C159" s="46">
        <v>250000000</v>
      </c>
      <c r="D159" s="46">
        <v>38082500</v>
      </c>
      <c r="E159" s="46">
        <v>8775138</v>
      </c>
      <c r="F159" s="46">
        <v>46857638</v>
      </c>
      <c r="G159" s="46">
        <v>203142362</v>
      </c>
      <c r="H159" s="47">
        <v>0</v>
      </c>
      <c r="I159" s="48" t="s">
        <v>133</v>
      </c>
      <c r="J159" s="48" t="s">
        <v>21</v>
      </c>
    </row>
    <row r="160" spans="1:10" ht="13.15" x14ac:dyDescent="0.4">
      <c r="A160" s="45" t="s">
        <v>134</v>
      </c>
      <c r="B160" s="46">
        <v>39449000</v>
      </c>
      <c r="C160" s="46">
        <v>39449000</v>
      </c>
      <c r="D160" s="47">
        <v>0</v>
      </c>
      <c r="E160" s="47">
        <v>0</v>
      </c>
      <c r="F160" s="47">
        <v>0</v>
      </c>
      <c r="G160" s="46">
        <v>39449000</v>
      </c>
      <c r="H160" s="47">
        <v>0</v>
      </c>
      <c r="I160" s="48" t="s">
        <v>133</v>
      </c>
      <c r="J160" s="48" t="s">
        <v>21</v>
      </c>
    </row>
    <row r="161" spans="1:10" ht="13.15" x14ac:dyDescent="0.4">
      <c r="A161" s="45" t="s">
        <v>110</v>
      </c>
      <c r="B161" s="46">
        <v>433971000</v>
      </c>
      <c r="C161" s="46">
        <v>433971000</v>
      </c>
      <c r="D161" s="47">
        <v>0</v>
      </c>
      <c r="E161" s="47">
        <v>0</v>
      </c>
      <c r="F161" s="47">
        <v>0</v>
      </c>
      <c r="G161" s="46">
        <v>433971000</v>
      </c>
      <c r="H161" s="47">
        <v>0</v>
      </c>
      <c r="I161" s="48" t="s">
        <v>133</v>
      </c>
      <c r="J161" s="48" t="s">
        <v>21</v>
      </c>
    </row>
    <row r="162" spans="1:10" ht="13.15" x14ac:dyDescent="0.4">
      <c r="A162" s="45" t="s">
        <v>73</v>
      </c>
      <c r="B162" s="46">
        <v>125000000</v>
      </c>
      <c r="C162" s="46">
        <v>125000000</v>
      </c>
      <c r="D162" s="47">
        <v>0</v>
      </c>
      <c r="E162" s="47">
        <v>0</v>
      </c>
      <c r="F162" s="47">
        <v>0</v>
      </c>
      <c r="G162" s="46">
        <v>125000000</v>
      </c>
      <c r="H162" s="47">
        <v>0</v>
      </c>
      <c r="I162" s="48" t="s">
        <v>133</v>
      </c>
      <c r="J162" s="48" t="s">
        <v>23</v>
      </c>
    </row>
    <row r="163" spans="1:10" ht="13.15" x14ac:dyDescent="0.4">
      <c r="A163" s="45" t="s">
        <v>111</v>
      </c>
      <c r="B163" s="46">
        <v>45045000</v>
      </c>
      <c r="C163" s="46">
        <v>45045000</v>
      </c>
      <c r="D163" s="46">
        <v>11205000</v>
      </c>
      <c r="E163" s="47">
        <v>0</v>
      </c>
      <c r="F163" s="46">
        <v>11205000</v>
      </c>
      <c r="G163" s="46">
        <v>33840000</v>
      </c>
      <c r="H163" s="47">
        <v>0</v>
      </c>
      <c r="I163" s="48" t="s">
        <v>133</v>
      </c>
      <c r="J163" s="48" t="s">
        <v>22</v>
      </c>
    </row>
    <row r="164" spans="1:10" ht="13.15" x14ac:dyDescent="0.4">
      <c r="A164" s="45" t="s">
        <v>75</v>
      </c>
      <c r="B164" s="46">
        <v>33075000</v>
      </c>
      <c r="C164" s="46">
        <v>33075000</v>
      </c>
      <c r="D164" s="47">
        <v>0</v>
      </c>
      <c r="E164" s="47">
        <v>0</v>
      </c>
      <c r="F164" s="47">
        <v>0</v>
      </c>
      <c r="G164" s="46">
        <v>33075000</v>
      </c>
      <c r="H164" s="47">
        <v>0</v>
      </c>
      <c r="I164" s="48" t="s">
        <v>133</v>
      </c>
      <c r="J164" s="48" t="s">
        <v>26</v>
      </c>
    </row>
    <row r="165" spans="1:10" ht="13.15" x14ac:dyDescent="0.4">
      <c r="A165" s="45" t="s">
        <v>112</v>
      </c>
      <c r="B165" s="46">
        <v>592250000</v>
      </c>
      <c r="C165" s="46">
        <v>592250000</v>
      </c>
      <c r="D165" s="46">
        <v>269200</v>
      </c>
      <c r="E165" s="46">
        <v>346245306</v>
      </c>
      <c r="F165" s="46">
        <v>346514506</v>
      </c>
      <c r="G165" s="46">
        <v>245735494</v>
      </c>
      <c r="H165" s="47">
        <v>0</v>
      </c>
      <c r="I165" s="48" t="s">
        <v>133</v>
      </c>
      <c r="J165" s="48" t="s">
        <v>26</v>
      </c>
    </row>
    <row r="166" spans="1:10" ht="13.15" x14ac:dyDescent="0.4">
      <c r="A166" s="45" t="s">
        <v>76</v>
      </c>
      <c r="B166" s="46">
        <v>45000000</v>
      </c>
      <c r="C166" s="46">
        <v>45000000</v>
      </c>
      <c r="D166" s="46">
        <v>28592500</v>
      </c>
      <c r="E166" s="46">
        <v>10000000</v>
      </c>
      <c r="F166" s="46">
        <v>38592500</v>
      </c>
      <c r="G166" s="46">
        <v>6407500</v>
      </c>
      <c r="H166" s="47">
        <v>0</v>
      </c>
      <c r="I166" s="48" t="s">
        <v>133</v>
      </c>
      <c r="J166" s="48" t="s">
        <v>25</v>
      </c>
    </row>
    <row r="167" spans="1:10" ht="13.15" x14ac:dyDescent="0.4">
      <c r="A167" s="45" t="s">
        <v>77</v>
      </c>
      <c r="B167" s="46">
        <v>136250000</v>
      </c>
      <c r="C167" s="46">
        <v>136250000</v>
      </c>
      <c r="D167" s="46">
        <v>55881809</v>
      </c>
      <c r="E167" s="46">
        <v>78562135</v>
      </c>
      <c r="F167" s="46">
        <v>134443944</v>
      </c>
      <c r="G167" s="46">
        <v>1806056</v>
      </c>
      <c r="H167" s="47">
        <v>0</v>
      </c>
      <c r="I167" s="48" t="s">
        <v>133</v>
      </c>
      <c r="J167" s="48" t="s">
        <v>25</v>
      </c>
    </row>
    <row r="168" spans="1:10" ht="13.15" x14ac:dyDescent="0.4">
      <c r="A168" s="45" t="s">
        <v>78</v>
      </c>
      <c r="B168" s="46">
        <v>21750000</v>
      </c>
      <c r="C168" s="46">
        <v>21750000</v>
      </c>
      <c r="D168" s="47">
        <v>0</v>
      </c>
      <c r="E168" s="46">
        <v>14461500</v>
      </c>
      <c r="F168" s="46">
        <v>14461500</v>
      </c>
      <c r="G168" s="46">
        <v>7288500</v>
      </c>
      <c r="H168" s="47">
        <v>0</v>
      </c>
      <c r="I168" s="48" t="s">
        <v>133</v>
      </c>
      <c r="J168" s="48" t="s">
        <v>25</v>
      </c>
    </row>
    <row r="169" spans="1:10" ht="13.15" x14ac:dyDescent="0.4">
      <c r="A169" s="45" t="s">
        <v>79</v>
      </c>
      <c r="B169" s="46">
        <v>146550000</v>
      </c>
      <c r="C169" s="46">
        <v>146550000</v>
      </c>
      <c r="D169" s="46">
        <v>114790302</v>
      </c>
      <c r="E169" s="47">
        <v>0</v>
      </c>
      <c r="F169" s="46">
        <v>114790302</v>
      </c>
      <c r="G169" s="46">
        <v>31759698</v>
      </c>
      <c r="H169" s="47">
        <v>0</v>
      </c>
      <c r="I169" s="48" t="s">
        <v>133</v>
      </c>
      <c r="J169" s="48" t="s">
        <v>25</v>
      </c>
    </row>
    <row r="170" spans="1:10" ht="13.15" x14ac:dyDescent="0.4">
      <c r="A170" s="45" t="s">
        <v>80</v>
      </c>
      <c r="B170" s="46">
        <v>5000000</v>
      </c>
      <c r="C170" s="46">
        <v>5000000</v>
      </c>
      <c r="D170" s="47">
        <v>0</v>
      </c>
      <c r="E170" s="46">
        <v>3000000</v>
      </c>
      <c r="F170" s="46">
        <v>3000000</v>
      </c>
      <c r="G170" s="46">
        <v>2000000</v>
      </c>
      <c r="H170" s="47">
        <v>0</v>
      </c>
      <c r="I170" s="48" t="s">
        <v>133</v>
      </c>
      <c r="J170" s="48" t="s">
        <v>25</v>
      </c>
    </row>
    <row r="171" spans="1:10" ht="13.15" x14ac:dyDescent="0.4">
      <c r="A171" s="45" t="s">
        <v>81</v>
      </c>
      <c r="B171" s="46">
        <v>54100500</v>
      </c>
      <c r="C171" s="46">
        <v>54100500</v>
      </c>
      <c r="D171" s="47">
        <v>0</v>
      </c>
      <c r="E171" s="46">
        <v>37528000</v>
      </c>
      <c r="F171" s="46">
        <v>37528000</v>
      </c>
      <c r="G171" s="46">
        <v>16572500</v>
      </c>
      <c r="H171" s="47">
        <v>0</v>
      </c>
      <c r="I171" s="48" t="s">
        <v>133</v>
      </c>
      <c r="J171" s="48" t="s">
        <v>25</v>
      </c>
    </row>
    <row r="172" spans="1:10" ht="13.15" x14ac:dyDescent="0.4">
      <c r="A172" s="45" t="s">
        <v>82</v>
      </c>
      <c r="B172" s="46">
        <v>12000000</v>
      </c>
      <c r="C172" s="46">
        <v>12000000</v>
      </c>
      <c r="D172" s="46">
        <v>6889220</v>
      </c>
      <c r="E172" s="47">
        <v>0</v>
      </c>
      <c r="F172" s="46">
        <v>6889220</v>
      </c>
      <c r="G172" s="46">
        <v>5110780</v>
      </c>
      <c r="H172" s="47">
        <v>0</v>
      </c>
      <c r="I172" s="48" t="s">
        <v>133</v>
      </c>
      <c r="J172" s="48" t="s">
        <v>25</v>
      </c>
    </row>
    <row r="173" spans="1:10" ht="13.15" x14ac:dyDescent="0.4">
      <c r="A173" s="45" t="s">
        <v>83</v>
      </c>
      <c r="B173" s="46">
        <v>7504723378</v>
      </c>
      <c r="C173" s="46">
        <v>7504723378</v>
      </c>
      <c r="D173" s="47">
        <v>0</v>
      </c>
      <c r="E173" s="46">
        <v>1069019840</v>
      </c>
      <c r="F173" s="46">
        <v>1069019840</v>
      </c>
      <c r="G173" s="46">
        <v>6435703538</v>
      </c>
      <c r="H173" s="47">
        <v>0</v>
      </c>
      <c r="I173" s="48" t="s">
        <v>133</v>
      </c>
      <c r="J173" s="48" t="s">
        <v>84</v>
      </c>
    </row>
    <row r="174" spans="1:10" ht="13.15" x14ac:dyDescent="0.4">
      <c r="A174" s="45" t="s">
        <v>85</v>
      </c>
      <c r="B174" s="46">
        <v>226336070</v>
      </c>
      <c r="C174" s="46">
        <v>226336070</v>
      </c>
      <c r="D174" s="47">
        <v>0</v>
      </c>
      <c r="E174" s="46">
        <v>37653988</v>
      </c>
      <c r="F174" s="46">
        <v>37653988</v>
      </c>
      <c r="G174" s="46">
        <v>188682082</v>
      </c>
      <c r="H174" s="47">
        <v>0</v>
      </c>
      <c r="I174" s="48" t="s">
        <v>133</v>
      </c>
      <c r="J174" s="48" t="s">
        <v>84</v>
      </c>
    </row>
    <row r="175" spans="1:10" ht="13.15" x14ac:dyDescent="0.4">
      <c r="A175" s="45" t="s">
        <v>86</v>
      </c>
      <c r="B175" s="46">
        <v>7328638500</v>
      </c>
      <c r="C175" s="46">
        <v>7328638500</v>
      </c>
      <c r="D175" s="47">
        <v>0</v>
      </c>
      <c r="E175" s="46">
        <v>1175901258</v>
      </c>
      <c r="F175" s="46">
        <v>1175901258</v>
      </c>
      <c r="G175" s="46">
        <v>6152737242</v>
      </c>
      <c r="H175" s="47">
        <v>0</v>
      </c>
      <c r="I175" s="48" t="s">
        <v>133</v>
      </c>
      <c r="J175" s="48" t="s">
        <v>84</v>
      </c>
    </row>
    <row r="176" spans="1:10" ht="13.15" x14ac:dyDescent="0.4">
      <c r="A176" s="45" t="s">
        <v>87</v>
      </c>
      <c r="B176" s="46">
        <v>42356469</v>
      </c>
      <c r="C176" s="46">
        <v>42356469</v>
      </c>
      <c r="D176" s="47">
        <v>0</v>
      </c>
      <c r="E176" s="47">
        <v>0</v>
      </c>
      <c r="F176" s="47">
        <v>0</v>
      </c>
      <c r="G176" s="46">
        <v>42356469</v>
      </c>
      <c r="H176" s="47">
        <v>0</v>
      </c>
      <c r="I176" s="48" t="s">
        <v>133</v>
      </c>
      <c r="J176" s="48" t="s">
        <v>84</v>
      </c>
    </row>
    <row r="177" spans="1:10" ht="13.15" x14ac:dyDescent="0.4">
      <c r="A177" s="45" t="s">
        <v>88</v>
      </c>
      <c r="B177" s="46">
        <v>1286019333</v>
      </c>
      <c r="C177" s="46">
        <v>1286019333</v>
      </c>
      <c r="D177" s="47">
        <v>0</v>
      </c>
      <c r="E177" s="46">
        <v>133425611</v>
      </c>
      <c r="F177" s="46">
        <v>133425611</v>
      </c>
      <c r="G177" s="46">
        <v>1152593722</v>
      </c>
      <c r="H177" s="47">
        <v>0</v>
      </c>
      <c r="I177" s="48" t="s">
        <v>133</v>
      </c>
      <c r="J177" s="48" t="s">
        <v>84</v>
      </c>
    </row>
    <row r="178" spans="1:10" ht="13.15" x14ac:dyDescent="0.4">
      <c r="A178" s="45" t="s">
        <v>89</v>
      </c>
      <c r="B178" s="46">
        <v>36818740</v>
      </c>
      <c r="C178" s="46">
        <v>36818740</v>
      </c>
      <c r="D178" s="47">
        <v>0</v>
      </c>
      <c r="E178" s="46">
        <v>6120465</v>
      </c>
      <c r="F178" s="46">
        <v>6120465</v>
      </c>
      <c r="G178" s="46">
        <v>30698275</v>
      </c>
      <c r="H178" s="47">
        <v>0</v>
      </c>
      <c r="I178" s="48" t="s">
        <v>133</v>
      </c>
      <c r="J178" s="48" t="s">
        <v>84</v>
      </c>
    </row>
    <row r="179" spans="1:10" ht="13.15" x14ac:dyDescent="0.4">
      <c r="A179" s="45" t="s">
        <v>90</v>
      </c>
      <c r="B179" s="46">
        <v>1371419909</v>
      </c>
      <c r="C179" s="46">
        <v>1371419909</v>
      </c>
      <c r="D179" s="47">
        <v>0</v>
      </c>
      <c r="E179" s="46">
        <v>232301192</v>
      </c>
      <c r="F179" s="46">
        <v>232301192</v>
      </c>
      <c r="G179" s="46">
        <v>1139118717</v>
      </c>
      <c r="H179" s="47">
        <v>0</v>
      </c>
      <c r="I179" s="48" t="s">
        <v>133</v>
      </c>
      <c r="J179" s="48" t="s">
        <v>84</v>
      </c>
    </row>
    <row r="180" spans="1:10" ht="13.15" x14ac:dyDescent="0.4">
      <c r="A180" s="45" t="s">
        <v>91</v>
      </c>
      <c r="B180" s="46">
        <v>3850588</v>
      </c>
      <c r="C180" s="46">
        <v>3850588</v>
      </c>
      <c r="D180" s="47">
        <v>0</v>
      </c>
      <c r="E180" s="47">
        <v>0</v>
      </c>
      <c r="F180" s="47">
        <v>0</v>
      </c>
      <c r="G180" s="46">
        <v>3850588</v>
      </c>
      <c r="H180" s="47">
        <v>0</v>
      </c>
      <c r="I180" s="48" t="s">
        <v>133</v>
      </c>
      <c r="J180" s="48" t="s">
        <v>84</v>
      </c>
    </row>
    <row r="181" spans="1:10" ht="13.15" x14ac:dyDescent="0.4">
      <c r="A181" s="49" t="s">
        <v>135</v>
      </c>
      <c r="B181" s="50">
        <v>30446840487</v>
      </c>
      <c r="C181" s="50">
        <v>30446840487</v>
      </c>
      <c r="D181" s="50">
        <v>7212393526</v>
      </c>
      <c r="E181" s="50">
        <v>3268211908</v>
      </c>
      <c r="F181" s="50">
        <v>10480605434</v>
      </c>
      <c r="G181" s="50">
        <v>19966235053</v>
      </c>
      <c r="H181" s="52">
        <v>0</v>
      </c>
      <c r="I181" s="51" t="s">
        <v>133</v>
      </c>
      <c r="J181" s="51" t="e">
        <v>#N/A</v>
      </c>
    </row>
    <row r="182" spans="1:10" ht="13.15" x14ac:dyDescent="0.4">
      <c r="A182" s="45" t="s">
        <v>59</v>
      </c>
      <c r="B182" s="46">
        <v>3658728280</v>
      </c>
      <c r="C182" s="46">
        <v>3658728280</v>
      </c>
      <c r="D182" s="46">
        <v>2851419420</v>
      </c>
      <c r="E182" s="47">
        <v>0</v>
      </c>
      <c r="F182" s="46">
        <v>2851419420</v>
      </c>
      <c r="G182" s="46">
        <v>807308860</v>
      </c>
      <c r="H182" s="47">
        <v>0</v>
      </c>
      <c r="I182" s="48" t="s">
        <v>136</v>
      </c>
      <c r="J182" s="48" t="s">
        <v>9</v>
      </c>
    </row>
    <row r="183" spans="1:10" ht="13.15" x14ac:dyDescent="0.4">
      <c r="A183" s="45" t="s">
        <v>98</v>
      </c>
      <c r="B183" s="46">
        <v>65407631</v>
      </c>
      <c r="C183" s="46">
        <v>65407631</v>
      </c>
      <c r="D183" s="47">
        <v>0</v>
      </c>
      <c r="E183" s="47">
        <v>0</v>
      </c>
      <c r="F183" s="47">
        <v>0</v>
      </c>
      <c r="G183" s="46">
        <v>65407631</v>
      </c>
      <c r="H183" s="47">
        <v>0</v>
      </c>
      <c r="I183" s="48" t="s">
        <v>136</v>
      </c>
      <c r="J183" s="48" t="s">
        <v>84</v>
      </c>
    </row>
    <row r="184" spans="1:10" ht="13.15" x14ac:dyDescent="0.4">
      <c r="A184" s="45" t="s">
        <v>99</v>
      </c>
      <c r="B184" s="46">
        <v>125267590</v>
      </c>
      <c r="C184" s="46">
        <v>125267590</v>
      </c>
      <c r="D184" s="47">
        <v>0</v>
      </c>
      <c r="E184" s="47">
        <v>0</v>
      </c>
      <c r="F184" s="47">
        <v>0</v>
      </c>
      <c r="G184" s="46">
        <v>125267590</v>
      </c>
      <c r="H184" s="47">
        <v>0</v>
      </c>
      <c r="I184" s="48" t="s">
        <v>136</v>
      </c>
      <c r="J184" s="48" t="s">
        <v>84</v>
      </c>
    </row>
    <row r="185" spans="1:10" ht="13.15" x14ac:dyDescent="0.4">
      <c r="A185" s="45" t="s">
        <v>100</v>
      </c>
      <c r="B185" s="46">
        <v>550084</v>
      </c>
      <c r="C185" s="46">
        <v>550084</v>
      </c>
      <c r="D185" s="47">
        <v>0</v>
      </c>
      <c r="E185" s="47">
        <v>0</v>
      </c>
      <c r="F185" s="47">
        <v>0</v>
      </c>
      <c r="G185" s="46">
        <v>550084</v>
      </c>
      <c r="H185" s="47">
        <v>0</v>
      </c>
      <c r="I185" s="48" t="s">
        <v>136</v>
      </c>
      <c r="J185" s="48" t="s">
        <v>84</v>
      </c>
    </row>
    <row r="186" spans="1:10" ht="13.15" x14ac:dyDescent="0.4">
      <c r="A186" s="45" t="s">
        <v>63</v>
      </c>
      <c r="B186" s="46">
        <v>1515061000</v>
      </c>
      <c r="C186" s="46">
        <v>1515061000</v>
      </c>
      <c r="D186" s="46">
        <v>461381691</v>
      </c>
      <c r="E186" s="47">
        <v>0</v>
      </c>
      <c r="F186" s="46">
        <v>461381691</v>
      </c>
      <c r="G186" s="46">
        <v>1053679309</v>
      </c>
      <c r="H186" s="47">
        <v>0</v>
      </c>
      <c r="I186" s="48" t="s">
        <v>136</v>
      </c>
      <c r="J186" s="48" t="s">
        <v>9</v>
      </c>
    </row>
    <row r="187" spans="1:10" ht="13.15" x14ac:dyDescent="0.4">
      <c r="A187" s="45" t="s">
        <v>101</v>
      </c>
      <c r="B187" s="46">
        <v>225000000</v>
      </c>
      <c r="C187" s="46">
        <v>225000000</v>
      </c>
      <c r="D187" s="47">
        <v>0</v>
      </c>
      <c r="E187" s="47">
        <v>0</v>
      </c>
      <c r="F187" s="47">
        <v>0</v>
      </c>
      <c r="G187" s="46">
        <v>225000000</v>
      </c>
      <c r="H187" s="47">
        <v>0</v>
      </c>
      <c r="I187" s="48" t="s">
        <v>136</v>
      </c>
      <c r="J187" s="48" t="s">
        <v>9</v>
      </c>
    </row>
    <row r="188" spans="1:10" ht="13.15" x14ac:dyDescent="0.4">
      <c r="A188" s="45" t="s">
        <v>102</v>
      </c>
      <c r="B188" s="46">
        <v>227500000</v>
      </c>
      <c r="C188" s="46">
        <v>227500000</v>
      </c>
      <c r="D188" s="46">
        <v>5081445</v>
      </c>
      <c r="E188" s="47">
        <v>0</v>
      </c>
      <c r="F188" s="46">
        <v>5081445</v>
      </c>
      <c r="G188" s="46">
        <v>222418555</v>
      </c>
      <c r="H188" s="47">
        <v>0</v>
      </c>
      <c r="I188" s="48" t="s">
        <v>136</v>
      </c>
      <c r="J188" s="48" t="s">
        <v>9</v>
      </c>
    </row>
    <row r="189" spans="1:10" ht="13.15" x14ac:dyDescent="0.4">
      <c r="A189" s="45" t="s">
        <v>64</v>
      </c>
      <c r="B189" s="46">
        <v>234500000</v>
      </c>
      <c r="C189" s="46">
        <v>234500000</v>
      </c>
      <c r="D189" s="46">
        <v>49635000</v>
      </c>
      <c r="E189" s="47">
        <v>0</v>
      </c>
      <c r="F189" s="46">
        <v>49635000</v>
      </c>
      <c r="G189" s="46">
        <v>184865000</v>
      </c>
      <c r="H189" s="47">
        <v>0</v>
      </c>
      <c r="I189" s="48" t="s">
        <v>136</v>
      </c>
      <c r="J189" s="48" t="s">
        <v>9</v>
      </c>
    </row>
    <row r="190" spans="1:10" ht="13.15" x14ac:dyDescent="0.4">
      <c r="A190" s="45" t="s">
        <v>65</v>
      </c>
      <c r="B190" s="46">
        <v>200000000</v>
      </c>
      <c r="C190" s="46">
        <v>200000000</v>
      </c>
      <c r="D190" s="46">
        <v>51500000</v>
      </c>
      <c r="E190" s="47">
        <v>0</v>
      </c>
      <c r="F190" s="46">
        <v>51500000</v>
      </c>
      <c r="G190" s="46">
        <v>148500000</v>
      </c>
      <c r="H190" s="47">
        <v>0</v>
      </c>
      <c r="I190" s="48" t="s">
        <v>136</v>
      </c>
      <c r="J190" s="48" t="s">
        <v>9</v>
      </c>
    </row>
    <row r="191" spans="1:10" ht="13.15" x14ac:dyDescent="0.4">
      <c r="A191" s="45" t="s">
        <v>66</v>
      </c>
      <c r="B191" s="46">
        <v>304500000</v>
      </c>
      <c r="C191" s="46">
        <v>304500000</v>
      </c>
      <c r="D191" s="46">
        <v>88477869</v>
      </c>
      <c r="E191" s="46">
        <v>46885000</v>
      </c>
      <c r="F191" s="46">
        <v>135362869</v>
      </c>
      <c r="G191" s="46">
        <v>169137131</v>
      </c>
      <c r="H191" s="47">
        <v>0</v>
      </c>
      <c r="I191" s="48" t="s">
        <v>136</v>
      </c>
      <c r="J191" s="48" t="s">
        <v>9</v>
      </c>
    </row>
    <row r="192" spans="1:10" ht="13.15" x14ac:dyDescent="0.4">
      <c r="A192" s="45" t="s">
        <v>67</v>
      </c>
      <c r="B192" s="46">
        <v>931325000</v>
      </c>
      <c r="C192" s="46">
        <v>931325000</v>
      </c>
      <c r="D192" s="46">
        <v>281432200</v>
      </c>
      <c r="E192" s="46">
        <v>59887346</v>
      </c>
      <c r="F192" s="46">
        <v>341319546</v>
      </c>
      <c r="G192" s="46">
        <v>590005454</v>
      </c>
      <c r="H192" s="47">
        <v>0</v>
      </c>
      <c r="I192" s="48" t="s">
        <v>136</v>
      </c>
      <c r="J192" s="48" t="s">
        <v>9</v>
      </c>
    </row>
    <row r="193" spans="1:10" ht="13.15" x14ac:dyDescent="0.4">
      <c r="A193" s="45" t="s">
        <v>103</v>
      </c>
      <c r="B193" s="46">
        <v>140500000</v>
      </c>
      <c r="C193" s="46">
        <v>140500000</v>
      </c>
      <c r="D193" s="46">
        <v>30944688</v>
      </c>
      <c r="E193" s="47">
        <v>0</v>
      </c>
      <c r="F193" s="46">
        <v>30944688</v>
      </c>
      <c r="G193" s="46">
        <v>109555312</v>
      </c>
      <c r="H193" s="47">
        <v>0</v>
      </c>
      <c r="I193" s="48" t="s">
        <v>136</v>
      </c>
      <c r="J193" s="48" t="s">
        <v>9</v>
      </c>
    </row>
    <row r="194" spans="1:10" ht="13.15" x14ac:dyDescent="0.4">
      <c r="A194" s="45" t="s">
        <v>104</v>
      </c>
      <c r="B194" s="46">
        <v>475000000</v>
      </c>
      <c r="C194" s="46">
        <v>475000000</v>
      </c>
      <c r="D194" s="47">
        <v>0</v>
      </c>
      <c r="E194" s="47">
        <v>0</v>
      </c>
      <c r="F194" s="47">
        <v>0</v>
      </c>
      <c r="G194" s="46">
        <v>475000000</v>
      </c>
      <c r="H194" s="47">
        <v>0</v>
      </c>
      <c r="I194" s="48" t="s">
        <v>136</v>
      </c>
      <c r="J194" s="48" t="s">
        <v>9</v>
      </c>
    </row>
    <row r="195" spans="1:10" ht="13.15" x14ac:dyDescent="0.4">
      <c r="A195" s="45" t="s">
        <v>105</v>
      </c>
      <c r="B195" s="46">
        <v>25000000</v>
      </c>
      <c r="C195" s="46">
        <v>25000000</v>
      </c>
      <c r="D195" s="46">
        <v>4883000</v>
      </c>
      <c r="E195" s="47">
        <v>0</v>
      </c>
      <c r="F195" s="46">
        <v>4883000</v>
      </c>
      <c r="G195" s="46">
        <v>20117000</v>
      </c>
      <c r="H195" s="47">
        <v>0</v>
      </c>
      <c r="I195" s="48" t="s">
        <v>136</v>
      </c>
      <c r="J195" s="48" t="s">
        <v>9</v>
      </c>
    </row>
    <row r="196" spans="1:10" ht="13.15" x14ac:dyDescent="0.4">
      <c r="A196" s="45" t="s">
        <v>106</v>
      </c>
      <c r="B196" s="46">
        <v>745637500</v>
      </c>
      <c r="C196" s="46">
        <v>745637500</v>
      </c>
      <c r="D196" s="46">
        <v>599680000</v>
      </c>
      <c r="E196" s="46">
        <v>66765000</v>
      </c>
      <c r="F196" s="46">
        <v>666445000</v>
      </c>
      <c r="G196" s="46">
        <v>79192500</v>
      </c>
      <c r="H196" s="47">
        <v>0</v>
      </c>
      <c r="I196" s="48" t="s">
        <v>136</v>
      </c>
      <c r="J196" s="48" t="s">
        <v>9</v>
      </c>
    </row>
    <row r="197" spans="1:10" ht="13.15" x14ac:dyDescent="0.4">
      <c r="A197" s="45" t="s">
        <v>107</v>
      </c>
      <c r="B197" s="46">
        <v>20000000</v>
      </c>
      <c r="C197" s="46">
        <v>20000000</v>
      </c>
      <c r="D197" s="46">
        <v>6475000</v>
      </c>
      <c r="E197" s="47">
        <v>0</v>
      </c>
      <c r="F197" s="46">
        <v>6475000</v>
      </c>
      <c r="G197" s="46">
        <v>13525000</v>
      </c>
      <c r="H197" s="47">
        <v>0</v>
      </c>
      <c r="I197" s="48" t="s">
        <v>136</v>
      </c>
      <c r="J197" s="48" t="s">
        <v>21</v>
      </c>
    </row>
    <row r="198" spans="1:10" ht="13.15" x14ac:dyDescent="0.4">
      <c r="A198" s="45" t="s">
        <v>134</v>
      </c>
      <c r="B198" s="46">
        <v>50000000</v>
      </c>
      <c r="C198" s="46">
        <v>50000000</v>
      </c>
      <c r="D198" s="47">
        <v>0</v>
      </c>
      <c r="E198" s="47">
        <v>0</v>
      </c>
      <c r="F198" s="47">
        <v>0</v>
      </c>
      <c r="G198" s="46">
        <v>50000000</v>
      </c>
      <c r="H198" s="47">
        <v>0</v>
      </c>
      <c r="I198" s="48" t="s">
        <v>136</v>
      </c>
      <c r="J198" s="48" t="s">
        <v>21</v>
      </c>
    </row>
    <row r="199" spans="1:10" ht="13.15" x14ac:dyDescent="0.4">
      <c r="A199" s="45" t="s">
        <v>110</v>
      </c>
      <c r="B199" s="46">
        <v>254500000</v>
      </c>
      <c r="C199" s="46">
        <v>254500000</v>
      </c>
      <c r="D199" s="46">
        <v>18232600</v>
      </c>
      <c r="E199" s="47">
        <v>0</v>
      </c>
      <c r="F199" s="46">
        <v>18232600</v>
      </c>
      <c r="G199" s="46">
        <v>236267400</v>
      </c>
      <c r="H199" s="47">
        <v>0</v>
      </c>
      <c r="I199" s="48" t="s">
        <v>136</v>
      </c>
      <c r="J199" s="48" t="s">
        <v>21</v>
      </c>
    </row>
    <row r="200" spans="1:10" ht="13.15" x14ac:dyDescent="0.4">
      <c r="A200" s="45" t="s">
        <v>73</v>
      </c>
      <c r="B200" s="46">
        <v>75000000</v>
      </c>
      <c r="C200" s="46">
        <v>75000000</v>
      </c>
      <c r="D200" s="47">
        <v>0</v>
      </c>
      <c r="E200" s="46">
        <v>41856000</v>
      </c>
      <c r="F200" s="46">
        <v>41856000</v>
      </c>
      <c r="G200" s="46">
        <v>33144000</v>
      </c>
      <c r="H200" s="47">
        <v>0</v>
      </c>
      <c r="I200" s="48" t="s">
        <v>136</v>
      </c>
      <c r="J200" s="48" t="s">
        <v>23</v>
      </c>
    </row>
    <row r="201" spans="1:10" ht="13.15" x14ac:dyDescent="0.4">
      <c r="A201" s="45" t="s">
        <v>111</v>
      </c>
      <c r="B201" s="46">
        <v>160050000</v>
      </c>
      <c r="C201" s="46">
        <v>160050000</v>
      </c>
      <c r="D201" s="46">
        <v>44525000</v>
      </c>
      <c r="E201" s="46">
        <v>27250000</v>
      </c>
      <c r="F201" s="46">
        <v>71775000</v>
      </c>
      <c r="G201" s="46">
        <v>88275000</v>
      </c>
      <c r="H201" s="47">
        <v>0</v>
      </c>
      <c r="I201" s="48" t="s">
        <v>136</v>
      </c>
      <c r="J201" s="48" t="s">
        <v>22</v>
      </c>
    </row>
    <row r="202" spans="1:10" ht="13.15" x14ac:dyDescent="0.4">
      <c r="A202" s="45" t="s">
        <v>112</v>
      </c>
      <c r="B202" s="46">
        <v>642500000</v>
      </c>
      <c r="C202" s="46">
        <v>642500000</v>
      </c>
      <c r="D202" s="47">
        <v>0</v>
      </c>
      <c r="E202" s="46">
        <v>394857596</v>
      </c>
      <c r="F202" s="46">
        <v>394857596</v>
      </c>
      <c r="G202" s="46">
        <v>247642404</v>
      </c>
      <c r="H202" s="47">
        <v>0</v>
      </c>
      <c r="I202" s="48" t="s">
        <v>136</v>
      </c>
      <c r="J202" s="48" t="s">
        <v>26</v>
      </c>
    </row>
    <row r="203" spans="1:10" ht="13.15" x14ac:dyDescent="0.4">
      <c r="A203" s="45" t="s">
        <v>76</v>
      </c>
      <c r="B203" s="46">
        <v>69718811</v>
      </c>
      <c r="C203" s="46">
        <v>69718811</v>
      </c>
      <c r="D203" s="46">
        <v>3400000</v>
      </c>
      <c r="E203" s="46">
        <v>32418811</v>
      </c>
      <c r="F203" s="46">
        <v>35818811</v>
      </c>
      <c r="G203" s="46">
        <v>33900000</v>
      </c>
      <c r="H203" s="47">
        <v>0</v>
      </c>
      <c r="I203" s="48" t="s">
        <v>136</v>
      </c>
      <c r="J203" s="48" t="s">
        <v>25</v>
      </c>
    </row>
    <row r="204" spans="1:10" ht="13.15" x14ac:dyDescent="0.4">
      <c r="A204" s="45" t="s">
        <v>77</v>
      </c>
      <c r="B204" s="46">
        <v>128511500</v>
      </c>
      <c r="C204" s="46">
        <v>128511500</v>
      </c>
      <c r="D204" s="46">
        <v>23159000</v>
      </c>
      <c r="E204" s="46">
        <v>51029500</v>
      </c>
      <c r="F204" s="46">
        <v>74188500</v>
      </c>
      <c r="G204" s="46">
        <v>54323000</v>
      </c>
      <c r="H204" s="47">
        <v>0</v>
      </c>
      <c r="I204" s="48" t="s">
        <v>136</v>
      </c>
      <c r="J204" s="48" t="s">
        <v>25</v>
      </c>
    </row>
    <row r="205" spans="1:10" ht="13.15" x14ac:dyDescent="0.4">
      <c r="A205" s="45" t="s">
        <v>78</v>
      </c>
      <c r="B205" s="46">
        <v>17500000</v>
      </c>
      <c r="C205" s="46">
        <v>17500000</v>
      </c>
      <c r="D205" s="47">
        <v>0</v>
      </c>
      <c r="E205" s="46">
        <v>17500000</v>
      </c>
      <c r="F205" s="46">
        <v>17500000</v>
      </c>
      <c r="G205" s="47">
        <v>0</v>
      </c>
      <c r="H205" s="47">
        <v>0</v>
      </c>
      <c r="I205" s="48" t="s">
        <v>136</v>
      </c>
      <c r="J205" s="48" t="s">
        <v>25</v>
      </c>
    </row>
    <row r="206" spans="1:10" ht="13.15" x14ac:dyDescent="0.4">
      <c r="A206" s="45" t="s">
        <v>79</v>
      </c>
      <c r="B206" s="46">
        <v>112500000</v>
      </c>
      <c r="C206" s="46">
        <v>112500000</v>
      </c>
      <c r="D206" s="46">
        <v>31837000</v>
      </c>
      <c r="E206" s="46">
        <v>5730000</v>
      </c>
      <c r="F206" s="46">
        <v>37567000</v>
      </c>
      <c r="G206" s="46">
        <v>74933000</v>
      </c>
      <c r="H206" s="47">
        <v>0</v>
      </c>
      <c r="I206" s="48" t="s">
        <v>136</v>
      </c>
      <c r="J206" s="48" t="s">
        <v>25</v>
      </c>
    </row>
    <row r="207" spans="1:10" ht="13.15" x14ac:dyDescent="0.4">
      <c r="A207" s="45" t="s">
        <v>80</v>
      </c>
      <c r="B207" s="46">
        <v>41250000</v>
      </c>
      <c r="C207" s="46">
        <v>41250000</v>
      </c>
      <c r="D207" s="47">
        <v>0</v>
      </c>
      <c r="E207" s="47">
        <v>0</v>
      </c>
      <c r="F207" s="47">
        <v>0</v>
      </c>
      <c r="G207" s="46">
        <v>41250000</v>
      </c>
      <c r="H207" s="47">
        <v>0</v>
      </c>
      <c r="I207" s="48" t="s">
        <v>136</v>
      </c>
      <c r="J207" s="48" t="s">
        <v>25</v>
      </c>
    </row>
    <row r="208" spans="1:10" ht="13.15" x14ac:dyDescent="0.4">
      <c r="A208" s="45" t="s">
        <v>81</v>
      </c>
      <c r="B208" s="46">
        <v>63000000</v>
      </c>
      <c r="C208" s="46">
        <v>63000000</v>
      </c>
      <c r="D208" s="47">
        <v>0</v>
      </c>
      <c r="E208" s="46">
        <v>52728250</v>
      </c>
      <c r="F208" s="46">
        <v>52728250</v>
      </c>
      <c r="G208" s="46">
        <v>10271750</v>
      </c>
      <c r="H208" s="47">
        <v>0</v>
      </c>
      <c r="I208" s="48" t="s">
        <v>136</v>
      </c>
      <c r="J208" s="48" t="s">
        <v>25</v>
      </c>
    </row>
    <row r="209" spans="1:10" ht="13.15" x14ac:dyDescent="0.4">
      <c r="A209" s="45" t="s">
        <v>137</v>
      </c>
      <c r="B209" s="46">
        <v>4500000</v>
      </c>
      <c r="C209" s="46">
        <v>4500000</v>
      </c>
      <c r="D209" s="46">
        <v>1245000</v>
      </c>
      <c r="E209" s="46">
        <v>2012160</v>
      </c>
      <c r="F209" s="46">
        <v>3257160</v>
      </c>
      <c r="G209" s="46">
        <v>1242840</v>
      </c>
      <c r="H209" s="47">
        <v>0</v>
      </c>
      <c r="I209" s="48" t="s">
        <v>136</v>
      </c>
      <c r="J209" s="48" t="s">
        <v>25</v>
      </c>
    </row>
    <row r="210" spans="1:10" ht="13.15" x14ac:dyDescent="0.4">
      <c r="A210" s="45" t="s">
        <v>82</v>
      </c>
      <c r="B210" s="46">
        <v>12500000</v>
      </c>
      <c r="C210" s="46">
        <v>12500000</v>
      </c>
      <c r="D210" s="47">
        <v>0</v>
      </c>
      <c r="E210" s="46">
        <v>12431950</v>
      </c>
      <c r="F210" s="46">
        <v>12431950</v>
      </c>
      <c r="G210" s="46">
        <v>68050</v>
      </c>
      <c r="H210" s="47">
        <v>0</v>
      </c>
      <c r="I210" s="48" t="s">
        <v>136</v>
      </c>
      <c r="J210" s="48" t="s">
        <v>25</v>
      </c>
    </row>
    <row r="211" spans="1:10" ht="13.15" x14ac:dyDescent="0.4">
      <c r="A211" s="45" t="s">
        <v>83</v>
      </c>
      <c r="B211" s="46">
        <v>9823162126</v>
      </c>
      <c r="C211" s="46">
        <v>9823162126</v>
      </c>
      <c r="D211" s="47">
        <v>0</v>
      </c>
      <c r="E211" s="46">
        <v>1413095540</v>
      </c>
      <c r="F211" s="46">
        <v>1413095540</v>
      </c>
      <c r="G211" s="46">
        <v>8410066586</v>
      </c>
      <c r="H211" s="47">
        <v>0</v>
      </c>
      <c r="I211" s="48" t="s">
        <v>136</v>
      </c>
      <c r="J211" s="48" t="s">
        <v>84</v>
      </c>
    </row>
    <row r="212" spans="1:10" ht="13.15" x14ac:dyDescent="0.4">
      <c r="A212" s="45" t="s">
        <v>85</v>
      </c>
      <c r="B212" s="46">
        <v>253256971</v>
      </c>
      <c r="C212" s="46">
        <v>253256971</v>
      </c>
      <c r="D212" s="47">
        <v>0</v>
      </c>
      <c r="E212" s="46">
        <v>40195286</v>
      </c>
      <c r="F212" s="46">
        <v>40195286</v>
      </c>
      <c r="G212" s="46">
        <v>213061685</v>
      </c>
      <c r="H212" s="47">
        <v>0</v>
      </c>
      <c r="I212" s="48" t="s">
        <v>136</v>
      </c>
      <c r="J212" s="48" t="s">
        <v>84</v>
      </c>
    </row>
    <row r="213" spans="1:10" ht="13.15" x14ac:dyDescent="0.4">
      <c r="A213" s="45" t="s">
        <v>86</v>
      </c>
      <c r="B213" s="46">
        <v>9245675372</v>
      </c>
      <c r="C213" s="46">
        <v>9245675372</v>
      </c>
      <c r="D213" s="47">
        <v>0</v>
      </c>
      <c r="E213" s="46">
        <v>1642954271</v>
      </c>
      <c r="F213" s="46">
        <v>1642954271</v>
      </c>
      <c r="G213" s="46">
        <v>7602721101</v>
      </c>
      <c r="H213" s="47">
        <v>0</v>
      </c>
      <c r="I213" s="48" t="s">
        <v>136</v>
      </c>
      <c r="J213" s="48" t="s">
        <v>84</v>
      </c>
    </row>
    <row r="214" spans="1:10" ht="13.15" x14ac:dyDescent="0.4">
      <c r="A214" s="45" t="s">
        <v>87</v>
      </c>
      <c r="B214" s="46">
        <v>53358150</v>
      </c>
      <c r="C214" s="46">
        <v>53358150</v>
      </c>
      <c r="D214" s="47">
        <v>0</v>
      </c>
      <c r="E214" s="47">
        <v>0</v>
      </c>
      <c r="F214" s="47">
        <v>0</v>
      </c>
      <c r="G214" s="46">
        <v>53358150</v>
      </c>
      <c r="H214" s="47">
        <v>0</v>
      </c>
      <c r="I214" s="48" t="s">
        <v>136</v>
      </c>
      <c r="J214" s="48" t="s">
        <v>84</v>
      </c>
    </row>
    <row r="215" spans="1:10" ht="13.15" x14ac:dyDescent="0.4">
      <c r="A215" s="45" t="s">
        <v>88</v>
      </c>
      <c r="B215" s="46">
        <v>711662069</v>
      </c>
      <c r="C215" s="46">
        <v>711662069</v>
      </c>
      <c r="D215" s="47">
        <v>0</v>
      </c>
      <c r="E215" s="46">
        <v>148855099</v>
      </c>
      <c r="F215" s="46">
        <v>148855099</v>
      </c>
      <c r="G215" s="46">
        <v>562806970</v>
      </c>
      <c r="H215" s="47">
        <v>0</v>
      </c>
      <c r="I215" s="48" t="s">
        <v>136</v>
      </c>
      <c r="J215" s="48" t="s">
        <v>84</v>
      </c>
    </row>
    <row r="216" spans="1:10" ht="13.15" x14ac:dyDescent="0.4">
      <c r="A216" s="45" t="s">
        <v>89</v>
      </c>
      <c r="B216" s="46">
        <v>24702462</v>
      </c>
      <c r="C216" s="46">
        <v>24702462</v>
      </c>
      <c r="D216" s="47">
        <v>0</v>
      </c>
      <c r="E216" s="46">
        <v>6364926</v>
      </c>
      <c r="F216" s="46">
        <v>6364926</v>
      </c>
      <c r="G216" s="46">
        <v>18337536</v>
      </c>
      <c r="H216" s="47">
        <v>0</v>
      </c>
      <c r="I216" s="48" t="s">
        <v>136</v>
      </c>
      <c r="J216" s="48" t="s">
        <v>84</v>
      </c>
    </row>
    <row r="217" spans="1:10" ht="13.15" x14ac:dyDescent="0.4">
      <c r="A217" s="45" t="s">
        <v>90</v>
      </c>
      <c r="B217" s="46">
        <v>825165933</v>
      </c>
      <c r="C217" s="46">
        <v>825165933</v>
      </c>
      <c r="D217" s="47">
        <v>0</v>
      </c>
      <c r="E217" s="46">
        <v>214605455</v>
      </c>
      <c r="F217" s="46">
        <v>214605455</v>
      </c>
      <c r="G217" s="46">
        <v>610560478</v>
      </c>
      <c r="H217" s="47">
        <v>0</v>
      </c>
      <c r="I217" s="48" t="s">
        <v>136</v>
      </c>
      <c r="J217" s="48" t="s">
        <v>84</v>
      </c>
    </row>
    <row r="218" spans="1:10" ht="13.15" x14ac:dyDescent="0.4">
      <c r="A218" s="45" t="s">
        <v>91</v>
      </c>
      <c r="B218" s="46">
        <v>2750420</v>
      </c>
      <c r="C218" s="46">
        <v>2750420</v>
      </c>
      <c r="D218" s="47">
        <v>0</v>
      </c>
      <c r="E218" s="47">
        <v>0</v>
      </c>
      <c r="F218" s="47">
        <v>0</v>
      </c>
      <c r="G218" s="46">
        <v>2750420</v>
      </c>
      <c r="H218" s="47">
        <v>0</v>
      </c>
      <c r="I218" s="48" t="s">
        <v>136</v>
      </c>
      <c r="J218" s="48" t="s">
        <v>84</v>
      </c>
    </row>
    <row r="219" spans="1:10" ht="13.15" x14ac:dyDescent="0.4">
      <c r="A219" s="49" t="s">
        <v>138</v>
      </c>
      <c r="B219" s="50">
        <v>31465240899</v>
      </c>
      <c r="C219" s="50">
        <v>31465240899</v>
      </c>
      <c r="D219" s="50">
        <v>4553308913</v>
      </c>
      <c r="E219" s="50">
        <v>4277422190</v>
      </c>
      <c r="F219" s="50">
        <v>8830731103</v>
      </c>
      <c r="G219" s="50">
        <v>22634509796</v>
      </c>
      <c r="H219" s="52">
        <v>0</v>
      </c>
      <c r="I219" s="51" t="s">
        <v>136</v>
      </c>
      <c r="J219" s="51" t="e">
        <v>#N/A</v>
      </c>
    </row>
    <row r="220" spans="1:10" ht="13.15" x14ac:dyDescent="0.4">
      <c r="A220" s="45" t="s">
        <v>59</v>
      </c>
      <c r="B220" s="46">
        <v>11504360000</v>
      </c>
      <c r="C220" s="46">
        <v>11504360000</v>
      </c>
      <c r="D220" s="46">
        <v>8529167730</v>
      </c>
      <c r="E220" s="46">
        <v>36030000</v>
      </c>
      <c r="F220" s="46">
        <v>8565197730</v>
      </c>
      <c r="G220" s="46">
        <v>2939162270</v>
      </c>
      <c r="H220" s="47">
        <v>0</v>
      </c>
      <c r="I220" s="48" t="s">
        <v>139</v>
      </c>
      <c r="J220" s="48" t="s">
        <v>9</v>
      </c>
    </row>
    <row r="221" spans="1:10" ht="13.15" x14ac:dyDescent="0.4">
      <c r="A221" s="45" t="s">
        <v>63</v>
      </c>
      <c r="B221" s="46">
        <v>1171703000</v>
      </c>
      <c r="C221" s="46">
        <v>1171703000</v>
      </c>
      <c r="D221" s="46">
        <v>617301007</v>
      </c>
      <c r="E221" s="47">
        <v>0</v>
      </c>
      <c r="F221" s="46">
        <v>617301007</v>
      </c>
      <c r="G221" s="46">
        <v>554401993</v>
      </c>
      <c r="H221" s="47">
        <v>0</v>
      </c>
      <c r="I221" s="48" t="s">
        <v>139</v>
      </c>
      <c r="J221" s="48" t="s">
        <v>9</v>
      </c>
    </row>
    <row r="222" spans="1:10" ht="13.15" x14ac:dyDescent="0.4">
      <c r="A222" s="45" t="s">
        <v>101</v>
      </c>
      <c r="B222" s="46">
        <v>50000000</v>
      </c>
      <c r="C222" s="46">
        <v>50000000</v>
      </c>
      <c r="D222" s="47">
        <v>0</v>
      </c>
      <c r="E222" s="47">
        <v>0</v>
      </c>
      <c r="F222" s="47">
        <v>0</v>
      </c>
      <c r="G222" s="46">
        <v>50000000</v>
      </c>
      <c r="H222" s="47">
        <v>0</v>
      </c>
      <c r="I222" s="48" t="s">
        <v>139</v>
      </c>
      <c r="J222" s="48" t="s">
        <v>9</v>
      </c>
    </row>
    <row r="223" spans="1:10" ht="13.15" x14ac:dyDescent="0.4">
      <c r="A223" s="45" t="s">
        <v>102</v>
      </c>
      <c r="B223" s="46">
        <v>247500000</v>
      </c>
      <c r="C223" s="46">
        <v>247500000</v>
      </c>
      <c r="D223" s="46">
        <v>29117120</v>
      </c>
      <c r="E223" s="47">
        <v>0</v>
      </c>
      <c r="F223" s="46">
        <v>29117120</v>
      </c>
      <c r="G223" s="46">
        <v>218382880</v>
      </c>
      <c r="H223" s="47">
        <v>0</v>
      </c>
      <c r="I223" s="48" t="s">
        <v>139</v>
      </c>
      <c r="J223" s="48" t="s">
        <v>9</v>
      </c>
    </row>
    <row r="224" spans="1:10" ht="13.15" x14ac:dyDescent="0.4">
      <c r="A224" s="45" t="s">
        <v>64</v>
      </c>
      <c r="B224" s="46">
        <v>100000000</v>
      </c>
      <c r="C224" s="46">
        <v>100000000</v>
      </c>
      <c r="D224" s="47">
        <v>0</v>
      </c>
      <c r="E224" s="47">
        <v>0</v>
      </c>
      <c r="F224" s="47">
        <v>0</v>
      </c>
      <c r="G224" s="46">
        <v>100000000</v>
      </c>
      <c r="H224" s="47">
        <v>0</v>
      </c>
      <c r="I224" s="48" t="s">
        <v>139</v>
      </c>
      <c r="J224" s="48" t="s">
        <v>9</v>
      </c>
    </row>
    <row r="225" spans="1:10" ht="13.15" x14ac:dyDescent="0.4">
      <c r="A225" s="45" t="s">
        <v>66</v>
      </c>
      <c r="B225" s="46">
        <v>655195500</v>
      </c>
      <c r="C225" s="46">
        <v>655195500</v>
      </c>
      <c r="D225" s="46">
        <v>62324038</v>
      </c>
      <c r="E225" s="46">
        <v>100383550</v>
      </c>
      <c r="F225" s="46">
        <v>162707588</v>
      </c>
      <c r="G225" s="46">
        <v>492487912</v>
      </c>
      <c r="H225" s="47">
        <v>0</v>
      </c>
      <c r="I225" s="48" t="s">
        <v>139</v>
      </c>
      <c r="J225" s="48" t="s">
        <v>9</v>
      </c>
    </row>
    <row r="226" spans="1:10" ht="13.15" x14ac:dyDescent="0.4">
      <c r="A226" s="45" t="s">
        <v>67</v>
      </c>
      <c r="B226" s="46">
        <v>690000000</v>
      </c>
      <c r="C226" s="46">
        <v>690000000</v>
      </c>
      <c r="D226" s="46">
        <v>321145216</v>
      </c>
      <c r="E226" s="46">
        <v>201042000</v>
      </c>
      <c r="F226" s="46">
        <v>522187216</v>
      </c>
      <c r="G226" s="46">
        <v>167812784</v>
      </c>
      <c r="H226" s="47">
        <v>0</v>
      </c>
      <c r="I226" s="48" t="s">
        <v>139</v>
      </c>
      <c r="J226" s="48" t="s">
        <v>9</v>
      </c>
    </row>
    <row r="227" spans="1:10" ht="13.15" x14ac:dyDescent="0.4">
      <c r="A227" s="45" t="s">
        <v>103</v>
      </c>
      <c r="B227" s="46">
        <v>175000000</v>
      </c>
      <c r="C227" s="46">
        <v>175000000</v>
      </c>
      <c r="D227" s="47">
        <v>0</v>
      </c>
      <c r="E227" s="47">
        <v>0</v>
      </c>
      <c r="F227" s="47">
        <v>0</v>
      </c>
      <c r="G227" s="46">
        <v>175000000</v>
      </c>
      <c r="H227" s="47">
        <v>0</v>
      </c>
      <c r="I227" s="48" t="s">
        <v>139</v>
      </c>
      <c r="J227" s="48" t="s">
        <v>9</v>
      </c>
    </row>
    <row r="228" spans="1:10" ht="13.15" x14ac:dyDescent="0.4">
      <c r="A228" s="45" t="s">
        <v>104</v>
      </c>
      <c r="B228" s="46">
        <v>496659494</v>
      </c>
      <c r="C228" s="46">
        <v>496659494</v>
      </c>
      <c r="D228" s="47">
        <v>0</v>
      </c>
      <c r="E228" s="47">
        <v>0</v>
      </c>
      <c r="F228" s="47">
        <v>0</v>
      </c>
      <c r="G228" s="46">
        <v>496659494</v>
      </c>
      <c r="H228" s="47">
        <v>0</v>
      </c>
      <c r="I228" s="48" t="s">
        <v>139</v>
      </c>
      <c r="J228" s="48" t="s">
        <v>9</v>
      </c>
    </row>
    <row r="229" spans="1:10" ht="13.15" x14ac:dyDescent="0.4">
      <c r="A229" s="45" t="s">
        <v>105</v>
      </c>
      <c r="B229" s="46">
        <v>50000000</v>
      </c>
      <c r="C229" s="46">
        <v>50000000</v>
      </c>
      <c r="D229" s="46">
        <v>6718000</v>
      </c>
      <c r="E229" s="47">
        <v>0</v>
      </c>
      <c r="F229" s="46">
        <v>6718000</v>
      </c>
      <c r="G229" s="46">
        <v>43282000</v>
      </c>
      <c r="H229" s="47">
        <v>0</v>
      </c>
      <c r="I229" s="48" t="s">
        <v>139</v>
      </c>
      <c r="J229" s="48" t="s">
        <v>9</v>
      </c>
    </row>
    <row r="230" spans="1:10" ht="13.15" x14ac:dyDescent="0.4">
      <c r="A230" s="45" t="s">
        <v>106</v>
      </c>
      <c r="B230" s="46">
        <v>2471712500</v>
      </c>
      <c r="C230" s="46">
        <v>2471712500</v>
      </c>
      <c r="D230" s="46">
        <v>1339680000</v>
      </c>
      <c r="E230" s="47">
        <v>0</v>
      </c>
      <c r="F230" s="46">
        <v>1339680000</v>
      </c>
      <c r="G230" s="46">
        <v>1132032500</v>
      </c>
      <c r="H230" s="47">
        <v>0</v>
      </c>
      <c r="I230" s="48" t="s">
        <v>139</v>
      </c>
      <c r="J230" s="48" t="s">
        <v>9</v>
      </c>
    </row>
    <row r="231" spans="1:10" ht="13.15" x14ac:dyDescent="0.4">
      <c r="A231" s="45" t="s">
        <v>134</v>
      </c>
      <c r="B231" s="46">
        <v>15000000</v>
      </c>
      <c r="C231" s="46">
        <v>15000000</v>
      </c>
      <c r="D231" s="47">
        <v>0</v>
      </c>
      <c r="E231" s="47">
        <v>0</v>
      </c>
      <c r="F231" s="47">
        <v>0</v>
      </c>
      <c r="G231" s="46">
        <v>15000000</v>
      </c>
      <c r="H231" s="47">
        <v>0</v>
      </c>
      <c r="I231" s="48" t="s">
        <v>139</v>
      </c>
      <c r="J231" s="48" t="s">
        <v>21</v>
      </c>
    </row>
    <row r="232" spans="1:10" ht="13.15" x14ac:dyDescent="0.4">
      <c r="A232" s="45" t="s">
        <v>110</v>
      </c>
      <c r="B232" s="46">
        <v>577500000</v>
      </c>
      <c r="C232" s="46">
        <v>577500000</v>
      </c>
      <c r="D232" s="46">
        <v>495830000</v>
      </c>
      <c r="E232" s="47">
        <v>0</v>
      </c>
      <c r="F232" s="46">
        <v>495830000</v>
      </c>
      <c r="G232" s="46">
        <v>81670000</v>
      </c>
      <c r="H232" s="47">
        <v>0</v>
      </c>
      <c r="I232" s="48" t="s">
        <v>139</v>
      </c>
      <c r="J232" s="48" t="s">
        <v>21</v>
      </c>
    </row>
    <row r="233" spans="1:10" ht="13.15" x14ac:dyDescent="0.4">
      <c r="A233" s="45" t="s">
        <v>73</v>
      </c>
      <c r="B233" s="46">
        <v>520000000</v>
      </c>
      <c r="C233" s="46">
        <v>520000000</v>
      </c>
      <c r="D233" s="47">
        <v>0</v>
      </c>
      <c r="E233" s="47">
        <v>0</v>
      </c>
      <c r="F233" s="47">
        <v>0</v>
      </c>
      <c r="G233" s="46">
        <v>520000000</v>
      </c>
      <c r="H233" s="47">
        <v>0</v>
      </c>
      <c r="I233" s="48" t="s">
        <v>139</v>
      </c>
      <c r="J233" s="48" t="s">
        <v>23</v>
      </c>
    </row>
    <row r="234" spans="1:10" ht="13.15" x14ac:dyDescent="0.4">
      <c r="A234" s="45" t="s">
        <v>111</v>
      </c>
      <c r="B234" s="46">
        <v>125000000</v>
      </c>
      <c r="C234" s="46">
        <v>125000000</v>
      </c>
      <c r="D234" s="46">
        <v>32848750</v>
      </c>
      <c r="E234" s="47">
        <v>0</v>
      </c>
      <c r="F234" s="46">
        <v>32848750</v>
      </c>
      <c r="G234" s="46">
        <v>92151250</v>
      </c>
      <c r="H234" s="47">
        <v>0</v>
      </c>
      <c r="I234" s="48" t="s">
        <v>139</v>
      </c>
      <c r="J234" s="48" t="s">
        <v>22</v>
      </c>
    </row>
    <row r="235" spans="1:10" ht="13.15" x14ac:dyDescent="0.4">
      <c r="A235" s="45" t="s">
        <v>112</v>
      </c>
      <c r="B235" s="46">
        <v>765894000</v>
      </c>
      <c r="C235" s="46">
        <v>765894000</v>
      </c>
      <c r="D235" s="47">
        <v>0</v>
      </c>
      <c r="E235" s="46">
        <v>396859899</v>
      </c>
      <c r="F235" s="46">
        <v>396859899</v>
      </c>
      <c r="G235" s="46">
        <v>369034101</v>
      </c>
      <c r="H235" s="47">
        <v>0</v>
      </c>
      <c r="I235" s="48" t="s">
        <v>139</v>
      </c>
      <c r="J235" s="48" t="s">
        <v>26</v>
      </c>
    </row>
    <row r="236" spans="1:10" ht="13.15" x14ac:dyDescent="0.4">
      <c r="A236" s="45" t="s">
        <v>76</v>
      </c>
      <c r="B236" s="46">
        <v>36720850</v>
      </c>
      <c r="C236" s="46">
        <v>36720850</v>
      </c>
      <c r="D236" s="46">
        <v>10311000</v>
      </c>
      <c r="E236" s="46">
        <v>9960000</v>
      </c>
      <c r="F236" s="46">
        <v>20271000</v>
      </c>
      <c r="G236" s="46">
        <v>16449850</v>
      </c>
      <c r="H236" s="47">
        <v>0</v>
      </c>
      <c r="I236" s="48" t="s">
        <v>139</v>
      </c>
      <c r="J236" s="48" t="s">
        <v>25</v>
      </c>
    </row>
    <row r="237" spans="1:10" ht="13.15" x14ac:dyDescent="0.4">
      <c r="A237" s="45" t="s">
        <v>77</v>
      </c>
      <c r="B237" s="46">
        <v>118079500</v>
      </c>
      <c r="C237" s="46">
        <v>118079500</v>
      </c>
      <c r="D237" s="46">
        <v>29494000</v>
      </c>
      <c r="E237" s="46">
        <v>52117900</v>
      </c>
      <c r="F237" s="46">
        <v>81611900</v>
      </c>
      <c r="G237" s="46">
        <v>36467600</v>
      </c>
      <c r="H237" s="47">
        <v>0</v>
      </c>
      <c r="I237" s="48" t="s">
        <v>139</v>
      </c>
      <c r="J237" s="48" t="s">
        <v>25</v>
      </c>
    </row>
    <row r="238" spans="1:10" ht="13.15" x14ac:dyDescent="0.4">
      <c r="A238" s="45" t="s">
        <v>78</v>
      </c>
      <c r="B238" s="46">
        <v>24750000</v>
      </c>
      <c r="C238" s="46">
        <v>24750000</v>
      </c>
      <c r="D238" s="47">
        <v>0</v>
      </c>
      <c r="E238" s="46">
        <v>16500000</v>
      </c>
      <c r="F238" s="46">
        <v>16500000</v>
      </c>
      <c r="G238" s="46">
        <v>8250000</v>
      </c>
      <c r="H238" s="47">
        <v>0</v>
      </c>
      <c r="I238" s="48" t="s">
        <v>139</v>
      </c>
      <c r="J238" s="48" t="s">
        <v>25</v>
      </c>
    </row>
    <row r="239" spans="1:10" ht="13.15" x14ac:dyDescent="0.4">
      <c r="A239" s="45" t="s">
        <v>79</v>
      </c>
      <c r="B239" s="46">
        <v>732016185</v>
      </c>
      <c r="C239" s="46">
        <v>732016185</v>
      </c>
      <c r="D239" s="46">
        <v>705859685</v>
      </c>
      <c r="E239" s="46">
        <v>26156500</v>
      </c>
      <c r="F239" s="46">
        <v>732016185</v>
      </c>
      <c r="G239" s="47">
        <v>0</v>
      </c>
      <c r="H239" s="47">
        <v>0</v>
      </c>
      <c r="I239" s="48" t="s">
        <v>139</v>
      </c>
      <c r="J239" s="48" t="s">
        <v>25</v>
      </c>
    </row>
    <row r="240" spans="1:10" ht="13.15" x14ac:dyDescent="0.4">
      <c r="A240" s="45" t="s">
        <v>81</v>
      </c>
      <c r="B240" s="46">
        <v>67428000</v>
      </c>
      <c r="C240" s="46">
        <v>67428000</v>
      </c>
      <c r="D240" s="47">
        <v>0</v>
      </c>
      <c r="E240" s="46">
        <v>50796750</v>
      </c>
      <c r="F240" s="46">
        <v>50796750</v>
      </c>
      <c r="G240" s="46">
        <v>16631250</v>
      </c>
      <c r="H240" s="47">
        <v>0</v>
      </c>
      <c r="I240" s="48" t="s">
        <v>139</v>
      </c>
      <c r="J240" s="48" t="s">
        <v>25</v>
      </c>
    </row>
    <row r="241" spans="1:10" ht="13.15" x14ac:dyDescent="0.4">
      <c r="A241" s="45" t="s">
        <v>82</v>
      </c>
      <c r="B241" s="46">
        <v>15000000</v>
      </c>
      <c r="C241" s="46">
        <v>15000000</v>
      </c>
      <c r="D241" s="46">
        <v>14997987</v>
      </c>
      <c r="E241" s="47">
        <v>0</v>
      </c>
      <c r="F241" s="46">
        <v>14997987</v>
      </c>
      <c r="G241" s="46">
        <v>2013</v>
      </c>
      <c r="H241" s="47">
        <v>0</v>
      </c>
      <c r="I241" s="48" t="s">
        <v>139</v>
      </c>
      <c r="J241" s="48" t="s">
        <v>25</v>
      </c>
    </row>
    <row r="242" spans="1:10" ht="13.15" x14ac:dyDescent="0.4">
      <c r="A242" s="45" t="s">
        <v>83</v>
      </c>
      <c r="B242" s="46">
        <v>9825956170</v>
      </c>
      <c r="C242" s="46">
        <v>9825956170</v>
      </c>
      <c r="D242" s="47">
        <v>0</v>
      </c>
      <c r="E242" s="46">
        <v>1414752651</v>
      </c>
      <c r="F242" s="46">
        <v>1414752651</v>
      </c>
      <c r="G242" s="46">
        <v>8411203519</v>
      </c>
      <c r="H242" s="47">
        <v>0</v>
      </c>
      <c r="I242" s="48" t="s">
        <v>139</v>
      </c>
      <c r="J242" s="48" t="s">
        <v>84</v>
      </c>
    </row>
    <row r="243" spans="1:10" ht="13.15" x14ac:dyDescent="0.4">
      <c r="A243" s="45" t="s">
        <v>85</v>
      </c>
      <c r="B243" s="46">
        <v>469848578</v>
      </c>
      <c r="C243" s="46">
        <v>469848578</v>
      </c>
      <c r="D243" s="47">
        <v>0</v>
      </c>
      <c r="E243" s="46">
        <v>81372528</v>
      </c>
      <c r="F243" s="46">
        <v>81372528</v>
      </c>
      <c r="G243" s="46">
        <v>388476050</v>
      </c>
      <c r="H243" s="47">
        <v>0</v>
      </c>
      <c r="I243" s="48" t="s">
        <v>139</v>
      </c>
      <c r="J243" s="48" t="s">
        <v>84</v>
      </c>
    </row>
    <row r="244" spans="1:10" ht="13.15" x14ac:dyDescent="0.4">
      <c r="A244" s="45" t="s">
        <v>86</v>
      </c>
      <c r="B244" s="46">
        <v>9512105917</v>
      </c>
      <c r="C244" s="46">
        <v>9512105917</v>
      </c>
      <c r="D244" s="47">
        <v>0</v>
      </c>
      <c r="E244" s="46">
        <v>1634854848</v>
      </c>
      <c r="F244" s="46">
        <v>1634854848</v>
      </c>
      <c r="G244" s="46">
        <v>7877251069</v>
      </c>
      <c r="H244" s="47">
        <v>0</v>
      </c>
      <c r="I244" s="48" t="s">
        <v>139</v>
      </c>
      <c r="J244" s="48" t="s">
        <v>84</v>
      </c>
    </row>
    <row r="245" spans="1:10" ht="13.15" x14ac:dyDescent="0.4">
      <c r="A245" s="45" t="s">
        <v>87</v>
      </c>
      <c r="B245" s="46">
        <v>52257981</v>
      </c>
      <c r="C245" s="46">
        <v>52257981</v>
      </c>
      <c r="D245" s="47">
        <v>0</v>
      </c>
      <c r="E245" s="47">
        <v>0</v>
      </c>
      <c r="F245" s="47">
        <v>0</v>
      </c>
      <c r="G245" s="46">
        <v>52257981</v>
      </c>
      <c r="H245" s="47">
        <v>0</v>
      </c>
      <c r="I245" s="48" t="s">
        <v>139</v>
      </c>
      <c r="J245" s="48" t="s">
        <v>84</v>
      </c>
    </row>
    <row r="246" spans="1:10" ht="13.15" x14ac:dyDescent="0.4">
      <c r="A246" s="45" t="s">
        <v>88</v>
      </c>
      <c r="B246" s="46">
        <v>994942561</v>
      </c>
      <c r="C246" s="46">
        <v>994942561</v>
      </c>
      <c r="D246" s="47">
        <v>0</v>
      </c>
      <c r="E246" s="46">
        <v>142576822</v>
      </c>
      <c r="F246" s="46">
        <v>142576822</v>
      </c>
      <c r="G246" s="46">
        <v>852365739</v>
      </c>
      <c r="H246" s="47">
        <v>0</v>
      </c>
      <c r="I246" s="48" t="s">
        <v>139</v>
      </c>
      <c r="J246" s="48" t="s">
        <v>84</v>
      </c>
    </row>
    <row r="247" spans="1:10" ht="13.15" x14ac:dyDescent="0.4">
      <c r="A247" s="45" t="s">
        <v>89</v>
      </c>
      <c r="B247" s="46">
        <v>33538359</v>
      </c>
      <c r="C247" s="46">
        <v>33538359</v>
      </c>
      <c r="D247" s="47">
        <v>0</v>
      </c>
      <c r="E247" s="46">
        <v>6842991</v>
      </c>
      <c r="F247" s="46">
        <v>6842991</v>
      </c>
      <c r="G247" s="46">
        <v>26695368</v>
      </c>
      <c r="H247" s="47">
        <v>0</v>
      </c>
      <c r="I247" s="48" t="s">
        <v>139</v>
      </c>
      <c r="J247" s="48" t="s">
        <v>84</v>
      </c>
    </row>
    <row r="248" spans="1:10" ht="13.15" x14ac:dyDescent="0.4">
      <c r="A248" s="45" t="s">
        <v>90</v>
      </c>
      <c r="B248" s="46">
        <v>1099727334</v>
      </c>
      <c r="C248" s="46">
        <v>1099727334</v>
      </c>
      <c r="D248" s="47">
        <v>0</v>
      </c>
      <c r="E248" s="46">
        <v>221405523</v>
      </c>
      <c r="F248" s="46">
        <v>221405523</v>
      </c>
      <c r="G248" s="46">
        <v>878321811</v>
      </c>
      <c r="H248" s="47">
        <v>0</v>
      </c>
      <c r="I248" s="48" t="s">
        <v>139</v>
      </c>
      <c r="J248" s="48" t="s">
        <v>84</v>
      </c>
    </row>
    <row r="249" spans="1:10" ht="13.15" x14ac:dyDescent="0.4">
      <c r="A249" s="45" t="s">
        <v>91</v>
      </c>
      <c r="B249" s="46">
        <v>2750420</v>
      </c>
      <c r="C249" s="46">
        <v>2750420</v>
      </c>
      <c r="D249" s="47">
        <v>0</v>
      </c>
      <c r="E249" s="47">
        <v>0</v>
      </c>
      <c r="F249" s="47">
        <v>0</v>
      </c>
      <c r="G249" s="46">
        <v>2750420</v>
      </c>
      <c r="H249" s="47">
        <v>0</v>
      </c>
      <c r="I249" s="48" t="s">
        <v>139</v>
      </c>
      <c r="J249" s="48" t="s">
        <v>84</v>
      </c>
    </row>
    <row r="250" spans="1:10" ht="13.15" x14ac:dyDescent="0.4">
      <c r="A250" s="49" t="s">
        <v>140</v>
      </c>
      <c r="B250" s="50">
        <v>42600646349</v>
      </c>
      <c r="C250" s="50">
        <v>42600646349</v>
      </c>
      <c r="D250" s="50">
        <v>12194794533</v>
      </c>
      <c r="E250" s="50">
        <v>4391651962</v>
      </c>
      <c r="F250" s="50">
        <v>16586446495</v>
      </c>
      <c r="G250" s="50">
        <v>26014199854</v>
      </c>
      <c r="H250" s="52">
        <v>0</v>
      </c>
      <c r="I250" s="51" t="s">
        <v>139</v>
      </c>
      <c r="J250" s="51" t="e">
        <v>#N/A</v>
      </c>
    </row>
    <row r="251" spans="1:10" ht="13.15" x14ac:dyDescent="0.4">
      <c r="A251" s="45" t="s">
        <v>59</v>
      </c>
      <c r="B251" s="46">
        <v>2847534500</v>
      </c>
      <c r="C251" s="46">
        <v>2847534500</v>
      </c>
      <c r="D251" s="46">
        <v>718522000</v>
      </c>
      <c r="E251" s="47">
        <v>0</v>
      </c>
      <c r="F251" s="46">
        <v>718522000</v>
      </c>
      <c r="G251" s="46">
        <v>2129012500</v>
      </c>
      <c r="H251" s="47">
        <v>0</v>
      </c>
      <c r="I251" s="48" t="s">
        <v>141</v>
      </c>
      <c r="J251" s="48" t="s">
        <v>9</v>
      </c>
    </row>
    <row r="252" spans="1:10" ht="13.15" x14ac:dyDescent="0.4">
      <c r="A252" s="45" t="s">
        <v>63</v>
      </c>
      <c r="B252" s="46">
        <v>770000000</v>
      </c>
      <c r="C252" s="46">
        <v>770000000</v>
      </c>
      <c r="D252" s="46">
        <v>731199517</v>
      </c>
      <c r="E252" s="47">
        <v>0</v>
      </c>
      <c r="F252" s="46">
        <v>731199517</v>
      </c>
      <c r="G252" s="46">
        <v>38800483</v>
      </c>
      <c r="H252" s="47">
        <v>0</v>
      </c>
      <c r="I252" s="48" t="s">
        <v>141</v>
      </c>
      <c r="J252" s="48" t="s">
        <v>9</v>
      </c>
    </row>
    <row r="253" spans="1:10" ht="13.15" x14ac:dyDescent="0.4">
      <c r="A253" s="45" t="s">
        <v>101</v>
      </c>
      <c r="B253" s="46">
        <v>179171000</v>
      </c>
      <c r="C253" s="46">
        <v>179171000</v>
      </c>
      <c r="D253" s="47">
        <v>0</v>
      </c>
      <c r="E253" s="47">
        <v>0</v>
      </c>
      <c r="F253" s="47">
        <v>0</v>
      </c>
      <c r="G253" s="46">
        <v>179171000</v>
      </c>
      <c r="H253" s="47">
        <v>0</v>
      </c>
      <c r="I253" s="48" t="s">
        <v>141</v>
      </c>
      <c r="J253" s="48" t="s">
        <v>9</v>
      </c>
    </row>
    <row r="254" spans="1:10" ht="13.15" x14ac:dyDescent="0.4">
      <c r="A254" s="45" t="s">
        <v>102</v>
      </c>
      <c r="B254" s="46">
        <v>75000000</v>
      </c>
      <c r="C254" s="46">
        <v>75000000</v>
      </c>
      <c r="D254" s="47">
        <v>0</v>
      </c>
      <c r="E254" s="47">
        <v>0</v>
      </c>
      <c r="F254" s="47">
        <v>0</v>
      </c>
      <c r="G254" s="46">
        <v>75000000</v>
      </c>
      <c r="H254" s="47">
        <v>0</v>
      </c>
      <c r="I254" s="48" t="s">
        <v>141</v>
      </c>
      <c r="J254" s="48" t="s">
        <v>9</v>
      </c>
    </row>
    <row r="255" spans="1:10" ht="13.15" x14ac:dyDescent="0.4">
      <c r="A255" s="45" t="s">
        <v>64</v>
      </c>
      <c r="B255" s="46">
        <v>437500000</v>
      </c>
      <c r="C255" s="46">
        <v>437500000</v>
      </c>
      <c r="D255" s="47">
        <v>0</v>
      </c>
      <c r="E255" s="46">
        <v>6817000</v>
      </c>
      <c r="F255" s="46">
        <v>6817000</v>
      </c>
      <c r="G255" s="46">
        <v>430683000</v>
      </c>
      <c r="H255" s="47">
        <v>0</v>
      </c>
      <c r="I255" s="48" t="s">
        <v>141</v>
      </c>
      <c r="J255" s="48" t="s">
        <v>9</v>
      </c>
    </row>
    <row r="256" spans="1:10" ht="13.15" x14ac:dyDescent="0.4">
      <c r="A256" s="45" t="s">
        <v>65</v>
      </c>
      <c r="B256" s="46">
        <v>1634991000</v>
      </c>
      <c r="C256" s="46">
        <v>1634991000</v>
      </c>
      <c r="D256" s="46">
        <v>197080000</v>
      </c>
      <c r="E256" s="46">
        <v>99830000</v>
      </c>
      <c r="F256" s="46">
        <v>296910000</v>
      </c>
      <c r="G256" s="46">
        <v>1338081000</v>
      </c>
      <c r="H256" s="47">
        <v>0</v>
      </c>
      <c r="I256" s="48" t="s">
        <v>141</v>
      </c>
      <c r="J256" s="48" t="s">
        <v>9</v>
      </c>
    </row>
    <row r="257" spans="1:10" ht="13.15" x14ac:dyDescent="0.4">
      <c r="A257" s="45" t="s">
        <v>66</v>
      </c>
      <c r="B257" s="46">
        <v>245566500</v>
      </c>
      <c r="C257" s="46">
        <v>245566500</v>
      </c>
      <c r="D257" s="47">
        <v>0</v>
      </c>
      <c r="E257" s="46">
        <v>98325000</v>
      </c>
      <c r="F257" s="46">
        <v>98325000</v>
      </c>
      <c r="G257" s="46">
        <v>147241500</v>
      </c>
      <c r="H257" s="47">
        <v>0</v>
      </c>
      <c r="I257" s="48" t="s">
        <v>141</v>
      </c>
      <c r="J257" s="48" t="s">
        <v>9</v>
      </c>
    </row>
    <row r="258" spans="1:10" ht="13.15" x14ac:dyDescent="0.4">
      <c r="A258" s="45" t="s">
        <v>67</v>
      </c>
      <c r="B258" s="46">
        <v>850000000</v>
      </c>
      <c r="C258" s="46">
        <v>850000000</v>
      </c>
      <c r="D258" s="46">
        <v>259809160</v>
      </c>
      <c r="E258" s="46">
        <v>74800000</v>
      </c>
      <c r="F258" s="46">
        <v>334609160</v>
      </c>
      <c r="G258" s="46">
        <v>515390840</v>
      </c>
      <c r="H258" s="47">
        <v>0</v>
      </c>
      <c r="I258" s="48" t="s">
        <v>141</v>
      </c>
      <c r="J258" s="48" t="s">
        <v>9</v>
      </c>
    </row>
    <row r="259" spans="1:10" ht="13.15" x14ac:dyDescent="0.4">
      <c r="A259" s="45" t="s">
        <v>103</v>
      </c>
      <c r="B259" s="46">
        <v>200000000</v>
      </c>
      <c r="C259" s="46">
        <v>200000000</v>
      </c>
      <c r="D259" s="47">
        <v>0</v>
      </c>
      <c r="E259" s="47">
        <v>0</v>
      </c>
      <c r="F259" s="47">
        <v>0</v>
      </c>
      <c r="G259" s="46">
        <v>200000000</v>
      </c>
      <c r="H259" s="47">
        <v>0</v>
      </c>
      <c r="I259" s="48" t="s">
        <v>141</v>
      </c>
      <c r="J259" s="48" t="s">
        <v>9</v>
      </c>
    </row>
    <row r="260" spans="1:10" ht="13.15" x14ac:dyDescent="0.4">
      <c r="A260" s="45" t="s">
        <v>104</v>
      </c>
      <c r="B260" s="46">
        <v>620000000</v>
      </c>
      <c r="C260" s="46">
        <v>620000000</v>
      </c>
      <c r="D260" s="46">
        <v>49633664</v>
      </c>
      <c r="E260" s="47">
        <v>0</v>
      </c>
      <c r="F260" s="46">
        <v>49633664</v>
      </c>
      <c r="G260" s="46">
        <v>570366336</v>
      </c>
      <c r="H260" s="47">
        <v>0</v>
      </c>
      <c r="I260" s="48" t="s">
        <v>141</v>
      </c>
      <c r="J260" s="48" t="s">
        <v>9</v>
      </c>
    </row>
    <row r="261" spans="1:10" ht="13.15" x14ac:dyDescent="0.4">
      <c r="A261" s="45" t="s">
        <v>105</v>
      </c>
      <c r="B261" s="46">
        <v>75000000</v>
      </c>
      <c r="C261" s="46">
        <v>75000000</v>
      </c>
      <c r="D261" s="47">
        <v>0</v>
      </c>
      <c r="E261" s="47">
        <v>0</v>
      </c>
      <c r="F261" s="47">
        <v>0</v>
      </c>
      <c r="G261" s="46">
        <v>75000000</v>
      </c>
      <c r="H261" s="47">
        <v>0</v>
      </c>
      <c r="I261" s="48" t="s">
        <v>141</v>
      </c>
      <c r="J261" s="48" t="s">
        <v>9</v>
      </c>
    </row>
    <row r="262" spans="1:10" ht="13.15" x14ac:dyDescent="0.4">
      <c r="A262" s="45" t="s">
        <v>106</v>
      </c>
      <c r="B262" s="46">
        <v>1334151500</v>
      </c>
      <c r="C262" s="46">
        <v>1334151500</v>
      </c>
      <c r="D262" s="46">
        <v>1190000000</v>
      </c>
      <c r="E262" s="47">
        <v>0</v>
      </c>
      <c r="F262" s="46">
        <v>1190000000</v>
      </c>
      <c r="G262" s="46">
        <v>144151500</v>
      </c>
      <c r="H262" s="47">
        <v>0</v>
      </c>
      <c r="I262" s="48" t="s">
        <v>141</v>
      </c>
      <c r="J262" s="48" t="s">
        <v>9</v>
      </c>
    </row>
    <row r="263" spans="1:10" ht="13.15" x14ac:dyDescent="0.4">
      <c r="A263" s="45" t="s">
        <v>69</v>
      </c>
      <c r="B263" s="46">
        <v>273768000</v>
      </c>
      <c r="C263" s="46">
        <v>273768000</v>
      </c>
      <c r="D263" s="47">
        <v>0</v>
      </c>
      <c r="E263" s="47">
        <v>0</v>
      </c>
      <c r="F263" s="47">
        <v>0</v>
      </c>
      <c r="G263" s="46">
        <v>273768000</v>
      </c>
      <c r="H263" s="47">
        <v>0</v>
      </c>
      <c r="I263" s="48" t="s">
        <v>141</v>
      </c>
      <c r="J263" s="48" t="s">
        <v>9</v>
      </c>
    </row>
    <row r="264" spans="1:10" ht="13.15" x14ac:dyDescent="0.4">
      <c r="A264" s="45" t="s">
        <v>70</v>
      </c>
      <c r="B264" s="46">
        <v>2633662000</v>
      </c>
      <c r="C264" s="46">
        <v>2633662000</v>
      </c>
      <c r="D264" s="46">
        <v>2627635958</v>
      </c>
      <c r="E264" s="47">
        <v>0</v>
      </c>
      <c r="F264" s="46">
        <v>2627635958</v>
      </c>
      <c r="G264" s="46">
        <v>6026042</v>
      </c>
      <c r="H264" s="47">
        <v>0</v>
      </c>
      <c r="I264" s="48" t="s">
        <v>141</v>
      </c>
      <c r="J264" s="48" t="s">
        <v>9</v>
      </c>
    </row>
    <row r="265" spans="1:10" ht="13.15" x14ac:dyDescent="0.4">
      <c r="A265" s="45" t="s">
        <v>119</v>
      </c>
      <c r="B265" s="46">
        <v>575500000</v>
      </c>
      <c r="C265" s="46">
        <v>575500000</v>
      </c>
      <c r="D265" s="46">
        <v>316539281</v>
      </c>
      <c r="E265" s="47">
        <v>0</v>
      </c>
      <c r="F265" s="46">
        <v>316539281</v>
      </c>
      <c r="G265" s="46">
        <v>258960719</v>
      </c>
      <c r="H265" s="47">
        <v>0</v>
      </c>
      <c r="I265" s="48" t="s">
        <v>141</v>
      </c>
      <c r="J265" s="48" t="s">
        <v>9</v>
      </c>
    </row>
    <row r="266" spans="1:10" ht="13.15" x14ac:dyDescent="0.4">
      <c r="A266" s="45" t="s">
        <v>121</v>
      </c>
      <c r="B266" s="46">
        <v>387500000</v>
      </c>
      <c r="C266" s="46">
        <v>387500000</v>
      </c>
      <c r="D266" s="46">
        <v>49450000</v>
      </c>
      <c r="E266" s="47">
        <v>0</v>
      </c>
      <c r="F266" s="46">
        <v>49450000</v>
      </c>
      <c r="G266" s="46">
        <v>338050000</v>
      </c>
      <c r="H266" s="47">
        <v>0</v>
      </c>
      <c r="I266" s="48" t="s">
        <v>141</v>
      </c>
      <c r="J266" s="48" t="s">
        <v>9</v>
      </c>
    </row>
    <row r="267" spans="1:10" ht="13.15" x14ac:dyDescent="0.4">
      <c r="A267" s="45" t="s">
        <v>122</v>
      </c>
      <c r="B267" s="46">
        <v>1130000000</v>
      </c>
      <c r="C267" s="46">
        <v>1130000000</v>
      </c>
      <c r="D267" s="46">
        <v>447600900</v>
      </c>
      <c r="E267" s="47">
        <v>0</v>
      </c>
      <c r="F267" s="46">
        <v>447600900</v>
      </c>
      <c r="G267" s="46">
        <v>682399100</v>
      </c>
      <c r="H267" s="47">
        <v>0</v>
      </c>
      <c r="I267" s="48" t="s">
        <v>141</v>
      </c>
      <c r="J267" s="48" t="s">
        <v>9</v>
      </c>
    </row>
    <row r="268" spans="1:10" ht="13.15" x14ac:dyDescent="0.4">
      <c r="A268" s="45" t="s">
        <v>134</v>
      </c>
      <c r="B268" s="46">
        <v>125000000</v>
      </c>
      <c r="C268" s="46">
        <v>125000000</v>
      </c>
      <c r="D268" s="47">
        <v>0</v>
      </c>
      <c r="E268" s="47">
        <v>0</v>
      </c>
      <c r="F268" s="47">
        <v>0</v>
      </c>
      <c r="G268" s="46">
        <v>125000000</v>
      </c>
      <c r="H268" s="47">
        <v>0</v>
      </c>
      <c r="I268" s="48" t="s">
        <v>141</v>
      </c>
      <c r="J268" s="48" t="s">
        <v>21</v>
      </c>
    </row>
    <row r="269" spans="1:10" ht="13.15" x14ac:dyDescent="0.4">
      <c r="A269" s="45" t="s">
        <v>110</v>
      </c>
      <c r="B269" s="46">
        <v>375000000</v>
      </c>
      <c r="C269" s="46">
        <v>375000000</v>
      </c>
      <c r="D269" s="46">
        <v>8959000</v>
      </c>
      <c r="E269" s="46">
        <v>36500000</v>
      </c>
      <c r="F269" s="46">
        <v>45459000</v>
      </c>
      <c r="G269" s="46">
        <v>329541000</v>
      </c>
      <c r="H269" s="47">
        <v>0</v>
      </c>
      <c r="I269" s="48" t="s">
        <v>141</v>
      </c>
      <c r="J269" s="48" t="s">
        <v>21</v>
      </c>
    </row>
    <row r="270" spans="1:10" ht="13.15" x14ac:dyDescent="0.4">
      <c r="A270" s="45" t="s">
        <v>127</v>
      </c>
      <c r="B270" s="46">
        <v>621000000</v>
      </c>
      <c r="C270" s="46">
        <v>621000000</v>
      </c>
      <c r="D270" s="47">
        <v>0</v>
      </c>
      <c r="E270" s="47">
        <v>0</v>
      </c>
      <c r="F270" s="47">
        <v>0</v>
      </c>
      <c r="G270" s="46">
        <v>621000000</v>
      </c>
      <c r="H270" s="47">
        <v>0</v>
      </c>
      <c r="I270" s="48" t="s">
        <v>141</v>
      </c>
      <c r="J270" s="48" t="s">
        <v>21</v>
      </c>
    </row>
    <row r="271" spans="1:10" ht="13.15" x14ac:dyDescent="0.4">
      <c r="A271" s="45" t="s">
        <v>73</v>
      </c>
      <c r="B271" s="46">
        <v>100000000</v>
      </c>
      <c r="C271" s="46">
        <v>100000000</v>
      </c>
      <c r="D271" s="47">
        <v>0</v>
      </c>
      <c r="E271" s="47">
        <v>0</v>
      </c>
      <c r="F271" s="47">
        <v>0</v>
      </c>
      <c r="G271" s="46">
        <v>100000000</v>
      </c>
      <c r="H271" s="47">
        <v>0</v>
      </c>
      <c r="I271" s="48" t="s">
        <v>141</v>
      </c>
      <c r="J271" s="48" t="s">
        <v>23</v>
      </c>
    </row>
    <row r="272" spans="1:10" ht="13.15" x14ac:dyDescent="0.4">
      <c r="A272" s="45" t="s">
        <v>111</v>
      </c>
      <c r="B272" s="46">
        <v>173189000</v>
      </c>
      <c r="C272" s="46">
        <v>173189000</v>
      </c>
      <c r="D272" s="46">
        <v>1160000</v>
      </c>
      <c r="E272" s="46">
        <v>62100000</v>
      </c>
      <c r="F272" s="46">
        <v>63260000</v>
      </c>
      <c r="G272" s="46">
        <v>109929000</v>
      </c>
      <c r="H272" s="47">
        <v>0</v>
      </c>
      <c r="I272" s="48" t="s">
        <v>141</v>
      </c>
      <c r="J272" s="48" t="s">
        <v>22</v>
      </c>
    </row>
    <row r="273" spans="1:10" ht="13.15" x14ac:dyDescent="0.4">
      <c r="A273" s="45" t="s">
        <v>112</v>
      </c>
      <c r="B273" s="46">
        <v>546340018</v>
      </c>
      <c r="C273" s="46">
        <v>546340018</v>
      </c>
      <c r="D273" s="47">
        <v>0</v>
      </c>
      <c r="E273" s="46">
        <v>320371955</v>
      </c>
      <c r="F273" s="46">
        <v>320371955</v>
      </c>
      <c r="G273" s="46">
        <v>225968063</v>
      </c>
      <c r="H273" s="47">
        <v>0</v>
      </c>
      <c r="I273" s="48" t="s">
        <v>141</v>
      </c>
      <c r="J273" s="48" t="s">
        <v>26</v>
      </c>
    </row>
    <row r="274" spans="1:10" ht="13.15" x14ac:dyDescent="0.4">
      <c r="A274" s="45" t="s">
        <v>76</v>
      </c>
      <c r="B274" s="46">
        <v>24334750</v>
      </c>
      <c r="C274" s="46">
        <v>24334750</v>
      </c>
      <c r="D274" s="46">
        <v>6000000</v>
      </c>
      <c r="E274" s="46">
        <v>9188377</v>
      </c>
      <c r="F274" s="46">
        <v>15188377</v>
      </c>
      <c r="G274" s="46">
        <v>9146373</v>
      </c>
      <c r="H274" s="47">
        <v>0</v>
      </c>
      <c r="I274" s="48" t="s">
        <v>141</v>
      </c>
      <c r="J274" s="48" t="s">
        <v>25</v>
      </c>
    </row>
    <row r="275" spans="1:10" ht="13.15" x14ac:dyDescent="0.4">
      <c r="A275" s="45" t="s">
        <v>77</v>
      </c>
      <c r="B275" s="46">
        <v>97531500</v>
      </c>
      <c r="C275" s="46">
        <v>97531500</v>
      </c>
      <c r="D275" s="46">
        <v>12164000</v>
      </c>
      <c r="E275" s="46">
        <v>78837733</v>
      </c>
      <c r="F275" s="46">
        <v>91001733</v>
      </c>
      <c r="G275" s="46">
        <v>6529767</v>
      </c>
      <c r="H275" s="47">
        <v>0</v>
      </c>
      <c r="I275" s="48" t="s">
        <v>141</v>
      </c>
      <c r="J275" s="48" t="s">
        <v>25</v>
      </c>
    </row>
    <row r="276" spans="1:10" ht="13.15" x14ac:dyDescent="0.4">
      <c r="A276" s="45" t="s">
        <v>78</v>
      </c>
      <c r="B276" s="46">
        <v>37950000</v>
      </c>
      <c r="C276" s="46">
        <v>37950000</v>
      </c>
      <c r="D276" s="47">
        <v>0</v>
      </c>
      <c r="E276" s="46">
        <v>20461500</v>
      </c>
      <c r="F276" s="46">
        <v>20461500</v>
      </c>
      <c r="G276" s="46">
        <v>17488500</v>
      </c>
      <c r="H276" s="47">
        <v>0</v>
      </c>
      <c r="I276" s="48" t="s">
        <v>141</v>
      </c>
      <c r="J276" s="48" t="s">
        <v>25</v>
      </c>
    </row>
    <row r="277" spans="1:10" ht="13.15" x14ac:dyDescent="0.4">
      <c r="A277" s="45" t="s">
        <v>79</v>
      </c>
      <c r="B277" s="46">
        <v>302334250</v>
      </c>
      <c r="C277" s="46">
        <v>302334250</v>
      </c>
      <c r="D277" s="46">
        <v>59146500</v>
      </c>
      <c r="E277" s="47">
        <v>0</v>
      </c>
      <c r="F277" s="46">
        <v>59146500</v>
      </c>
      <c r="G277" s="46">
        <v>243187750</v>
      </c>
      <c r="H277" s="47">
        <v>0</v>
      </c>
      <c r="I277" s="48" t="s">
        <v>141</v>
      </c>
      <c r="J277" s="48" t="s">
        <v>25</v>
      </c>
    </row>
    <row r="278" spans="1:10" ht="13.15" x14ac:dyDescent="0.4">
      <c r="A278" s="45" t="s">
        <v>81</v>
      </c>
      <c r="B278" s="46">
        <v>79793750</v>
      </c>
      <c r="C278" s="46">
        <v>79793750</v>
      </c>
      <c r="D278" s="47">
        <v>0</v>
      </c>
      <c r="E278" s="46">
        <v>57649750</v>
      </c>
      <c r="F278" s="46">
        <v>57649750</v>
      </c>
      <c r="G278" s="46">
        <v>22144000</v>
      </c>
      <c r="H278" s="47">
        <v>0</v>
      </c>
      <c r="I278" s="48" t="s">
        <v>141</v>
      </c>
      <c r="J278" s="48" t="s">
        <v>25</v>
      </c>
    </row>
    <row r="279" spans="1:10" ht="13.15" x14ac:dyDescent="0.4">
      <c r="A279" s="45" t="s">
        <v>137</v>
      </c>
      <c r="B279" s="46">
        <v>13812750</v>
      </c>
      <c r="C279" s="46">
        <v>13812750</v>
      </c>
      <c r="D279" s="47">
        <v>0</v>
      </c>
      <c r="E279" s="46">
        <v>13464055</v>
      </c>
      <c r="F279" s="46">
        <v>13464055</v>
      </c>
      <c r="G279" s="46">
        <v>348695</v>
      </c>
      <c r="H279" s="47">
        <v>0</v>
      </c>
      <c r="I279" s="48" t="s">
        <v>141</v>
      </c>
      <c r="J279" s="48" t="s">
        <v>25</v>
      </c>
    </row>
    <row r="280" spans="1:10" ht="13.15" x14ac:dyDescent="0.4">
      <c r="A280" s="45" t="s">
        <v>82</v>
      </c>
      <c r="B280" s="46">
        <v>13675500</v>
      </c>
      <c r="C280" s="46">
        <v>13675500</v>
      </c>
      <c r="D280" s="46">
        <v>13582000</v>
      </c>
      <c r="E280" s="47">
        <v>0</v>
      </c>
      <c r="F280" s="46">
        <v>13582000</v>
      </c>
      <c r="G280" s="46">
        <v>93500</v>
      </c>
      <c r="H280" s="47">
        <v>0</v>
      </c>
      <c r="I280" s="48" t="s">
        <v>141</v>
      </c>
      <c r="J280" s="48" t="s">
        <v>25</v>
      </c>
    </row>
    <row r="281" spans="1:10" ht="13.15" x14ac:dyDescent="0.4">
      <c r="A281" s="45" t="s">
        <v>113</v>
      </c>
      <c r="B281" s="47">
        <v>0</v>
      </c>
      <c r="C281" s="47">
        <v>0</v>
      </c>
      <c r="D281" s="47">
        <v>0</v>
      </c>
      <c r="E281" s="46">
        <v>18235895</v>
      </c>
      <c r="F281" s="46">
        <v>18235895</v>
      </c>
      <c r="G281" s="46">
        <v>-18235895</v>
      </c>
      <c r="H281" s="47">
        <v>0</v>
      </c>
      <c r="I281" s="48" t="s">
        <v>141</v>
      </c>
      <c r="J281" s="48" t="s">
        <v>84</v>
      </c>
    </row>
    <row r="282" spans="1:10" ht="13.15" x14ac:dyDescent="0.4">
      <c r="A282" s="45" t="s">
        <v>83</v>
      </c>
      <c r="B282" s="46">
        <v>12622618927</v>
      </c>
      <c r="C282" s="46">
        <v>12622618927</v>
      </c>
      <c r="D282" s="47">
        <v>0</v>
      </c>
      <c r="E282" s="46">
        <v>1810519600</v>
      </c>
      <c r="F282" s="46">
        <v>1810519600</v>
      </c>
      <c r="G282" s="46">
        <v>10812099327</v>
      </c>
      <c r="H282" s="47">
        <v>0</v>
      </c>
      <c r="I282" s="48" t="s">
        <v>141</v>
      </c>
      <c r="J282" s="48" t="s">
        <v>84</v>
      </c>
    </row>
    <row r="283" spans="1:10" ht="13.15" x14ac:dyDescent="0.4">
      <c r="A283" s="45" t="s">
        <v>85</v>
      </c>
      <c r="B283" s="46">
        <v>195048292</v>
      </c>
      <c r="C283" s="46">
        <v>195048292</v>
      </c>
      <c r="D283" s="47">
        <v>0</v>
      </c>
      <c r="E283" s="46">
        <v>30192218</v>
      </c>
      <c r="F283" s="46">
        <v>30192218</v>
      </c>
      <c r="G283" s="46">
        <v>164856074</v>
      </c>
      <c r="H283" s="47">
        <v>0</v>
      </c>
      <c r="I283" s="48" t="s">
        <v>141</v>
      </c>
      <c r="J283" s="48" t="s">
        <v>84</v>
      </c>
    </row>
    <row r="284" spans="1:10" ht="13.15" x14ac:dyDescent="0.4">
      <c r="A284" s="45" t="s">
        <v>86</v>
      </c>
      <c r="B284" s="46">
        <v>12911717415</v>
      </c>
      <c r="C284" s="46">
        <v>12911717415</v>
      </c>
      <c r="D284" s="47">
        <v>0</v>
      </c>
      <c r="E284" s="46">
        <v>2169241697</v>
      </c>
      <c r="F284" s="46">
        <v>2169241697</v>
      </c>
      <c r="G284" s="46">
        <v>10742475718</v>
      </c>
      <c r="H284" s="47">
        <v>0</v>
      </c>
      <c r="I284" s="48" t="s">
        <v>141</v>
      </c>
      <c r="J284" s="48" t="s">
        <v>84</v>
      </c>
    </row>
    <row r="285" spans="1:10" ht="13.15" x14ac:dyDescent="0.4">
      <c r="A285" s="45" t="s">
        <v>87</v>
      </c>
      <c r="B285" s="46">
        <v>74261342</v>
      </c>
      <c r="C285" s="46">
        <v>74261342</v>
      </c>
      <c r="D285" s="47">
        <v>0</v>
      </c>
      <c r="E285" s="47">
        <v>0</v>
      </c>
      <c r="F285" s="47">
        <v>0</v>
      </c>
      <c r="G285" s="46">
        <v>74261342</v>
      </c>
      <c r="H285" s="47">
        <v>0</v>
      </c>
      <c r="I285" s="48" t="s">
        <v>141</v>
      </c>
      <c r="J285" s="48" t="s">
        <v>84</v>
      </c>
    </row>
    <row r="286" spans="1:10" ht="13.15" x14ac:dyDescent="0.4">
      <c r="A286" s="45" t="s">
        <v>88</v>
      </c>
      <c r="B286" s="46">
        <v>1260610655</v>
      </c>
      <c r="C286" s="46">
        <v>1260610655</v>
      </c>
      <c r="D286" s="47">
        <v>0</v>
      </c>
      <c r="E286" s="46">
        <v>159842823</v>
      </c>
      <c r="F286" s="46">
        <v>159842823</v>
      </c>
      <c r="G286" s="46">
        <v>1100767832</v>
      </c>
      <c r="H286" s="47">
        <v>0</v>
      </c>
      <c r="I286" s="48" t="s">
        <v>141</v>
      </c>
      <c r="J286" s="48" t="s">
        <v>84</v>
      </c>
    </row>
    <row r="287" spans="1:10" ht="13.15" x14ac:dyDescent="0.4">
      <c r="A287" s="45" t="s">
        <v>89</v>
      </c>
      <c r="B287" s="46">
        <v>27455801</v>
      </c>
      <c r="C287" s="46">
        <v>27455801</v>
      </c>
      <c r="D287" s="47">
        <v>0</v>
      </c>
      <c r="E287" s="46">
        <v>4454672</v>
      </c>
      <c r="F287" s="46">
        <v>4454672</v>
      </c>
      <c r="G287" s="46">
        <v>23001129</v>
      </c>
      <c r="H287" s="47">
        <v>0</v>
      </c>
      <c r="I287" s="48" t="s">
        <v>141</v>
      </c>
      <c r="J287" s="48" t="s">
        <v>84</v>
      </c>
    </row>
    <row r="288" spans="1:10" ht="13.15" x14ac:dyDescent="0.4">
      <c r="A288" s="45" t="s">
        <v>90</v>
      </c>
      <c r="B288" s="46">
        <v>1560328837</v>
      </c>
      <c r="C288" s="46">
        <v>1560328837</v>
      </c>
      <c r="D288" s="47">
        <v>0</v>
      </c>
      <c r="E288" s="46">
        <v>263232171</v>
      </c>
      <c r="F288" s="46">
        <v>263232171</v>
      </c>
      <c r="G288" s="46">
        <v>1297096666</v>
      </c>
      <c r="H288" s="47">
        <v>0</v>
      </c>
      <c r="I288" s="48" t="s">
        <v>141</v>
      </c>
      <c r="J288" s="48" t="s">
        <v>84</v>
      </c>
    </row>
    <row r="289" spans="1:10" ht="13.15" x14ac:dyDescent="0.4">
      <c r="A289" s="45" t="s">
        <v>91</v>
      </c>
      <c r="B289" s="46">
        <v>2750420</v>
      </c>
      <c r="C289" s="46">
        <v>2750420</v>
      </c>
      <c r="D289" s="47">
        <v>0</v>
      </c>
      <c r="E289" s="47">
        <v>0</v>
      </c>
      <c r="F289" s="47">
        <v>0</v>
      </c>
      <c r="G289" s="46">
        <v>2750420</v>
      </c>
      <c r="H289" s="47">
        <v>0</v>
      </c>
      <c r="I289" s="48" t="s">
        <v>141</v>
      </c>
      <c r="J289" s="48" t="s">
        <v>84</v>
      </c>
    </row>
    <row r="290" spans="1:10" ht="13.15" x14ac:dyDescent="0.4">
      <c r="A290" s="49" t="s">
        <v>142</v>
      </c>
      <c r="B290" s="50">
        <v>45434097707</v>
      </c>
      <c r="C290" s="50">
        <v>45434097707</v>
      </c>
      <c r="D290" s="50">
        <v>6688481980</v>
      </c>
      <c r="E290" s="50">
        <v>5334064446</v>
      </c>
      <c r="F290" s="50">
        <v>12022546426</v>
      </c>
      <c r="G290" s="50">
        <v>33411551281</v>
      </c>
      <c r="H290" s="52">
        <v>0</v>
      </c>
      <c r="I290" s="51" t="s">
        <v>141</v>
      </c>
      <c r="J290" s="51" t="e">
        <v>#N/A</v>
      </c>
    </row>
    <row r="291" spans="1:10" ht="13.15" x14ac:dyDescent="0.4">
      <c r="A291" s="45" t="s">
        <v>59</v>
      </c>
      <c r="B291" s="46">
        <v>3628073000</v>
      </c>
      <c r="C291" s="46">
        <v>3628073000</v>
      </c>
      <c r="D291" s="46">
        <v>1708500760</v>
      </c>
      <c r="E291" s="47">
        <v>0</v>
      </c>
      <c r="F291" s="46">
        <v>1708500760</v>
      </c>
      <c r="G291" s="46">
        <v>1919572240</v>
      </c>
      <c r="H291" s="47">
        <v>0</v>
      </c>
      <c r="I291" s="48" t="s">
        <v>143</v>
      </c>
      <c r="J291" s="48" t="s">
        <v>9</v>
      </c>
    </row>
    <row r="292" spans="1:10" ht="13.15" x14ac:dyDescent="0.4">
      <c r="A292" s="45" t="s">
        <v>63</v>
      </c>
      <c r="B292" s="46">
        <v>128850000</v>
      </c>
      <c r="C292" s="46">
        <v>128850000</v>
      </c>
      <c r="D292" s="47">
        <v>0</v>
      </c>
      <c r="E292" s="46">
        <v>16650000</v>
      </c>
      <c r="F292" s="46">
        <v>16650000</v>
      </c>
      <c r="G292" s="46">
        <v>112200000</v>
      </c>
      <c r="H292" s="47">
        <v>0</v>
      </c>
      <c r="I292" s="48" t="s">
        <v>143</v>
      </c>
      <c r="J292" s="48" t="s">
        <v>9</v>
      </c>
    </row>
    <row r="293" spans="1:10" ht="13.15" x14ac:dyDescent="0.4">
      <c r="A293" s="45" t="s">
        <v>101</v>
      </c>
      <c r="B293" s="46">
        <v>488774000</v>
      </c>
      <c r="C293" s="46">
        <v>488774000</v>
      </c>
      <c r="D293" s="47">
        <v>0</v>
      </c>
      <c r="E293" s="47">
        <v>0</v>
      </c>
      <c r="F293" s="47">
        <v>0</v>
      </c>
      <c r="G293" s="46">
        <v>488774000</v>
      </c>
      <c r="H293" s="47">
        <v>0</v>
      </c>
      <c r="I293" s="48" t="s">
        <v>143</v>
      </c>
      <c r="J293" s="48" t="s">
        <v>9</v>
      </c>
    </row>
    <row r="294" spans="1:10" ht="13.15" x14ac:dyDescent="0.4">
      <c r="A294" s="45" t="s">
        <v>102</v>
      </c>
      <c r="B294" s="46">
        <v>498000000</v>
      </c>
      <c r="C294" s="46">
        <v>498000000</v>
      </c>
      <c r="D294" s="47">
        <v>0</v>
      </c>
      <c r="E294" s="47">
        <v>0</v>
      </c>
      <c r="F294" s="47">
        <v>0</v>
      </c>
      <c r="G294" s="46">
        <v>498000000</v>
      </c>
      <c r="H294" s="47">
        <v>0</v>
      </c>
      <c r="I294" s="48" t="s">
        <v>143</v>
      </c>
      <c r="J294" s="48" t="s">
        <v>9</v>
      </c>
    </row>
    <row r="295" spans="1:10" ht="13.15" x14ac:dyDescent="0.4">
      <c r="A295" s="45" t="s">
        <v>64</v>
      </c>
      <c r="B295" s="46">
        <v>298750000</v>
      </c>
      <c r="C295" s="46">
        <v>298750000</v>
      </c>
      <c r="D295" s="46">
        <v>35247626</v>
      </c>
      <c r="E295" s="47">
        <v>0</v>
      </c>
      <c r="F295" s="46">
        <v>35247626</v>
      </c>
      <c r="G295" s="46">
        <v>263502374</v>
      </c>
      <c r="H295" s="47">
        <v>0</v>
      </c>
      <c r="I295" s="48" t="s">
        <v>143</v>
      </c>
      <c r="J295" s="48" t="s">
        <v>9</v>
      </c>
    </row>
    <row r="296" spans="1:10" ht="13.15" x14ac:dyDescent="0.4">
      <c r="A296" s="45" t="s">
        <v>65</v>
      </c>
      <c r="B296" s="46">
        <v>193000000</v>
      </c>
      <c r="C296" s="46">
        <v>193000000</v>
      </c>
      <c r="D296" s="47">
        <v>0</v>
      </c>
      <c r="E296" s="47">
        <v>0</v>
      </c>
      <c r="F296" s="47">
        <v>0</v>
      </c>
      <c r="G296" s="46">
        <v>193000000</v>
      </c>
      <c r="H296" s="47">
        <v>0</v>
      </c>
      <c r="I296" s="48" t="s">
        <v>143</v>
      </c>
      <c r="J296" s="48" t="s">
        <v>9</v>
      </c>
    </row>
    <row r="297" spans="1:10" ht="13.15" x14ac:dyDescent="0.4">
      <c r="A297" s="45" t="s">
        <v>66</v>
      </c>
      <c r="B297" s="46">
        <v>1222108000</v>
      </c>
      <c r="C297" s="46">
        <v>1222108000</v>
      </c>
      <c r="D297" s="46">
        <v>107724690</v>
      </c>
      <c r="E297" s="47">
        <v>0</v>
      </c>
      <c r="F297" s="46">
        <v>107724690</v>
      </c>
      <c r="G297" s="46">
        <v>1114383310</v>
      </c>
      <c r="H297" s="47">
        <v>0</v>
      </c>
      <c r="I297" s="48" t="s">
        <v>143</v>
      </c>
      <c r="J297" s="48" t="s">
        <v>9</v>
      </c>
    </row>
    <row r="298" spans="1:10" ht="13.15" x14ac:dyDescent="0.4">
      <c r="A298" s="45" t="s">
        <v>67</v>
      </c>
      <c r="B298" s="46">
        <v>534300000</v>
      </c>
      <c r="C298" s="46">
        <v>534300000</v>
      </c>
      <c r="D298" s="46">
        <v>77914500</v>
      </c>
      <c r="E298" s="46">
        <v>96550828</v>
      </c>
      <c r="F298" s="46">
        <v>174465328</v>
      </c>
      <c r="G298" s="46">
        <v>359834672</v>
      </c>
      <c r="H298" s="47">
        <v>0</v>
      </c>
      <c r="I298" s="48" t="s">
        <v>143</v>
      </c>
      <c r="J298" s="48" t="s">
        <v>9</v>
      </c>
    </row>
    <row r="299" spans="1:10" ht="13.15" x14ac:dyDescent="0.4">
      <c r="A299" s="45" t="s">
        <v>103</v>
      </c>
      <c r="B299" s="46">
        <v>145000000</v>
      </c>
      <c r="C299" s="46">
        <v>145000000</v>
      </c>
      <c r="D299" s="46">
        <v>30259835</v>
      </c>
      <c r="E299" s="47">
        <v>0</v>
      </c>
      <c r="F299" s="46">
        <v>30259835</v>
      </c>
      <c r="G299" s="46">
        <v>114740165</v>
      </c>
      <c r="H299" s="47">
        <v>0</v>
      </c>
      <c r="I299" s="48" t="s">
        <v>143</v>
      </c>
      <c r="J299" s="48" t="s">
        <v>9</v>
      </c>
    </row>
    <row r="300" spans="1:10" ht="13.15" x14ac:dyDescent="0.4">
      <c r="A300" s="45" t="s">
        <v>104</v>
      </c>
      <c r="B300" s="46">
        <v>174000000</v>
      </c>
      <c r="C300" s="46">
        <v>174000000</v>
      </c>
      <c r="D300" s="47">
        <v>0</v>
      </c>
      <c r="E300" s="47">
        <v>0</v>
      </c>
      <c r="F300" s="47">
        <v>0</v>
      </c>
      <c r="G300" s="46">
        <v>174000000</v>
      </c>
      <c r="H300" s="47">
        <v>0</v>
      </c>
      <c r="I300" s="48" t="s">
        <v>143</v>
      </c>
      <c r="J300" s="48" t="s">
        <v>9</v>
      </c>
    </row>
    <row r="301" spans="1:10" ht="13.15" x14ac:dyDescent="0.4">
      <c r="A301" s="45" t="s">
        <v>105</v>
      </c>
      <c r="B301" s="46">
        <v>49800000</v>
      </c>
      <c r="C301" s="46">
        <v>49800000</v>
      </c>
      <c r="D301" s="47">
        <v>0</v>
      </c>
      <c r="E301" s="47">
        <v>0</v>
      </c>
      <c r="F301" s="47">
        <v>0</v>
      </c>
      <c r="G301" s="46">
        <v>49800000</v>
      </c>
      <c r="H301" s="47">
        <v>0</v>
      </c>
      <c r="I301" s="48" t="s">
        <v>143</v>
      </c>
      <c r="J301" s="48" t="s">
        <v>9</v>
      </c>
    </row>
    <row r="302" spans="1:10" ht="13.15" x14ac:dyDescent="0.4">
      <c r="A302" s="45" t="s">
        <v>106</v>
      </c>
      <c r="B302" s="46">
        <v>1882400000</v>
      </c>
      <c r="C302" s="46">
        <v>1882400000</v>
      </c>
      <c r="D302" s="46">
        <v>210764000</v>
      </c>
      <c r="E302" s="47">
        <v>0</v>
      </c>
      <c r="F302" s="46">
        <v>210764000</v>
      </c>
      <c r="G302" s="46">
        <v>1671636000</v>
      </c>
      <c r="H302" s="47">
        <v>0</v>
      </c>
      <c r="I302" s="48" t="s">
        <v>143</v>
      </c>
      <c r="J302" s="48" t="s">
        <v>9</v>
      </c>
    </row>
    <row r="303" spans="1:10" ht="13.15" x14ac:dyDescent="0.4">
      <c r="A303" s="45" t="s">
        <v>108</v>
      </c>
      <c r="B303" s="46">
        <v>300000000</v>
      </c>
      <c r="C303" s="46">
        <v>300000000</v>
      </c>
      <c r="D303" s="47">
        <v>0</v>
      </c>
      <c r="E303" s="46">
        <v>1944000</v>
      </c>
      <c r="F303" s="46">
        <v>1944000</v>
      </c>
      <c r="G303" s="46">
        <v>298056000</v>
      </c>
      <c r="H303" s="47">
        <v>0</v>
      </c>
      <c r="I303" s="48" t="s">
        <v>143</v>
      </c>
      <c r="J303" s="48" t="s">
        <v>21</v>
      </c>
    </row>
    <row r="304" spans="1:10" ht="13.15" x14ac:dyDescent="0.4">
      <c r="A304" s="45" t="s">
        <v>134</v>
      </c>
      <c r="B304" s="46">
        <v>15000000</v>
      </c>
      <c r="C304" s="46">
        <v>15000000</v>
      </c>
      <c r="D304" s="47">
        <v>0</v>
      </c>
      <c r="E304" s="47">
        <v>0</v>
      </c>
      <c r="F304" s="47">
        <v>0</v>
      </c>
      <c r="G304" s="46">
        <v>15000000</v>
      </c>
      <c r="H304" s="47">
        <v>0</v>
      </c>
      <c r="I304" s="48" t="s">
        <v>143</v>
      </c>
      <c r="J304" s="48" t="s">
        <v>21</v>
      </c>
    </row>
    <row r="305" spans="1:10" ht="13.15" x14ac:dyDescent="0.4">
      <c r="A305" s="45" t="s">
        <v>110</v>
      </c>
      <c r="B305" s="46">
        <v>463000000</v>
      </c>
      <c r="C305" s="46">
        <v>463000000</v>
      </c>
      <c r="D305" s="47">
        <v>0</v>
      </c>
      <c r="E305" s="47">
        <v>0</v>
      </c>
      <c r="F305" s="47">
        <v>0</v>
      </c>
      <c r="G305" s="46">
        <v>463000000</v>
      </c>
      <c r="H305" s="47">
        <v>0</v>
      </c>
      <c r="I305" s="48" t="s">
        <v>143</v>
      </c>
      <c r="J305" s="48" t="s">
        <v>21</v>
      </c>
    </row>
    <row r="306" spans="1:10" ht="13.15" x14ac:dyDescent="0.4">
      <c r="A306" s="45" t="s">
        <v>73</v>
      </c>
      <c r="B306" s="46">
        <v>100000000</v>
      </c>
      <c r="C306" s="46">
        <v>75000000</v>
      </c>
      <c r="D306" s="47">
        <v>0</v>
      </c>
      <c r="E306" s="46">
        <v>2159300</v>
      </c>
      <c r="F306" s="46">
        <v>2159300</v>
      </c>
      <c r="G306" s="46">
        <v>72840700</v>
      </c>
      <c r="H306" s="46">
        <v>25000000</v>
      </c>
      <c r="I306" s="48" t="s">
        <v>143</v>
      </c>
      <c r="J306" s="48" t="s">
        <v>23</v>
      </c>
    </row>
    <row r="307" spans="1:10" ht="13.15" x14ac:dyDescent="0.4">
      <c r="A307" s="45" t="s">
        <v>111</v>
      </c>
      <c r="B307" s="46">
        <v>111310000</v>
      </c>
      <c r="C307" s="46">
        <v>111310000</v>
      </c>
      <c r="D307" s="47">
        <v>0</v>
      </c>
      <c r="E307" s="46">
        <v>21262500</v>
      </c>
      <c r="F307" s="46">
        <v>21262500</v>
      </c>
      <c r="G307" s="46">
        <v>90047500</v>
      </c>
      <c r="H307" s="47">
        <v>0</v>
      </c>
      <c r="I307" s="48" t="s">
        <v>143</v>
      </c>
      <c r="J307" s="48" t="s">
        <v>22</v>
      </c>
    </row>
    <row r="308" spans="1:10" ht="13.15" x14ac:dyDescent="0.4">
      <c r="A308" s="45" t="s">
        <v>112</v>
      </c>
      <c r="B308" s="46">
        <v>2310000000</v>
      </c>
      <c r="C308" s="46">
        <v>2310000000</v>
      </c>
      <c r="D308" s="47">
        <v>0</v>
      </c>
      <c r="E308" s="46">
        <v>284145595</v>
      </c>
      <c r="F308" s="46">
        <v>284145595</v>
      </c>
      <c r="G308" s="46">
        <v>2025854405</v>
      </c>
      <c r="H308" s="47">
        <v>0</v>
      </c>
      <c r="I308" s="48" t="s">
        <v>143</v>
      </c>
      <c r="J308" s="48" t="s">
        <v>26</v>
      </c>
    </row>
    <row r="309" spans="1:10" ht="13.15" x14ac:dyDescent="0.4">
      <c r="A309" s="45" t="s">
        <v>76</v>
      </c>
      <c r="B309" s="46">
        <v>86152000</v>
      </c>
      <c r="C309" s="46">
        <v>64614000</v>
      </c>
      <c r="D309" s="46">
        <v>5000000</v>
      </c>
      <c r="E309" s="46">
        <v>8264001</v>
      </c>
      <c r="F309" s="46">
        <v>13264001</v>
      </c>
      <c r="G309" s="46">
        <v>51349999</v>
      </c>
      <c r="H309" s="46">
        <v>21538000</v>
      </c>
      <c r="I309" s="48" t="s">
        <v>143</v>
      </c>
      <c r="J309" s="48" t="s">
        <v>25</v>
      </c>
    </row>
    <row r="310" spans="1:10" ht="13.15" x14ac:dyDescent="0.4">
      <c r="A310" s="45" t="s">
        <v>77</v>
      </c>
      <c r="B310" s="46">
        <v>110006000</v>
      </c>
      <c r="C310" s="46">
        <v>82504500</v>
      </c>
      <c r="D310" s="46">
        <v>6850000</v>
      </c>
      <c r="E310" s="46">
        <v>13891000</v>
      </c>
      <c r="F310" s="46">
        <v>20741000</v>
      </c>
      <c r="G310" s="46">
        <v>61763500</v>
      </c>
      <c r="H310" s="46">
        <v>27501500</v>
      </c>
      <c r="I310" s="48" t="s">
        <v>143</v>
      </c>
      <c r="J310" s="48" t="s">
        <v>25</v>
      </c>
    </row>
    <row r="311" spans="1:10" ht="13.15" x14ac:dyDescent="0.4">
      <c r="A311" s="45" t="s">
        <v>78</v>
      </c>
      <c r="B311" s="46">
        <v>96000000</v>
      </c>
      <c r="C311" s="46">
        <v>96000000</v>
      </c>
      <c r="D311" s="47">
        <v>0</v>
      </c>
      <c r="E311" s="46">
        <v>13500000</v>
      </c>
      <c r="F311" s="46">
        <v>13500000</v>
      </c>
      <c r="G311" s="46">
        <v>82500000</v>
      </c>
      <c r="H311" s="47">
        <v>0</v>
      </c>
      <c r="I311" s="48" t="s">
        <v>143</v>
      </c>
      <c r="J311" s="48" t="s">
        <v>25</v>
      </c>
    </row>
    <row r="312" spans="1:10" ht="13.15" x14ac:dyDescent="0.4">
      <c r="A312" s="45" t="s">
        <v>79</v>
      </c>
      <c r="B312" s="46">
        <v>514400000</v>
      </c>
      <c r="C312" s="46">
        <v>385800000</v>
      </c>
      <c r="D312" s="46">
        <v>37890000</v>
      </c>
      <c r="E312" s="46">
        <v>3485000</v>
      </c>
      <c r="F312" s="46">
        <v>41375000</v>
      </c>
      <c r="G312" s="46">
        <v>344425000</v>
      </c>
      <c r="H312" s="46">
        <v>128600000</v>
      </c>
      <c r="I312" s="48" t="s">
        <v>143</v>
      </c>
      <c r="J312" s="48" t="s">
        <v>25</v>
      </c>
    </row>
    <row r="313" spans="1:10" ht="13.15" x14ac:dyDescent="0.4">
      <c r="A313" s="45" t="s">
        <v>81</v>
      </c>
      <c r="B313" s="46">
        <v>230000000</v>
      </c>
      <c r="C313" s="46">
        <v>172500000</v>
      </c>
      <c r="D313" s="47">
        <v>0</v>
      </c>
      <c r="E313" s="46">
        <v>38303000</v>
      </c>
      <c r="F313" s="46">
        <v>38303000</v>
      </c>
      <c r="G313" s="46">
        <v>134197000</v>
      </c>
      <c r="H313" s="46">
        <v>57500000</v>
      </c>
      <c r="I313" s="48" t="s">
        <v>143</v>
      </c>
      <c r="J313" s="48" t="s">
        <v>25</v>
      </c>
    </row>
    <row r="314" spans="1:10" ht="13.15" x14ac:dyDescent="0.4">
      <c r="A314" s="45" t="s">
        <v>82</v>
      </c>
      <c r="B314" s="46">
        <v>40300000</v>
      </c>
      <c r="C314" s="46">
        <v>40300000</v>
      </c>
      <c r="D314" s="46">
        <v>9982500</v>
      </c>
      <c r="E314" s="47">
        <v>0</v>
      </c>
      <c r="F314" s="46">
        <v>9982500</v>
      </c>
      <c r="G314" s="46">
        <v>30317500</v>
      </c>
      <c r="H314" s="47">
        <v>0</v>
      </c>
      <c r="I314" s="48" t="s">
        <v>143</v>
      </c>
      <c r="J314" s="48" t="s">
        <v>25</v>
      </c>
    </row>
    <row r="315" spans="1:10" ht="13.15" x14ac:dyDescent="0.4">
      <c r="A315" s="45" t="s">
        <v>83</v>
      </c>
      <c r="B315" s="46">
        <v>7053792265</v>
      </c>
      <c r="C315" s="46">
        <v>7053792265</v>
      </c>
      <c r="D315" s="47">
        <v>0</v>
      </c>
      <c r="E315" s="46">
        <v>970906178</v>
      </c>
      <c r="F315" s="46">
        <v>970906178</v>
      </c>
      <c r="G315" s="46">
        <v>6082886087</v>
      </c>
      <c r="H315" s="47">
        <v>0</v>
      </c>
      <c r="I315" s="48" t="s">
        <v>143</v>
      </c>
      <c r="J315" s="48" t="s">
        <v>84</v>
      </c>
    </row>
    <row r="316" spans="1:10" ht="13.15" x14ac:dyDescent="0.4">
      <c r="A316" s="45" t="s">
        <v>85</v>
      </c>
      <c r="B316" s="46">
        <v>250901909</v>
      </c>
      <c r="C316" s="46">
        <v>250901909</v>
      </c>
      <c r="D316" s="47">
        <v>0</v>
      </c>
      <c r="E316" s="46">
        <v>41453410</v>
      </c>
      <c r="F316" s="46">
        <v>41453410</v>
      </c>
      <c r="G316" s="46">
        <v>209448499</v>
      </c>
      <c r="H316" s="47">
        <v>0</v>
      </c>
      <c r="I316" s="48" t="s">
        <v>143</v>
      </c>
      <c r="J316" s="48" t="s">
        <v>84</v>
      </c>
    </row>
    <row r="317" spans="1:10" ht="13.15" x14ac:dyDescent="0.4">
      <c r="A317" s="45" t="s">
        <v>86</v>
      </c>
      <c r="B317" s="46">
        <v>7015042421</v>
      </c>
      <c r="C317" s="46">
        <v>7015042421</v>
      </c>
      <c r="D317" s="47">
        <v>0</v>
      </c>
      <c r="E317" s="46">
        <v>1204952297</v>
      </c>
      <c r="F317" s="46">
        <v>1204952297</v>
      </c>
      <c r="G317" s="46">
        <v>5810090124</v>
      </c>
      <c r="H317" s="47">
        <v>0</v>
      </c>
      <c r="I317" s="48" t="s">
        <v>143</v>
      </c>
      <c r="J317" s="48" t="s">
        <v>84</v>
      </c>
    </row>
    <row r="318" spans="1:10" ht="13.15" x14ac:dyDescent="0.4">
      <c r="A318" s="45" t="s">
        <v>87</v>
      </c>
      <c r="B318" s="46">
        <v>36855629</v>
      </c>
      <c r="C318" s="46">
        <v>36855629</v>
      </c>
      <c r="D318" s="47">
        <v>0</v>
      </c>
      <c r="E318" s="47">
        <v>0</v>
      </c>
      <c r="F318" s="47">
        <v>0</v>
      </c>
      <c r="G318" s="46">
        <v>36855629</v>
      </c>
      <c r="H318" s="47">
        <v>0</v>
      </c>
      <c r="I318" s="48" t="s">
        <v>143</v>
      </c>
      <c r="J318" s="48" t="s">
        <v>84</v>
      </c>
    </row>
    <row r="319" spans="1:10" ht="13.15" x14ac:dyDescent="0.4">
      <c r="A319" s="45" t="s">
        <v>88</v>
      </c>
      <c r="B319" s="46">
        <v>1231212066</v>
      </c>
      <c r="C319" s="46">
        <v>1231212066</v>
      </c>
      <c r="D319" s="47">
        <v>0</v>
      </c>
      <c r="E319" s="46">
        <v>158536272</v>
      </c>
      <c r="F319" s="46">
        <v>158536272</v>
      </c>
      <c r="G319" s="46">
        <v>1072675794</v>
      </c>
      <c r="H319" s="47">
        <v>0</v>
      </c>
      <c r="I319" s="48" t="s">
        <v>143</v>
      </c>
      <c r="J319" s="48" t="s">
        <v>84</v>
      </c>
    </row>
    <row r="320" spans="1:10" ht="13.15" x14ac:dyDescent="0.4">
      <c r="A320" s="45" t="s">
        <v>89</v>
      </c>
      <c r="B320" s="46">
        <v>53436119</v>
      </c>
      <c r="C320" s="46">
        <v>53436119</v>
      </c>
      <c r="D320" s="47">
        <v>0</v>
      </c>
      <c r="E320" s="46">
        <v>10655056</v>
      </c>
      <c r="F320" s="46">
        <v>10655056</v>
      </c>
      <c r="G320" s="46">
        <v>42781063</v>
      </c>
      <c r="H320" s="47">
        <v>0</v>
      </c>
      <c r="I320" s="48" t="s">
        <v>143</v>
      </c>
      <c r="J320" s="48" t="s">
        <v>84</v>
      </c>
    </row>
    <row r="321" spans="1:10" ht="13.15" x14ac:dyDescent="0.4">
      <c r="A321" s="45" t="s">
        <v>90</v>
      </c>
      <c r="B321" s="46">
        <v>1449712379</v>
      </c>
      <c r="C321" s="46">
        <v>1449712379</v>
      </c>
      <c r="D321" s="47">
        <v>0</v>
      </c>
      <c r="E321" s="46">
        <v>236841973</v>
      </c>
      <c r="F321" s="46">
        <v>236841973</v>
      </c>
      <c r="G321" s="46">
        <v>1212870406</v>
      </c>
      <c r="H321" s="47">
        <v>0</v>
      </c>
      <c r="I321" s="48" t="s">
        <v>143</v>
      </c>
      <c r="J321" s="48" t="s">
        <v>84</v>
      </c>
    </row>
    <row r="322" spans="1:10" ht="13.15" x14ac:dyDescent="0.4">
      <c r="A322" s="45" t="s">
        <v>91</v>
      </c>
      <c r="B322" s="46">
        <v>4400672</v>
      </c>
      <c r="C322" s="46">
        <v>4400672</v>
      </c>
      <c r="D322" s="47">
        <v>0</v>
      </c>
      <c r="E322" s="47">
        <v>0</v>
      </c>
      <c r="F322" s="47">
        <v>0</v>
      </c>
      <c r="G322" s="46">
        <v>4400672</v>
      </c>
      <c r="H322" s="47">
        <v>0</v>
      </c>
      <c r="I322" s="48" t="s">
        <v>143</v>
      </c>
      <c r="J322" s="48" t="s">
        <v>84</v>
      </c>
    </row>
    <row r="323" spans="1:10" ht="13.15" x14ac:dyDescent="0.4">
      <c r="A323" s="49" t="s">
        <v>144</v>
      </c>
      <c r="B323" s="50">
        <v>30714576460</v>
      </c>
      <c r="C323" s="50">
        <v>30454436960</v>
      </c>
      <c r="D323" s="50">
        <v>2230133911</v>
      </c>
      <c r="E323" s="50">
        <v>3123500410</v>
      </c>
      <c r="F323" s="50">
        <v>5353634321</v>
      </c>
      <c r="G323" s="50">
        <v>25100802639</v>
      </c>
      <c r="H323" s="50">
        <v>260139500</v>
      </c>
      <c r="I323" s="51" t="s">
        <v>143</v>
      </c>
      <c r="J323" s="51" t="e">
        <v>#N/A</v>
      </c>
    </row>
    <row r="324" spans="1:10" ht="13.15" x14ac:dyDescent="0.4">
      <c r="A324" s="45" t="s">
        <v>59</v>
      </c>
      <c r="B324" s="46">
        <v>13755471000</v>
      </c>
      <c r="C324" s="46">
        <v>13755471000</v>
      </c>
      <c r="D324" s="46">
        <v>13000512555</v>
      </c>
      <c r="E324" s="46">
        <v>704812500</v>
      </c>
      <c r="F324" s="46">
        <v>13705325055</v>
      </c>
      <c r="G324" s="46">
        <v>50145945</v>
      </c>
      <c r="H324" s="47">
        <v>0</v>
      </c>
      <c r="I324" s="48" t="s">
        <v>145</v>
      </c>
      <c r="J324" s="48" t="s">
        <v>9</v>
      </c>
    </row>
    <row r="325" spans="1:10" ht="13.15" x14ac:dyDescent="0.4">
      <c r="A325" s="45" t="s">
        <v>63</v>
      </c>
      <c r="B325" s="46">
        <v>2948978000</v>
      </c>
      <c r="C325" s="46">
        <v>2948978000</v>
      </c>
      <c r="D325" s="46">
        <v>2788546174</v>
      </c>
      <c r="E325" s="46">
        <v>48872950</v>
      </c>
      <c r="F325" s="46">
        <v>2837419124</v>
      </c>
      <c r="G325" s="46">
        <v>111558876</v>
      </c>
      <c r="H325" s="47">
        <v>0</v>
      </c>
      <c r="I325" s="48" t="s">
        <v>145</v>
      </c>
      <c r="J325" s="48" t="s">
        <v>9</v>
      </c>
    </row>
    <row r="326" spans="1:10" ht="13.15" x14ac:dyDescent="0.4">
      <c r="A326" s="45" t="s">
        <v>101</v>
      </c>
      <c r="B326" s="46">
        <v>223903500</v>
      </c>
      <c r="C326" s="46">
        <v>223903500</v>
      </c>
      <c r="D326" s="47">
        <v>0</v>
      </c>
      <c r="E326" s="47">
        <v>0</v>
      </c>
      <c r="F326" s="47">
        <v>0</v>
      </c>
      <c r="G326" s="46">
        <v>223903500</v>
      </c>
      <c r="H326" s="47">
        <v>0</v>
      </c>
      <c r="I326" s="48" t="s">
        <v>145</v>
      </c>
      <c r="J326" s="48" t="s">
        <v>9</v>
      </c>
    </row>
    <row r="327" spans="1:10" ht="13.15" x14ac:dyDescent="0.4">
      <c r="A327" s="45" t="s">
        <v>102</v>
      </c>
      <c r="B327" s="46">
        <v>1880742000</v>
      </c>
      <c r="C327" s="46">
        <v>1880742000</v>
      </c>
      <c r="D327" s="46">
        <v>1395485871</v>
      </c>
      <c r="E327" s="47">
        <v>0</v>
      </c>
      <c r="F327" s="46">
        <v>1395485871</v>
      </c>
      <c r="G327" s="46">
        <v>485256129</v>
      </c>
      <c r="H327" s="47">
        <v>0</v>
      </c>
      <c r="I327" s="48" t="s">
        <v>145</v>
      </c>
      <c r="J327" s="48" t="s">
        <v>9</v>
      </c>
    </row>
    <row r="328" spans="1:10" ht="13.15" x14ac:dyDescent="0.4">
      <c r="A328" s="45" t="s">
        <v>64</v>
      </c>
      <c r="B328" s="46">
        <v>106528224</v>
      </c>
      <c r="C328" s="46">
        <v>106528224</v>
      </c>
      <c r="D328" s="46">
        <v>33060600</v>
      </c>
      <c r="E328" s="47">
        <v>0</v>
      </c>
      <c r="F328" s="46">
        <v>33060600</v>
      </c>
      <c r="G328" s="46">
        <v>73467624</v>
      </c>
      <c r="H328" s="47">
        <v>0</v>
      </c>
      <c r="I328" s="48" t="s">
        <v>145</v>
      </c>
      <c r="J328" s="48" t="s">
        <v>9</v>
      </c>
    </row>
    <row r="329" spans="1:10" ht="13.15" x14ac:dyDescent="0.4">
      <c r="A329" s="45" t="s">
        <v>65</v>
      </c>
      <c r="B329" s="46">
        <v>428000000</v>
      </c>
      <c r="C329" s="46">
        <v>428000000</v>
      </c>
      <c r="D329" s="47">
        <v>0</v>
      </c>
      <c r="E329" s="46">
        <v>141841100</v>
      </c>
      <c r="F329" s="46">
        <v>141841100</v>
      </c>
      <c r="G329" s="46">
        <v>286158900</v>
      </c>
      <c r="H329" s="47">
        <v>0</v>
      </c>
      <c r="I329" s="48" t="s">
        <v>145</v>
      </c>
      <c r="J329" s="48" t="s">
        <v>9</v>
      </c>
    </row>
    <row r="330" spans="1:10" ht="13.15" x14ac:dyDescent="0.4">
      <c r="A330" s="45" t="s">
        <v>66</v>
      </c>
      <c r="B330" s="46">
        <v>1395999500</v>
      </c>
      <c r="C330" s="46">
        <v>1395999500</v>
      </c>
      <c r="D330" s="46">
        <v>562101045</v>
      </c>
      <c r="E330" s="46">
        <v>136757380</v>
      </c>
      <c r="F330" s="46">
        <v>698858425</v>
      </c>
      <c r="G330" s="46">
        <v>697141075</v>
      </c>
      <c r="H330" s="47">
        <v>0</v>
      </c>
      <c r="I330" s="48" t="s">
        <v>145</v>
      </c>
      <c r="J330" s="48" t="s">
        <v>9</v>
      </c>
    </row>
    <row r="331" spans="1:10" ht="13.15" x14ac:dyDescent="0.4">
      <c r="A331" s="45" t="s">
        <v>67</v>
      </c>
      <c r="B331" s="46">
        <v>830172000</v>
      </c>
      <c r="C331" s="46">
        <v>830172000</v>
      </c>
      <c r="D331" s="46">
        <v>377887300</v>
      </c>
      <c r="E331" s="46">
        <v>284002988</v>
      </c>
      <c r="F331" s="46">
        <v>661890288</v>
      </c>
      <c r="G331" s="46">
        <v>168281712</v>
      </c>
      <c r="H331" s="47">
        <v>0</v>
      </c>
      <c r="I331" s="48" t="s">
        <v>145</v>
      </c>
      <c r="J331" s="48" t="s">
        <v>9</v>
      </c>
    </row>
    <row r="332" spans="1:10" ht="13.15" x14ac:dyDescent="0.4">
      <c r="A332" s="45" t="s">
        <v>103</v>
      </c>
      <c r="B332" s="46">
        <v>163577500</v>
      </c>
      <c r="C332" s="46">
        <v>163577500</v>
      </c>
      <c r="D332" s="46">
        <v>67275600</v>
      </c>
      <c r="E332" s="47">
        <v>0</v>
      </c>
      <c r="F332" s="46">
        <v>67275600</v>
      </c>
      <c r="G332" s="46">
        <v>96301900</v>
      </c>
      <c r="H332" s="47">
        <v>0</v>
      </c>
      <c r="I332" s="48" t="s">
        <v>145</v>
      </c>
      <c r="J332" s="48" t="s">
        <v>9</v>
      </c>
    </row>
    <row r="333" spans="1:10" ht="13.15" x14ac:dyDescent="0.4">
      <c r="A333" s="45" t="s">
        <v>104</v>
      </c>
      <c r="B333" s="46">
        <v>415688000</v>
      </c>
      <c r="C333" s="46">
        <v>415688000</v>
      </c>
      <c r="D333" s="46">
        <v>345662595</v>
      </c>
      <c r="E333" s="47">
        <v>0</v>
      </c>
      <c r="F333" s="46">
        <v>345662595</v>
      </c>
      <c r="G333" s="46">
        <v>70025405</v>
      </c>
      <c r="H333" s="47">
        <v>0</v>
      </c>
      <c r="I333" s="48" t="s">
        <v>145</v>
      </c>
      <c r="J333" s="48" t="s">
        <v>9</v>
      </c>
    </row>
    <row r="334" spans="1:10" ht="13.15" x14ac:dyDescent="0.4">
      <c r="A334" s="45" t="s">
        <v>106</v>
      </c>
      <c r="B334" s="46">
        <v>1039505000</v>
      </c>
      <c r="C334" s="46">
        <v>1039505000</v>
      </c>
      <c r="D334" s="46">
        <v>648860000</v>
      </c>
      <c r="E334" s="46">
        <v>370560000</v>
      </c>
      <c r="F334" s="46">
        <v>1019420000</v>
      </c>
      <c r="G334" s="46">
        <v>20085000</v>
      </c>
      <c r="H334" s="47">
        <v>0</v>
      </c>
      <c r="I334" s="48" t="s">
        <v>145</v>
      </c>
      <c r="J334" s="48" t="s">
        <v>9</v>
      </c>
    </row>
    <row r="335" spans="1:10" ht="13.15" x14ac:dyDescent="0.4">
      <c r="A335" s="45" t="s">
        <v>134</v>
      </c>
      <c r="B335" s="46">
        <v>300000000</v>
      </c>
      <c r="C335" s="46">
        <v>300000000</v>
      </c>
      <c r="D335" s="47">
        <v>0</v>
      </c>
      <c r="E335" s="47">
        <v>0</v>
      </c>
      <c r="F335" s="47">
        <v>0</v>
      </c>
      <c r="G335" s="46">
        <v>300000000</v>
      </c>
      <c r="H335" s="47">
        <v>0</v>
      </c>
      <c r="I335" s="48" t="s">
        <v>145</v>
      </c>
      <c r="J335" s="48" t="s">
        <v>21</v>
      </c>
    </row>
    <row r="336" spans="1:10" ht="13.15" x14ac:dyDescent="0.4">
      <c r="A336" s="45" t="s">
        <v>110</v>
      </c>
      <c r="B336" s="46">
        <v>500000000</v>
      </c>
      <c r="C336" s="46">
        <v>500000000</v>
      </c>
      <c r="D336" s="47">
        <v>0</v>
      </c>
      <c r="E336" s="47">
        <v>0</v>
      </c>
      <c r="F336" s="47">
        <v>0</v>
      </c>
      <c r="G336" s="46">
        <v>500000000</v>
      </c>
      <c r="H336" s="47">
        <v>0</v>
      </c>
      <c r="I336" s="48" t="s">
        <v>145</v>
      </c>
      <c r="J336" s="48" t="s">
        <v>21</v>
      </c>
    </row>
    <row r="337" spans="1:10" ht="13.15" x14ac:dyDescent="0.4">
      <c r="A337" s="45" t="s">
        <v>73</v>
      </c>
      <c r="B337" s="46">
        <v>100000000</v>
      </c>
      <c r="C337" s="46">
        <v>100000000</v>
      </c>
      <c r="D337" s="47">
        <v>0</v>
      </c>
      <c r="E337" s="47">
        <v>0</v>
      </c>
      <c r="F337" s="47">
        <v>0</v>
      </c>
      <c r="G337" s="46">
        <v>100000000</v>
      </c>
      <c r="H337" s="47">
        <v>0</v>
      </c>
      <c r="I337" s="48" t="s">
        <v>145</v>
      </c>
      <c r="J337" s="48" t="s">
        <v>23</v>
      </c>
    </row>
    <row r="338" spans="1:10" ht="13.15" x14ac:dyDescent="0.4">
      <c r="A338" s="45" t="s">
        <v>111</v>
      </c>
      <c r="B338" s="46">
        <v>70775000</v>
      </c>
      <c r="C338" s="46">
        <v>70775000</v>
      </c>
      <c r="D338" s="46">
        <v>24082000</v>
      </c>
      <c r="E338" s="46">
        <v>3970000</v>
      </c>
      <c r="F338" s="46">
        <v>28052000</v>
      </c>
      <c r="G338" s="46">
        <v>42723000</v>
      </c>
      <c r="H338" s="47">
        <v>0</v>
      </c>
      <c r="I338" s="48" t="s">
        <v>145</v>
      </c>
      <c r="J338" s="48" t="s">
        <v>22</v>
      </c>
    </row>
    <row r="339" spans="1:10" ht="13.15" x14ac:dyDescent="0.4">
      <c r="A339" s="45" t="s">
        <v>112</v>
      </c>
      <c r="B339" s="46">
        <v>880440000</v>
      </c>
      <c r="C339" s="46">
        <v>880440000</v>
      </c>
      <c r="D339" s="46">
        <v>581770</v>
      </c>
      <c r="E339" s="46">
        <v>411555340</v>
      </c>
      <c r="F339" s="46">
        <v>412137110</v>
      </c>
      <c r="G339" s="46">
        <v>468302890</v>
      </c>
      <c r="H339" s="47">
        <v>0</v>
      </c>
      <c r="I339" s="48" t="s">
        <v>145</v>
      </c>
      <c r="J339" s="48" t="s">
        <v>26</v>
      </c>
    </row>
    <row r="340" spans="1:10" ht="13.15" x14ac:dyDescent="0.4">
      <c r="A340" s="45" t="s">
        <v>76</v>
      </c>
      <c r="B340" s="46">
        <v>77500000</v>
      </c>
      <c r="C340" s="46">
        <v>77500000</v>
      </c>
      <c r="D340" s="46">
        <v>23940000</v>
      </c>
      <c r="E340" s="46">
        <v>13464500</v>
      </c>
      <c r="F340" s="46">
        <v>37404500</v>
      </c>
      <c r="G340" s="46">
        <v>40095500</v>
      </c>
      <c r="H340" s="47">
        <v>0</v>
      </c>
      <c r="I340" s="48" t="s">
        <v>145</v>
      </c>
      <c r="J340" s="48" t="s">
        <v>25</v>
      </c>
    </row>
    <row r="341" spans="1:10" ht="13.15" x14ac:dyDescent="0.4">
      <c r="A341" s="45" t="s">
        <v>77</v>
      </c>
      <c r="B341" s="46">
        <v>154250000</v>
      </c>
      <c r="C341" s="46">
        <v>154250000</v>
      </c>
      <c r="D341" s="46">
        <v>21601800</v>
      </c>
      <c r="E341" s="46">
        <v>60021850</v>
      </c>
      <c r="F341" s="46">
        <v>81623650</v>
      </c>
      <c r="G341" s="46">
        <v>72626350</v>
      </c>
      <c r="H341" s="47">
        <v>0</v>
      </c>
      <c r="I341" s="48" t="s">
        <v>145</v>
      </c>
      <c r="J341" s="48" t="s">
        <v>25</v>
      </c>
    </row>
    <row r="342" spans="1:10" ht="13.15" x14ac:dyDescent="0.4">
      <c r="A342" s="45" t="s">
        <v>78</v>
      </c>
      <c r="B342" s="46">
        <v>27750000</v>
      </c>
      <c r="C342" s="46">
        <v>27750000</v>
      </c>
      <c r="D342" s="47">
        <v>0</v>
      </c>
      <c r="E342" s="46">
        <v>18500000</v>
      </c>
      <c r="F342" s="46">
        <v>18500000</v>
      </c>
      <c r="G342" s="46">
        <v>9250000</v>
      </c>
      <c r="H342" s="47">
        <v>0</v>
      </c>
      <c r="I342" s="48" t="s">
        <v>145</v>
      </c>
      <c r="J342" s="48" t="s">
        <v>25</v>
      </c>
    </row>
    <row r="343" spans="1:10" ht="13.15" x14ac:dyDescent="0.4">
      <c r="A343" s="45" t="s">
        <v>79</v>
      </c>
      <c r="B343" s="46">
        <v>286250000</v>
      </c>
      <c r="C343" s="46">
        <v>286250000</v>
      </c>
      <c r="D343" s="46">
        <v>16504900</v>
      </c>
      <c r="E343" s="46">
        <v>3022770</v>
      </c>
      <c r="F343" s="46">
        <v>19527670</v>
      </c>
      <c r="G343" s="46">
        <v>266722330</v>
      </c>
      <c r="H343" s="47">
        <v>0</v>
      </c>
      <c r="I343" s="48" t="s">
        <v>145</v>
      </c>
      <c r="J343" s="48" t="s">
        <v>25</v>
      </c>
    </row>
    <row r="344" spans="1:10" ht="13.15" x14ac:dyDescent="0.4">
      <c r="A344" s="45" t="s">
        <v>81</v>
      </c>
      <c r="B344" s="46">
        <v>108000000</v>
      </c>
      <c r="C344" s="46">
        <v>108000000</v>
      </c>
      <c r="D344" s="47">
        <v>0</v>
      </c>
      <c r="E344" s="46">
        <v>52841500</v>
      </c>
      <c r="F344" s="46">
        <v>52841500</v>
      </c>
      <c r="G344" s="46">
        <v>55158500</v>
      </c>
      <c r="H344" s="47">
        <v>0</v>
      </c>
      <c r="I344" s="48" t="s">
        <v>145</v>
      </c>
      <c r="J344" s="48" t="s">
        <v>25</v>
      </c>
    </row>
    <row r="345" spans="1:10" ht="13.15" x14ac:dyDescent="0.4">
      <c r="A345" s="45" t="s">
        <v>137</v>
      </c>
      <c r="B345" s="46">
        <v>1500000</v>
      </c>
      <c r="C345" s="46">
        <v>1500000</v>
      </c>
      <c r="D345" s="46">
        <v>384315</v>
      </c>
      <c r="E345" s="47">
        <v>0</v>
      </c>
      <c r="F345" s="46">
        <v>384315</v>
      </c>
      <c r="G345" s="46">
        <v>1115685</v>
      </c>
      <c r="H345" s="47">
        <v>0</v>
      </c>
      <c r="I345" s="48" t="s">
        <v>145</v>
      </c>
      <c r="J345" s="48" t="s">
        <v>25</v>
      </c>
    </row>
    <row r="346" spans="1:10" ht="13.15" x14ac:dyDescent="0.4">
      <c r="A346" s="45" t="s">
        <v>82</v>
      </c>
      <c r="B346" s="46">
        <v>16379250</v>
      </c>
      <c r="C346" s="46">
        <v>16379250</v>
      </c>
      <c r="D346" s="47">
        <v>0</v>
      </c>
      <c r="E346" s="46">
        <v>15178108</v>
      </c>
      <c r="F346" s="46">
        <v>15178108</v>
      </c>
      <c r="G346" s="46">
        <v>1201142</v>
      </c>
      <c r="H346" s="47">
        <v>0</v>
      </c>
      <c r="I346" s="48" t="s">
        <v>145</v>
      </c>
      <c r="J346" s="48" t="s">
        <v>25</v>
      </c>
    </row>
    <row r="347" spans="1:10" ht="13.15" x14ac:dyDescent="0.4">
      <c r="A347" s="45" t="s">
        <v>83</v>
      </c>
      <c r="B347" s="46">
        <v>10714916013</v>
      </c>
      <c r="C347" s="46">
        <v>10714916013</v>
      </c>
      <c r="D347" s="47">
        <v>0</v>
      </c>
      <c r="E347" s="46">
        <v>1496192839</v>
      </c>
      <c r="F347" s="46">
        <v>1496192839</v>
      </c>
      <c r="G347" s="46">
        <v>9218723174</v>
      </c>
      <c r="H347" s="47">
        <v>0</v>
      </c>
      <c r="I347" s="48" t="s">
        <v>145</v>
      </c>
      <c r="J347" s="48" t="s">
        <v>84</v>
      </c>
    </row>
    <row r="348" spans="1:10" ht="13.15" x14ac:dyDescent="0.4">
      <c r="A348" s="45" t="s">
        <v>85</v>
      </c>
      <c r="B348" s="46">
        <v>275820432</v>
      </c>
      <c r="C348" s="46">
        <v>275820432</v>
      </c>
      <c r="D348" s="47">
        <v>0</v>
      </c>
      <c r="E348" s="46">
        <v>45781098</v>
      </c>
      <c r="F348" s="46">
        <v>45781098</v>
      </c>
      <c r="G348" s="46">
        <v>230039334</v>
      </c>
      <c r="H348" s="47">
        <v>0</v>
      </c>
      <c r="I348" s="48" t="s">
        <v>145</v>
      </c>
      <c r="J348" s="48" t="s">
        <v>84</v>
      </c>
    </row>
    <row r="349" spans="1:10" ht="13.15" x14ac:dyDescent="0.4">
      <c r="A349" s="45" t="s">
        <v>86</v>
      </c>
      <c r="B349" s="46">
        <v>10532164202</v>
      </c>
      <c r="C349" s="46">
        <v>10532164202</v>
      </c>
      <c r="D349" s="47">
        <v>0</v>
      </c>
      <c r="E349" s="46">
        <v>1796783852</v>
      </c>
      <c r="F349" s="46">
        <v>1796783852</v>
      </c>
      <c r="G349" s="46">
        <v>8735380350</v>
      </c>
      <c r="H349" s="47">
        <v>0</v>
      </c>
      <c r="I349" s="48" t="s">
        <v>145</v>
      </c>
      <c r="J349" s="48" t="s">
        <v>84</v>
      </c>
    </row>
    <row r="350" spans="1:10" ht="13.15" x14ac:dyDescent="0.4">
      <c r="A350" s="45" t="s">
        <v>87</v>
      </c>
      <c r="B350" s="46">
        <v>59959158</v>
      </c>
      <c r="C350" s="46">
        <v>59959158</v>
      </c>
      <c r="D350" s="47">
        <v>0</v>
      </c>
      <c r="E350" s="47">
        <v>0</v>
      </c>
      <c r="F350" s="47">
        <v>0</v>
      </c>
      <c r="G350" s="46">
        <v>59959158</v>
      </c>
      <c r="H350" s="47">
        <v>0</v>
      </c>
      <c r="I350" s="48" t="s">
        <v>145</v>
      </c>
      <c r="J350" s="48" t="s">
        <v>84</v>
      </c>
    </row>
    <row r="351" spans="1:10" ht="13.15" x14ac:dyDescent="0.4">
      <c r="A351" s="45" t="s">
        <v>88</v>
      </c>
      <c r="B351" s="46">
        <v>1291594645</v>
      </c>
      <c r="C351" s="46">
        <v>1291594645</v>
      </c>
      <c r="D351" s="47">
        <v>0</v>
      </c>
      <c r="E351" s="46">
        <v>152705067</v>
      </c>
      <c r="F351" s="46">
        <v>152705067</v>
      </c>
      <c r="G351" s="46">
        <v>1138889578</v>
      </c>
      <c r="H351" s="47">
        <v>0</v>
      </c>
      <c r="I351" s="48" t="s">
        <v>145</v>
      </c>
      <c r="J351" s="48" t="s">
        <v>84</v>
      </c>
    </row>
    <row r="352" spans="1:10" ht="13.15" x14ac:dyDescent="0.4">
      <c r="A352" s="45" t="s">
        <v>89</v>
      </c>
      <c r="B352" s="46">
        <v>47410746</v>
      </c>
      <c r="C352" s="46">
        <v>47410746</v>
      </c>
      <c r="D352" s="47">
        <v>0</v>
      </c>
      <c r="E352" s="46">
        <v>7793604</v>
      </c>
      <c r="F352" s="46">
        <v>7793604</v>
      </c>
      <c r="G352" s="46">
        <v>39617142</v>
      </c>
      <c r="H352" s="47">
        <v>0</v>
      </c>
      <c r="I352" s="48" t="s">
        <v>145</v>
      </c>
      <c r="J352" s="48" t="s">
        <v>84</v>
      </c>
    </row>
    <row r="353" spans="1:10" ht="13.15" x14ac:dyDescent="0.4">
      <c r="A353" s="45" t="s">
        <v>90</v>
      </c>
      <c r="B353" s="46">
        <v>1523018104</v>
      </c>
      <c r="C353" s="46">
        <v>1523018104</v>
      </c>
      <c r="D353" s="47">
        <v>0</v>
      </c>
      <c r="E353" s="46">
        <v>251941545</v>
      </c>
      <c r="F353" s="46">
        <v>251941545</v>
      </c>
      <c r="G353" s="46">
        <v>1271076559</v>
      </c>
      <c r="H353" s="47">
        <v>0</v>
      </c>
      <c r="I353" s="48" t="s">
        <v>145</v>
      </c>
      <c r="J353" s="48" t="s">
        <v>84</v>
      </c>
    </row>
    <row r="354" spans="1:10" ht="13.15" x14ac:dyDescent="0.4">
      <c r="A354" s="45" t="s">
        <v>91</v>
      </c>
      <c r="B354" s="46">
        <v>4400672</v>
      </c>
      <c r="C354" s="46">
        <v>4400672</v>
      </c>
      <c r="D354" s="47">
        <v>0</v>
      </c>
      <c r="E354" s="47">
        <v>0</v>
      </c>
      <c r="F354" s="47">
        <v>0</v>
      </c>
      <c r="G354" s="46">
        <v>4400672</v>
      </c>
      <c r="H354" s="47">
        <v>0</v>
      </c>
      <c r="I354" s="48" t="s">
        <v>145</v>
      </c>
      <c r="J354" s="48" t="s">
        <v>84</v>
      </c>
    </row>
    <row r="355" spans="1:10" ht="13.15" x14ac:dyDescent="0.4">
      <c r="A355" s="49" t="s">
        <v>146</v>
      </c>
      <c r="B355" s="50">
        <v>50160692946</v>
      </c>
      <c r="C355" s="50">
        <v>50160692946</v>
      </c>
      <c r="D355" s="50">
        <v>19306486525</v>
      </c>
      <c r="E355" s="50">
        <v>6016598991</v>
      </c>
      <c r="F355" s="50">
        <v>25323085516</v>
      </c>
      <c r="G355" s="50">
        <v>24837607430</v>
      </c>
      <c r="H355" s="52">
        <v>0</v>
      </c>
      <c r="I355" s="51" t="s">
        <v>145</v>
      </c>
      <c r="J355" s="51" t="e">
        <v>#N/A</v>
      </c>
    </row>
    <row r="356" spans="1:10" ht="13.15" x14ac:dyDescent="0.4">
      <c r="A356" s="45" t="s">
        <v>59</v>
      </c>
      <c r="B356" s="46">
        <v>1645662000</v>
      </c>
      <c r="C356" s="46">
        <v>1645662000</v>
      </c>
      <c r="D356" s="47">
        <v>0</v>
      </c>
      <c r="E356" s="47">
        <v>0</v>
      </c>
      <c r="F356" s="47">
        <v>0</v>
      </c>
      <c r="G356" s="46">
        <v>1645662000</v>
      </c>
      <c r="H356" s="47">
        <v>0</v>
      </c>
      <c r="I356" s="48" t="s">
        <v>147</v>
      </c>
      <c r="J356" s="48" t="s">
        <v>9</v>
      </c>
    </row>
    <row r="357" spans="1:10" ht="13.15" x14ac:dyDescent="0.4">
      <c r="A357" s="45" t="s">
        <v>101</v>
      </c>
      <c r="B357" s="46">
        <v>945931000</v>
      </c>
      <c r="C357" s="46">
        <v>945931000</v>
      </c>
      <c r="D357" s="47">
        <v>0</v>
      </c>
      <c r="E357" s="47">
        <v>0</v>
      </c>
      <c r="F357" s="47">
        <v>0</v>
      </c>
      <c r="G357" s="46">
        <v>945931000</v>
      </c>
      <c r="H357" s="47">
        <v>0</v>
      </c>
      <c r="I357" s="48" t="s">
        <v>147</v>
      </c>
      <c r="J357" s="48" t="s">
        <v>9</v>
      </c>
    </row>
    <row r="358" spans="1:10" ht="13.15" x14ac:dyDescent="0.4">
      <c r="A358" s="45" t="s">
        <v>102</v>
      </c>
      <c r="B358" s="46">
        <v>1122403500</v>
      </c>
      <c r="C358" s="46">
        <v>1122403500</v>
      </c>
      <c r="D358" s="46">
        <v>134933637</v>
      </c>
      <c r="E358" s="46">
        <v>137784161</v>
      </c>
      <c r="F358" s="46">
        <v>272717798</v>
      </c>
      <c r="G358" s="46">
        <v>849685702</v>
      </c>
      <c r="H358" s="47">
        <v>0</v>
      </c>
      <c r="I358" s="48" t="s">
        <v>147</v>
      </c>
      <c r="J358" s="48" t="s">
        <v>9</v>
      </c>
    </row>
    <row r="359" spans="1:10" ht="13.15" x14ac:dyDescent="0.4">
      <c r="A359" s="45" t="s">
        <v>64</v>
      </c>
      <c r="B359" s="46">
        <v>74888500</v>
      </c>
      <c r="C359" s="46">
        <v>74888500</v>
      </c>
      <c r="D359" s="46">
        <v>3421001</v>
      </c>
      <c r="E359" s="47">
        <v>0</v>
      </c>
      <c r="F359" s="46">
        <v>3421001</v>
      </c>
      <c r="G359" s="46">
        <v>71467499</v>
      </c>
      <c r="H359" s="47">
        <v>0</v>
      </c>
      <c r="I359" s="48" t="s">
        <v>147</v>
      </c>
      <c r="J359" s="48" t="s">
        <v>9</v>
      </c>
    </row>
    <row r="360" spans="1:10" ht="13.15" x14ac:dyDescent="0.4">
      <c r="A360" s="45" t="s">
        <v>65</v>
      </c>
      <c r="B360" s="46">
        <v>16624000</v>
      </c>
      <c r="C360" s="46">
        <v>16624000</v>
      </c>
      <c r="D360" s="47">
        <v>0</v>
      </c>
      <c r="E360" s="46">
        <v>16623760</v>
      </c>
      <c r="F360" s="46">
        <v>16623760</v>
      </c>
      <c r="G360" s="47">
        <v>240</v>
      </c>
      <c r="H360" s="47">
        <v>0</v>
      </c>
      <c r="I360" s="48" t="s">
        <v>147</v>
      </c>
      <c r="J360" s="48" t="s">
        <v>9</v>
      </c>
    </row>
    <row r="361" spans="1:10" ht="13.15" x14ac:dyDescent="0.4">
      <c r="A361" s="45" t="s">
        <v>66</v>
      </c>
      <c r="B361" s="46">
        <v>522368500</v>
      </c>
      <c r="C361" s="46">
        <v>522368500</v>
      </c>
      <c r="D361" s="46">
        <v>81692227</v>
      </c>
      <c r="E361" s="46">
        <v>111815443</v>
      </c>
      <c r="F361" s="46">
        <v>193507670</v>
      </c>
      <c r="G361" s="46">
        <v>328860830</v>
      </c>
      <c r="H361" s="47">
        <v>0</v>
      </c>
      <c r="I361" s="48" t="s">
        <v>147</v>
      </c>
      <c r="J361" s="48" t="s">
        <v>9</v>
      </c>
    </row>
    <row r="362" spans="1:10" ht="13.15" x14ac:dyDescent="0.4">
      <c r="A362" s="45" t="s">
        <v>67</v>
      </c>
      <c r="B362" s="46">
        <v>700000000</v>
      </c>
      <c r="C362" s="46">
        <v>700000000</v>
      </c>
      <c r="D362" s="46">
        <v>20715500</v>
      </c>
      <c r="E362" s="46">
        <v>152012550</v>
      </c>
      <c r="F362" s="46">
        <v>172728050</v>
      </c>
      <c r="G362" s="46">
        <v>527271950</v>
      </c>
      <c r="H362" s="47">
        <v>0</v>
      </c>
      <c r="I362" s="48" t="s">
        <v>147</v>
      </c>
      <c r="J362" s="48" t="s">
        <v>9</v>
      </c>
    </row>
    <row r="363" spans="1:10" ht="13.15" x14ac:dyDescent="0.4">
      <c r="A363" s="45" t="s">
        <v>103</v>
      </c>
      <c r="B363" s="46">
        <v>145275000</v>
      </c>
      <c r="C363" s="46">
        <v>145275000</v>
      </c>
      <c r="D363" s="47">
        <v>0</v>
      </c>
      <c r="E363" s="47">
        <v>0</v>
      </c>
      <c r="F363" s="47">
        <v>0</v>
      </c>
      <c r="G363" s="46">
        <v>145275000</v>
      </c>
      <c r="H363" s="47">
        <v>0</v>
      </c>
      <c r="I363" s="48" t="s">
        <v>147</v>
      </c>
      <c r="J363" s="48" t="s">
        <v>9</v>
      </c>
    </row>
    <row r="364" spans="1:10" ht="13.15" x14ac:dyDescent="0.4">
      <c r="A364" s="45" t="s">
        <v>104</v>
      </c>
      <c r="B364" s="46">
        <v>153214500</v>
      </c>
      <c r="C364" s="46">
        <v>153214500</v>
      </c>
      <c r="D364" s="47">
        <v>0</v>
      </c>
      <c r="E364" s="47">
        <v>0</v>
      </c>
      <c r="F364" s="47">
        <v>0</v>
      </c>
      <c r="G364" s="46">
        <v>153214500</v>
      </c>
      <c r="H364" s="47">
        <v>0</v>
      </c>
      <c r="I364" s="48" t="s">
        <v>147</v>
      </c>
      <c r="J364" s="48" t="s">
        <v>9</v>
      </c>
    </row>
    <row r="365" spans="1:10" ht="13.15" x14ac:dyDescent="0.4">
      <c r="A365" s="45" t="s">
        <v>106</v>
      </c>
      <c r="B365" s="46">
        <v>235100000</v>
      </c>
      <c r="C365" s="46">
        <v>235100000</v>
      </c>
      <c r="D365" s="47">
        <v>0</v>
      </c>
      <c r="E365" s="46">
        <v>3229600</v>
      </c>
      <c r="F365" s="46">
        <v>3229600</v>
      </c>
      <c r="G365" s="46">
        <v>231870400</v>
      </c>
      <c r="H365" s="47">
        <v>0</v>
      </c>
      <c r="I365" s="48" t="s">
        <v>147</v>
      </c>
      <c r="J365" s="48" t="s">
        <v>9</v>
      </c>
    </row>
    <row r="366" spans="1:10" ht="13.15" x14ac:dyDescent="0.4">
      <c r="A366" s="45" t="s">
        <v>110</v>
      </c>
      <c r="B366" s="46">
        <v>100000000</v>
      </c>
      <c r="C366" s="46">
        <v>100000000</v>
      </c>
      <c r="D366" s="47">
        <v>0</v>
      </c>
      <c r="E366" s="47">
        <v>0</v>
      </c>
      <c r="F366" s="47">
        <v>0</v>
      </c>
      <c r="G366" s="46">
        <v>100000000</v>
      </c>
      <c r="H366" s="47">
        <v>0</v>
      </c>
      <c r="I366" s="48" t="s">
        <v>147</v>
      </c>
      <c r="J366" s="48" t="s">
        <v>21</v>
      </c>
    </row>
    <row r="367" spans="1:10" ht="13.15" x14ac:dyDescent="0.4">
      <c r="A367" s="45" t="s">
        <v>73</v>
      </c>
      <c r="B367" s="46">
        <v>100000000</v>
      </c>
      <c r="C367" s="46">
        <v>100000000</v>
      </c>
      <c r="D367" s="47">
        <v>0</v>
      </c>
      <c r="E367" s="47">
        <v>0</v>
      </c>
      <c r="F367" s="47">
        <v>0</v>
      </c>
      <c r="G367" s="46">
        <v>100000000</v>
      </c>
      <c r="H367" s="47">
        <v>0</v>
      </c>
      <c r="I367" s="48" t="s">
        <v>147</v>
      </c>
      <c r="J367" s="48" t="s">
        <v>23</v>
      </c>
    </row>
    <row r="368" spans="1:10" ht="13.15" x14ac:dyDescent="0.4">
      <c r="A368" s="45" t="s">
        <v>111</v>
      </c>
      <c r="B368" s="46">
        <v>63030000</v>
      </c>
      <c r="C368" s="46">
        <v>63030000</v>
      </c>
      <c r="D368" s="46">
        <v>19823200</v>
      </c>
      <c r="E368" s="47">
        <v>0</v>
      </c>
      <c r="F368" s="46">
        <v>19823200</v>
      </c>
      <c r="G368" s="46">
        <v>43206800</v>
      </c>
      <c r="H368" s="47">
        <v>0</v>
      </c>
      <c r="I368" s="48" t="s">
        <v>147</v>
      </c>
      <c r="J368" s="48" t="s">
        <v>22</v>
      </c>
    </row>
    <row r="369" spans="1:10" ht="13.15" x14ac:dyDescent="0.4">
      <c r="A369" s="45" t="s">
        <v>112</v>
      </c>
      <c r="B369" s="46">
        <v>90000000</v>
      </c>
      <c r="C369" s="46">
        <v>90000000</v>
      </c>
      <c r="D369" s="46">
        <v>1639740</v>
      </c>
      <c r="E369" s="46">
        <v>70896704</v>
      </c>
      <c r="F369" s="46">
        <v>72536444</v>
      </c>
      <c r="G369" s="46">
        <v>17463556</v>
      </c>
      <c r="H369" s="47">
        <v>0</v>
      </c>
      <c r="I369" s="48" t="s">
        <v>147</v>
      </c>
      <c r="J369" s="48" t="s">
        <v>26</v>
      </c>
    </row>
    <row r="370" spans="1:10" ht="13.15" x14ac:dyDescent="0.4">
      <c r="A370" s="45" t="s">
        <v>76</v>
      </c>
      <c r="B370" s="46">
        <v>64000000</v>
      </c>
      <c r="C370" s="46">
        <v>64000000</v>
      </c>
      <c r="D370" s="46">
        <v>6960000</v>
      </c>
      <c r="E370" s="46">
        <v>13487000</v>
      </c>
      <c r="F370" s="46">
        <v>20447000</v>
      </c>
      <c r="G370" s="46">
        <v>43553000</v>
      </c>
      <c r="H370" s="47">
        <v>0</v>
      </c>
      <c r="I370" s="48" t="s">
        <v>147</v>
      </c>
      <c r="J370" s="48" t="s">
        <v>25</v>
      </c>
    </row>
    <row r="371" spans="1:10" ht="13.15" x14ac:dyDescent="0.4">
      <c r="A371" s="45" t="s">
        <v>77</v>
      </c>
      <c r="B371" s="46">
        <v>300400000</v>
      </c>
      <c r="C371" s="46">
        <v>300400000</v>
      </c>
      <c r="D371" s="46">
        <v>27274000</v>
      </c>
      <c r="E371" s="46">
        <v>78208462</v>
      </c>
      <c r="F371" s="46">
        <v>105482462</v>
      </c>
      <c r="G371" s="46">
        <v>194917538</v>
      </c>
      <c r="H371" s="47">
        <v>0</v>
      </c>
      <c r="I371" s="48" t="s">
        <v>147</v>
      </c>
      <c r="J371" s="48" t="s">
        <v>25</v>
      </c>
    </row>
    <row r="372" spans="1:10" ht="13.15" x14ac:dyDescent="0.4">
      <c r="A372" s="45" t="s">
        <v>78</v>
      </c>
      <c r="B372" s="46">
        <v>16500000</v>
      </c>
      <c r="C372" s="46">
        <v>16500000</v>
      </c>
      <c r="D372" s="47">
        <v>0</v>
      </c>
      <c r="E372" s="46">
        <v>11000000</v>
      </c>
      <c r="F372" s="46">
        <v>11000000</v>
      </c>
      <c r="G372" s="46">
        <v>5500000</v>
      </c>
      <c r="H372" s="47">
        <v>0</v>
      </c>
      <c r="I372" s="48" t="s">
        <v>147</v>
      </c>
      <c r="J372" s="48" t="s">
        <v>25</v>
      </c>
    </row>
    <row r="373" spans="1:10" ht="13.15" x14ac:dyDescent="0.4">
      <c r="A373" s="45" t="s">
        <v>79</v>
      </c>
      <c r="B373" s="46">
        <v>35000000</v>
      </c>
      <c r="C373" s="46">
        <v>35000000</v>
      </c>
      <c r="D373" s="47">
        <v>0</v>
      </c>
      <c r="E373" s="46">
        <v>4415000</v>
      </c>
      <c r="F373" s="46">
        <v>4415000</v>
      </c>
      <c r="G373" s="46">
        <v>30585000</v>
      </c>
      <c r="H373" s="47">
        <v>0</v>
      </c>
      <c r="I373" s="48" t="s">
        <v>147</v>
      </c>
      <c r="J373" s="48" t="s">
        <v>25</v>
      </c>
    </row>
    <row r="374" spans="1:10" ht="13.15" x14ac:dyDescent="0.4">
      <c r="A374" s="45" t="s">
        <v>81</v>
      </c>
      <c r="B374" s="46">
        <v>42675000</v>
      </c>
      <c r="C374" s="46">
        <v>42675000</v>
      </c>
      <c r="D374" s="47">
        <v>0</v>
      </c>
      <c r="E374" s="46">
        <v>39560000</v>
      </c>
      <c r="F374" s="46">
        <v>39560000</v>
      </c>
      <c r="G374" s="46">
        <v>3115000</v>
      </c>
      <c r="H374" s="47">
        <v>0</v>
      </c>
      <c r="I374" s="48" t="s">
        <v>147</v>
      </c>
      <c r="J374" s="48" t="s">
        <v>25</v>
      </c>
    </row>
    <row r="375" spans="1:10" ht="13.15" x14ac:dyDescent="0.4">
      <c r="A375" s="45" t="s">
        <v>82</v>
      </c>
      <c r="B375" s="46">
        <v>9000000</v>
      </c>
      <c r="C375" s="46">
        <v>9000000</v>
      </c>
      <c r="D375" s="47">
        <v>0</v>
      </c>
      <c r="E375" s="46">
        <v>6736950</v>
      </c>
      <c r="F375" s="46">
        <v>6736950</v>
      </c>
      <c r="G375" s="46">
        <v>2263050</v>
      </c>
      <c r="H375" s="47">
        <v>0</v>
      </c>
      <c r="I375" s="48" t="s">
        <v>147</v>
      </c>
      <c r="J375" s="48" t="s">
        <v>25</v>
      </c>
    </row>
    <row r="376" spans="1:10" ht="13.15" x14ac:dyDescent="0.4">
      <c r="A376" s="45" t="s">
        <v>113</v>
      </c>
      <c r="B376" s="47">
        <v>0</v>
      </c>
      <c r="C376" s="47">
        <v>0</v>
      </c>
      <c r="D376" s="47">
        <v>0</v>
      </c>
      <c r="E376" s="46">
        <v>23414336</v>
      </c>
      <c r="F376" s="46">
        <v>23414336</v>
      </c>
      <c r="G376" s="46">
        <v>-23414336</v>
      </c>
      <c r="H376" s="47">
        <v>0</v>
      </c>
      <c r="I376" s="48" t="s">
        <v>147</v>
      </c>
      <c r="J376" s="48" t="s">
        <v>84</v>
      </c>
    </row>
    <row r="377" spans="1:10" ht="13.15" x14ac:dyDescent="0.4">
      <c r="A377" s="45" t="s">
        <v>83</v>
      </c>
      <c r="B377" s="46">
        <v>4539806918</v>
      </c>
      <c r="C377" s="46">
        <v>4539806918</v>
      </c>
      <c r="D377" s="47">
        <v>0</v>
      </c>
      <c r="E377" s="46">
        <v>663188048</v>
      </c>
      <c r="F377" s="46">
        <v>663188048</v>
      </c>
      <c r="G377" s="46">
        <v>3876618870</v>
      </c>
      <c r="H377" s="47">
        <v>0</v>
      </c>
      <c r="I377" s="48" t="s">
        <v>147</v>
      </c>
      <c r="J377" s="48" t="s">
        <v>84</v>
      </c>
    </row>
    <row r="378" spans="1:10" ht="13.15" x14ac:dyDescent="0.4">
      <c r="A378" s="45" t="s">
        <v>85</v>
      </c>
      <c r="B378" s="46">
        <v>83054569</v>
      </c>
      <c r="C378" s="46">
        <v>83054569</v>
      </c>
      <c r="D378" s="47">
        <v>0</v>
      </c>
      <c r="E378" s="46">
        <v>13674416</v>
      </c>
      <c r="F378" s="46">
        <v>13674416</v>
      </c>
      <c r="G378" s="46">
        <v>69380153</v>
      </c>
      <c r="H378" s="47">
        <v>0</v>
      </c>
      <c r="I378" s="48" t="s">
        <v>147</v>
      </c>
      <c r="J378" s="48" t="s">
        <v>84</v>
      </c>
    </row>
    <row r="379" spans="1:10" ht="13.15" x14ac:dyDescent="0.4">
      <c r="A379" s="45" t="s">
        <v>86</v>
      </c>
      <c r="B379" s="46">
        <v>4669639602</v>
      </c>
      <c r="C379" s="46">
        <v>4669639602</v>
      </c>
      <c r="D379" s="47">
        <v>0</v>
      </c>
      <c r="E379" s="46">
        <v>771723853</v>
      </c>
      <c r="F379" s="46">
        <v>771723853</v>
      </c>
      <c r="G379" s="46">
        <v>3897915749</v>
      </c>
      <c r="H379" s="47">
        <v>0</v>
      </c>
      <c r="I379" s="48" t="s">
        <v>147</v>
      </c>
      <c r="J379" s="48" t="s">
        <v>84</v>
      </c>
    </row>
    <row r="380" spans="1:10" ht="13.15" x14ac:dyDescent="0.4">
      <c r="A380" s="45" t="s">
        <v>87</v>
      </c>
      <c r="B380" s="46">
        <v>25853949</v>
      </c>
      <c r="C380" s="46">
        <v>25853949</v>
      </c>
      <c r="D380" s="47">
        <v>0</v>
      </c>
      <c r="E380" s="47">
        <v>0</v>
      </c>
      <c r="F380" s="47">
        <v>0</v>
      </c>
      <c r="G380" s="46">
        <v>25853949</v>
      </c>
      <c r="H380" s="47">
        <v>0</v>
      </c>
      <c r="I380" s="48" t="s">
        <v>147</v>
      </c>
      <c r="J380" s="48" t="s">
        <v>84</v>
      </c>
    </row>
    <row r="381" spans="1:10" ht="13.15" x14ac:dyDescent="0.4">
      <c r="A381" s="45" t="s">
        <v>88</v>
      </c>
      <c r="B381" s="46">
        <v>795113433</v>
      </c>
      <c r="C381" s="46">
        <v>795113433</v>
      </c>
      <c r="D381" s="47">
        <v>0</v>
      </c>
      <c r="E381" s="46">
        <v>93615240</v>
      </c>
      <c r="F381" s="46">
        <v>93615240</v>
      </c>
      <c r="G381" s="46">
        <v>701498193</v>
      </c>
      <c r="H381" s="47">
        <v>0</v>
      </c>
      <c r="I381" s="48" t="s">
        <v>147</v>
      </c>
      <c r="J381" s="48" t="s">
        <v>84</v>
      </c>
    </row>
    <row r="382" spans="1:10" ht="13.15" x14ac:dyDescent="0.4">
      <c r="A382" s="45" t="s">
        <v>89</v>
      </c>
      <c r="B382" s="46">
        <v>37493935</v>
      </c>
      <c r="C382" s="46">
        <v>37493935</v>
      </c>
      <c r="D382" s="47">
        <v>0</v>
      </c>
      <c r="E382" s="46">
        <v>3939794</v>
      </c>
      <c r="F382" s="46">
        <v>3939794</v>
      </c>
      <c r="G382" s="46">
        <v>33554141</v>
      </c>
      <c r="H382" s="47">
        <v>0</v>
      </c>
      <c r="I382" s="48" t="s">
        <v>147</v>
      </c>
      <c r="J382" s="48" t="s">
        <v>84</v>
      </c>
    </row>
    <row r="383" spans="1:10" ht="13.15" x14ac:dyDescent="0.4">
      <c r="A383" s="45" t="s">
        <v>90</v>
      </c>
      <c r="B383" s="46">
        <v>960233849</v>
      </c>
      <c r="C383" s="46">
        <v>960233849</v>
      </c>
      <c r="D383" s="47">
        <v>0</v>
      </c>
      <c r="E383" s="46">
        <v>165910019</v>
      </c>
      <c r="F383" s="46">
        <v>165910019</v>
      </c>
      <c r="G383" s="46">
        <v>794323830</v>
      </c>
      <c r="H383" s="47">
        <v>0</v>
      </c>
      <c r="I383" s="48" t="s">
        <v>147</v>
      </c>
      <c r="J383" s="48" t="s">
        <v>84</v>
      </c>
    </row>
    <row r="384" spans="1:10" ht="13.15" x14ac:dyDescent="0.4">
      <c r="A384" s="45" t="s">
        <v>91</v>
      </c>
      <c r="B384" s="46">
        <v>2200336</v>
      </c>
      <c r="C384" s="46">
        <v>2200336</v>
      </c>
      <c r="D384" s="47">
        <v>0</v>
      </c>
      <c r="E384" s="47">
        <v>0</v>
      </c>
      <c r="F384" s="47">
        <v>0</v>
      </c>
      <c r="G384" s="46">
        <v>2200336</v>
      </c>
      <c r="H384" s="47">
        <v>0</v>
      </c>
      <c r="I384" s="48" t="s">
        <v>147</v>
      </c>
      <c r="J384" s="48" t="s">
        <v>84</v>
      </c>
    </row>
    <row r="385" spans="1:10" ht="13.15" x14ac:dyDescent="0.4">
      <c r="A385" s="49" t="s">
        <v>148</v>
      </c>
      <c r="B385" s="50">
        <v>17495468591</v>
      </c>
      <c r="C385" s="50">
        <v>17495468591</v>
      </c>
      <c r="D385" s="50">
        <v>296459305</v>
      </c>
      <c r="E385" s="50">
        <v>2381235336</v>
      </c>
      <c r="F385" s="50">
        <v>2677694641</v>
      </c>
      <c r="G385" s="50">
        <v>14817773950</v>
      </c>
      <c r="H385" s="52">
        <v>0</v>
      </c>
      <c r="I385" s="51" t="s">
        <v>147</v>
      </c>
      <c r="J385" s="51" t="e">
        <v>#N/A</v>
      </c>
    </row>
    <row r="386" spans="1:10" ht="13.15" x14ac:dyDescent="0.4">
      <c r="A386" s="45" t="s">
        <v>59</v>
      </c>
      <c r="B386" s="46">
        <v>1717513500</v>
      </c>
      <c r="C386" s="46">
        <v>1717513500</v>
      </c>
      <c r="D386" s="47">
        <v>0</v>
      </c>
      <c r="E386" s="47">
        <v>0</v>
      </c>
      <c r="F386" s="47">
        <v>0</v>
      </c>
      <c r="G386" s="46">
        <v>1717513500</v>
      </c>
      <c r="H386" s="47">
        <v>0</v>
      </c>
      <c r="I386" s="48" t="s">
        <v>149</v>
      </c>
      <c r="J386" s="48" t="s">
        <v>9</v>
      </c>
    </row>
    <row r="387" spans="1:10" ht="13.15" x14ac:dyDescent="0.4">
      <c r="A387" s="45" t="s">
        <v>63</v>
      </c>
      <c r="B387" s="47">
        <v>0</v>
      </c>
      <c r="C387" s="47">
        <v>0</v>
      </c>
      <c r="D387" s="47">
        <v>0</v>
      </c>
      <c r="E387" s="47">
        <v>0</v>
      </c>
      <c r="F387" s="47">
        <v>0</v>
      </c>
      <c r="G387" s="47">
        <v>0</v>
      </c>
      <c r="H387" s="47">
        <v>0</v>
      </c>
      <c r="I387" s="48" t="s">
        <v>149</v>
      </c>
      <c r="J387" s="48" t="s">
        <v>9</v>
      </c>
    </row>
    <row r="388" spans="1:10" ht="13.15" x14ac:dyDescent="0.4">
      <c r="A388" s="45" t="s">
        <v>101</v>
      </c>
      <c r="B388" s="46">
        <v>233686000</v>
      </c>
      <c r="C388" s="46">
        <v>233686000</v>
      </c>
      <c r="D388" s="47">
        <v>0</v>
      </c>
      <c r="E388" s="47">
        <v>0</v>
      </c>
      <c r="F388" s="47">
        <v>0</v>
      </c>
      <c r="G388" s="46">
        <v>233686000</v>
      </c>
      <c r="H388" s="47">
        <v>0</v>
      </c>
      <c r="I388" s="48" t="s">
        <v>149</v>
      </c>
      <c r="J388" s="48" t="s">
        <v>9</v>
      </c>
    </row>
    <row r="389" spans="1:10" ht="13.15" x14ac:dyDescent="0.4">
      <c r="A389" s="45" t="s">
        <v>102</v>
      </c>
      <c r="B389" s="46">
        <v>445284000</v>
      </c>
      <c r="C389" s="46">
        <v>445284000</v>
      </c>
      <c r="D389" s="46">
        <v>398086520</v>
      </c>
      <c r="E389" s="47">
        <v>0</v>
      </c>
      <c r="F389" s="46">
        <v>398086520</v>
      </c>
      <c r="G389" s="46">
        <v>47197480</v>
      </c>
      <c r="H389" s="47">
        <v>0</v>
      </c>
      <c r="I389" s="48" t="s">
        <v>149</v>
      </c>
      <c r="J389" s="48" t="s">
        <v>9</v>
      </c>
    </row>
    <row r="390" spans="1:10" ht="13.15" x14ac:dyDescent="0.4">
      <c r="A390" s="45" t="s">
        <v>64</v>
      </c>
      <c r="B390" s="46">
        <v>78606000</v>
      </c>
      <c r="C390" s="46">
        <v>78606000</v>
      </c>
      <c r="D390" s="46">
        <v>49855940</v>
      </c>
      <c r="E390" s="47">
        <v>0</v>
      </c>
      <c r="F390" s="46">
        <v>49855940</v>
      </c>
      <c r="G390" s="46">
        <v>28750060</v>
      </c>
      <c r="H390" s="47">
        <v>0</v>
      </c>
      <c r="I390" s="48" t="s">
        <v>149</v>
      </c>
      <c r="J390" s="48" t="s">
        <v>9</v>
      </c>
    </row>
    <row r="391" spans="1:10" ht="13.15" x14ac:dyDescent="0.4">
      <c r="A391" s="45" t="s">
        <v>65</v>
      </c>
      <c r="B391" s="46">
        <v>225000000</v>
      </c>
      <c r="C391" s="46">
        <v>225000000</v>
      </c>
      <c r="D391" s="47">
        <v>0</v>
      </c>
      <c r="E391" s="47">
        <v>0</v>
      </c>
      <c r="F391" s="47">
        <v>0</v>
      </c>
      <c r="G391" s="46">
        <v>225000000</v>
      </c>
      <c r="H391" s="47">
        <v>0</v>
      </c>
      <c r="I391" s="48" t="s">
        <v>149</v>
      </c>
      <c r="J391" s="48" t="s">
        <v>9</v>
      </c>
    </row>
    <row r="392" spans="1:10" ht="13.15" x14ac:dyDescent="0.4">
      <c r="A392" s="45" t="s">
        <v>66</v>
      </c>
      <c r="B392" s="46">
        <v>250000000</v>
      </c>
      <c r="C392" s="46">
        <v>250000000</v>
      </c>
      <c r="D392" s="47">
        <v>0</v>
      </c>
      <c r="E392" s="47">
        <v>0</v>
      </c>
      <c r="F392" s="47">
        <v>0</v>
      </c>
      <c r="G392" s="46">
        <v>250000000</v>
      </c>
      <c r="H392" s="47">
        <v>0</v>
      </c>
      <c r="I392" s="48" t="s">
        <v>149</v>
      </c>
      <c r="J392" s="48" t="s">
        <v>9</v>
      </c>
    </row>
    <row r="393" spans="1:10" ht="13.15" x14ac:dyDescent="0.4">
      <c r="A393" s="45" t="s">
        <v>67</v>
      </c>
      <c r="B393" s="46">
        <v>345000000</v>
      </c>
      <c r="C393" s="46">
        <v>345000000</v>
      </c>
      <c r="D393" s="46">
        <v>202834780</v>
      </c>
      <c r="E393" s="47">
        <v>0</v>
      </c>
      <c r="F393" s="46">
        <v>202834780</v>
      </c>
      <c r="G393" s="46">
        <v>142165220</v>
      </c>
      <c r="H393" s="47">
        <v>0</v>
      </c>
      <c r="I393" s="48" t="s">
        <v>149</v>
      </c>
      <c r="J393" s="48" t="s">
        <v>9</v>
      </c>
    </row>
    <row r="394" spans="1:10" ht="13.15" x14ac:dyDescent="0.4">
      <c r="A394" s="45" t="s">
        <v>103</v>
      </c>
      <c r="B394" s="46">
        <v>99350000</v>
      </c>
      <c r="C394" s="46">
        <v>99350000</v>
      </c>
      <c r="D394" s="46">
        <v>91627175</v>
      </c>
      <c r="E394" s="47">
        <v>0</v>
      </c>
      <c r="F394" s="46">
        <v>91627175</v>
      </c>
      <c r="G394" s="46">
        <v>7722825</v>
      </c>
      <c r="H394" s="47">
        <v>0</v>
      </c>
      <c r="I394" s="48" t="s">
        <v>149</v>
      </c>
      <c r="J394" s="48" t="s">
        <v>9</v>
      </c>
    </row>
    <row r="395" spans="1:10" ht="13.15" x14ac:dyDescent="0.4">
      <c r="A395" s="45" t="s">
        <v>104</v>
      </c>
      <c r="B395" s="46">
        <v>227565500</v>
      </c>
      <c r="C395" s="46">
        <v>227565500</v>
      </c>
      <c r="D395" s="47">
        <v>0</v>
      </c>
      <c r="E395" s="47">
        <v>0</v>
      </c>
      <c r="F395" s="47">
        <v>0</v>
      </c>
      <c r="G395" s="46">
        <v>227565500</v>
      </c>
      <c r="H395" s="47">
        <v>0</v>
      </c>
      <c r="I395" s="48" t="s">
        <v>149</v>
      </c>
      <c r="J395" s="48" t="s">
        <v>9</v>
      </c>
    </row>
    <row r="396" spans="1:10" ht="13.15" x14ac:dyDescent="0.4">
      <c r="A396" s="45" t="s">
        <v>105</v>
      </c>
      <c r="B396" s="46">
        <v>25000000</v>
      </c>
      <c r="C396" s="46">
        <v>25000000</v>
      </c>
      <c r="D396" s="47">
        <v>0</v>
      </c>
      <c r="E396" s="47">
        <v>0</v>
      </c>
      <c r="F396" s="47">
        <v>0</v>
      </c>
      <c r="G396" s="46">
        <v>25000000</v>
      </c>
      <c r="H396" s="47">
        <v>0</v>
      </c>
      <c r="I396" s="48" t="s">
        <v>149</v>
      </c>
      <c r="J396" s="48" t="s">
        <v>9</v>
      </c>
    </row>
    <row r="397" spans="1:10" ht="13.15" x14ac:dyDescent="0.4">
      <c r="A397" s="45" t="s">
        <v>106</v>
      </c>
      <c r="B397" s="46">
        <v>721780000</v>
      </c>
      <c r="C397" s="46">
        <v>721780000</v>
      </c>
      <c r="D397" s="47">
        <v>0</v>
      </c>
      <c r="E397" s="47">
        <v>0</v>
      </c>
      <c r="F397" s="47">
        <v>0</v>
      </c>
      <c r="G397" s="46">
        <v>721780000</v>
      </c>
      <c r="H397" s="47">
        <v>0</v>
      </c>
      <c r="I397" s="48" t="s">
        <v>149</v>
      </c>
      <c r="J397" s="48" t="s">
        <v>9</v>
      </c>
    </row>
    <row r="398" spans="1:10" ht="13.15" x14ac:dyDescent="0.4">
      <c r="A398" s="45" t="s">
        <v>107</v>
      </c>
      <c r="B398" s="46">
        <v>250000000</v>
      </c>
      <c r="C398" s="46">
        <v>250000000</v>
      </c>
      <c r="D398" s="47">
        <v>0</v>
      </c>
      <c r="E398" s="47">
        <v>0</v>
      </c>
      <c r="F398" s="47">
        <v>0</v>
      </c>
      <c r="G398" s="46">
        <v>250000000</v>
      </c>
      <c r="H398" s="47">
        <v>0</v>
      </c>
      <c r="I398" s="48" t="s">
        <v>149</v>
      </c>
      <c r="J398" s="48" t="s">
        <v>21</v>
      </c>
    </row>
    <row r="399" spans="1:10" ht="13.15" x14ac:dyDescent="0.4">
      <c r="A399" s="45" t="s">
        <v>110</v>
      </c>
      <c r="B399" s="46">
        <v>125000000</v>
      </c>
      <c r="C399" s="46">
        <v>125000000</v>
      </c>
      <c r="D399" s="47">
        <v>0</v>
      </c>
      <c r="E399" s="47">
        <v>0</v>
      </c>
      <c r="F399" s="47">
        <v>0</v>
      </c>
      <c r="G399" s="46">
        <v>125000000</v>
      </c>
      <c r="H399" s="47">
        <v>0</v>
      </c>
      <c r="I399" s="48" t="s">
        <v>149</v>
      </c>
      <c r="J399" s="48" t="s">
        <v>21</v>
      </c>
    </row>
    <row r="400" spans="1:10" ht="13.15" x14ac:dyDescent="0.4">
      <c r="A400" s="45" t="s">
        <v>73</v>
      </c>
      <c r="B400" s="46">
        <v>125000000</v>
      </c>
      <c r="C400" s="46">
        <v>125000000</v>
      </c>
      <c r="D400" s="47">
        <v>0</v>
      </c>
      <c r="E400" s="47">
        <v>0</v>
      </c>
      <c r="F400" s="47">
        <v>0</v>
      </c>
      <c r="G400" s="46">
        <v>125000000</v>
      </c>
      <c r="H400" s="47">
        <v>0</v>
      </c>
      <c r="I400" s="48" t="s">
        <v>149</v>
      </c>
      <c r="J400" s="48" t="s">
        <v>23</v>
      </c>
    </row>
    <row r="401" spans="1:10" ht="13.15" x14ac:dyDescent="0.4">
      <c r="A401" s="45" t="s">
        <v>111</v>
      </c>
      <c r="B401" s="46">
        <v>158400000</v>
      </c>
      <c r="C401" s="46">
        <v>158400000</v>
      </c>
      <c r="D401" s="46">
        <v>52208150</v>
      </c>
      <c r="E401" s="47">
        <v>0</v>
      </c>
      <c r="F401" s="46">
        <v>52208150</v>
      </c>
      <c r="G401" s="46">
        <v>106191850</v>
      </c>
      <c r="H401" s="47">
        <v>0</v>
      </c>
      <c r="I401" s="48" t="s">
        <v>149</v>
      </c>
      <c r="J401" s="48" t="s">
        <v>22</v>
      </c>
    </row>
    <row r="402" spans="1:10" ht="13.15" x14ac:dyDescent="0.4">
      <c r="A402" s="45" t="s">
        <v>112</v>
      </c>
      <c r="B402" s="46">
        <v>637500000</v>
      </c>
      <c r="C402" s="46">
        <v>637500000</v>
      </c>
      <c r="D402" s="46">
        <v>9815000</v>
      </c>
      <c r="E402" s="46">
        <v>218151545</v>
      </c>
      <c r="F402" s="46">
        <v>227966545</v>
      </c>
      <c r="G402" s="46">
        <v>409533455</v>
      </c>
      <c r="H402" s="47">
        <v>0</v>
      </c>
      <c r="I402" s="48" t="s">
        <v>149</v>
      </c>
      <c r="J402" s="48" t="s">
        <v>26</v>
      </c>
    </row>
    <row r="403" spans="1:10" ht="13.15" x14ac:dyDescent="0.4">
      <c r="A403" s="45" t="s">
        <v>76</v>
      </c>
      <c r="B403" s="46">
        <v>48400000</v>
      </c>
      <c r="C403" s="46">
        <v>48400000</v>
      </c>
      <c r="D403" s="46">
        <v>21900000</v>
      </c>
      <c r="E403" s="47">
        <v>0</v>
      </c>
      <c r="F403" s="46">
        <v>21900000</v>
      </c>
      <c r="G403" s="46">
        <v>26500000</v>
      </c>
      <c r="H403" s="47">
        <v>0</v>
      </c>
      <c r="I403" s="48" t="s">
        <v>149</v>
      </c>
      <c r="J403" s="48" t="s">
        <v>25</v>
      </c>
    </row>
    <row r="404" spans="1:10" ht="13.15" x14ac:dyDescent="0.4">
      <c r="A404" s="45" t="s">
        <v>77</v>
      </c>
      <c r="B404" s="46">
        <v>170907750</v>
      </c>
      <c r="C404" s="46">
        <v>170907750</v>
      </c>
      <c r="D404" s="46">
        <v>98217450</v>
      </c>
      <c r="E404" s="46">
        <v>67914000</v>
      </c>
      <c r="F404" s="46">
        <v>166131450</v>
      </c>
      <c r="G404" s="46">
        <v>4776300</v>
      </c>
      <c r="H404" s="47">
        <v>0</v>
      </c>
      <c r="I404" s="48" t="s">
        <v>149</v>
      </c>
      <c r="J404" s="48" t="s">
        <v>25</v>
      </c>
    </row>
    <row r="405" spans="1:10" ht="13.15" x14ac:dyDescent="0.4">
      <c r="A405" s="45" t="s">
        <v>78</v>
      </c>
      <c r="B405" s="46">
        <v>26250000</v>
      </c>
      <c r="C405" s="46">
        <v>26250000</v>
      </c>
      <c r="D405" s="47">
        <v>0</v>
      </c>
      <c r="E405" s="46">
        <v>16500000</v>
      </c>
      <c r="F405" s="46">
        <v>16500000</v>
      </c>
      <c r="G405" s="46">
        <v>9750000</v>
      </c>
      <c r="H405" s="47">
        <v>0</v>
      </c>
      <c r="I405" s="48" t="s">
        <v>149</v>
      </c>
      <c r="J405" s="48" t="s">
        <v>25</v>
      </c>
    </row>
    <row r="406" spans="1:10" ht="13.15" x14ac:dyDescent="0.4">
      <c r="A406" s="45" t="s">
        <v>79</v>
      </c>
      <c r="B406" s="46">
        <v>96500000</v>
      </c>
      <c r="C406" s="46">
        <v>96500000</v>
      </c>
      <c r="D406" s="46">
        <v>2609000</v>
      </c>
      <c r="E406" s="47">
        <v>0</v>
      </c>
      <c r="F406" s="46">
        <v>2609000</v>
      </c>
      <c r="G406" s="46">
        <v>93891000</v>
      </c>
      <c r="H406" s="47">
        <v>0</v>
      </c>
      <c r="I406" s="48" t="s">
        <v>149</v>
      </c>
      <c r="J406" s="48" t="s">
        <v>25</v>
      </c>
    </row>
    <row r="407" spans="1:10" ht="13.15" x14ac:dyDescent="0.4">
      <c r="A407" s="45" t="s">
        <v>81</v>
      </c>
      <c r="B407" s="46">
        <v>117000000</v>
      </c>
      <c r="C407" s="46">
        <v>117000000</v>
      </c>
      <c r="D407" s="47">
        <v>0</v>
      </c>
      <c r="E407" s="46">
        <v>65686596</v>
      </c>
      <c r="F407" s="46">
        <v>65686596</v>
      </c>
      <c r="G407" s="46">
        <v>51313404</v>
      </c>
      <c r="H407" s="47">
        <v>0</v>
      </c>
      <c r="I407" s="48" t="s">
        <v>149</v>
      </c>
      <c r="J407" s="48" t="s">
        <v>25</v>
      </c>
    </row>
    <row r="408" spans="1:10" ht="13.15" x14ac:dyDescent="0.4">
      <c r="A408" s="45" t="s">
        <v>137</v>
      </c>
      <c r="B408" s="46">
        <v>1500000</v>
      </c>
      <c r="C408" s="46">
        <v>1500000</v>
      </c>
      <c r="D408" s="47">
        <v>0</v>
      </c>
      <c r="E408" s="46">
        <v>315000</v>
      </c>
      <c r="F408" s="46">
        <v>315000</v>
      </c>
      <c r="G408" s="46">
        <v>1185000</v>
      </c>
      <c r="H408" s="47">
        <v>0</v>
      </c>
      <c r="I408" s="48" t="s">
        <v>149</v>
      </c>
      <c r="J408" s="48" t="s">
        <v>25</v>
      </c>
    </row>
    <row r="409" spans="1:10" ht="13.15" x14ac:dyDescent="0.4">
      <c r="A409" s="45" t="s">
        <v>82</v>
      </c>
      <c r="B409" s="46">
        <v>10000000</v>
      </c>
      <c r="C409" s="46">
        <v>10000000</v>
      </c>
      <c r="D409" s="47">
        <v>0</v>
      </c>
      <c r="E409" s="47">
        <v>0</v>
      </c>
      <c r="F409" s="47">
        <v>0</v>
      </c>
      <c r="G409" s="46">
        <v>10000000</v>
      </c>
      <c r="H409" s="47">
        <v>0</v>
      </c>
      <c r="I409" s="48" t="s">
        <v>149</v>
      </c>
      <c r="J409" s="48" t="s">
        <v>25</v>
      </c>
    </row>
    <row r="410" spans="1:10" ht="13.15" x14ac:dyDescent="0.4">
      <c r="A410" s="45" t="s">
        <v>128</v>
      </c>
      <c r="B410" s="47">
        <v>0</v>
      </c>
      <c r="C410" s="47">
        <v>0</v>
      </c>
      <c r="D410" s="47">
        <v>0</v>
      </c>
      <c r="E410" s="46">
        <v>100141179</v>
      </c>
      <c r="F410" s="46">
        <v>100141179</v>
      </c>
      <c r="G410" s="46">
        <v>-100141179</v>
      </c>
      <c r="H410" s="47">
        <v>0</v>
      </c>
      <c r="I410" s="48" t="s">
        <v>149</v>
      </c>
      <c r="J410" s="48" t="s">
        <v>84</v>
      </c>
    </row>
    <row r="411" spans="1:10" ht="13.15" x14ac:dyDescent="0.4">
      <c r="A411" s="45" t="s">
        <v>83</v>
      </c>
      <c r="B411" s="46">
        <v>8641345711</v>
      </c>
      <c r="C411" s="46">
        <v>8641345711</v>
      </c>
      <c r="D411" s="47">
        <v>0</v>
      </c>
      <c r="E411" s="46">
        <v>1211192748</v>
      </c>
      <c r="F411" s="46">
        <v>1211192748</v>
      </c>
      <c r="G411" s="46">
        <v>7430152963</v>
      </c>
      <c r="H411" s="47">
        <v>0</v>
      </c>
      <c r="I411" s="48" t="s">
        <v>149</v>
      </c>
      <c r="J411" s="48" t="s">
        <v>84</v>
      </c>
    </row>
    <row r="412" spans="1:10" ht="13.15" x14ac:dyDescent="0.4">
      <c r="A412" s="45" t="s">
        <v>85</v>
      </c>
      <c r="B412" s="46">
        <v>50824079</v>
      </c>
      <c r="C412" s="46">
        <v>50824079</v>
      </c>
      <c r="D412" s="47">
        <v>0</v>
      </c>
      <c r="E412" s="46">
        <v>8519344</v>
      </c>
      <c r="F412" s="46">
        <v>8519344</v>
      </c>
      <c r="G412" s="46">
        <v>42304735</v>
      </c>
      <c r="H412" s="47">
        <v>0</v>
      </c>
      <c r="I412" s="48" t="s">
        <v>149</v>
      </c>
      <c r="J412" s="48" t="s">
        <v>84</v>
      </c>
    </row>
    <row r="413" spans="1:10" ht="13.15" x14ac:dyDescent="0.4">
      <c r="A413" s="45" t="s">
        <v>86</v>
      </c>
      <c r="B413" s="46">
        <v>9379568492</v>
      </c>
      <c r="C413" s="46">
        <v>9379568492</v>
      </c>
      <c r="D413" s="47">
        <v>0</v>
      </c>
      <c r="E413" s="46">
        <v>1480260267</v>
      </c>
      <c r="F413" s="46">
        <v>1480260267</v>
      </c>
      <c r="G413" s="46">
        <v>7899308225</v>
      </c>
      <c r="H413" s="47">
        <v>0</v>
      </c>
      <c r="I413" s="48" t="s">
        <v>149</v>
      </c>
      <c r="J413" s="48" t="s">
        <v>84</v>
      </c>
    </row>
    <row r="414" spans="1:10" ht="13.15" x14ac:dyDescent="0.4">
      <c r="A414" s="45" t="s">
        <v>87</v>
      </c>
      <c r="B414" s="46">
        <v>51157813</v>
      </c>
      <c r="C414" s="46">
        <v>51157813</v>
      </c>
      <c r="D414" s="47">
        <v>0</v>
      </c>
      <c r="E414" s="47">
        <v>0</v>
      </c>
      <c r="F414" s="47">
        <v>0</v>
      </c>
      <c r="G414" s="46">
        <v>51157813</v>
      </c>
      <c r="H414" s="47">
        <v>0</v>
      </c>
      <c r="I414" s="48" t="s">
        <v>149</v>
      </c>
      <c r="J414" s="48" t="s">
        <v>84</v>
      </c>
    </row>
    <row r="415" spans="1:10" ht="13.15" x14ac:dyDescent="0.4">
      <c r="A415" s="45" t="s">
        <v>88</v>
      </c>
      <c r="B415" s="46">
        <v>904489646</v>
      </c>
      <c r="C415" s="46">
        <v>904489646</v>
      </c>
      <c r="D415" s="47">
        <v>0</v>
      </c>
      <c r="E415" s="46">
        <v>107759966</v>
      </c>
      <c r="F415" s="46">
        <v>107759966</v>
      </c>
      <c r="G415" s="46">
        <v>796729680</v>
      </c>
      <c r="H415" s="47">
        <v>0</v>
      </c>
      <c r="I415" s="48" t="s">
        <v>149</v>
      </c>
      <c r="J415" s="48" t="s">
        <v>84</v>
      </c>
    </row>
    <row r="416" spans="1:10" ht="13.15" x14ac:dyDescent="0.4">
      <c r="A416" s="45" t="s">
        <v>89</v>
      </c>
      <c r="B416" s="46">
        <v>22796596</v>
      </c>
      <c r="C416" s="46">
        <v>22796596</v>
      </c>
      <c r="D416" s="47">
        <v>0</v>
      </c>
      <c r="E416" s="46">
        <v>3779387</v>
      </c>
      <c r="F416" s="46">
        <v>3779387</v>
      </c>
      <c r="G416" s="46">
        <v>19017209</v>
      </c>
      <c r="H416" s="47">
        <v>0</v>
      </c>
      <c r="I416" s="48" t="s">
        <v>149</v>
      </c>
      <c r="J416" s="48" t="s">
        <v>84</v>
      </c>
    </row>
    <row r="417" spans="1:10" ht="13.15" x14ac:dyDescent="0.4">
      <c r="A417" s="45" t="s">
        <v>90</v>
      </c>
      <c r="B417" s="46">
        <v>1105883447</v>
      </c>
      <c r="C417" s="46">
        <v>1105883447</v>
      </c>
      <c r="D417" s="47">
        <v>0</v>
      </c>
      <c r="E417" s="46">
        <v>185310735</v>
      </c>
      <c r="F417" s="46">
        <v>185310735</v>
      </c>
      <c r="G417" s="46">
        <v>920572712</v>
      </c>
      <c r="H417" s="47">
        <v>0</v>
      </c>
      <c r="I417" s="48" t="s">
        <v>149</v>
      </c>
      <c r="J417" s="48" t="s">
        <v>84</v>
      </c>
    </row>
    <row r="418" spans="1:10" ht="13.15" x14ac:dyDescent="0.4">
      <c r="A418" s="45" t="s">
        <v>91</v>
      </c>
      <c r="B418" s="46">
        <v>2200336</v>
      </c>
      <c r="C418" s="46">
        <v>2200336</v>
      </c>
      <c r="D418" s="47">
        <v>0</v>
      </c>
      <c r="E418" s="47">
        <v>0</v>
      </c>
      <c r="F418" s="47">
        <v>0</v>
      </c>
      <c r="G418" s="46">
        <v>2200336</v>
      </c>
      <c r="H418" s="47">
        <v>0</v>
      </c>
      <c r="I418" s="48" t="s">
        <v>149</v>
      </c>
      <c r="J418" s="48" t="s">
        <v>84</v>
      </c>
    </row>
    <row r="419" spans="1:10" ht="13.15" x14ac:dyDescent="0.4">
      <c r="A419" s="49" t="s">
        <v>150</v>
      </c>
      <c r="B419" s="50">
        <v>26293508870</v>
      </c>
      <c r="C419" s="50">
        <v>26293508870</v>
      </c>
      <c r="D419" s="50">
        <v>927154015</v>
      </c>
      <c r="E419" s="50">
        <v>3465530767</v>
      </c>
      <c r="F419" s="50">
        <v>4392684782</v>
      </c>
      <c r="G419" s="50">
        <v>21900824088</v>
      </c>
      <c r="H419" s="52">
        <v>0</v>
      </c>
      <c r="I419" s="51" t="s">
        <v>149</v>
      </c>
      <c r="J419" s="51" t="e">
        <v>#N/A</v>
      </c>
    </row>
    <row r="420" spans="1:10" ht="13.15" x14ac:dyDescent="0.4">
      <c r="A420" s="45" t="s">
        <v>59</v>
      </c>
      <c r="B420" s="46">
        <v>1871950730</v>
      </c>
      <c r="C420" s="46">
        <v>1871950730</v>
      </c>
      <c r="D420" s="46">
        <v>404935052</v>
      </c>
      <c r="E420" s="46">
        <v>78896778</v>
      </c>
      <c r="F420" s="46">
        <v>483831830</v>
      </c>
      <c r="G420" s="46">
        <v>1388118900</v>
      </c>
      <c r="H420" s="47">
        <v>0</v>
      </c>
      <c r="I420" s="48" t="s">
        <v>151</v>
      </c>
      <c r="J420" s="48" t="s">
        <v>9</v>
      </c>
    </row>
    <row r="421" spans="1:10" ht="13.15" x14ac:dyDescent="0.4">
      <c r="A421" s="45" t="s">
        <v>152</v>
      </c>
      <c r="B421" s="53"/>
      <c r="C421" s="53"/>
      <c r="D421" s="53"/>
      <c r="E421" s="53"/>
      <c r="F421" s="53"/>
      <c r="G421" s="53"/>
      <c r="H421" s="53"/>
      <c r="I421" s="48" t="s">
        <v>151</v>
      </c>
      <c r="J421" s="48" t="s">
        <v>84</v>
      </c>
    </row>
    <row r="422" spans="1:10" ht="13.15" x14ac:dyDescent="0.4">
      <c r="A422" s="45" t="s">
        <v>153</v>
      </c>
      <c r="B422" s="53"/>
      <c r="C422" s="53"/>
      <c r="D422" s="53"/>
      <c r="E422" s="53"/>
      <c r="F422" s="53"/>
      <c r="G422" s="53"/>
      <c r="H422" s="53"/>
      <c r="I422" s="48" t="s">
        <v>151</v>
      </c>
      <c r="J422" s="48" t="s">
        <v>84</v>
      </c>
    </row>
    <row r="423" spans="1:10" ht="13.15" x14ac:dyDescent="0.4">
      <c r="A423" s="45" t="s">
        <v>154</v>
      </c>
      <c r="B423" s="53"/>
      <c r="C423" s="53"/>
      <c r="D423" s="53"/>
      <c r="E423" s="53"/>
      <c r="F423" s="53"/>
      <c r="G423" s="53"/>
      <c r="H423" s="53"/>
      <c r="I423" s="48" t="s">
        <v>151</v>
      </c>
      <c r="J423" s="48" t="s">
        <v>84</v>
      </c>
    </row>
    <row r="424" spans="1:10" ht="13.15" x14ac:dyDescent="0.4">
      <c r="A424" s="45" t="s">
        <v>155</v>
      </c>
      <c r="B424" s="53"/>
      <c r="C424" s="53"/>
      <c r="D424" s="53"/>
      <c r="E424" s="53"/>
      <c r="F424" s="53"/>
      <c r="G424" s="53"/>
      <c r="H424" s="53"/>
      <c r="I424" s="48" t="s">
        <v>151</v>
      </c>
      <c r="J424" s="48" t="s">
        <v>84</v>
      </c>
    </row>
    <row r="425" spans="1:10" ht="13.15" x14ac:dyDescent="0.4">
      <c r="A425" s="45" t="s">
        <v>156</v>
      </c>
      <c r="B425" s="53"/>
      <c r="C425" s="53"/>
      <c r="D425" s="53"/>
      <c r="E425" s="53"/>
      <c r="F425" s="53"/>
      <c r="G425" s="53"/>
      <c r="H425" s="53"/>
      <c r="I425" s="48" t="s">
        <v>151</v>
      </c>
      <c r="J425" s="48" t="s">
        <v>84</v>
      </c>
    </row>
    <row r="426" spans="1:10" ht="13.15" x14ac:dyDescent="0.4">
      <c r="A426" s="45" t="s">
        <v>157</v>
      </c>
      <c r="B426" s="53"/>
      <c r="C426" s="53"/>
      <c r="D426" s="53"/>
      <c r="E426" s="53"/>
      <c r="F426" s="53"/>
      <c r="G426" s="53"/>
      <c r="H426" s="53"/>
      <c r="I426" s="48" t="s">
        <v>151</v>
      </c>
      <c r="J426" s="48" t="s">
        <v>84</v>
      </c>
    </row>
    <row r="427" spans="1:10" ht="13.15" x14ac:dyDescent="0.4">
      <c r="A427" s="45" t="s">
        <v>158</v>
      </c>
      <c r="B427" s="53"/>
      <c r="C427" s="53"/>
      <c r="D427" s="53"/>
      <c r="E427" s="53"/>
      <c r="F427" s="53"/>
      <c r="G427" s="53"/>
      <c r="H427" s="53"/>
      <c r="I427" s="48" t="s">
        <v>151</v>
      </c>
      <c r="J427" s="48" t="s">
        <v>84</v>
      </c>
    </row>
    <row r="428" spans="1:10" ht="13.15" x14ac:dyDescent="0.4">
      <c r="A428" s="45" t="s">
        <v>159</v>
      </c>
      <c r="B428" s="53"/>
      <c r="C428" s="53"/>
      <c r="D428" s="53"/>
      <c r="E428" s="53"/>
      <c r="F428" s="53"/>
      <c r="G428" s="53"/>
      <c r="H428" s="53"/>
      <c r="I428" s="48" t="s">
        <v>151</v>
      </c>
      <c r="J428" s="48" t="s">
        <v>84</v>
      </c>
    </row>
    <row r="429" spans="1:10" ht="13.15" x14ac:dyDescent="0.4">
      <c r="A429" s="45" t="s">
        <v>160</v>
      </c>
      <c r="B429" s="53"/>
      <c r="C429" s="53"/>
      <c r="D429" s="53"/>
      <c r="E429" s="53"/>
      <c r="F429" s="53"/>
      <c r="G429" s="53"/>
      <c r="H429" s="53"/>
      <c r="I429" s="48" t="s">
        <v>151</v>
      </c>
      <c r="J429" s="48" t="s">
        <v>84</v>
      </c>
    </row>
    <row r="430" spans="1:10" ht="13.15" x14ac:dyDescent="0.4">
      <c r="A430" s="45" t="s">
        <v>161</v>
      </c>
      <c r="B430" s="53"/>
      <c r="C430" s="53"/>
      <c r="D430" s="53"/>
      <c r="E430" s="53"/>
      <c r="F430" s="53"/>
      <c r="G430" s="53"/>
      <c r="H430" s="53"/>
      <c r="I430" s="48" t="s">
        <v>151</v>
      </c>
      <c r="J430" s="48" t="s">
        <v>84</v>
      </c>
    </row>
    <row r="431" spans="1:10" ht="13.15" x14ac:dyDescent="0.4">
      <c r="A431" s="45" t="s">
        <v>162</v>
      </c>
      <c r="B431" s="53"/>
      <c r="C431" s="53"/>
      <c r="D431" s="53"/>
      <c r="E431" s="53"/>
      <c r="F431" s="53"/>
      <c r="G431" s="53"/>
      <c r="H431" s="53"/>
      <c r="I431" s="48" t="s">
        <v>151</v>
      </c>
      <c r="J431" s="48" t="s">
        <v>84</v>
      </c>
    </row>
    <row r="432" spans="1:10" ht="13.15" x14ac:dyDescent="0.4">
      <c r="A432" s="45" t="s">
        <v>163</v>
      </c>
      <c r="B432" s="53"/>
      <c r="C432" s="53"/>
      <c r="D432" s="53"/>
      <c r="E432" s="53"/>
      <c r="F432" s="53"/>
      <c r="G432" s="53"/>
      <c r="H432" s="53"/>
      <c r="I432" s="48" t="s">
        <v>151</v>
      </c>
      <c r="J432" s="48" t="s">
        <v>84</v>
      </c>
    </row>
    <row r="433" spans="1:10" ht="13.15" x14ac:dyDescent="0.4">
      <c r="A433" s="45" t="s">
        <v>164</v>
      </c>
      <c r="B433" s="53"/>
      <c r="C433" s="53"/>
      <c r="D433" s="53"/>
      <c r="E433" s="53"/>
      <c r="F433" s="53"/>
      <c r="G433" s="53"/>
      <c r="H433" s="53"/>
      <c r="I433" s="48" t="s">
        <v>151</v>
      </c>
      <c r="J433" s="48" t="s">
        <v>84</v>
      </c>
    </row>
    <row r="434" spans="1:10" ht="13.15" x14ac:dyDescent="0.4">
      <c r="A434" s="45" t="s">
        <v>165</v>
      </c>
      <c r="B434" s="53"/>
      <c r="C434" s="53"/>
      <c r="D434" s="53"/>
      <c r="E434" s="53"/>
      <c r="F434" s="53"/>
      <c r="G434" s="53"/>
      <c r="H434" s="53"/>
      <c r="I434" s="48" t="s">
        <v>151</v>
      </c>
      <c r="J434" s="48" t="s">
        <v>84</v>
      </c>
    </row>
    <row r="435" spans="1:10" ht="13.15" x14ac:dyDescent="0.4">
      <c r="A435" s="45" t="s">
        <v>166</v>
      </c>
      <c r="B435" s="53"/>
      <c r="C435" s="53"/>
      <c r="D435" s="53"/>
      <c r="E435" s="53"/>
      <c r="F435" s="53"/>
      <c r="G435" s="53"/>
      <c r="H435" s="53"/>
      <c r="I435" s="48" t="s">
        <v>151</v>
      </c>
      <c r="J435" s="48" t="s">
        <v>84</v>
      </c>
    </row>
    <row r="436" spans="1:10" ht="13.15" x14ac:dyDescent="0.4">
      <c r="A436" s="45" t="s">
        <v>167</v>
      </c>
      <c r="B436" s="53"/>
      <c r="C436" s="53"/>
      <c r="D436" s="53"/>
      <c r="E436" s="53"/>
      <c r="F436" s="53"/>
      <c r="G436" s="53"/>
      <c r="H436" s="53"/>
      <c r="I436" s="48" t="s">
        <v>151</v>
      </c>
      <c r="J436" s="48" t="s">
        <v>84</v>
      </c>
    </row>
    <row r="437" spans="1:10" ht="13.15" x14ac:dyDescent="0.4">
      <c r="A437" s="45" t="s">
        <v>102</v>
      </c>
      <c r="B437" s="53"/>
      <c r="C437" s="53"/>
      <c r="D437" s="53"/>
      <c r="E437" s="53"/>
      <c r="F437" s="53"/>
      <c r="G437" s="53"/>
      <c r="H437" s="53"/>
      <c r="I437" s="48" t="s">
        <v>151</v>
      </c>
      <c r="J437" s="48" t="s">
        <v>9</v>
      </c>
    </row>
    <row r="438" spans="1:10" ht="13.15" x14ac:dyDescent="0.4">
      <c r="A438" s="45" t="s">
        <v>64</v>
      </c>
      <c r="B438" s="53"/>
      <c r="C438" s="53"/>
      <c r="D438" s="53"/>
      <c r="E438" s="53"/>
      <c r="F438" s="53"/>
      <c r="G438" s="53"/>
      <c r="H438" s="53"/>
      <c r="I438" s="48" t="s">
        <v>151</v>
      </c>
      <c r="J438" s="48" t="s">
        <v>9</v>
      </c>
    </row>
    <row r="439" spans="1:10" ht="13.15" x14ac:dyDescent="0.4">
      <c r="A439" s="45" t="s">
        <v>66</v>
      </c>
      <c r="B439" s="53"/>
      <c r="C439" s="53"/>
      <c r="D439" s="53"/>
      <c r="E439" s="53"/>
      <c r="F439" s="53"/>
      <c r="G439" s="53"/>
      <c r="H439" s="53"/>
      <c r="I439" s="48" t="s">
        <v>151</v>
      </c>
      <c r="J439" s="48" t="s">
        <v>9</v>
      </c>
    </row>
    <row r="440" spans="1:10" ht="13.15" x14ac:dyDescent="0.4">
      <c r="A440" s="45" t="s">
        <v>67</v>
      </c>
      <c r="B440" s="53"/>
      <c r="C440" s="53"/>
      <c r="D440" s="53"/>
      <c r="E440" s="53"/>
      <c r="F440" s="53"/>
      <c r="G440" s="53"/>
      <c r="H440" s="53"/>
      <c r="I440" s="48" t="s">
        <v>151</v>
      </c>
      <c r="J440" s="48" t="s">
        <v>9</v>
      </c>
    </row>
    <row r="441" spans="1:10" ht="13.15" x14ac:dyDescent="0.4">
      <c r="A441" s="45" t="s">
        <v>106</v>
      </c>
      <c r="B441" s="53"/>
      <c r="C441" s="53"/>
      <c r="D441" s="53"/>
      <c r="E441" s="53"/>
      <c r="F441" s="53"/>
      <c r="G441" s="53"/>
      <c r="H441" s="53"/>
      <c r="I441" s="48" t="s">
        <v>151</v>
      </c>
      <c r="J441" s="48" t="s">
        <v>9</v>
      </c>
    </row>
    <row r="442" spans="1:10" ht="13.15" x14ac:dyDescent="0.4">
      <c r="A442" s="45" t="s">
        <v>168</v>
      </c>
      <c r="B442" s="53"/>
      <c r="C442" s="53"/>
      <c r="D442" s="53"/>
      <c r="E442" s="53"/>
      <c r="F442" s="53"/>
      <c r="G442" s="53"/>
      <c r="H442" s="53"/>
      <c r="I442" s="48" t="s">
        <v>151</v>
      </c>
      <c r="J442" s="48" t="s">
        <v>169</v>
      </c>
    </row>
    <row r="443" spans="1:10" ht="13.15" x14ac:dyDescent="0.4">
      <c r="A443" s="45" t="s">
        <v>170</v>
      </c>
      <c r="B443" s="53"/>
      <c r="C443" s="53"/>
      <c r="D443" s="53"/>
      <c r="E443" s="53"/>
      <c r="F443" s="53"/>
      <c r="G443" s="53"/>
      <c r="H443" s="53"/>
      <c r="I443" s="48" t="s">
        <v>151</v>
      </c>
      <c r="J443" s="48" t="s">
        <v>84</v>
      </c>
    </row>
    <row r="444" spans="1:10" ht="13.15" x14ac:dyDescent="0.4">
      <c r="A444" s="45" t="s">
        <v>73</v>
      </c>
      <c r="B444" s="46">
        <v>60000000</v>
      </c>
      <c r="C444" s="46">
        <v>60000000</v>
      </c>
      <c r="D444" s="46">
        <v>9000000</v>
      </c>
      <c r="E444" s="47">
        <v>0</v>
      </c>
      <c r="F444" s="46">
        <v>9000000</v>
      </c>
      <c r="G444" s="46">
        <v>51000000</v>
      </c>
      <c r="H444" s="47">
        <v>0</v>
      </c>
      <c r="I444" s="48" t="s">
        <v>151</v>
      </c>
      <c r="J444" s="48" t="s">
        <v>23</v>
      </c>
    </row>
    <row r="445" spans="1:10" ht="13.15" x14ac:dyDescent="0.4">
      <c r="A445" s="45" t="s">
        <v>111</v>
      </c>
      <c r="B445" s="46">
        <v>45150000</v>
      </c>
      <c r="C445" s="46">
        <v>45150000</v>
      </c>
      <c r="D445" s="46">
        <v>6423200</v>
      </c>
      <c r="E445" s="46">
        <v>6119400</v>
      </c>
      <c r="F445" s="46">
        <v>12542600</v>
      </c>
      <c r="G445" s="46">
        <v>32607400</v>
      </c>
      <c r="H445" s="47">
        <v>0</v>
      </c>
      <c r="I445" s="48" t="s">
        <v>151</v>
      </c>
      <c r="J445" s="48" t="s">
        <v>22</v>
      </c>
    </row>
    <row r="446" spans="1:10" ht="13.15" x14ac:dyDescent="0.4">
      <c r="A446" s="45" t="s">
        <v>74</v>
      </c>
      <c r="B446" s="53"/>
      <c r="C446" s="53"/>
      <c r="D446" s="53"/>
      <c r="E446" s="53"/>
      <c r="F446" s="53"/>
      <c r="G446" s="53"/>
      <c r="H446" s="53"/>
      <c r="I446" s="48" t="s">
        <v>151</v>
      </c>
      <c r="J446" s="48" t="s">
        <v>24</v>
      </c>
    </row>
    <row r="447" spans="1:10" ht="13.15" x14ac:dyDescent="0.4">
      <c r="A447" s="45" t="s">
        <v>171</v>
      </c>
      <c r="B447" s="53"/>
      <c r="C447" s="53"/>
      <c r="D447" s="53"/>
      <c r="E447" s="53"/>
      <c r="F447" s="53"/>
      <c r="G447" s="53"/>
      <c r="H447" s="53"/>
      <c r="I447" s="48" t="s">
        <v>151</v>
      </c>
      <c r="J447" s="48" t="s">
        <v>24</v>
      </c>
    </row>
    <row r="448" spans="1:10" ht="13.15" x14ac:dyDescent="0.4">
      <c r="A448" s="45" t="s">
        <v>172</v>
      </c>
      <c r="B448" s="53"/>
      <c r="C448" s="53"/>
      <c r="D448" s="53"/>
      <c r="E448" s="53"/>
      <c r="F448" s="53"/>
      <c r="G448" s="53"/>
      <c r="H448" s="53"/>
      <c r="I448" s="48" t="s">
        <v>151</v>
      </c>
      <c r="J448" s="48" t="s">
        <v>24</v>
      </c>
    </row>
    <row r="449" spans="1:10" ht="13.15" x14ac:dyDescent="0.4">
      <c r="A449" s="45" t="s">
        <v>173</v>
      </c>
      <c r="B449" s="53"/>
      <c r="C449" s="53"/>
      <c r="D449" s="53"/>
      <c r="E449" s="53"/>
      <c r="F449" s="53"/>
      <c r="G449" s="53"/>
      <c r="H449" s="53"/>
      <c r="I449" s="48" t="s">
        <v>151</v>
      </c>
      <c r="J449" s="48" t="s">
        <v>24</v>
      </c>
    </row>
    <row r="450" spans="1:10" ht="13.15" x14ac:dyDescent="0.4">
      <c r="A450" s="45" t="s">
        <v>174</v>
      </c>
      <c r="B450" s="53"/>
      <c r="C450" s="53"/>
      <c r="D450" s="53"/>
      <c r="E450" s="53"/>
      <c r="F450" s="53"/>
      <c r="G450" s="53"/>
      <c r="H450" s="53"/>
      <c r="I450" s="48" t="s">
        <v>151</v>
      </c>
      <c r="J450" s="48" t="s">
        <v>24</v>
      </c>
    </row>
    <row r="451" spans="1:10" ht="13.15" x14ac:dyDescent="0.4">
      <c r="A451" s="45" t="s">
        <v>175</v>
      </c>
      <c r="B451" s="53"/>
      <c r="C451" s="53"/>
      <c r="D451" s="53"/>
      <c r="E451" s="53"/>
      <c r="F451" s="53"/>
      <c r="G451" s="53"/>
      <c r="H451" s="53"/>
      <c r="I451" s="48" t="s">
        <v>151</v>
      </c>
      <c r="J451" s="48" t="s">
        <v>84</v>
      </c>
    </row>
    <row r="452" spans="1:10" ht="13.15" x14ac:dyDescent="0.4">
      <c r="A452" s="45" t="s">
        <v>76</v>
      </c>
      <c r="B452" s="46">
        <v>372660000</v>
      </c>
      <c r="C452" s="46">
        <v>372660000</v>
      </c>
      <c r="D452" s="46">
        <v>8912700</v>
      </c>
      <c r="E452" s="46">
        <v>5604650</v>
      </c>
      <c r="F452" s="46">
        <v>14517350</v>
      </c>
      <c r="G452" s="46">
        <v>358142650</v>
      </c>
      <c r="H452" s="47">
        <v>0</v>
      </c>
      <c r="I452" s="48" t="s">
        <v>151</v>
      </c>
      <c r="J452" s="48" t="s">
        <v>25</v>
      </c>
    </row>
    <row r="453" spans="1:10" ht="13.15" x14ac:dyDescent="0.4">
      <c r="A453" s="45" t="s">
        <v>77</v>
      </c>
      <c r="B453" s="53"/>
      <c r="C453" s="53"/>
      <c r="D453" s="53"/>
      <c r="E453" s="53"/>
      <c r="F453" s="53"/>
      <c r="G453" s="53"/>
      <c r="H453" s="53"/>
      <c r="I453" s="48" t="s">
        <v>151</v>
      </c>
      <c r="J453" s="48" t="s">
        <v>25</v>
      </c>
    </row>
    <row r="454" spans="1:10" ht="13.15" x14ac:dyDescent="0.4">
      <c r="A454" s="45" t="s">
        <v>78</v>
      </c>
      <c r="B454" s="53"/>
      <c r="C454" s="53"/>
      <c r="D454" s="53"/>
      <c r="E454" s="53"/>
      <c r="F454" s="53"/>
      <c r="G454" s="53"/>
      <c r="H454" s="53"/>
      <c r="I454" s="48" t="s">
        <v>151</v>
      </c>
      <c r="J454" s="48" t="s">
        <v>25</v>
      </c>
    </row>
    <row r="455" spans="1:10" ht="13.15" x14ac:dyDescent="0.4">
      <c r="A455" s="45" t="s">
        <v>79</v>
      </c>
      <c r="B455" s="53"/>
      <c r="C455" s="53"/>
      <c r="D455" s="53"/>
      <c r="E455" s="53"/>
      <c r="F455" s="53"/>
      <c r="G455" s="53"/>
      <c r="H455" s="53"/>
      <c r="I455" s="48" t="s">
        <v>151</v>
      </c>
      <c r="J455" s="48" t="s">
        <v>25</v>
      </c>
    </row>
    <row r="456" spans="1:10" ht="13.15" x14ac:dyDescent="0.4">
      <c r="A456" s="45" t="s">
        <v>81</v>
      </c>
      <c r="B456" s="53"/>
      <c r="C456" s="53"/>
      <c r="D456" s="53"/>
      <c r="E456" s="53"/>
      <c r="F456" s="53"/>
      <c r="G456" s="53"/>
      <c r="H456" s="53"/>
      <c r="I456" s="48" t="s">
        <v>151</v>
      </c>
      <c r="J456" s="48" t="s">
        <v>25</v>
      </c>
    </row>
    <row r="457" spans="1:10" ht="13.15" x14ac:dyDescent="0.4">
      <c r="A457" s="45" t="s">
        <v>137</v>
      </c>
      <c r="B457" s="53"/>
      <c r="C457" s="53"/>
      <c r="D457" s="53"/>
      <c r="E457" s="53"/>
      <c r="F457" s="53"/>
      <c r="G457" s="53"/>
      <c r="H457" s="53"/>
      <c r="I457" s="48" t="s">
        <v>151</v>
      </c>
      <c r="J457" s="48" t="s">
        <v>25</v>
      </c>
    </row>
    <row r="458" spans="1:10" ht="13.15" x14ac:dyDescent="0.4">
      <c r="A458" s="45" t="s">
        <v>82</v>
      </c>
      <c r="B458" s="53"/>
      <c r="C458" s="53"/>
      <c r="D458" s="53"/>
      <c r="E458" s="53"/>
      <c r="F458" s="53"/>
      <c r="G458" s="53"/>
      <c r="H458" s="53"/>
      <c r="I458" s="48" t="s">
        <v>151</v>
      </c>
      <c r="J458" s="48" t="s">
        <v>25</v>
      </c>
    </row>
    <row r="459" spans="1:10" ht="13.15" x14ac:dyDescent="0.4">
      <c r="A459" s="45" t="s">
        <v>128</v>
      </c>
      <c r="B459" s="53"/>
      <c r="C459" s="53"/>
      <c r="D459" s="53"/>
      <c r="E459" s="53"/>
      <c r="F459" s="53"/>
      <c r="G459" s="53"/>
      <c r="H459" s="53"/>
      <c r="I459" s="48" t="s">
        <v>151</v>
      </c>
      <c r="J459" s="48" t="s">
        <v>84</v>
      </c>
    </row>
    <row r="460" spans="1:10" ht="13.15" x14ac:dyDescent="0.4">
      <c r="A460" s="45" t="s">
        <v>113</v>
      </c>
      <c r="B460" s="53"/>
      <c r="C460" s="53"/>
      <c r="D460" s="53"/>
      <c r="E460" s="53"/>
      <c r="F460" s="53"/>
      <c r="G460" s="53"/>
      <c r="H460" s="53"/>
      <c r="I460" s="48" t="s">
        <v>151</v>
      </c>
      <c r="J460" s="48" t="s">
        <v>84</v>
      </c>
    </row>
    <row r="461" spans="1:10" ht="13.15" x14ac:dyDescent="0.4">
      <c r="A461" s="45" t="s">
        <v>176</v>
      </c>
      <c r="B461" s="53"/>
      <c r="C461" s="53"/>
      <c r="D461" s="53"/>
      <c r="E461" s="53"/>
      <c r="F461" s="53"/>
      <c r="G461" s="53"/>
      <c r="H461" s="53"/>
      <c r="I461" s="48" t="s">
        <v>151</v>
      </c>
      <c r="J461" s="48" t="s">
        <v>84</v>
      </c>
    </row>
    <row r="462" spans="1:10" ht="13.15" x14ac:dyDescent="0.4">
      <c r="A462" s="45" t="s">
        <v>129</v>
      </c>
      <c r="B462" s="53"/>
      <c r="C462" s="53"/>
      <c r="D462" s="53"/>
      <c r="E462" s="53"/>
      <c r="F462" s="53"/>
      <c r="G462" s="53"/>
      <c r="H462" s="53"/>
      <c r="I462" s="48" t="s">
        <v>151</v>
      </c>
      <c r="J462" s="48" t="s">
        <v>84</v>
      </c>
    </row>
    <row r="463" spans="1:10" ht="13.15" x14ac:dyDescent="0.4">
      <c r="A463" s="45" t="s">
        <v>177</v>
      </c>
      <c r="B463" s="53"/>
      <c r="C463" s="53"/>
      <c r="D463" s="53"/>
      <c r="E463" s="53"/>
      <c r="F463" s="53"/>
      <c r="G463" s="53"/>
      <c r="H463" s="53"/>
      <c r="I463" s="48" t="s">
        <v>151</v>
      </c>
      <c r="J463" s="48" t="s">
        <v>84</v>
      </c>
    </row>
    <row r="464" spans="1:10" ht="13.15" x14ac:dyDescent="0.4">
      <c r="A464" s="45" t="s">
        <v>83</v>
      </c>
      <c r="B464" s="53"/>
      <c r="C464" s="53"/>
      <c r="D464" s="53"/>
      <c r="E464" s="53"/>
      <c r="F464" s="53"/>
      <c r="G464" s="53"/>
      <c r="H464" s="53"/>
      <c r="I464" s="48" t="s">
        <v>151</v>
      </c>
      <c r="J464" s="48" t="s">
        <v>84</v>
      </c>
    </row>
    <row r="465" spans="1:10" ht="13.15" x14ac:dyDescent="0.4">
      <c r="A465" s="45" t="s">
        <v>85</v>
      </c>
      <c r="B465" s="53"/>
      <c r="C465" s="53"/>
      <c r="D465" s="53"/>
      <c r="E465" s="53"/>
      <c r="F465" s="53"/>
      <c r="G465" s="53"/>
      <c r="H465" s="53"/>
      <c r="I465" s="48" t="s">
        <v>151</v>
      </c>
      <c r="J465" s="48" t="s">
        <v>84</v>
      </c>
    </row>
    <row r="466" spans="1:10" ht="13.15" x14ac:dyDescent="0.4">
      <c r="A466" s="45" t="s">
        <v>86</v>
      </c>
      <c r="B466" s="53"/>
      <c r="C466" s="53"/>
      <c r="D466" s="53"/>
      <c r="E466" s="53"/>
      <c r="F466" s="53"/>
      <c r="G466" s="53"/>
      <c r="H466" s="53"/>
      <c r="I466" s="48" t="s">
        <v>151</v>
      </c>
      <c r="J466" s="48" t="s">
        <v>84</v>
      </c>
    </row>
    <row r="467" spans="1:10" ht="13.15" x14ac:dyDescent="0.4">
      <c r="A467" s="45" t="s">
        <v>87</v>
      </c>
      <c r="B467" s="53"/>
      <c r="C467" s="53"/>
      <c r="D467" s="53"/>
      <c r="E467" s="53"/>
      <c r="F467" s="53"/>
      <c r="G467" s="53"/>
      <c r="H467" s="53"/>
      <c r="I467" s="48" t="s">
        <v>151</v>
      </c>
      <c r="J467" s="48" t="s">
        <v>84</v>
      </c>
    </row>
    <row r="468" spans="1:10" ht="13.15" x14ac:dyDescent="0.4">
      <c r="A468" s="45" t="s">
        <v>88</v>
      </c>
      <c r="B468" s="53"/>
      <c r="C468" s="53"/>
      <c r="D468" s="53"/>
      <c r="E468" s="53"/>
      <c r="F468" s="53"/>
      <c r="G468" s="53"/>
      <c r="H468" s="53"/>
      <c r="I468" s="48" t="s">
        <v>151</v>
      </c>
      <c r="J468" s="48" t="s">
        <v>84</v>
      </c>
    </row>
    <row r="469" spans="1:10" ht="13.15" x14ac:dyDescent="0.4">
      <c r="A469" s="45" t="s">
        <v>90</v>
      </c>
      <c r="B469" s="53"/>
      <c r="C469" s="53"/>
      <c r="D469" s="53"/>
      <c r="E469" s="53"/>
      <c r="F469" s="53"/>
      <c r="G469" s="53"/>
      <c r="H469" s="53"/>
      <c r="I469" s="48" t="s">
        <v>151</v>
      </c>
      <c r="J469" s="48" t="s">
        <v>84</v>
      </c>
    </row>
    <row r="470" spans="1:10" ht="13.15" x14ac:dyDescent="0.4">
      <c r="A470" s="45" t="s">
        <v>91</v>
      </c>
      <c r="B470" s="53"/>
      <c r="C470" s="53"/>
      <c r="D470" s="53"/>
      <c r="E470" s="53"/>
      <c r="F470" s="53"/>
      <c r="G470" s="53"/>
      <c r="H470" s="53"/>
      <c r="I470" s="48" t="s">
        <v>151</v>
      </c>
      <c r="J470" s="48" t="s">
        <v>84</v>
      </c>
    </row>
    <row r="471" spans="1:10" ht="13.15" x14ac:dyDescent="0.4">
      <c r="A471" s="45" t="s">
        <v>95</v>
      </c>
      <c r="B471" s="53"/>
      <c r="C471" s="53"/>
      <c r="D471" s="53"/>
      <c r="E471" s="53"/>
      <c r="F471" s="53"/>
      <c r="G471" s="53"/>
      <c r="H471" s="53"/>
      <c r="I471" s="48" t="s">
        <v>151</v>
      </c>
      <c r="J471" s="48" t="s">
        <v>84</v>
      </c>
    </row>
    <row r="472" spans="1:10" ht="13.15" x14ac:dyDescent="0.4">
      <c r="A472" s="49" t="s">
        <v>178</v>
      </c>
      <c r="B472" s="50">
        <v>2349760730</v>
      </c>
      <c r="C472" s="50">
        <v>2349760730</v>
      </c>
      <c r="D472" s="50">
        <v>429270952</v>
      </c>
      <c r="E472" s="50">
        <v>90620828</v>
      </c>
      <c r="F472" s="50">
        <v>519891780</v>
      </c>
      <c r="G472" s="50">
        <v>1829868950</v>
      </c>
      <c r="H472" s="52">
        <v>0</v>
      </c>
      <c r="I472" s="51" t="s">
        <v>151</v>
      </c>
      <c r="J472" s="51" t="e">
        <v>#N/A</v>
      </c>
    </row>
    <row r="473" spans="1:10" ht="13.15" x14ac:dyDescent="0.4">
      <c r="A473" s="45" t="s">
        <v>59</v>
      </c>
      <c r="B473" s="46">
        <v>6121242000</v>
      </c>
      <c r="C473" s="46">
        <v>6121242000</v>
      </c>
      <c r="D473" s="46">
        <v>5458456599</v>
      </c>
      <c r="E473" s="47">
        <v>0</v>
      </c>
      <c r="F473" s="46">
        <v>5458456599</v>
      </c>
      <c r="G473" s="46">
        <v>662785401</v>
      </c>
      <c r="H473" s="47">
        <v>0</v>
      </c>
      <c r="I473" s="48" t="s">
        <v>179</v>
      </c>
      <c r="J473" s="48" t="s">
        <v>9</v>
      </c>
    </row>
    <row r="474" spans="1:10" ht="13.15" x14ac:dyDescent="0.4">
      <c r="A474" s="45" t="s">
        <v>62</v>
      </c>
      <c r="B474" s="47">
        <v>0</v>
      </c>
      <c r="C474" s="47">
        <v>0</v>
      </c>
      <c r="D474" s="47">
        <v>0</v>
      </c>
      <c r="E474" s="47">
        <v>0</v>
      </c>
      <c r="F474" s="47">
        <v>0</v>
      </c>
      <c r="G474" s="47">
        <v>0</v>
      </c>
      <c r="H474" s="47">
        <v>0</v>
      </c>
      <c r="I474" s="48" t="s">
        <v>179</v>
      </c>
      <c r="J474" s="48" t="s">
        <v>9</v>
      </c>
    </row>
    <row r="475" spans="1:10" ht="13.15" x14ac:dyDescent="0.4">
      <c r="A475" s="45" t="s">
        <v>63</v>
      </c>
      <c r="B475" s="47">
        <v>0</v>
      </c>
      <c r="C475" s="47">
        <v>0</v>
      </c>
      <c r="D475" s="47">
        <v>0</v>
      </c>
      <c r="E475" s="47">
        <v>0</v>
      </c>
      <c r="F475" s="47">
        <v>0</v>
      </c>
      <c r="G475" s="47">
        <v>0</v>
      </c>
      <c r="H475" s="47">
        <v>0</v>
      </c>
      <c r="I475" s="48" t="s">
        <v>179</v>
      </c>
      <c r="J475" s="48" t="s">
        <v>9</v>
      </c>
    </row>
    <row r="476" spans="1:10" ht="13.15" x14ac:dyDescent="0.4">
      <c r="A476" s="45" t="s">
        <v>65</v>
      </c>
      <c r="B476" s="47">
        <v>0</v>
      </c>
      <c r="C476" s="47">
        <v>0</v>
      </c>
      <c r="D476" s="47">
        <v>0</v>
      </c>
      <c r="E476" s="47">
        <v>0</v>
      </c>
      <c r="F476" s="47">
        <v>0</v>
      </c>
      <c r="G476" s="47">
        <v>0</v>
      </c>
      <c r="H476" s="47">
        <v>0</v>
      </c>
      <c r="I476" s="48" t="s">
        <v>179</v>
      </c>
      <c r="J476" s="48" t="s">
        <v>9</v>
      </c>
    </row>
    <row r="477" spans="1:10" ht="13.15" x14ac:dyDescent="0.4">
      <c r="A477" s="45" t="s">
        <v>66</v>
      </c>
      <c r="B477" s="47">
        <v>0</v>
      </c>
      <c r="C477" s="47">
        <v>0</v>
      </c>
      <c r="D477" s="47">
        <v>0</v>
      </c>
      <c r="E477" s="47">
        <v>0</v>
      </c>
      <c r="F477" s="47">
        <v>0</v>
      </c>
      <c r="G477" s="47">
        <v>0</v>
      </c>
      <c r="H477" s="47">
        <v>0</v>
      </c>
      <c r="I477" s="48" t="s">
        <v>179</v>
      </c>
      <c r="J477" s="48" t="s">
        <v>9</v>
      </c>
    </row>
    <row r="478" spans="1:10" ht="13.15" x14ac:dyDescent="0.4">
      <c r="A478" s="45" t="s">
        <v>67</v>
      </c>
      <c r="B478" s="47">
        <v>0</v>
      </c>
      <c r="C478" s="47">
        <v>0</v>
      </c>
      <c r="D478" s="47">
        <v>0</v>
      </c>
      <c r="E478" s="47">
        <v>0</v>
      </c>
      <c r="F478" s="47">
        <v>0</v>
      </c>
      <c r="G478" s="47">
        <v>0</v>
      </c>
      <c r="H478" s="47">
        <v>0</v>
      </c>
      <c r="I478" s="48" t="s">
        <v>179</v>
      </c>
      <c r="J478" s="48" t="s">
        <v>9</v>
      </c>
    </row>
    <row r="479" spans="1:10" ht="13.15" x14ac:dyDescent="0.4">
      <c r="A479" s="45" t="s">
        <v>168</v>
      </c>
      <c r="B479" s="47">
        <v>0</v>
      </c>
      <c r="C479" s="47">
        <v>0</v>
      </c>
      <c r="D479" s="47">
        <v>0</v>
      </c>
      <c r="E479" s="47">
        <v>0</v>
      </c>
      <c r="F479" s="47">
        <v>0</v>
      </c>
      <c r="G479" s="47">
        <v>0</v>
      </c>
      <c r="H479" s="47">
        <v>0</v>
      </c>
      <c r="I479" s="48" t="s">
        <v>179</v>
      </c>
      <c r="J479" s="48" t="s">
        <v>169</v>
      </c>
    </row>
    <row r="480" spans="1:10" ht="13.15" x14ac:dyDescent="0.4">
      <c r="A480" s="45" t="s">
        <v>180</v>
      </c>
      <c r="B480" s="46">
        <v>1778331214</v>
      </c>
      <c r="C480" s="46">
        <v>1778331214</v>
      </c>
      <c r="D480" s="46">
        <v>1778331214</v>
      </c>
      <c r="E480" s="47">
        <v>0</v>
      </c>
      <c r="F480" s="46">
        <v>1778331214</v>
      </c>
      <c r="G480" s="47">
        <v>0</v>
      </c>
      <c r="H480" s="47">
        <v>0</v>
      </c>
      <c r="I480" s="48" t="s">
        <v>179</v>
      </c>
      <c r="J480" s="48" t="s">
        <v>21</v>
      </c>
    </row>
    <row r="481" spans="1:10" ht="13.15" x14ac:dyDescent="0.4">
      <c r="A481" s="45" t="s">
        <v>107</v>
      </c>
      <c r="B481" s="46">
        <v>2094950000</v>
      </c>
      <c r="C481" s="46">
        <v>2094950000</v>
      </c>
      <c r="D481" s="46">
        <v>897050889</v>
      </c>
      <c r="E481" s="46">
        <v>235941248</v>
      </c>
      <c r="F481" s="46">
        <v>1132992137</v>
      </c>
      <c r="G481" s="46">
        <v>961957863</v>
      </c>
      <c r="H481" s="47">
        <v>0</v>
      </c>
      <c r="I481" s="48" t="s">
        <v>179</v>
      </c>
      <c r="J481" s="48" t="s">
        <v>21</v>
      </c>
    </row>
    <row r="482" spans="1:10" ht="13.15" x14ac:dyDescent="0.4">
      <c r="A482" s="45" t="s">
        <v>181</v>
      </c>
      <c r="B482" s="47">
        <v>0</v>
      </c>
      <c r="C482" s="47">
        <v>0</v>
      </c>
      <c r="D482" s="47">
        <v>0</v>
      </c>
      <c r="E482" s="47">
        <v>0</v>
      </c>
      <c r="F482" s="47">
        <v>0</v>
      </c>
      <c r="G482" s="47">
        <v>0</v>
      </c>
      <c r="H482" s="47">
        <v>0</v>
      </c>
      <c r="I482" s="48" t="s">
        <v>179</v>
      </c>
      <c r="J482" s="48" t="s">
        <v>21</v>
      </c>
    </row>
    <row r="483" spans="1:10" ht="13.15" x14ac:dyDescent="0.4">
      <c r="A483" s="45" t="s">
        <v>108</v>
      </c>
      <c r="B483" s="46">
        <v>840000000</v>
      </c>
      <c r="C483" s="46">
        <v>840000000</v>
      </c>
      <c r="D483" s="46">
        <v>353557050</v>
      </c>
      <c r="E483" s="47">
        <v>0</v>
      </c>
      <c r="F483" s="46">
        <v>353557050</v>
      </c>
      <c r="G483" s="46">
        <v>486442950</v>
      </c>
      <c r="H483" s="47">
        <v>0</v>
      </c>
      <c r="I483" s="48" t="s">
        <v>179</v>
      </c>
      <c r="J483" s="48" t="s">
        <v>21</v>
      </c>
    </row>
    <row r="484" spans="1:10" ht="13.15" x14ac:dyDescent="0.4">
      <c r="A484" s="45" t="s">
        <v>134</v>
      </c>
      <c r="B484" s="46">
        <v>246033000</v>
      </c>
      <c r="C484" s="46">
        <v>246033000</v>
      </c>
      <c r="D484" s="46">
        <v>4400000</v>
      </c>
      <c r="E484" s="46">
        <v>7785500</v>
      </c>
      <c r="F484" s="46">
        <v>12185500</v>
      </c>
      <c r="G484" s="46">
        <v>233847500</v>
      </c>
      <c r="H484" s="47">
        <v>0</v>
      </c>
      <c r="I484" s="48" t="s">
        <v>179</v>
      </c>
      <c r="J484" s="48" t="s">
        <v>21</v>
      </c>
    </row>
    <row r="485" spans="1:10" ht="13.15" x14ac:dyDescent="0.4">
      <c r="A485" s="45" t="s">
        <v>182</v>
      </c>
      <c r="B485" s="46">
        <v>312250000</v>
      </c>
      <c r="C485" s="46">
        <v>312250000</v>
      </c>
      <c r="D485" s="47">
        <v>0</v>
      </c>
      <c r="E485" s="47">
        <v>0</v>
      </c>
      <c r="F485" s="47">
        <v>0</v>
      </c>
      <c r="G485" s="46">
        <v>312250000</v>
      </c>
      <c r="H485" s="47">
        <v>0</v>
      </c>
      <c r="I485" s="48" t="s">
        <v>179</v>
      </c>
      <c r="J485" s="48" t="s">
        <v>21</v>
      </c>
    </row>
    <row r="486" spans="1:10" ht="13.15" x14ac:dyDescent="0.4">
      <c r="A486" s="45" t="s">
        <v>183</v>
      </c>
      <c r="B486" s="46">
        <v>350000000</v>
      </c>
      <c r="C486" s="46">
        <v>350000000</v>
      </c>
      <c r="D486" s="47">
        <v>0</v>
      </c>
      <c r="E486" s="47">
        <v>0</v>
      </c>
      <c r="F486" s="47">
        <v>0</v>
      </c>
      <c r="G486" s="46">
        <v>350000000</v>
      </c>
      <c r="H486" s="47">
        <v>0</v>
      </c>
      <c r="I486" s="48" t="s">
        <v>179</v>
      </c>
      <c r="J486" s="48" t="s">
        <v>21</v>
      </c>
    </row>
    <row r="487" spans="1:10" ht="13.15" x14ac:dyDescent="0.4">
      <c r="A487" s="45" t="s">
        <v>184</v>
      </c>
      <c r="B487" s="47">
        <v>0</v>
      </c>
      <c r="C487" s="47">
        <v>0</v>
      </c>
      <c r="D487" s="47">
        <v>0</v>
      </c>
      <c r="E487" s="47">
        <v>0</v>
      </c>
      <c r="F487" s="47">
        <v>0</v>
      </c>
      <c r="G487" s="47">
        <v>0</v>
      </c>
      <c r="H487" s="47">
        <v>0</v>
      </c>
      <c r="I487" s="48" t="s">
        <v>179</v>
      </c>
      <c r="J487" s="48" t="s">
        <v>21</v>
      </c>
    </row>
    <row r="488" spans="1:10" ht="13.15" x14ac:dyDescent="0.4">
      <c r="A488" s="45" t="s">
        <v>185</v>
      </c>
      <c r="B488" s="46">
        <v>372500000</v>
      </c>
      <c r="C488" s="46">
        <v>372500000</v>
      </c>
      <c r="D488" s="46">
        <v>19421480</v>
      </c>
      <c r="E488" s="46">
        <v>32460000</v>
      </c>
      <c r="F488" s="46">
        <v>51881480</v>
      </c>
      <c r="G488" s="46">
        <v>320618520</v>
      </c>
      <c r="H488" s="47">
        <v>0</v>
      </c>
      <c r="I488" s="48" t="s">
        <v>179</v>
      </c>
      <c r="J488" s="48" t="s">
        <v>21</v>
      </c>
    </row>
    <row r="489" spans="1:10" ht="13.15" x14ac:dyDescent="0.4">
      <c r="A489" s="45" t="s">
        <v>186</v>
      </c>
      <c r="B489" s="46">
        <v>2397799000</v>
      </c>
      <c r="C489" s="46">
        <v>2397799000</v>
      </c>
      <c r="D489" s="46">
        <v>459375000</v>
      </c>
      <c r="E489" s="46">
        <v>29795000</v>
      </c>
      <c r="F489" s="46">
        <v>489170000</v>
      </c>
      <c r="G489" s="46">
        <v>1908629000</v>
      </c>
      <c r="H489" s="47">
        <v>0</v>
      </c>
      <c r="I489" s="48" t="s">
        <v>179</v>
      </c>
      <c r="J489" s="48" t="s">
        <v>21</v>
      </c>
    </row>
    <row r="490" spans="1:10" ht="13.15" x14ac:dyDescent="0.4">
      <c r="A490" s="45" t="s">
        <v>187</v>
      </c>
      <c r="B490" s="46">
        <v>1098750000</v>
      </c>
      <c r="C490" s="46">
        <v>1098750000</v>
      </c>
      <c r="D490" s="47">
        <v>0</v>
      </c>
      <c r="E490" s="47">
        <v>0</v>
      </c>
      <c r="F490" s="47">
        <v>0</v>
      </c>
      <c r="G490" s="46">
        <v>1098750000</v>
      </c>
      <c r="H490" s="47">
        <v>0</v>
      </c>
      <c r="I490" s="48" t="s">
        <v>179</v>
      </c>
      <c r="J490" s="48" t="s">
        <v>21</v>
      </c>
    </row>
    <row r="491" spans="1:10" ht="13.15" x14ac:dyDescent="0.4">
      <c r="A491" s="45" t="s">
        <v>109</v>
      </c>
      <c r="B491" s="46">
        <v>133125000</v>
      </c>
      <c r="C491" s="46">
        <v>133125000</v>
      </c>
      <c r="D491" s="47">
        <v>0</v>
      </c>
      <c r="E491" s="46">
        <v>40800000</v>
      </c>
      <c r="F491" s="46">
        <v>40800000</v>
      </c>
      <c r="G491" s="46">
        <v>92325000</v>
      </c>
      <c r="H491" s="47">
        <v>0</v>
      </c>
      <c r="I491" s="48" t="s">
        <v>179</v>
      </c>
      <c r="J491" s="48" t="s">
        <v>21</v>
      </c>
    </row>
    <row r="492" spans="1:10" ht="13.15" x14ac:dyDescent="0.4">
      <c r="A492" s="45" t="s">
        <v>110</v>
      </c>
      <c r="B492" s="46">
        <v>375000000</v>
      </c>
      <c r="C492" s="46">
        <v>375000000</v>
      </c>
      <c r="D492" s="47">
        <v>0</v>
      </c>
      <c r="E492" s="47">
        <v>0</v>
      </c>
      <c r="F492" s="47">
        <v>0</v>
      </c>
      <c r="G492" s="46">
        <v>375000000</v>
      </c>
      <c r="H492" s="47">
        <v>0</v>
      </c>
      <c r="I492" s="48" t="s">
        <v>179</v>
      </c>
      <c r="J492" s="48" t="s">
        <v>21</v>
      </c>
    </row>
    <row r="493" spans="1:10" ht="13.15" x14ac:dyDescent="0.4">
      <c r="A493" s="45" t="s">
        <v>73</v>
      </c>
      <c r="B493" s="46">
        <v>50000000</v>
      </c>
      <c r="C493" s="46">
        <v>50000000</v>
      </c>
      <c r="D493" s="47">
        <v>0</v>
      </c>
      <c r="E493" s="46">
        <v>12720000</v>
      </c>
      <c r="F493" s="46">
        <v>12720000</v>
      </c>
      <c r="G493" s="46">
        <v>37280000</v>
      </c>
      <c r="H493" s="47">
        <v>0</v>
      </c>
      <c r="I493" s="48" t="s">
        <v>179</v>
      </c>
      <c r="J493" s="48" t="s">
        <v>23</v>
      </c>
    </row>
    <row r="494" spans="1:10" ht="13.15" x14ac:dyDescent="0.4">
      <c r="A494" s="45" t="s">
        <v>111</v>
      </c>
      <c r="B494" s="46">
        <v>508075000</v>
      </c>
      <c r="C494" s="46">
        <v>508075000</v>
      </c>
      <c r="D494" s="46">
        <v>34825000</v>
      </c>
      <c r="E494" s="46">
        <v>128340000</v>
      </c>
      <c r="F494" s="46">
        <v>163165000</v>
      </c>
      <c r="G494" s="46">
        <v>344910000</v>
      </c>
      <c r="H494" s="47">
        <v>0</v>
      </c>
      <c r="I494" s="48" t="s">
        <v>179</v>
      </c>
      <c r="J494" s="48" t="s">
        <v>22</v>
      </c>
    </row>
    <row r="495" spans="1:10" ht="13.15" x14ac:dyDescent="0.4">
      <c r="A495" s="45" t="s">
        <v>112</v>
      </c>
      <c r="B495" s="46">
        <v>640000000</v>
      </c>
      <c r="C495" s="46">
        <v>640000000</v>
      </c>
      <c r="D495" s="46">
        <v>8404406</v>
      </c>
      <c r="E495" s="46">
        <v>446630703</v>
      </c>
      <c r="F495" s="46">
        <v>455035109</v>
      </c>
      <c r="G495" s="46">
        <v>184964891</v>
      </c>
      <c r="H495" s="47">
        <v>0</v>
      </c>
      <c r="I495" s="48" t="s">
        <v>179</v>
      </c>
      <c r="J495" s="48" t="s">
        <v>26</v>
      </c>
    </row>
    <row r="496" spans="1:10" ht="13.15" x14ac:dyDescent="0.4">
      <c r="A496" s="45" t="s">
        <v>76</v>
      </c>
      <c r="B496" s="46">
        <v>222793250</v>
      </c>
      <c r="C496" s="46">
        <v>222793250</v>
      </c>
      <c r="D496" s="46">
        <v>29693828</v>
      </c>
      <c r="E496" s="46">
        <v>22370000</v>
      </c>
      <c r="F496" s="46">
        <v>52063828</v>
      </c>
      <c r="G496" s="46">
        <v>170729422</v>
      </c>
      <c r="H496" s="47">
        <v>0</v>
      </c>
      <c r="I496" s="48" t="s">
        <v>179</v>
      </c>
      <c r="J496" s="48" t="s">
        <v>25</v>
      </c>
    </row>
    <row r="497" spans="1:10" ht="13.15" x14ac:dyDescent="0.4">
      <c r="A497" s="45" t="s">
        <v>77</v>
      </c>
      <c r="B497" s="46">
        <v>278081750</v>
      </c>
      <c r="C497" s="46">
        <v>278081750</v>
      </c>
      <c r="D497" s="46">
        <v>95838170</v>
      </c>
      <c r="E497" s="46">
        <v>176941260</v>
      </c>
      <c r="F497" s="46">
        <v>272779430</v>
      </c>
      <c r="G497" s="46">
        <v>5302320</v>
      </c>
      <c r="H497" s="47">
        <v>0</v>
      </c>
      <c r="I497" s="48" t="s">
        <v>179</v>
      </c>
      <c r="J497" s="48" t="s">
        <v>25</v>
      </c>
    </row>
    <row r="498" spans="1:10" ht="13.15" x14ac:dyDescent="0.4">
      <c r="A498" s="45" t="s">
        <v>78</v>
      </c>
      <c r="B498" s="46">
        <v>23250000</v>
      </c>
      <c r="C498" s="46">
        <v>23250000</v>
      </c>
      <c r="D498" s="47">
        <v>0</v>
      </c>
      <c r="E498" s="46">
        <v>14500000</v>
      </c>
      <c r="F498" s="46">
        <v>14500000</v>
      </c>
      <c r="G498" s="46">
        <v>8750000</v>
      </c>
      <c r="H498" s="47">
        <v>0</v>
      </c>
      <c r="I498" s="48" t="s">
        <v>179</v>
      </c>
      <c r="J498" s="48" t="s">
        <v>25</v>
      </c>
    </row>
    <row r="499" spans="1:10" ht="13.15" x14ac:dyDescent="0.4">
      <c r="A499" s="45" t="s">
        <v>79</v>
      </c>
      <c r="B499" s="46">
        <v>163230750</v>
      </c>
      <c r="C499" s="46">
        <v>163230750</v>
      </c>
      <c r="D499" s="46">
        <v>19366000</v>
      </c>
      <c r="E499" s="46">
        <v>12640000</v>
      </c>
      <c r="F499" s="46">
        <v>32006000</v>
      </c>
      <c r="G499" s="46">
        <v>131224750</v>
      </c>
      <c r="H499" s="47">
        <v>0</v>
      </c>
      <c r="I499" s="48" t="s">
        <v>179</v>
      </c>
      <c r="J499" s="48" t="s">
        <v>25</v>
      </c>
    </row>
    <row r="500" spans="1:10" ht="13.15" x14ac:dyDescent="0.4">
      <c r="A500" s="45" t="s">
        <v>81</v>
      </c>
      <c r="B500" s="46">
        <v>172144500</v>
      </c>
      <c r="C500" s="46">
        <v>172144500</v>
      </c>
      <c r="D500" s="46">
        <v>35082547</v>
      </c>
      <c r="E500" s="46">
        <v>77886880</v>
      </c>
      <c r="F500" s="46">
        <v>112969427</v>
      </c>
      <c r="G500" s="46">
        <v>59175073</v>
      </c>
      <c r="H500" s="47">
        <v>0</v>
      </c>
      <c r="I500" s="48" t="s">
        <v>179</v>
      </c>
      <c r="J500" s="48" t="s">
        <v>25</v>
      </c>
    </row>
    <row r="501" spans="1:10" ht="13.15" x14ac:dyDescent="0.4">
      <c r="A501" s="45" t="s">
        <v>137</v>
      </c>
      <c r="B501" s="46">
        <v>9045000</v>
      </c>
      <c r="C501" s="46">
        <v>9045000</v>
      </c>
      <c r="D501" s="46">
        <v>1720000</v>
      </c>
      <c r="E501" s="46">
        <v>5342537</v>
      </c>
      <c r="F501" s="46">
        <v>7062537</v>
      </c>
      <c r="G501" s="46">
        <v>1982463</v>
      </c>
      <c r="H501" s="47">
        <v>0</v>
      </c>
      <c r="I501" s="48" t="s">
        <v>179</v>
      </c>
      <c r="J501" s="48" t="s">
        <v>25</v>
      </c>
    </row>
    <row r="502" spans="1:10" ht="13.15" x14ac:dyDescent="0.4">
      <c r="A502" s="45" t="s">
        <v>82</v>
      </c>
      <c r="B502" s="46">
        <v>40435250</v>
      </c>
      <c r="C502" s="46">
        <v>40435250</v>
      </c>
      <c r="D502" s="46">
        <v>38255444</v>
      </c>
      <c r="E502" s="47">
        <v>0</v>
      </c>
      <c r="F502" s="46">
        <v>38255444</v>
      </c>
      <c r="G502" s="46">
        <v>2179806</v>
      </c>
      <c r="H502" s="47">
        <v>0</v>
      </c>
      <c r="I502" s="48" t="s">
        <v>179</v>
      </c>
      <c r="J502" s="48" t="s">
        <v>25</v>
      </c>
    </row>
    <row r="503" spans="1:10" ht="13.15" x14ac:dyDescent="0.4">
      <c r="A503" s="45" t="s">
        <v>128</v>
      </c>
      <c r="B503" s="47">
        <v>0</v>
      </c>
      <c r="C503" s="47">
        <v>0</v>
      </c>
      <c r="D503" s="47">
        <v>0</v>
      </c>
      <c r="E503" s="46">
        <v>84819308</v>
      </c>
      <c r="F503" s="46">
        <v>84819308</v>
      </c>
      <c r="G503" s="46">
        <v>-84819308</v>
      </c>
      <c r="H503" s="47">
        <v>0</v>
      </c>
      <c r="I503" s="48" t="s">
        <v>179</v>
      </c>
      <c r="J503" s="48" t="s">
        <v>84</v>
      </c>
    </row>
    <row r="504" spans="1:10" ht="13.15" x14ac:dyDescent="0.4">
      <c r="A504" s="45" t="s">
        <v>113</v>
      </c>
      <c r="B504" s="47">
        <v>0</v>
      </c>
      <c r="C504" s="47">
        <v>0</v>
      </c>
      <c r="D504" s="47">
        <v>0</v>
      </c>
      <c r="E504" s="46">
        <v>60889862</v>
      </c>
      <c r="F504" s="46">
        <v>60889862</v>
      </c>
      <c r="G504" s="46">
        <v>-60889862</v>
      </c>
      <c r="H504" s="47">
        <v>0</v>
      </c>
      <c r="I504" s="48" t="s">
        <v>179</v>
      </c>
      <c r="J504" s="48" t="s">
        <v>84</v>
      </c>
    </row>
    <row r="505" spans="1:10" ht="13.15" x14ac:dyDescent="0.4">
      <c r="A505" s="45" t="s">
        <v>129</v>
      </c>
      <c r="B505" s="47">
        <v>0</v>
      </c>
      <c r="C505" s="47">
        <v>0</v>
      </c>
      <c r="D505" s="47">
        <v>0</v>
      </c>
      <c r="E505" s="46">
        <v>51753310</v>
      </c>
      <c r="F505" s="46">
        <v>51753310</v>
      </c>
      <c r="G505" s="46">
        <v>-51753310</v>
      </c>
      <c r="H505" s="47">
        <v>0</v>
      </c>
      <c r="I505" s="48" t="s">
        <v>179</v>
      </c>
      <c r="J505" s="48" t="s">
        <v>84</v>
      </c>
    </row>
    <row r="506" spans="1:10" ht="13.15" x14ac:dyDescent="0.4">
      <c r="A506" s="45" t="s">
        <v>83</v>
      </c>
      <c r="B506" s="46">
        <v>12164281897</v>
      </c>
      <c r="C506" s="46">
        <v>12164281897</v>
      </c>
      <c r="D506" s="47">
        <v>0</v>
      </c>
      <c r="E506" s="46">
        <v>1814032650</v>
      </c>
      <c r="F506" s="46">
        <v>1814032650</v>
      </c>
      <c r="G506" s="46">
        <v>10350249247</v>
      </c>
      <c r="H506" s="47">
        <v>0</v>
      </c>
      <c r="I506" s="48" t="s">
        <v>179</v>
      </c>
      <c r="J506" s="48" t="s">
        <v>84</v>
      </c>
    </row>
    <row r="507" spans="1:10" ht="13.15" x14ac:dyDescent="0.4">
      <c r="A507" s="45" t="s">
        <v>85</v>
      </c>
      <c r="B507" s="46">
        <v>111508199</v>
      </c>
      <c r="C507" s="46">
        <v>111508199</v>
      </c>
      <c r="D507" s="47">
        <v>0</v>
      </c>
      <c r="E507" s="46">
        <v>18414338</v>
      </c>
      <c r="F507" s="46">
        <v>18414338</v>
      </c>
      <c r="G507" s="46">
        <v>93093861</v>
      </c>
      <c r="H507" s="47">
        <v>0</v>
      </c>
      <c r="I507" s="48" t="s">
        <v>179</v>
      </c>
      <c r="J507" s="48" t="s">
        <v>84</v>
      </c>
    </row>
    <row r="508" spans="1:10" ht="13.15" x14ac:dyDescent="0.4">
      <c r="A508" s="45" t="s">
        <v>86</v>
      </c>
      <c r="B508" s="46">
        <v>10801404197</v>
      </c>
      <c r="C508" s="46">
        <v>10801404197</v>
      </c>
      <c r="D508" s="47">
        <v>0</v>
      </c>
      <c r="E508" s="46">
        <v>1944632685</v>
      </c>
      <c r="F508" s="46">
        <v>1944632685</v>
      </c>
      <c r="G508" s="46">
        <v>8856771512</v>
      </c>
      <c r="H508" s="47">
        <v>0</v>
      </c>
      <c r="I508" s="48" t="s">
        <v>179</v>
      </c>
      <c r="J508" s="48" t="s">
        <v>84</v>
      </c>
    </row>
    <row r="509" spans="1:10" ht="13.15" x14ac:dyDescent="0.4">
      <c r="A509" s="45" t="s">
        <v>87</v>
      </c>
      <c r="B509" s="46">
        <v>68210418</v>
      </c>
      <c r="C509" s="46">
        <v>68210418</v>
      </c>
      <c r="D509" s="47">
        <v>0</v>
      </c>
      <c r="E509" s="47">
        <v>0</v>
      </c>
      <c r="F509" s="47">
        <v>0</v>
      </c>
      <c r="G509" s="46">
        <v>68210418</v>
      </c>
      <c r="H509" s="47">
        <v>0</v>
      </c>
      <c r="I509" s="48" t="s">
        <v>179</v>
      </c>
      <c r="J509" s="48" t="s">
        <v>84</v>
      </c>
    </row>
    <row r="510" spans="1:10" ht="13.15" x14ac:dyDescent="0.4">
      <c r="A510" s="45" t="s">
        <v>88</v>
      </c>
      <c r="B510" s="46">
        <v>1452685239</v>
      </c>
      <c r="C510" s="46">
        <v>1452685239</v>
      </c>
      <c r="D510" s="47">
        <v>0</v>
      </c>
      <c r="E510" s="46">
        <v>135898412</v>
      </c>
      <c r="F510" s="46">
        <v>135898412</v>
      </c>
      <c r="G510" s="46">
        <v>1316786827</v>
      </c>
      <c r="H510" s="47">
        <v>0</v>
      </c>
      <c r="I510" s="48" t="s">
        <v>179</v>
      </c>
      <c r="J510" s="48" t="s">
        <v>84</v>
      </c>
    </row>
    <row r="511" spans="1:10" ht="13.15" x14ac:dyDescent="0.4">
      <c r="A511" s="45" t="s">
        <v>89</v>
      </c>
      <c r="B511" s="46">
        <v>35165398</v>
      </c>
      <c r="C511" s="46">
        <v>35165398</v>
      </c>
      <c r="D511" s="47">
        <v>0</v>
      </c>
      <c r="E511" s="46">
        <v>3651448</v>
      </c>
      <c r="F511" s="46">
        <v>3651448</v>
      </c>
      <c r="G511" s="46">
        <v>31513950</v>
      </c>
      <c r="H511" s="47">
        <v>0</v>
      </c>
      <c r="I511" s="48" t="s">
        <v>179</v>
      </c>
      <c r="J511" s="48" t="s">
        <v>84</v>
      </c>
    </row>
    <row r="512" spans="1:10" ht="13.15" x14ac:dyDescent="0.4">
      <c r="A512" s="45" t="s">
        <v>90</v>
      </c>
      <c r="B512" s="46">
        <v>1698748501</v>
      </c>
      <c r="C512" s="46">
        <v>1698748501</v>
      </c>
      <c r="D512" s="47">
        <v>0</v>
      </c>
      <c r="E512" s="46">
        <v>259412564</v>
      </c>
      <c r="F512" s="46">
        <v>259412564</v>
      </c>
      <c r="G512" s="46">
        <v>1439335937</v>
      </c>
      <c r="H512" s="47">
        <v>0</v>
      </c>
      <c r="I512" s="48" t="s">
        <v>179</v>
      </c>
      <c r="J512" s="48" t="s">
        <v>84</v>
      </c>
    </row>
    <row r="513" spans="1:10" ht="13.15" x14ac:dyDescent="0.4">
      <c r="A513" s="45" t="s">
        <v>91</v>
      </c>
      <c r="B513" s="46">
        <v>3850588</v>
      </c>
      <c r="C513" s="46">
        <v>3850588</v>
      </c>
      <c r="D513" s="47">
        <v>0</v>
      </c>
      <c r="E513" s="47">
        <v>0</v>
      </c>
      <c r="F513" s="47">
        <v>0</v>
      </c>
      <c r="G513" s="46">
        <v>3850588</v>
      </c>
      <c r="H513" s="47">
        <v>0</v>
      </c>
      <c r="I513" s="48" t="s">
        <v>179</v>
      </c>
      <c r="J513" s="48" t="s">
        <v>84</v>
      </c>
    </row>
    <row r="514" spans="1:10" ht="13.15" x14ac:dyDescent="0.4">
      <c r="A514" s="45" t="s">
        <v>95</v>
      </c>
      <c r="B514" s="47">
        <v>0</v>
      </c>
      <c r="C514" s="47">
        <v>0</v>
      </c>
      <c r="D514" s="47">
        <v>0</v>
      </c>
      <c r="E514" s="46">
        <v>137977076</v>
      </c>
      <c r="F514" s="46">
        <v>137977076</v>
      </c>
      <c r="G514" s="46">
        <v>-137977076</v>
      </c>
      <c r="H514" s="47">
        <v>0</v>
      </c>
      <c r="I514" s="48" t="s">
        <v>179</v>
      </c>
      <c r="J514" s="48" t="s">
        <v>84</v>
      </c>
    </row>
    <row r="515" spans="1:10" ht="13.15" x14ac:dyDescent="0.4">
      <c r="A515" s="49" t="s">
        <v>188</v>
      </c>
      <c r="B515" s="50">
        <v>44562890151</v>
      </c>
      <c r="C515" s="50">
        <v>44562890151</v>
      </c>
      <c r="D515" s="50">
        <v>9233777627</v>
      </c>
      <c r="E515" s="50">
        <v>5755634781</v>
      </c>
      <c r="F515" s="50">
        <v>14989412408</v>
      </c>
      <c r="G515" s="50">
        <v>29573477743</v>
      </c>
      <c r="H515" s="52">
        <v>0</v>
      </c>
      <c r="I515" s="51" t="s">
        <v>179</v>
      </c>
      <c r="J515" s="51" t="e">
        <v>#N/A</v>
      </c>
    </row>
    <row r="516" spans="1:10" ht="13.15" x14ac:dyDescent="0.4">
      <c r="A516" s="45" t="s">
        <v>59</v>
      </c>
      <c r="B516" s="46">
        <v>5574698000</v>
      </c>
      <c r="C516" s="46">
        <v>5574698000</v>
      </c>
      <c r="D516" s="46">
        <v>2595236997</v>
      </c>
      <c r="E516" s="47">
        <v>0</v>
      </c>
      <c r="F516" s="46">
        <v>2595236997</v>
      </c>
      <c r="G516" s="46">
        <v>2979461003</v>
      </c>
      <c r="H516" s="47">
        <v>0</v>
      </c>
      <c r="I516" s="48" t="s">
        <v>189</v>
      </c>
      <c r="J516" s="48" t="s">
        <v>9</v>
      </c>
    </row>
    <row r="517" spans="1:10" ht="13.15" x14ac:dyDescent="0.4">
      <c r="A517" s="45" t="s">
        <v>63</v>
      </c>
      <c r="B517" s="46">
        <v>1521000000</v>
      </c>
      <c r="C517" s="46">
        <v>1521000000</v>
      </c>
      <c r="D517" s="47">
        <v>0</v>
      </c>
      <c r="E517" s="46">
        <v>3328300</v>
      </c>
      <c r="F517" s="46">
        <v>3328300</v>
      </c>
      <c r="G517" s="46">
        <v>1517671700</v>
      </c>
      <c r="H517" s="47">
        <v>0</v>
      </c>
      <c r="I517" s="48" t="s">
        <v>189</v>
      </c>
      <c r="J517" s="48" t="s">
        <v>9</v>
      </c>
    </row>
    <row r="518" spans="1:10" ht="13.15" x14ac:dyDescent="0.4">
      <c r="A518" s="45" t="s">
        <v>101</v>
      </c>
      <c r="B518" s="46">
        <v>1694175000</v>
      </c>
      <c r="C518" s="46">
        <v>1694175000</v>
      </c>
      <c r="D518" s="46">
        <v>810860400</v>
      </c>
      <c r="E518" s="47">
        <v>0</v>
      </c>
      <c r="F518" s="46">
        <v>810860400</v>
      </c>
      <c r="G518" s="46">
        <v>883314600</v>
      </c>
      <c r="H518" s="47">
        <v>0</v>
      </c>
      <c r="I518" s="48" t="s">
        <v>189</v>
      </c>
      <c r="J518" s="48" t="s">
        <v>9</v>
      </c>
    </row>
    <row r="519" spans="1:10" ht="13.15" x14ac:dyDescent="0.4">
      <c r="A519" s="45" t="s">
        <v>102</v>
      </c>
      <c r="B519" s="46">
        <v>2639000000</v>
      </c>
      <c r="C519" s="46">
        <v>2639000000</v>
      </c>
      <c r="D519" s="46">
        <v>483429478</v>
      </c>
      <c r="E519" s="46">
        <v>129199870</v>
      </c>
      <c r="F519" s="46">
        <v>612629348</v>
      </c>
      <c r="G519" s="46">
        <v>2026370652</v>
      </c>
      <c r="H519" s="47">
        <v>0</v>
      </c>
      <c r="I519" s="48" t="s">
        <v>189</v>
      </c>
      <c r="J519" s="48" t="s">
        <v>9</v>
      </c>
    </row>
    <row r="520" spans="1:10" ht="13.15" x14ac:dyDescent="0.4">
      <c r="A520" s="45" t="s">
        <v>64</v>
      </c>
      <c r="B520" s="46">
        <v>150000000</v>
      </c>
      <c r="C520" s="46">
        <v>150000000</v>
      </c>
      <c r="D520" s="47">
        <v>0</v>
      </c>
      <c r="E520" s="47">
        <v>0</v>
      </c>
      <c r="F520" s="47">
        <v>0</v>
      </c>
      <c r="G520" s="46">
        <v>150000000</v>
      </c>
      <c r="H520" s="47">
        <v>0</v>
      </c>
      <c r="I520" s="48" t="s">
        <v>189</v>
      </c>
      <c r="J520" s="48" t="s">
        <v>9</v>
      </c>
    </row>
    <row r="521" spans="1:10" ht="13.15" x14ac:dyDescent="0.4">
      <c r="A521" s="45" t="s">
        <v>65</v>
      </c>
      <c r="B521" s="46">
        <v>2721193000</v>
      </c>
      <c r="C521" s="46">
        <v>2721193000</v>
      </c>
      <c r="D521" s="46">
        <v>777673392</v>
      </c>
      <c r="E521" s="47">
        <v>0</v>
      </c>
      <c r="F521" s="46">
        <v>777673392</v>
      </c>
      <c r="G521" s="46">
        <v>1943519608</v>
      </c>
      <c r="H521" s="47">
        <v>0</v>
      </c>
      <c r="I521" s="48" t="s">
        <v>189</v>
      </c>
      <c r="J521" s="48" t="s">
        <v>9</v>
      </c>
    </row>
    <row r="522" spans="1:10" ht="13.15" x14ac:dyDescent="0.4">
      <c r="A522" s="45" t="s">
        <v>66</v>
      </c>
      <c r="B522" s="46">
        <v>9794675000</v>
      </c>
      <c r="C522" s="46">
        <v>9794675000</v>
      </c>
      <c r="D522" s="46">
        <v>4877544282</v>
      </c>
      <c r="E522" s="46">
        <v>3607897</v>
      </c>
      <c r="F522" s="46">
        <v>4881152179</v>
      </c>
      <c r="G522" s="46">
        <v>4913522821</v>
      </c>
      <c r="H522" s="47">
        <v>0</v>
      </c>
      <c r="I522" s="48" t="s">
        <v>189</v>
      </c>
      <c r="J522" s="48" t="s">
        <v>9</v>
      </c>
    </row>
    <row r="523" spans="1:10" ht="13.15" x14ac:dyDescent="0.4">
      <c r="A523" s="45" t="s">
        <v>67</v>
      </c>
      <c r="B523" s="46">
        <v>2114698000</v>
      </c>
      <c r="C523" s="46">
        <v>2114698000</v>
      </c>
      <c r="D523" s="47">
        <v>0</v>
      </c>
      <c r="E523" s="46">
        <v>162049240</v>
      </c>
      <c r="F523" s="46">
        <v>162049240</v>
      </c>
      <c r="G523" s="46">
        <v>1952648760</v>
      </c>
      <c r="H523" s="47">
        <v>0</v>
      </c>
      <c r="I523" s="48" t="s">
        <v>189</v>
      </c>
      <c r="J523" s="48" t="s">
        <v>9</v>
      </c>
    </row>
    <row r="524" spans="1:10" ht="13.15" x14ac:dyDescent="0.4">
      <c r="A524" s="45" t="s">
        <v>103</v>
      </c>
      <c r="B524" s="46">
        <v>1450000000</v>
      </c>
      <c r="C524" s="46">
        <v>1450000000</v>
      </c>
      <c r="D524" s="47">
        <v>0</v>
      </c>
      <c r="E524" s="47">
        <v>0</v>
      </c>
      <c r="F524" s="47">
        <v>0</v>
      </c>
      <c r="G524" s="46">
        <v>1450000000</v>
      </c>
      <c r="H524" s="47">
        <v>0</v>
      </c>
      <c r="I524" s="48" t="s">
        <v>189</v>
      </c>
      <c r="J524" s="48" t="s">
        <v>9</v>
      </c>
    </row>
    <row r="525" spans="1:10" ht="13.15" x14ac:dyDescent="0.4">
      <c r="A525" s="45" t="s">
        <v>104</v>
      </c>
      <c r="B525" s="47">
        <v>0</v>
      </c>
      <c r="C525" s="47">
        <v>0</v>
      </c>
      <c r="D525" s="47">
        <v>0</v>
      </c>
      <c r="E525" s="47">
        <v>0</v>
      </c>
      <c r="F525" s="47">
        <v>0</v>
      </c>
      <c r="G525" s="47">
        <v>0</v>
      </c>
      <c r="H525" s="47">
        <v>0</v>
      </c>
      <c r="I525" s="48" t="s">
        <v>189</v>
      </c>
      <c r="J525" s="48" t="s">
        <v>9</v>
      </c>
    </row>
    <row r="526" spans="1:10" ht="13.15" x14ac:dyDescent="0.4">
      <c r="A526" s="45" t="s">
        <v>106</v>
      </c>
      <c r="B526" s="46">
        <v>915811000</v>
      </c>
      <c r="C526" s="46">
        <v>915811000</v>
      </c>
      <c r="D526" s="47">
        <v>0</v>
      </c>
      <c r="E526" s="47">
        <v>0</v>
      </c>
      <c r="F526" s="47">
        <v>0</v>
      </c>
      <c r="G526" s="46">
        <v>915811000</v>
      </c>
      <c r="H526" s="47">
        <v>0</v>
      </c>
      <c r="I526" s="48" t="s">
        <v>189</v>
      </c>
      <c r="J526" s="48" t="s">
        <v>9</v>
      </c>
    </row>
    <row r="527" spans="1:10" ht="13.15" x14ac:dyDescent="0.4">
      <c r="A527" s="45" t="s">
        <v>68</v>
      </c>
      <c r="B527" s="46">
        <v>1750000000</v>
      </c>
      <c r="C527" s="46">
        <v>1750000000</v>
      </c>
      <c r="D527" s="46">
        <v>498500000</v>
      </c>
      <c r="E527" s="47">
        <v>0</v>
      </c>
      <c r="F527" s="46">
        <v>498500000</v>
      </c>
      <c r="G527" s="46">
        <v>1251500000</v>
      </c>
      <c r="H527" s="47">
        <v>0</v>
      </c>
      <c r="I527" s="48" t="s">
        <v>189</v>
      </c>
      <c r="J527" s="48" t="s">
        <v>9</v>
      </c>
    </row>
    <row r="528" spans="1:10" ht="13.15" x14ac:dyDescent="0.4">
      <c r="A528" s="45" t="s">
        <v>134</v>
      </c>
      <c r="B528" s="46">
        <v>300000000</v>
      </c>
      <c r="C528" s="46">
        <v>300000000</v>
      </c>
      <c r="D528" s="46">
        <v>4951687</v>
      </c>
      <c r="E528" s="47">
        <v>0</v>
      </c>
      <c r="F528" s="46">
        <v>4951687</v>
      </c>
      <c r="G528" s="46">
        <v>295048313</v>
      </c>
      <c r="H528" s="47">
        <v>0</v>
      </c>
      <c r="I528" s="48" t="s">
        <v>189</v>
      </c>
      <c r="J528" s="48" t="s">
        <v>21</v>
      </c>
    </row>
    <row r="529" spans="1:10" ht="13.15" x14ac:dyDescent="0.4">
      <c r="A529" s="45" t="s">
        <v>73</v>
      </c>
      <c r="B529" s="46">
        <v>645000000</v>
      </c>
      <c r="C529" s="46">
        <v>483750000</v>
      </c>
      <c r="D529" s="46">
        <v>14815000</v>
      </c>
      <c r="E529" s="46">
        <v>68355000</v>
      </c>
      <c r="F529" s="46">
        <v>83170000</v>
      </c>
      <c r="G529" s="46">
        <v>400580000</v>
      </c>
      <c r="H529" s="46">
        <v>161250000</v>
      </c>
      <c r="I529" s="48" t="s">
        <v>189</v>
      </c>
      <c r="J529" s="48" t="s">
        <v>23</v>
      </c>
    </row>
    <row r="530" spans="1:10" ht="13.15" x14ac:dyDescent="0.4">
      <c r="A530" s="45" t="s">
        <v>111</v>
      </c>
      <c r="B530" s="46">
        <v>285978663</v>
      </c>
      <c r="C530" s="46">
        <v>285978663</v>
      </c>
      <c r="D530" s="46">
        <v>23285000</v>
      </c>
      <c r="E530" s="46">
        <v>32200000</v>
      </c>
      <c r="F530" s="46">
        <v>55485000</v>
      </c>
      <c r="G530" s="46">
        <v>230493663</v>
      </c>
      <c r="H530" s="47">
        <v>0</v>
      </c>
      <c r="I530" s="48" t="s">
        <v>189</v>
      </c>
      <c r="J530" s="48" t="s">
        <v>22</v>
      </c>
    </row>
    <row r="531" spans="1:10" ht="13.15" x14ac:dyDescent="0.4">
      <c r="A531" s="45" t="s">
        <v>112</v>
      </c>
      <c r="B531" s="46">
        <v>1539315000</v>
      </c>
      <c r="C531" s="46">
        <v>1539315000</v>
      </c>
      <c r="D531" s="46">
        <v>3649654</v>
      </c>
      <c r="E531" s="46">
        <v>230704071</v>
      </c>
      <c r="F531" s="46">
        <v>234353725</v>
      </c>
      <c r="G531" s="46">
        <v>1304961275</v>
      </c>
      <c r="H531" s="47">
        <v>0</v>
      </c>
      <c r="I531" s="48" t="s">
        <v>189</v>
      </c>
      <c r="J531" s="48" t="s">
        <v>26</v>
      </c>
    </row>
    <row r="532" spans="1:10" ht="13.15" x14ac:dyDescent="0.4">
      <c r="A532" s="45" t="s">
        <v>76</v>
      </c>
      <c r="B532" s="46">
        <v>550000000</v>
      </c>
      <c r="C532" s="46">
        <v>412500000</v>
      </c>
      <c r="D532" s="46">
        <v>6056400</v>
      </c>
      <c r="E532" s="46">
        <v>12632800</v>
      </c>
      <c r="F532" s="46">
        <v>18689200</v>
      </c>
      <c r="G532" s="46">
        <v>393810800</v>
      </c>
      <c r="H532" s="46">
        <v>137500000</v>
      </c>
      <c r="I532" s="48" t="s">
        <v>189</v>
      </c>
      <c r="J532" s="48" t="s">
        <v>25</v>
      </c>
    </row>
    <row r="533" spans="1:10" ht="13.15" x14ac:dyDescent="0.4">
      <c r="A533" s="45" t="s">
        <v>77</v>
      </c>
      <c r="B533" s="46">
        <v>710500000</v>
      </c>
      <c r="C533" s="46">
        <v>532875000</v>
      </c>
      <c r="D533" s="46">
        <v>17800620</v>
      </c>
      <c r="E533" s="46">
        <v>49382229</v>
      </c>
      <c r="F533" s="46">
        <v>67182849</v>
      </c>
      <c r="G533" s="46">
        <v>465692151</v>
      </c>
      <c r="H533" s="46">
        <v>177625000</v>
      </c>
      <c r="I533" s="48" t="s">
        <v>189</v>
      </c>
      <c r="J533" s="48" t="s">
        <v>25</v>
      </c>
    </row>
    <row r="534" spans="1:10" ht="13.15" x14ac:dyDescent="0.4">
      <c r="A534" s="45" t="s">
        <v>78</v>
      </c>
      <c r="B534" s="46">
        <v>95700000</v>
      </c>
      <c r="C534" s="46">
        <v>95700000</v>
      </c>
      <c r="D534" s="47">
        <v>0</v>
      </c>
      <c r="E534" s="46">
        <v>13500000</v>
      </c>
      <c r="F534" s="46">
        <v>13500000</v>
      </c>
      <c r="G534" s="46">
        <v>82200000</v>
      </c>
      <c r="H534" s="47">
        <v>0</v>
      </c>
      <c r="I534" s="48" t="s">
        <v>189</v>
      </c>
      <c r="J534" s="48" t="s">
        <v>25</v>
      </c>
    </row>
    <row r="535" spans="1:10" ht="13.15" x14ac:dyDescent="0.4">
      <c r="A535" s="45" t="s">
        <v>79</v>
      </c>
      <c r="B535" s="46">
        <v>527665000</v>
      </c>
      <c r="C535" s="46">
        <v>395748750</v>
      </c>
      <c r="D535" s="47">
        <v>0</v>
      </c>
      <c r="E535" s="47">
        <v>0</v>
      </c>
      <c r="F535" s="47">
        <v>0</v>
      </c>
      <c r="G535" s="46">
        <v>395748750</v>
      </c>
      <c r="H535" s="46">
        <v>131916250</v>
      </c>
      <c r="I535" s="48" t="s">
        <v>189</v>
      </c>
      <c r="J535" s="48" t="s">
        <v>25</v>
      </c>
    </row>
    <row r="536" spans="1:10" ht="13.15" x14ac:dyDescent="0.4">
      <c r="A536" s="45" t="s">
        <v>81</v>
      </c>
      <c r="B536" s="46">
        <v>449070000</v>
      </c>
      <c r="C536" s="46">
        <v>336802500</v>
      </c>
      <c r="D536" s="46">
        <v>17298750</v>
      </c>
      <c r="E536" s="46">
        <v>64965000</v>
      </c>
      <c r="F536" s="46">
        <v>82263750</v>
      </c>
      <c r="G536" s="46">
        <v>254538750</v>
      </c>
      <c r="H536" s="46">
        <v>112267500</v>
      </c>
      <c r="I536" s="48" t="s">
        <v>189</v>
      </c>
      <c r="J536" s="48" t="s">
        <v>25</v>
      </c>
    </row>
    <row r="537" spans="1:10" ht="13.15" x14ac:dyDescent="0.4">
      <c r="A537" s="45" t="s">
        <v>82</v>
      </c>
      <c r="B537" s="46">
        <v>68288000</v>
      </c>
      <c r="C537" s="46">
        <v>68288000</v>
      </c>
      <c r="D537" s="47">
        <v>0</v>
      </c>
      <c r="E537" s="47">
        <v>0</v>
      </c>
      <c r="F537" s="47">
        <v>0</v>
      </c>
      <c r="G537" s="46">
        <v>68288000</v>
      </c>
      <c r="H537" s="47">
        <v>0</v>
      </c>
      <c r="I537" s="48" t="s">
        <v>189</v>
      </c>
      <c r="J537" s="48" t="s">
        <v>25</v>
      </c>
    </row>
    <row r="538" spans="1:10" ht="13.15" x14ac:dyDescent="0.4">
      <c r="A538" s="45" t="s">
        <v>113</v>
      </c>
      <c r="B538" s="47">
        <v>0</v>
      </c>
      <c r="C538" s="47">
        <v>0</v>
      </c>
      <c r="D538" s="47">
        <v>0</v>
      </c>
      <c r="E538" s="46">
        <v>5592872</v>
      </c>
      <c r="F538" s="46">
        <v>5592872</v>
      </c>
      <c r="G538" s="46">
        <v>-5592872</v>
      </c>
      <c r="H538" s="47">
        <v>0</v>
      </c>
      <c r="I538" s="48" t="s">
        <v>189</v>
      </c>
      <c r="J538" s="48" t="s">
        <v>84</v>
      </c>
    </row>
    <row r="539" spans="1:10" ht="13.15" x14ac:dyDescent="0.4">
      <c r="A539" s="45" t="s">
        <v>83</v>
      </c>
      <c r="B539" s="46">
        <v>10688916866</v>
      </c>
      <c r="C539" s="46">
        <v>10688916866</v>
      </c>
      <c r="D539" s="47">
        <v>0</v>
      </c>
      <c r="E539" s="46">
        <v>1592655254</v>
      </c>
      <c r="F539" s="46">
        <v>1592655254</v>
      </c>
      <c r="G539" s="46">
        <v>9096261612</v>
      </c>
      <c r="H539" s="47">
        <v>0</v>
      </c>
      <c r="I539" s="48" t="s">
        <v>189</v>
      </c>
      <c r="J539" s="48" t="s">
        <v>84</v>
      </c>
    </row>
    <row r="540" spans="1:10" ht="13.15" x14ac:dyDescent="0.4">
      <c r="A540" s="45" t="s">
        <v>85</v>
      </c>
      <c r="B540" s="46">
        <v>106116051</v>
      </c>
      <c r="C540" s="46">
        <v>106116051</v>
      </c>
      <c r="D540" s="47">
        <v>0</v>
      </c>
      <c r="E540" s="46">
        <v>18102841</v>
      </c>
      <c r="F540" s="46">
        <v>18102841</v>
      </c>
      <c r="G540" s="46">
        <v>88013210</v>
      </c>
      <c r="H540" s="47">
        <v>0</v>
      </c>
      <c r="I540" s="48" t="s">
        <v>189</v>
      </c>
      <c r="J540" s="48" t="s">
        <v>84</v>
      </c>
    </row>
    <row r="541" spans="1:10" ht="13.15" x14ac:dyDescent="0.4">
      <c r="A541" s="45" t="s">
        <v>86</v>
      </c>
      <c r="B541" s="46">
        <v>9218326343</v>
      </c>
      <c r="C541" s="46">
        <v>9218326343</v>
      </c>
      <c r="D541" s="47">
        <v>0</v>
      </c>
      <c r="E541" s="46">
        <v>1626624682</v>
      </c>
      <c r="F541" s="46">
        <v>1626624682</v>
      </c>
      <c r="G541" s="46">
        <v>7591701661</v>
      </c>
      <c r="H541" s="47">
        <v>0</v>
      </c>
      <c r="I541" s="48" t="s">
        <v>189</v>
      </c>
      <c r="J541" s="48" t="s">
        <v>84</v>
      </c>
    </row>
    <row r="542" spans="1:10" ht="13.15" x14ac:dyDescent="0.4">
      <c r="A542" s="45" t="s">
        <v>87</v>
      </c>
      <c r="B542" s="46">
        <v>58858990</v>
      </c>
      <c r="C542" s="46">
        <v>58858990</v>
      </c>
      <c r="D542" s="47">
        <v>0</v>
      </c>
      <c r="E542" s="47">
        <v>0</v>
      </c>
      <c r="F542" s="47">
        <v>0</v>
      </c>
      <c r="G542" s="46">
        <v>58858990</v>
      </c>
      <c r="H542" s="47">
        <v>0</v>
      </c>
      <c r="I542" s="48" t="s">
        <v>189</v>
      </c>
      <c r="J542" s="48" t="s">
        <v>84</v>
      </c>
    </row>
    <row r="543" spans="1:10" ht="13.15" x14ac:dyDescent="0.4">
      <c r="A543" s="45" t="s">
        <v>88</v>
      </c>
      <c r="B543" s="46">
        <v>1422805953</v>
      </c>
      <c r="C543" s="46">
        <v>1422805953</v>
      </c>
      <c r="D543" s="47">
        <v>0</v>
      </c>
      <c r="E543" s="46">
        <v>179659734</v>
      </c>
      <c r="F543" s="46">
        <v>179659734</v>
      </c>
      <c r="G543" s="46">
        <v>1243146219</v>
      </c>
      <c r="H543" s="47">
        <v>0</v>
      </c>
      <c r="I543" s="48" t="s">
        <v>189</v>
      </c>
      <c r="J543" s="48" t="s">
        <v>84</v>
      </c>
    </row>
    <row r="544" spans="1:10" ht="15.75" customHeight="1" x14ac:dyDescent="0.4">
      <c r="A544" s="45" t="s">
        <v>89</v>
      </c>
      <c r="B544" s="46">
        <v>13916758</v>
      </c>
      <c r="C544" s="46">
        <v>13916758</v>
      </c>
      <c r="D544" s="47">
        <v>0</v>
      </c>
      <c r="E544" s="46">
        <v>2273980</v>
      </c>
      <c r="F544" s="46">
        <v>2273980</v>
      </c>
      <c r="G544" s="46">
        <v>11642778</v>
      </c>
      <c r="H544" s="47">
        <v>0</v>
      </c>
      <c r="I544" s="48" t="s">
        <v>189</v>
      </c>
      <c r="J544" s="48" t="s">
        <v>84</v>
      </c>
    </row>
    <row r="545" spans="1:10" ht="15.75" customHeight="1" x14ac:dyDescent="0.4">
      <c r="A545" s="45" t="s">
        <v>90</v>
      </c>
      <c r="B545" s="46">
        <v>1559682761</v>
      </c>
      <c r="C545" s="46">
        <v>1559682761</v>
      </c>
      <c r="D545" s="47">
        <v>0</v>
      </c>
      <c r="E545" s="46">
        <v>300982812</v>
      </c>
      <c r="F545" s="46">
        <v>300982812</v>
      </c>
      <c r="G545" s="46">
        <v>1258699949</v>
      </c>
      <c r="H545" s="47">
        <v>0</v>
      </c>
      <c r="I545" s="48" t="s">
        <v>189</v>
      </c>
      <c r="J545" s="48" t="s">
        <v>84</v>
      </c>
    </row>
    <row r="546" spans="1:10" ht="15.75" customHeight="1" x14ac:dyDescent="0.4">
      <c r="A546" s="45" t="s">
        <v>91</v>
      </c>
      <c r="B546" s="46">
        <v>3850588</v>
      </c>
      <c r="C546" s="46">
        <v>3850588</v>
      </c>
      <c r="D546" s="47">
        <v>0</v>
      </c>
      <c r="E546" s="47">
        <v>0</v>
      </c>
      <c r="F546" s="47">
        <v>0</v>
      </c>
      <c r="G546" s="46">
        <v>3850588</v>
      </c>
      <c r="H546" s="47">
        <v>0</v>
      </c>
      <c r="I546" s="48" t="s">
        <v>189</v>
      </c>
      <c r="J546" s="48" t="s">
        <v>84</v>
      </c>
    </row>
    <row r="547" spans="1:10" ht="15.75" customHeight="1" x14ac:dyDescent="0.4">
      <c r="A547" s="49" t="s">
        <v>190</v>
      </c>
      <c r="B547" s="50">
        <v>58569240973</v>
      </c>
      <c r="C547" s="50">
        <v>57848682223</v>
      </c>
      <c r="D547" s="50">
        <v>10131101660</v>
      </c>
      <c r="E547" s="50">
        <v>4495816582</v>
      </c>
      <c r="F547" s="50">
        <v>14626918242</v>
      </c>
      <c r="G547" s="50">
        <v>43221763981</v>
      </c>
      <c r="H547" s="50">
        <v>720558750</v>
      </c>
      <c r="I547" s="51" t="s">
        <v>189</v>
      </c>
      <c r="J547" s="51" t="e">
        <v>#N/A</v>
      </c>
    </row>
  </sheetData>
  <autoFilter ref="A1:J543" xr:uid="{00000000-0009-0000-0000-000000000000}"/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3D63A-A4A6-488E-B302-F2B6F305F9EB}">
  <sheetPr>
    <tabColor theme="9" tint="-0.249977111117893"/>
  </sheetPr>
  <dimension ref="A1:MO138"/>
  <sheetViews>
    <sheetView zoomScale="130" zoomScaleNormal="130" workbookViewId="0">
      <pane ySplit="1" topLeftCell="A89" activePane="bottomLeft" state="frozen"/>
      <selection activeCell="B16" sqref="B16"/>
      <selection pane="bottomLeft" activeCell="A9" sqref="A9"/>
    </sheetView>
  </sheetViews>
  <sheetFormatPr defaultColWidth="0" defaultRowHeight="13.15" x14ac:dyDescent="0.4"/>
  <cols>
    <col min="1" max="1" width="12.9296875" style="71" customWidth="1"/>
    <col min="2" max="2" width="25.86328125" style="33" customWidth="1"/>
    <col min="3" max="4" width="20.1328125" style="35" customWidth="1"/>
    <col min="5" max="5" width="13.19921875" style="33" hidden="1" customWidth="1"/>
    <col min="6" max="12" width="7.73046875" style="33" hidden="1" customWidth="1"/>
    <col min="13" max="91" width="8.73046875" style="33" hidden="1" customWidth="1"/>
    <col min="92" max="262" width="9.73046875" style="33" hidden="1" customWidth="1"/>
    <col min="263" max="328" width="10.73046875" style="33" hidden="1" customWidth="1"/>
    <col min="329" max="349" width="11.73046875" style="33" hidden="1" customWidth="1"/>
    <col min="350" max="351" width="12" style="33" hidden="1" customWidth="1"/>
    <col min="352" max="352" width="6.73046875" style="33" hidden="1" customWidth="1"/>
    <col min="353" max="353" width="11.1328125" style="33" hidden="1" customWidth="1"/>
    <col min="354" max="16384" width="9.06640625" style="33" hidden="1"/>
  </cols>
  <sheetData>
    <row r="1" spans="1:4" x14ac:dyDescent="0.4">
      <c r="B1" s="41" t="s">
        <v>42</v>
      </c>
      <c r="C1" s="42" t="s">
        <v>191</v>
      </c>
      <c r="D1" s="42" t="s">
        <v>192</v>
      </c>
    </row>
    <row r="2" spans="1:4" x14ac:dyDescent="0.4">
      <c r="B2" s="43" t="s">
        <v>116</v>
      </c>
      <c r="C2" s="42">
        <v>27817429812</v>
      </c>
      <c r="D2" s="42">
        <v>9724245187</v>
      </c>
    </row>
    <row r="3" spans="1:4" x14ac:dyDescent="0.4">
      <c r="A3" s="71" t="s">
        <v>204</v>
      </c>
      <c r="B3" s="44" t="s">
        <v>25</v>
      </c>
      <c r="C3" s="42">
        <v>182107000</v>
      </c>
      <c r="D3" s="42">
        <v>131797000</v>
      </c>
    </row>
    <row r="4" spans="1:4" x14ac:dyDescent="0.4">
      <c r="A4" s="71" t="str">
        <f>A3</f>
        <v>1 Jak (LAA)</v>
      </c>
      <c r="B4" s="44" t="s">
        <v>23</v>
      </c>
      <c r="C4" s="42">
        <v>24488000</v>
      </c>
      <c r="D4" s="42">
        <v>24488000</v>
      </c>
    </row>
    <row r="5" spans="1:4" x14ac:dyDescent="0.4">
      <c r="A5" s="71" t="str">
        <f t="shared" ref="A5:A6" si="0">A4</f>
        <v>1 Jak (LAA)</v>
      </c>
      <c r="B5" s="44" t="s">
        <v>9</v>
      </c>
      <c r="C5" s="42">
        <v>27105992839</v>
      </c>
      <c r="D5" s="42">
        <v>9476450814</v>
      </c>
    </row>
    <row r="6" spans="1:4" x14ac:dyDescent="0.4">
      <c r="A6" s="71" t="str">
        <f t="shared" si="0"/>
        <v>1 Jak (LAA)</v>
      </c>
      <c r="B6" s="44" t="s">
        <v>21</v>
      </c>
      <c r="C6" s="42">
        <v>504841973</v>
      </c>
      <c r="D6" s="42">
        <v>91509373</v>
      </c>
    </row>
    <row r="7" spans="1:4" x14ac:dyDescent="0.4">
      <c r="B7" s="43" t="s">
        <v>97</v>
      </c>
      <c r="C7" s="42">
        <v>20788606318</v>
      </c>
      <c r="D7" s="42">
        <v>1302619315</v>
      </c>
    </row>
    <row r="8" spans="1:4" x14ac:dyDescent="0.4">
      <c r="A8" s="71" t="s">
        <v>205</v>
      </c>
      <c r="B8" s="44" t="s">
        <v>22</v>
      </c>
      <c r="C8" s="42">
        <v>28710000</v>
      </c>
      <c r="D8" s="42">
        <v>0</v>
      </c>
    </row>
    <row r="9" spans="1:4" x14ac:dyDescent="0.4">
      <c r="A9" s="71" t="str">
        <f>A8</f>
        <v>1 Jak</v>
      </c>
      <c r="B9" s="44" t="s">
        <v>25</v>
      </c>
      <c r="C9" s="42">
        <v>285326791</v>
      </c>
      <c r="D9" s="42">
        <v>169784700</v>
      </c>
    </row>
    <row r="10" spans="1:4" x14ac:dyDescent="0.4">
      <c r="A10" s="71" t="str">
        <f t="shared" ref="A10:A13" si="1">A9</f>
        <v>1 Jak</v>
      </c>
      <c r="B10" s="44" t="s">
        <v>26</v>
      </c>
      <c r="C10" s="42">
        <v>466659980</v>
      </c>
      <c r="D10" s="42">
        <v>466659980</v>
      </c>
    </row>
    <row r="11" spans="1:4" x14ac:dyDescent="0.4">
      <c r="A11" s="71" t="str">
        <f t="shared" si="1"/>
        <v>1 Jak</v>
      </c>
      <c r="B11" s="44" t="s">
        <v>23</v>
      </c>
      <c r="C11" s="42">
        <v>0</v>
      </c>
      <c r="D11" s="42">
        <v>0</v>
      </c>
    </row>
    <row r="12" spans="1:4" x14ac:dyDescent="0.4">
      <c r="A12" s="71" t="str">
        <f t="shared" si="1"/>
        <v>1 Jak</v>
      </c>
      <c r="B12" s="44" t="s">
        <v>9</v>
      </c>
      <c r="C12" s="42">
        <v>19825889547</v>
      </c>
      <c r="D12" s="42">
        <v>597174635</v>
      </c>
    </row>
    <row r="13" spans="1:4" x14ac:dyDescent="0.4">
      <c r="A13" s="71" t="str">
        <f t="shared" si="1"/>
        <v>1 Jak</v>
      </c>
      <c r="B13" s="44" t="s">
        <v>21</v>
      </c>
      <c r="C13" s="42">
        <v>182020000</v>
      </c>
      <c r="D13" s="42">
        <v>69000000</v>
      </c>
    </row>
    <row r="14" spans="1:4" x14ac:dyDescent="0.4">
      <c r="B14" s="43" t="s">
        <v>131</v>
      </c>
      <c r="C14" s="42">
        <v>16801982408</v>
      </c>
      <c r="D14" s="42">
        <v>696646255</v>
      </c>
    </row>
    <row r="15" spans="1:4" x14ac:dyDescent="0.4">
      <c r="A15" s="71" t="str">
        <f>B14</f>
        <v>2 Bd</v>
      </c>
      <c r="B15" s="44" t="s">
        <v>22</v>
      </c>
      <c r="C15" s="42">
        <v>15775000</v>
      </c>
      <c r="D15" s="42">
        <v>4050000</v>
      </c>
    </row>
    <row r="16" spans="1:4" x14ac:dyDescent="0.4">
      <c r="A16" s="71" t="str">
        <f>A15</f>
        <v>2 Bd</v>
      </c>
      <c r="B16" s="44" t="s">
        <v>25</v>
      </c>
      <c r="C16" s="42">
        <v>225859389</v>
      </c>
      <c r="D16" s="42">
        <v>168453609</v>
      </c>
    </row>
    <row r="17" spans="1:4" x14ac:dyDescent="0.4">
      <c r="A17" s="71" t="str">
        <f t="shared" ref="A17:A20" si="2">A16</f>
        <v>2 Bd</v>
      </c>
      <c r="B17" s="44" t="s">
        <v>26</v>
      </c>
      <c r="C17" s="42">
        <v>325092882</v>
      </c>
      <c r="D17" s="42">
        <v>325092882</v>
      </c>
    </row>
    <row r="18" spans="1:4" x14ac:dyDescent="0.4">
      <c r="A18" s="71" t="str">
        <f t="shared" si="2"/>
        <v>2 Bd</v>
      </c>
      <c r="B18" s="44" t="s">
        <v>23</v>
      </c>
      <c r="C18" s="42">
        <v>0</v>
      </c>
      <c r="D18" s="42">
        <v>0</v>
      </c>
    </row>
    <row r="19" spans="1:4" x14ac:dyDescent="0.4">
      <c r="A19" s="71" t="str">
        <f t="shared" si="2"/>
        <v>2 Bd</v>
      </c>
      <c r="B19" s="44" t="s">
        <v>9</v>
      </c>
      <c r="C19" s="42">
        <v>15841175257</v>
      </c>
      <c r="D19" s="42">
        <v>199049764</v>
      </c>
    </row>
    <row r="20" spans="1:4" x14ac:dyDescent="0.4">
      <c r="A20" s="71" t="str">
        <f t="shared" si="2"/>
        <v>2 Bd</v>
      </c>
      <c r="B20" s="44" t="s">
        <v>21</v>
      </c>
      <c r="C20" s="42">
        <v>394079880</v>
      </c>
      <c r="D20" s="42">
        <v>0</v>
      </c>
    </row>
    <row r="21" spans="1:4" x14ac:dyDescent="0.4">
      <c r="B21" s="43" t="s">
        <v>133</v>
      </c>
      <c r="C21" s="42">
        <v>7826183080</v>
      </c>
      <c r="D21" s="42">
        <v>613789554</v>
      </c>
    </row>
    <row r="22" spans="1:4" x14ac:dyDescent="0.4">
      <c r="A22" s="71" t="str">
        <f>B21</f>
        <v>3 Cn</v>
      </c>
      <c r="B22" s="44" t="s">
        <v>22</v>
      </c>
      <c r="C22" s="42">
        <v>11205000</v>
      </c>
      <c r="D22" s="42">
        <v>0</v>
      </c>
    </row>
    <row r="23" spans="1:4" x14ac:dyDescent="0.4">
      <c r="A23" s="71" t="str">
        <f>A22</f>
        <v>3 Cn</v>
      </c>
      <c r="B23" s="44" t="s">
        <v>25</v>
      </c>
      <c r="C23" s="42">
        <v>349705466</v>
      </c>
      <c r="D23" s="42">
        <v>143551635</v>
      </c>
    </row>
    <row r="24" spans="1:4" x14ac:dyDescent="0.4">
      <c r="A24" s="71" t="str">
        <f t="shared" ref="A24:A27" si="3">A23</f>
        <v>3 Cn</v>
      </c>
      <c r="B24" s="44" t="s">
        <v>26</v>
      </c>
      <c r="C24" s="42">
        <v>346514506</v>
      </c>
      <c r="D24" s="42">
        <v>346245306</v>
      </c>
    </row>
    <row r="25" spans="1:4" x14ac:dyDescent="0.4">
      <c r="A25" s="71" t="str">
        <f t="shared" si="3"/>
        <v>3 Cn</v>
      </c>
      <c r="B25" s="44" t="s">
        <v>23</v>
      </c>
      <c r="C25" s="42">
        <v>0</v>
      </c>
      <c r="D25" s="42">
        <v>0</v>
      </c>
    </row>
    <row r="26" spans="1:4" x14ac:dyDescent="0.4">
      <c r="A26" s="71" t="str">
        <f t="shared" si="3"/>
        <v>3 Cn</v>
      </c>
      <c r="B26" s="44" t="s">
        <v>9</v>
      </c>
      <c r="C26" s="42">
        <v>7071900470</v>
      </c>
      <c r="D26" s="42">
        <v>115217475</v>
      </c>
    </row>
    <row r="27" spans="1:4" x14ac:dyDescent="0.4">
      <c r="A27" s="71" t="str">
        <f t="shared" si="3"/>
        <v>3 Cn</v>
      </c>
      <c r="B27" s="44" t="s">
        <v>21</v>
      </c>
      <c r="C27" s="42">
        <v>46857638</v>
      </c>
      <c r="D27" s="42">
        <v>8775138</v>
      </c>
    </row>
    <row r="28" spans="1:4" x14ac:dyDescent="0.4">
      <c r="B28" s="43" t="s">
        <v>136</v>
      </c>
      <c r="C28" s="42">
        <v>5364660526</v>
      </c>
      <c r="D28" s="42">
        <v>811351613</v>
      </c>
    </row>
    <row r="29" spans="1:4" x14ac:dyDescent="0.4">
      <c r="A29" s="71" t="str">
        <f>B28</f>
        <v>4 Sm</v>
      </c>
      <c r="B29" s="44" t="s">
        <v>22</v>
      </c>
      <c r="C29" s="42">
        <v>71775000</v>
      </c>
      <c r="D29" s="42">
        <v>27250000</v>
      </c>
    </row>
    <row r="30" spans="1:4" x14ac:dyDescent="0.4">
      <c r="A30" s="71" t="str">
        <f>A29</f>
        <v>4 Sm</v>
      </c>
      <c r="B30" s="44" t="s">
        <v>25</v>
      </c>
      <c r="C30" s="42">
        <v>233491671</v>
      </c>
      <c r="D30" s="42">
        <v>173850671</v>
      </c>
    </row>
    <row r="31" spans="1:4" x14ac:dyDescent="0.4">
      <c r="A31" s="71" t="str">
        <f t="shared" ref="A31:A34" si="4">A30</f>
        <v>4 Sm</v>
      </c>
      <c r="B31" s="44" t="s">
        <v>26</v>
      </c>
      <c r="C31" s="42">
        <v>394857596</v>
      </c>
      <c r="D31" s="42">
        <v>394857596</v>
      </c>
    </row>
    <row r="32" spans="1:4" x14ac:dyDescent="0.4">
      <c r="A32" s="71" t="str">
        <f t="shared" si="4"/>
        <v>4 Sm</v>
      </c>
      <c r="B32" s="44" t="s">
        <v>23</v>
      </c>
      <c r="C32" s="42">
        <v>41856000</v>
      </c>
      <c r="D32" s="42">
        <v>41856000</v>
      </c>
    </row>
    <row r="33" spans="1:4" x14ac:dyDescent="0.4">
      <c r="A33" s="71" t="str">
        <f t="shared" si="4"/>
        <v>4 Sm</v>
      </c>
      <c r="B33" s="44" t="s">
        <v>9</v>
      </c>
      <c r="C33" s="42">
        <v>4597972659</v>
      </c>
      <c r="D33" s="42">
        <v>173537346</v>
      </c>
    </row>
    <row r="34" spans="1:4" x14ac:dyDescent="0.4">
      <c r="A34" s="71" t="str">
        <f t="shared" si="4"/>
        <v>4 Sm</v>
      </c>
      <c r="B34" s="44" t="s">
        <v>21</v>
      </c>
      <c r="C34" s="42">
        <v>24707600</v>
      </c>
      <c r="D34" s="42">
        <v>0</v>
      </c>
    </row>
    <row r="35" spans="1:4" x14ac:dyDescent="0.4">
      <c r="B35" s="43" t="s">
        <v>139</v>
      </c>
      <c r="C35" s="42">
        <v>13084641132</v>
      </c>
      <c r="D35" s="42">
        <v>889846599</v>
      </c>
    </row>
    <row r="36" spans="1:4" x14ac:dyDescent="0.4">
      <c r="A36" s="71" t="str">
        <f>B35</f>
        <v>5 Pwt</v>
      </c>
      <c r="B36" s="44" t="s">
        <v>22</v>
      </c>
      <c r="C36" s="42">
        <v>32848750</v>
      </c>
      <c r="D36" s="42">
        <v>0</v>
      </c>
    </row>
    <row r="37" spans="1:4" x14ac:dyDescent="0.4">
      <c r="A37" s="71" t="str">
        <f>A36</f>
        <v>5 Pwt</v>
      </c>
      <c r="B37" s="44" t="s">
        <v>25</v>
      </c>
      <c r="C37" s="42">
        <v>916193822</v>
      </c>
      <c r="D37" s="42">
        <v>155531150</v>
      </c>
    </row>
    <row r="38" spans="1:4" x14ac:dyDescent="0.4">
      <c r="A38" s="71" t="str">
        <f t="shared" ref="A38:A41" si="5">A37</f>
        <v>5 Pwt</v>
      </c>
      <c r="B38" s="44" t="s">
        <v>26</v>
      </c>
      <c r="C38" s="42">
        <v>396859899</v>
      </c>
      <c r="D38" s="42">
        <v>396859899</v>
      </c>
    </row>
    <row r="39" spans="1:4" x14ac:dyDescent="0.4">
      <c r="A39" s="71" t="str">
        <f t="shared" si="5"/>
        <v>5 Pwt</v>
      </c>
      <c r="B39" s="44" t="s">
        <v>23</v>
      </c>
      <c r="C39" s="42">
        <v>0</v>
      </c>
      <c r="D39" s="42">
        <v>0</v>
      </c>
    </row>
    <row r="40" spans="1:4" x14ac:dyDescent="0.4">
      <c r="A40" s="71" t="str">
        <f t="shared" si="5"/>
        <v>5 Pwt</v>
      </c>
      <c r="B40" s="44" t="s">
        <v>9</v>
      </c>
      <c r="C40" s="42">
        <v>11242908661</v>
      </c>
      <c r="D40" s="42">
        <v>337455550</v>
      </c>
    </row>
    <row r="41" spans="1:4" x14ac:dyDescent="0.4">
      <c r="A41" s="71" t="str">
        <f t="shared" si="5"/>
        <v>5 Pwt</v>
      </c>
      <c r="B41" s="44" t="s">
        <v>21</v>
      </c>
      <c r="C41" s="42">
        <v>495830000</v>
      </c>
      <c r="D41" s="42">
        <v>0</v>
      </c>
    </row>
    <row r="42" spans="1:4" x14ac:dyDescent="0.4">
      <c r="B42" s="43" t="s">
        <v>141</v>
      </c>
      <c r="C42" s="42">
        <v>7566827350</v>
      </c>
      <c r="D42" s="42">
        <v>878345370</v>
      </c>
    </row>
    <row r="43" spans="1:4" x14ac:dyDescent="0.4">
      <c r="A43" s="71" t="str">
        <f>B42</f>
        <v>6 Yk</v>
      </c>
      <c r="B43" s="44" t="s">
        <v>22</v>
      </c>
      <c r="C43" s="42">
        <v>63260000</v>
      </c>
      <c r="D43" s="42">
        <v>62100000</v>
      </c>
    </row>
    <row r="44" spans="1:4" x14ac:dyDescent="0.4">
      <c r="A44" s="71" t="str">
        <f>A43</f>
        <v>6 Yk</v>
      </c>
      <c r="B44" s="44" t="s">
        <v>25</v>
      </c>
      <c r="C44" s="42">
        <v>270493915</v>
      </c>
      <c r="D44" s="42">
        <v>179601415</v>
      </c>
    </row>
    <row r="45" spans="1:4" x14ac:dyDescent="0.4">
      <c r="A45" s="71" t="str">
        <f t="shared" ref="A45:A48" si="6">A44</f>
        <v>6 Yk</v>
      </c>
      <c r="B45" s="44" t="s">
        <v>26</v>
      </c>
      <c r="C45" s="42">
        <v>320371955</v>
      </c>
      <c r="D45" s="42">
        <v>320371955</v>
      </c>
    </row>
    <row r="46" spans="1:4" x14ac:dyDescent="0.4">
      <c r="A46" s="71" t="str">
        <f t="shared" si="6"/>
        <v>6 Yk</v>
      </c>
      <c r="B46" s="44" t="s">
        <v>23</v>
      </c>
      <c r="C46" s="42">
        <v>0</v>
      </c>
      <c r="D46" s="42">
        <v>0</v>
      </c>
    </row>
    <row r="47" spans="1:4" x14ac:dyDescent="0.4">
      <c r="A47" s="71" t="str">
        <f t="shared" si="6"/>
        <v>6 Yk</v>
      </c>
      <c r="B47" s="44" t="s">
        <v>9</v>
      </c>
      <c r="C47" s="42">
        <v>6867242480</v>
      </c>
      <c r="D47" s="42">
        <v>279772000</v>
      </c>
    </row>
    <row r="48" spans="1:4" x14ac:dyDescent="0.4">
      <c r="A48" s="71" t="str">
        <f t="shared" si="6"/>
        <v>6 Yk</v>
      </c>
      <c r="B48" s="44" t="s">
        <v>21</v>
      </c>
      <c r="C48" s="42">
        <v>45459000</v>
      </c>
      <c r="D48" s="42">
        <v>36500000</v>
      </c>
    </row>
    <row r="49" spans="1:4" x14ac:dyDescent="0.4">
      <c r="B49" s="43" t="s">
        <v>143</v>
      </c>
      <c r="C49" s="42">
        <v>2730289135</v>
      </c>
      <c r="D49" s="42">
        <v>500155224</v>
      </c>
    </row>
    <row r="50" spans="1:4" x14ac:dyDescent="0.4">
      <c r="A50" s="71" t="str">
        <f>B49</f>
        <v>7 Mn</v>
      </c>
      <c r="B50" s="44" t="s">
        <v>22</v>
      </c>
      <c r="C50" s="42">
        <v>21262500</v>
      </c>
      <c r="D50" s="42">
        <v>21262500</v>
      </c>
    </row>
    <row r="51" spans="1:4" x14ac:dyDescent="0.4">
      <c r="A51" s="71" t="str">
        <f>A50</f>
        <v>7 Mn</v>
      </c>
      <c r="B51" s="44" t="s">
        <v>25</v>
      </c>
      <c r="C51" s="42">
        <v>137165501</v>
      </c>
      <c r="D51" s="42">
        <v>77443001</v>
      </c>
    </row>
    <row r="52" spans="1:4" x14ac:dyDescent="0.4">
      <c r="A52" s="71" t="str">
        <f t="shared" ref="A52:A55" si="7">A51</f>
        <v>7 Mn</v>
      </c>
      <c r="B52" s="44" t="s">
        <v>26</v>
      </c>
      <c r="C52" s="42">
        <v>284145595</v>
      </c>
      <c r="D52" s="42">
        <v>284145595</v>
      </c>
    </row>
    <row r="53" spans="1:4" x14ac:dyDescent="0.4">
      <c r="A53" s="71" t="str">
        <f t="shared" si="7"/>
        <v>7 Mn</v>
      </c>
      <c r="B53" s="44" t="s">
        <v>23</v>
      </c>
      <c r="C53" s="42">
        <v>2159300</v>
      </c>
      <c r="D53" s="42">
        <v>2159300</v>
      </c>
    </row>
    <row r="54" spans="1:4" x14ac:dyDescent="0.4">
      <c r="A54" s="71" t="str">
        <f t="shared" si="7"/>
        <v>7 Mn</v>
      </c>
      <c r="B54" s="44" t="s">
        <v>9</v>
      </c>
      <c r="C54" s="42">
        <v>2283612239</v>
      </c>
      <c r="D54" s="42">
        <v>113200828</v>
      </c>
    </row>
    <row r="55" spans="1:4" x14ac:dyDescent="0.4">
      <c r="A55" s="71" t="str">
        <f t="shared" si="7"/>
        <v>7 Mn</v>
      </c>
      <c r="B55" s="44" t="s">
        <v>21</v>
      </c>
      <c r="C55" s="42">
        <v>1944000</v>
      </c>
      <c r="D55" s="42">
        <v>1944000</v>
      </c>
    </row>
    <row r="56" spans="1:4" x14ac:dyDescent="0.4">
      <c r="B56" s="43" t="s">
        <v>145</v>
      </c>
      <c r="C56" s="42">
        <v>21571887511</v>
      </c>
      <c r="D56" s="42">
        <v>2265400986</v>
      </c>
    </row>
    <row r="57" spans="1:4" x14ac:dyDescent="0.4">
      <c r="A57" s="71" t="str">
        <f>B56</f>
        <v>8 Sb</v>
      </c>
      <c r="B57" s="44" t="s">
        <v>22</v>
      </c>
      <c r="C57" s="42">
        <v>28052000</v>
      </c>
      <c r="D57" s="42">
        <v>3970000</v>
      </c>
    </row>
    <row r="58" spans="1:4" x14ac:dyDescent="0.4">
      <c r="A58" s="71" t="str">
        <f>A57</f>
        <v>8 Sb</v>
      </c>
      <c r="B58" s="44" t="s">
        <v>25</v>
      </c>
      <c r="C58" s="42">
        <v>225459743</v>
      </c>
      <c r="D58" s="42">
        <v>163028728</v>
      </c>
    </row>
    <row r="59" spans="1:4" x14ac:dyDescent="0.4">
      <c r="A59" s="71" t="str">
        <f t="shared" ref="A59:A62" si="8">A58</f>
        <v>8 Sb</v>
      </c>
      <c r="B59" s="44" t="s">
        <v>26</v>
      </c>
      <c r="C59" s="42">
        <v>412137110</v>
      </c>
      <c r="D59" s="42">
        <v>411555340</v>
      </c>
    </row>
    <row r="60" spans="1:4" x14ac:dyDescent="0.4">
      <c r="A60" s="71" t="str">
        <f t="shared" si="8"/>
        <v>8 Sb</v>
      </c>
      <c r="B60" s="44" t="s">
        <v>23</v>
      </c>
      <c r="C60" s="42">
        <v>0</v>
      </c>
      <c r="D60" s="42">
        <v>0</v>
      </c>
    </row>
    <row r="61" spans="1:4" x14ac:dyDescent="0.4">
      <c r="A61" s="71" t="str">
        <f t="shared" si="8"/>
        <v>8 Sb</v>
      </c>
      <c r="B61" s="44" t="s">
        <v>9</v>
      </c>
      <c r="C61" s="42">
        <v>20906238658</v>
      </c>
      <c r="D61" s="42">
        <v>1686846918</v>
      </c>
    </row>
    <row r="62" spans="1:4" x14ac:dyDescent="0.4">
      <c r="A62" s="71" t="str">
        <f t="shared" si="8"/>
        <v>8 Sb</v>
      </c>
      <c r="B62" s="44" t="s">
        <v>21</v>
      </c>
      <c r="C62" s="42">
        <v>0</v>
      </c>
      <c r="D62" s="42">
        <v>0</v>
      </c>
    </row>
    <row r="63" spans="1:4" x14ac:dyDescent="0.4">
      <c r="B63" s="43" t="s">
        <v>147</v>
      </c>
      <c r="C63" s="42">
        <v>942228935</v>
      </c>
      <c r="D63" s="42">
        <v>645769630</v>
      </c>
    </row>
    <row r="64" spans="1:4" x14ac:dyDescent="0.4">
      <c r="A64" s="71" t="str">
        <f>B63</f>
        <v>9 Jr</v>
      </c>
      <c r="B64" s="44" t="s">
        <v>22</v>
      </c>
      <c r="C64" s="42">
        <v>19823200</v>
      </c>
      <c r="D64" s="42">
        <v>0</v>
      </c>
    </row>
    <row r="65" spans="1:4" x14ac:dyDescent="0.4">
      <c r="A65" s="71" t="str">
        <f>A64</f>
        <v>9 Jr</v>
      </c>
      <c r="B65" s="44" t="s">
        <v>25</v>
      </c>
      <c r="C65" s="42">
        <v>187641412</v>
      </c>
      <c r="D65" s="42">
        <v>153407412</v>
      </c>
    </row>
    <row r="66" spans="1:4" x14ac:dyDescent="0.4">
      <c r="A66" s="71" t="str">
        <f t="shared" ref="A66:A69" si="9">A65</f>
        <v>9 Jr</v>
      </c>
      <c r="B66" s="44" t="s">
        <v>26</v>
      </c>
      <c r="C66" s="42">
        <v>72536444</v>
      </c>
      <c r="D66" s="42">
        <v>70896704</v>
      </c>
    </row>
    <row r="67" spans="1:4" x14ac:dyDescent="0.4">
      <c r="A67" s="71" t="str">
        <f t="shared" si="9"/>
        <v>9 Jr</v>
      </c>
      <c r="B67" s="44" t="s">
        <v>23</v>
      </c>
      <c r="C67" s="42">
        <v>0</v>
      </c>
      <c r="D67" s="42">
        <v>0</v>
      </c>
    </row>
    <row r="68" spans="1:4" x14ac:dyDescent="0.4">
      <c r="A68" s="71" t="str">
        <f t="shared" si="9"/>
        <v>9 Jr</v>
      </c>
      <c r="B68" s="44" t="s">
        <v>9</v>
      </c>
      <c r="C68" s="42">
        <v>662227879</v>
      </c>
      <c r="D68" s="42">
        <v>421465514</v>
      </c>
    </row>
    <row r="69" spans="1:4" x14ac:dyDescent="0.4">
      <c r="A69" s="71" t="str">
        <f t="shared" si="9"/>
        <v>9 Jr</v>
      </c>
      <c r="B69" s="44" t="s">
        <v>21</v>
      </c>
      <c r="C69" s="42">
        <v>0</v>
      </c>
      <c r="D69" s="42">
        <v>0</v>
      </c>
    </row>
    <row r="70" spans="1:4" x14ac:dyDescent="0.4">
      <c r="B70" s="43" t="s">
        <v>149</v>
      </c>
      <c r="C70" s="42">
        <v>1295721156</v>
      </c>
      <c r="D70" s="42">
        <v>368567141</v>
      </c>
    </row>
    <row r="71" spans="1:4" x14ac:dyDescent="0.4">
      <c r="A71" s="71" t="str">
        <f>B70</f>
        <v>I Su</v>
      </c>
      <c r="B71" s="44" t="s">
        <v>22</v>
      </c>
      <c r="C71" s="42">
        <v>52208150</v>
      </c>
      <c r="D71" s="42">
        <v>0</v>
      </c>
    </row>
    <row r="72" spans="1:4" x14ac:dyDescent="0.4">
      <c r="A72" s="71" t="str">
        <f>A71</f>
        <v>I Su</v>
      </c>
      <c r="B72" s="44" t="s">
        <v>25</v>
      </c>
      <c r="C72" s="42">
        <v>273142046</v>
      </c>
      <c r="D72" s="42">
        <v>150415596</v>
      </c>
    </row>
    <row r="73" spans="1:4" x14ac:dyDescent="0.4">
      <c r="A73" s="71" t="str">
        <f t="shared" ref="A73:A76" si="10">A72</f>
        <v>I Su</v>
      </c>
      <c r="B73" s="44" t="s">
        <v>26</v>
      </c>
      <c r="C73" s="42">
        <v>227966545</v>
      </c>
      <c r="D73" s="42">
        <v>218151545</v>
      </c>
    </row>
    <row r="74" spans="1:4" x14ac:dyDescent="0.4">
      <c r="A74" s="71" t="str">
        <f t="shared" si="10"/>
        <v>I Su</v>
      </c>
      <c r="B74" s="44" t="s">
        <v>23</v>
      </c>
      <c r="C74" s="42">
        <v>0</v>
      </c>
      <c r="D74" s="42">
        <v>0</v>
      </c>
    </row>
    <row r="75" spans="1:4" x14ac:dyDescent="0.4">
      <c r="A75" s="71" t="str">
        <f t="shared" si="10"/>
        <v>I Su</v>
      </c>
      <c r="B75" s="44" t="s">
        <v>9</v>
      </c>
      <c r="C75" s="42">
        <v>742404415</v>
      </c>
      <c r="D75" s="42">
        <v>0</v>
      </c>
    </row>
    <row r="76" spans="1:4" x14ac:dyDescent="0.4">
      <c r="A76" s="71" t="str">
        <f t="shared" si="10"/>
        <v>I Su</v>
      </c>
      <c r="B76" s="44" t="s">
        <v>21</v>
      </c>
      <c r="C76" s="42">
        <v>0</v>
      </c>
      <c r="D76" s="42">
        <v>0</v>
      </c>
    </row>
    <row r="77" spans="1:4" x14ac:dyDescent="0.4">
      <c r="B77" s="43" t="s">
        <v>151</v>
      </c>
      <c r="C77" s="42">
        <v>519891780</v>
      </c>
      <c r="D77" s="42">
        <v>90620828</v>
      </c>
    </row>
    <row r="78" spans="1:4" x14ac:dyDescent="0.4">
      <c r="A78" s="71" t="str">
        <f>B77</f>
        <v>II Pd</v>
      </c>
      <c r="B78" s="44" t="s">
        <v>22</v>
      </c>
      <c r="C78" s="42">
        <v>12542600</v>
      </c>
      <c r="D78" s="42">
        <v>6119400</v>
      </c>
    </row>
    <row r="79" spans="1:4" x14ac:dyDescent="0.4">
      <c r="A79" s="71" t="str">
        <f>A78</f>
        <v>II Pd</v>
      </c>
      <c r="B79" s="44" t="s">
        <v>24</v>
      </c>
      <c r="C79" s="42"/>
      <c r="D79" s="42"/>
    </row>
    <row r="80" spans="1:4" x14ac:dyDescent="0.4">
      <c r="A80" s="71" t="str">
        <f t="shared" ref="A80:A83" si="11">A79</f>
        <v>II Pd</v>
      </c>
      <c r="B80" s="44" t="s">
        <v>25</v>
      </c>
      <c r="C80" s="42">
        <v>14517350</v>
      </c>
      <c r="D80" s="42">
        <v>5604650</v>
      </c>
    </row>
    <row r="81" spans="1:4" x14ac:dyDescent="0.4">
      <c r="A81" s="71" t="str">
        <f t="shared" si="11"/>
        <v>II Pd</v>
      </c>
      <c r="B81" s="44" t="s">
        <v>169</v>
      </c>
      <c r="C81" s="42"/>
      <c r="D81" s="42"/>
    </row>
    <row r="82" spans="1:4" x14ac:dyDescent="0.4">
      <c r="A82" s="71" t="str">
        <f t="shared" si="11"/>
        <v>II Pd</v>
      </c>
      <c r="B82" s="44" t="s">
        <v>23</v>
      </c>
      <c r="C82" s="42">
        <v>9000000</v>
      </c>
      <c r="D82" s="42">
        <v>0</v>
      </c>
    </row>
    <row r="83" spans="1:4" x14ac:dyDescent="0.4">
      <c r="A83" s="71" t="str">
        <f t="shared" si="11"/>
        <v>II Pd</v>
      </c>
      <c r="B83" s="44" t="s">
        <v>9</v>
      </c>
      <c r="C83" s="42">
        <v>483831830</v>
      </c>
      <c r="D83" s="42">
        <v>78896778</v>
      </c>
    </row>
    <row r="84" spans="1:4" x14ac:dyDescent="0.4">
      <c r="B84" s="43" t="s">
        <v>179</v>
      </c>
      <c r="C84" s="42">
        <v>10477930755</v>
      </c>
      <c r="D84" s="42">
        <v>1244153128</v>
      </c>
    </row>
    <row r="85" spans="1:4" x14ac:dyDescent="0.4">
      <c r="A85" s="71" t="str">
        <f>B84</f>
        <v>III Pg</v>
      </c>
      <c r="B85" s="44" t="s">
        <v>22</v>
      </c>
      <c r="C85" s="42">
        <v>163165000</v>
      </c>
      <c r="D85" s="42">
        <v>128340000</v>
      </c>
    </row>
    <row r="86" spans="1:4" x14ac:dyDescent="0.4">
      <c r="A86" s="71" t="str">
        <f>A85</f>
        <v>III Pg</v>
      </c>
      <c r="B86" s="44" t="s">
        <v>25</v>
      </c>
      <c r="C86" s="42">
        <v>529636666</v>
      </c>
      <c r="D86" s="42">
        <v>309680677</v>
      </c>
    </row>
    <row r="87" spans="1:4" x14ac:dyDescent="0.4">
      <c r="A87" s="71" t="str">
        <f t="shared" ref="A87:A91" si="12">A86</f>
        <v>III Pg</v>
      </c>
      <c r="B87" s="44" t="s">
        <v>26</v>
      </c>
      <c r="C87" s="42">
        <v>455035109</v>
      </c>
      <c r="D87" s="42">
        <v>446630703</v>
      </c>
    </row>
    <row r="88" spans="1:4" x14ac:dyDescent="0.4">
      <c r="A88" s="71" t="str">
        <f t="shared" si="12"/>
        <v>III Pg</v>
      </c>
      <c r="B88" s="44" t="s">
        <v>169</v>
      </c>
      <c r="C88" s="42">
        <v>0</v>
      </c>
      <c r="D88" s="42">
        <v>0</v>
      </c>
    </row>
    <row r="89" spans="1:4" x14ac:dyDescent="0.4">
      <c r="A89" s="71" t="str">
        <f t="shared" si="12"/>
        <v>III Pg</v>
      </c>
      <c r="B89" s="44" t="s">
        <v>23</v>
      </c>
      <c r="C89" s="42">
        <v>12720000</v>
      </c>
      <c r="D89" s="42">
        <v>12720000</v>
      </c>
    </row>
    <row r="90" spans="1:4" x14ac:dyDescent="0.4">
      <c r="A90" s="71" t="str">
        <f t="shared" si="12"/>
        <v>III Pg</v>
      </c>
      <c r="B90" s="44" t="s">
        <v>9</v>
      </c>
      <c r="C90" s="42">
        <v>5458456599</v>
      </c>
      <c r="D90" s="42">
        <v>0</v>
      </c>
    </row>
    <row r="91" spans="1:4" x14ac:dyDescent="0.4">
      <c r="A91" s="71" t="str">
        <f t="shared" si="12"/>
        <v>III Pg</v>
      </c>
      <c r="B91" s="44" t="s">
        <v>21</v>
      </c>
      <c r="C91" s="42">
        <v>3858917381</v>
      </c>
      <c r="D91" s="42">
        <v>346781748</v>
      </c>
    </row>
    <row r="92" spans="1:4" x14ac:dyDescent="0.4">
      <c r="B92" s="43" t="s">
        <v>189</v>
      </c>
      <c r="C92" s="42">
        <v>10901026067</v>
      </c>
      <c r="D92" s="42">
        <v>769924407</v>
      </c>
    </row>
    <row r="93" spans="1:4" x14ac:dyDescent="0.4">
      <c r="A93" s="71" t="str">
        <f>B92</f>
        <v>IV Tnk</v>
      </c>
      <c r="B93" s="44" t="s">
        <v>22</v>
      </c>
      <c r="C93" s="42">
        <v>55485000</v>
      </c>
      <c r="D93" s="42">
        <v>32200000</v>
      </c>
    </row>
    <row r="94" spans="1:4" x14ac:dyDescent="0.4">
      <c r="A94" s="71" t="str">
        <f>A93</f>
        <v>IV Tnk</v>
      </c>
      <c r="B94" s="44" t="s">
        <v>25</v>
      </c>
      <c r="C94" s="42">
        <v>181635799</v>
      </c>
      <c r="D94" s="42">
        <v>140480029</v>
      </c>
    </row>
    <row r="95" spans="1:4" x14ac:dyDescent="0.4">
      <c r="A95" s="71" t="str">
        <f t="shared" ref="A95:A98" si="13">A94</f>
        <v>IV Tnk</v>
      </c>
      <c r="B95" s="44" t="s">
        <v>26</v>
      </c>
      <c r="C95" s="42">
        <v>234353725</v>
      </c>
      <c r="D95" s="42">
        <v>230704071</v>
      </c>
    </row>
    <row r="96" spans="1:4" x14ac:dyDescent="0.4">
      <c r="A96" s="71" t="str">
        <f t="shared" si="13"/>
        <v>IV Tnk</v>
      </c>
      <c r="B96" s="44" t="s">
        <v>23</v>
      </c>
      <c r="C96" s="42">
        <v>83170000</v>
      </c>
      <c r="D96" s="42">
        <v>68355000</v>
      </c>
    </row>
    <row r="97" spans="1:4" x14ac:dyDescent="0.4">
      <c r="A97" s="71" t="str">
        <f t="shared" si="13"/>
        <v>IV Tnk</v>
      </c>
      <c r="B97" s="44" t="s">
        <v>9</v>
      </c>
      <c r="C97" s="42">
        <v>10341429856</v>
      </c>
      <c r="D97" s="42">
        <v>298185307</v>
      </c>
    </row>
    <row r="98" spans="1:4" x14ac:dyDescent="0.4">
      <c r="A98" s="71" t="str">
        <f t="shared" si="13"/>
        <v>IV Tnk</v>
      </c>
      <c r="B98" s="44" t="s">
        <v>21</v>
      </c>
      <c r="C98" s="42">
        <v>4951687</v>
      </c>
      <c r="D98" s="42">
        <v>0</v>
      </c>
    </row>
    <row r="99" spans="1:4" x14ac:dyDescent="0.4">
      <c r="B99" s="43" t="s">
        <v>60</v>
      </c>
      <c r="C99" s="42">
        <v>219436674225</v>
      </c>
      <c r="D99" s="42">
        <v>43975493335</v>
      </c>
    </row>
    <row r="100" spans="1:4" x14ac:dyDescent="0.4">
      <c r="A100" s="71" t="s">
        <v>8</v>
      </c>
      <c r="B100" s="44" t="s">
        <v>24</v>
      </c>
      <c r="C100" s="42">
        <v>20986164</v>
      </c>
      <c r="D100" s="42">
        <v>0</v>
      </c>
    </row>
    <row r="101" spans="1:4" x14ac:dyDescent="0.4">
      <c r="A101" s="71" t="str">
        <f>A100</f>
        <v>Kantor Pusat</v>
      </c>
      <c r="B101" s="44" t="s">
        <v>25</v>
      </c>
      <c r="C101" s="42">
        <v>389512664</v>
      </c>
      <c r="D101" s="42">
        <v>297731450</v>
      </c>
    </row>
    <row r="102" spans="1:4" x14ac:dyDescent="0.4">
      <c r="A102" s="71" t="str">
        <f t="shared" ref="A102:A105" si="14">A101</f>
        <v>Kantor Pusat</v>
      </c>
      <c r="B102" s="44" t="s">
        <v>26</v>
      </c>
      <c r="C102" s="42">
        <v>967917605</v>
      </c>
      <c r="D102" s="42">
        <v>967917605</v>
      </c>
    </row>
    <row r="103" spans="1:4" x14ac:dyDescent="0.4">
      <c r="A103" s="71" t="str">
        <f t="shared" si="14"/>
        <v>Kantor Pusat</v>
      </c>
      <c r="B103" s="44" t="s">
        <v>23</v>
      </c>
      <c r="C103" s="42">
        <v>0</v>
      </c>
      <c r="D103" s="42">
        <v>0</v>
      </c>
    </row>
    <row r="104" spans="1:4" x14ac:dyDescent="0.4">
      <c r="A104" s="71" t="str">
        <f t="shared" si="14"/>
        <v>Kantor Pusat</v>
      </c>
      <c r="B104" s="44" t="s">
        <v>9</v>
      </c>
      <c r="C104" s="42">
        <v>218058257792</v>
      </c>
      <c r="D104" s="42">
        <v>42709844280</v>
      </c>
    </row>
    <row r="105" spans="1:4" x14ac:dyDescent="0.4">
      <c r="A105" s="71" t="str">
        <f t="shared" si="14"/>
        <v>Kantor Pusat</v>
      </c>
      <c r="B105" s="44" t="s">
        <v>21</v>
      </c>
      <c r="C105" s="42">
        <v>0</v>
      </c>
      <c r="D105" s="42">
        <v>0</v>
      </c>
    </row>
    <row r="106" spans="1:4" x14ac:dyDescent="0.4">
      <c r="B106" s="43" t="s">
        <v>43</v>
      </c>
      <c r="C106" s="42">
        <v>367125980190</v>
      </c>
      <c r="D106" s="42">
        <v>64776928572</v>
      </c>
    </row>
    <row r="107" spans="1:4" x14ac:dyDescent="0.4">
      <c r="B107"/>
      <c r="C107"/>
      <c r="D107"/>
    </row>
    <row r="108" spans="1:4" x14ac:dyDescent="0.4">
      <c r="B108"/>
      <c r="C108"/>
      <c r="D108"/>
    </row>
    <row r="109" spans="1:4" x14ac:dyDescent="0.4">
      <c r="B109" s="30"/>
      <c r="C109" s="30"/>
      <c r="D109" s="30"/>
    </row>
    <row r="110" spans="1:4" x14ac:dyDescent="0.4">
      <c r="B110" s="30"/>
      <c r="C110" s="30"/>
      <c r="D110" s="30"/>
    </row>
    <row r="111" spans="1:4" x14ac:dyDescent="0.4">
      <c r="C111" s="34"/>
      <c r="D111" s="34"/>
    </row>
    <row r="112" spans="1:4" x14ac:dyDescent="0.4">
      <c r="C112" s="34"/>
      <c r="D112" s="34"/>
    </row>
    <row r="113" spans="3:4" x14ac:dyDescent="0.4">
      <c r="C113" s="34"/>
      <c r="D113" s="34"/>
    </row>
    <row r="114" spans="3:4" x14ac:dyDescent="0.4">
      <c r="C114" s="34"/>
      <c r="D114" s="34"/>
    </row>
    <row r="115" spans="3:4" x14ac:dyDescent="0.4">
      <c r="C115" s="34"/>
      <c r="D115" s="34"/>
    </row>
    <row r="116" spans="3:4" x14ac:dyDescent="0.4">
      <c r="C116" s="34"/>
      <c r="D116" s="34"/>
    </row>
    <row r="117" spans="3:4" x14ac:dyDescent="0.4">
      <c r="C117" s="34"/>
      <c r="D117" s="34"/>
    </row>
    <row r="118" spans="3:4" x14ac:dyDescent="0.4">
      <c r="C118" s="34"/>
      <c r="D118" s="34"/>
    </row>
    <row r="119" spans="3:4" x14ac:dyDescent="0.4">
      <c r="C119" s="34"/>
      <c r="D119" s="34"/>
    </row>
    <row r="120" spans="3:4" x14ac:dyDescent="0.4">
      <c r="C120" s="34"/>
      <c r="D120" s="34"/>
    </row>
    <row r="121" spans="3:4" x14ac:dyDescent="0.4">
      <c r="C121" s="34"/>
      <c r="D121" s="34"/>
    </row>
    <row r="122" spans="3:4" x14ac:dyDescent="0.4">
      <c r="C122" s="34"/>
      <c r="D122" s="34"/>
    </row>
    <row r="123" spans="3:4" x14ac:dyDescent="0.4">
      <c r="C123" s="34"/>
      <c r="D123" s="34"/>
    </row>
    <row r="124" spans="3:4" x14ac:dyDescent="0.4">
      <c r="C124" s="34"/>
      <c r="D124" s="34"/>
    </row>
    <row r="125" spans="3:4" x14ac:dyDescent="0.4">
      <c r="C125" s="34"/>
      <c r="D125" s="34"/>
    </row>
    <row r="126" spans="3:4" x14ac:dyDescent="0.4">
      <c r="C126" s="34"/>
      <c r="D126" s="34"/>
    </row>
    <row r="127" spans="3:4" x14ac:dyDescent="0.4">
      <c r="C127" s="34"/>
      <c r="D127" s="34"/>
    </row>
    <row r="128" spans="3:4" x14ac:dyDescent="0.4">
      <c r="C128" s="34"/>
      <c r="D128" s="34"/>
    </row>
    <row r="129" spans="3:4" x14ac:dyDescent="0.4">
      <c r="C129" s="34"/>
      <c r="D129" s="34"/>
    </row>
    <row r="130" spans="3:4" x14ac:dyDescent="0.4">
      <c r="C130" s="34"/>
      <c r="D130" s="34"/>
    </row>
    <row r="131" spans="3:4" x14ac:dyDescent="0.4">
      <c r="C131" s="34"/>
      <c r="D131" s="34"/>
    </row>
    <row r="132" spans="3:4" x14ac:dyDescent="0.4">
      <c r="C132" s="34"/>
      <c r="D132" s="34"/>
    </row>
    <row r="133" spans="3:4" x14ac:dyDescent="0.4">
      <c r="C133" s="34"/>
      <c r="D133" s="34"/>
    </row>
    <row r="134" spans="3:4" x14ac:dyDescent="0.4">
      <c r="C134" s="34"/>
      <c r="D134" s="34"/>
    </row>
    <row r="135" spans="3:4" x14ac:dyDescent="0.4">
      <c r="C135" s="34"/>
      <c r="D135" s="34"/>
    </row>
    <row r="136" spans="3:4" x14ac:dyDescent="0.4">
      <c r="C136" s="34"/>
      <c r="D136" s="34"/>
    </row>
    <row r="137" spans="3:4" x14ac:dyDescent="0.4">
      <c r="C137" s="34"/>
      <c r="D137" s="34"/>
    </row>
    <row r="138" spans="3:4" x14ac:dyDescent="0.4">
      <c r="C138" s="34"/>
      <c r="D138" s="34"/>
    </row>
  </sheetData>
  <pageMargins left="0.7" right="0.7" top="0.75" bottom="0.75" header="0.3" footer="0.3"/>
  <pageSetup paperSize="9" orientation="portrait" horizontalDpi="0" verticalDpi="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C5705-C498-4D83-95AA-95DC044CFF76}">
  <sheetPr>
    <tabColor theme="9" tint="-0.249977111117893"/>
    <outlinePr summaryBelow="0" summaryRight="0"/>
  </sheetPr>
  <dimension ref="A1:N175"/>
  <sheetViews>
    <sheetView showGridLines="0" tabSelected="1" workbookViewId="0">
      <selection activeCell="G13" sqref="G13"/>
    </sheetView>
  </sheetViews>
  <sheetFormatPr defaultColWidth="0" defaultRowHeight="0" customHeight="1" zeroHeight="1" x14ac:dyDescent="0.4"/>
  <cols>
    <col min="1" max="1" width="2.59765625" style="30" customWidth="1"/>
    <col min="2" max="2" width="9.265625" style="30" customWidth="1"/>
    <col min="3" max="5" width="12.59765625" style="30" customWidth="1"/>
    <col min="6" max="6" width="9.265625" style="30" customWidth="1"/>
    <col min="7" max="7" width="12.59765625" style="30" customWidth="1"/>
    <col min="8" max="8" width="9.265625" style="30" customWidth="1"/>
    <col min="9" max="9" width="12.59765625" style="30" customWidth="1"/>
    <col min="10" max="10" width="9.265625" style="30" customWidth="1"/>
    <col min="11" max="11" width="12.59765625" style="30" customWidth="1"/>
    <col min="12" max="12" width="2.59765625" style="30" customWidth="1"/>
    <col min="13" max="14" width="0" style="30" hidden="1" customWidth="1"/>
    <col min="15" max="16384" width="12.59765625" style="30" hidden="1"/>
  </cols>
  <sheetData>
    <row r="1" spans="1:12" ht="13.15" x14ac:dyDescent="0.4">
      <c r="A1" s="36"/>
      <c r="B1" s="36"/>
      <c r="C1" s="37"/>
      <c r="D1" s="37"/>
      <c r="E1" s="37"/>
      <c r="F1" s="38"/>
      <c r="G1" s="37"/>
      <c r="H1" s="38"/>
      <c r="I1" s="37"/>
      <c r="J1" s="38"/>
      <c r="K1" s="37"/>
      <c r="L1" s="36"/>
    </row>
    <row r="2" spans="1:12" ht="3.75" customHeight="1" x14ac:dyDescent="0.4">
      <c r="A2" s="36"/>
      <c r="B2" s="36"/>
      <c r="C2" s="37"/>
      <c r="D2" s="37"/>
      <c r="E2" s="37"/>
      <c r="F2" s="38"/>
      <c r="G2" s="37"/>
      <c r="H2" s="38"/>
      <c r="I2" s="37"/>
      <c r="J2" s="38"/>
      <c r="K2" s="37"/>
      <c r="L2" s="36"/>
    </row>
    <row r="3" spans="1:12" ht="13.15" x14ac:dyDescent="0.4">
      <c r="A3" s="36"/>
      <c r="B3" s="54" t="s">
        <v>193</v>
      </c>
      <c r="C3" s="55"/>
      <c r="D3" s="55"/>
      <c r="E3" s="55"/>
      <c r="F3" s="55"/>
      <c r="G3" s="55"/>
      <c r="H3" s="55"/>
      <c r="I3" s="55"/>
      <c r="J3" s="55"/>
      <c r="K3" s="55"/>
      <c r="L3" s="36"/>
    </row>
    <row r="4" spans="1:12" ht="13.15" x14ac:dyDescent="0.4">
      <c r="A4" s="39"/>
      <c r="B4" s="56" t="s">
        <v>57</v>
      </c>
      <c r="C4" s="56" t="s">
        <v>47</v>
      </c>
      <c r="D4" s="56" t="s">
        <v>194</v>
      </c>
      <c r="E4" s="56" t="s">
        <v>195</v>
      </c>
      <c r="F4" s="56" t="s">
        <v>196</v>
      </c>
      <c r="G4" s="56" t="s">
        <v>197</v>
      </c>
      <c r="H4" s="56" t="s">
        <v>198</v>
      </c>
      <c r="I4" s="56" t="s">
        <v>199</v>
      </c>
      <c r="J4" s="56" t="s">
        <v>200</v>
      </c>
      <c r="K4" s="56" t="s">
        <v>201</v>
      </c>
      <c r="L4" s="39"/>
    </row>
    <row r="5" spans="1:12" ht="13.15" x14ac:dyDescent="0.4">
      <c r="A5" s="36"/>
      <c r="B5" s="57" t="s">
        <v>116</v>
      </c>
      <c r="C5" s="46">
        <v>47253817201</v>
      </c>
      <c r="D5" s="46">
        <v>47253817201</v>
      </c>
      <c r="E5" s="46">
        <v>46778119701</v>
      </c>
      <c r="F5" s="58">
        <v>0.9899</v>
      </c>
      <c r="G5" s="46">
        <v>27817429812</v>
      </c>
      <c r="H5" s="58">
        <v>0.59470000000000001</v>
      </c>
      <c r="I5" s="46">
        <v>9724245187</v>
      </c>
      <c r="J5" s="58">
        <v>0.2079</v>
      </c>
      <c r="K5" s="46">
        <v>18960689889</v>
      </c>
      <c r="L5" s="36"/>
    </row>
    <row r="6" spans="1:12" ht="13.15" hidden="1" customHeight="1" x14ac:dyDescent="0.4">
      <c r="A6" s="36"/>
      <c r="B6" s="57" t="s">
        <v>97</v>
      </c>
      <c r="C6" s="46">
        <v>63265782000</v>
      </c>
      <c r="D6" s="46">
        <v>63265781854</v>
      </c>
      <c r="E6" s="46">
        <v>62594280354</v>
      </c>
      <c r="F6" s="58">
        <v>0.98939999999999995</v>
      </c>
      <c r="G6" s="46">
        <v>20788606318</v>
      </c>
      <c r="H6" s="58">
        <v>0.33210000000000001</v>
      </c>
      <c r="I6" s="46">
        <v>1302619315</v>
      </c>
      <c r="J6" s="58">
        <v>2.0799999999999999E-2</v>
      </c>
      <c r="K6" s="46">
        <v>41805674036</v>
      </c>
      <c r="L6" s="36"/>
    </row>
    <row r="7" spans="1:12" ht="13.15" x14ac:dyDescent="0.4">
      <c r="A7" s="36"/>
      <c r="B7" s="57" t="s">
        <v>131</v>
      </c>
      <c r="C7" s="46">
        <v>28292912000</v>
      </c>
      <c r="D7" s="46">
        <v>28192912000</v>
      </c>
      <c r="E7" s="46">
        <v>27781832000</v>
      </c>
      <c r="F7" s="58">
        <v>0.9819</v>
      </c>
      <c r="G7" s="46">
        <v>16801982408</v>
      </c>
      <c r="H7" s="58">
        <v>0.6048</v>
      </c>
      <c r="I7" s="46">
        <v>696646255</v>
      </c>
      <c r="J7" s="58">
        <v>2.5100000000000001E-2</v>
      </c>
      <c r="K7" s="46">
        <v>10979849592</v>
      </c>
      <c r="L7" s="36"/>
    </row>
    <row r="8" spans="1:12" ht="13.15" x14ac:dyDescent="0.4">
      <c r="A8" s="36"/>
      <c r="B8" s="57" t="s">
        <v>133</v>
      </c>
      <c r="C8" s="46">
        <v>26776308000</v>
      </c>
      <c r="D8" s="46">
        <v>12646677500</v>
      </c>
      <c r="E8" s="46">
        <v>12646677500</v>
      </c>
      <c r="F8" s="58">
        <v>0.4723</v>
      </c>
      <c r="G8" s="46">
        <v>7826183080</v>
      </c>
      <c r="H8" s="58">
        <v>0.61880000000000002</v>
      </c>
      <c r="I8" s="46">
        <v>613789554</v>
      </c>
      <c r="J8" s="58">
        <v>4.8500000000000001E-2</v>
      </c>
      <c r="K8" s="46">
        <v>4820494420</v>
      </c>
      <c r="L8" s="36"/>
    </row>
    <row r="9" spans="1:12" ht="13.15" x14ac:dyDescent="0.4">
      <c r="A9" s="36"/>
      <c r="B9" s="57" t="s">
        <v>136</v>
      </c>
      <c r="C9" s="46">
        <v>22738650000</v>
      </c>
      <c r="D9" s="46">
        <v>10334282091</v>
      </c>
      <c r="E9" s="46">
        <v>10334282091</v>
      </c>
      <c r="F9" s="58">
        <v>0.45450000000000002</v>
      </c>
      <c r="G9" s="46">
        <v>5364660526</v>
      </c>
      <c r="H9" s="58">
        <v>0.51910000000000001</v>
      </c>
      <c r="I9" s="46">
        <v>811351613</v>
      </c>
      <c r="J9" s="58">
        <v>7.85E-2</v>
      </c>
      <c r="K9" s="46">
        <v>4969621565</v>
      </c>
      <c r="L9" s="36"/>
    </row>
    <row r="10" spans="1:12" ht="13.15" x14ac:dyDescent="0.4">
      <c r="A10" s="36"/>
      <c r="B10" s="57" t="s">
        <v>139</v>
      </c>
      <c r="C10" s="46">
        <v>27448857000</v>
      </c>
      <c r="D10" s="46">
        <v>20609519029</v>
      </c>
      <c r="E10" s="46">
        <v>20609519029</v>
      </c>
      <c r="F10" s="58">
        <v>0.75080000000000002</v>
      </c>
      <c r="G10" s="46">
        <v>13084641132</v>
      </c>
      <c r="H10" s="58">
        <v>0.63490000000000002</v>
      </c>
      <c r="I10" s="46">
        <v>889846599</v>
      </c>
      <c r="J10" s="58">
        <v>4.3200000000000002E-2</v>
      </c>
      <c r="K10" s="46">
        <v>7524877897</v>
      </c>
      <c r="L10" s="36"/>
    </row>
    <row r="11" spans="1:12" ht="13.15" x14ac:dyDescent="0.4">
      <c r="A11" s="36"/>
      <c r="B11" s="57" t="s">
        <v>141</v>
      </c>
      <c r="C11" s="46">
        <v>35394555000</v>
      </c>
      <c r="D11" s="46">
        <v>16779306018</v>
      </c>
      <c r="E11" s="46">
        <v>16779306018</v>
      </c>
      <c r="F11" s="58">
        <v>0.47410000000000002</v>
      </c>
      <c r="G11" s="46">
        <v>7566827350</v>
      </c>
      <c r="H11" s="58">
        <v>0.45100000000000001</v>
      </c>
      <c r="I11" s="46">
        <v>878345370</v>
      </c>
      <c r="J11" s="58">
        <v>5.2299999999999999E-2</v>
      </c>
      <c r="K11" s="46">
        <v>9212478668</v>
      </c>
      <c r="L11" s="36"/>
    </row>
    <row r="12" spans="1:12" ht="13.15" x14ac:dyDescent="0.4">
      <c r="A12" s="36"/>
      <c r="B12" s="57" t="s">
        <v>143</v>
      </c>
      <c r="C12" s="46">
        <v>13759223000</v>
      </c>
      <c r="D12" s="46">
        <v>13619223000</v>
      </c>
      <c r="E12" s="46">
        <v>13359083500</v>
      </c>
      <c r="F12" s="58">
        <v>0.97089999999999999</v>
      </c>
      <c r="G12" s="46">
        <v>2730289135</v>
      </c>
      <c r="H12" s="58">
        <v>0.2044</v>
      </c>
      <c r="I12" s="46">
        <v>500155224</v>
      </c>
      <c r="J12" s="58">
        <v>3.7400000000000003E-2</v>
      </c>
      <c r="K12" s="46">
        <v>10628794365</v>
      </c>
      <c r="L12" s="36"/>
    </row>
    <row r="13" spans="1:12" ht="13.15" x14ac:dyDescent="0.4">
      <c r="A13" s="36"/>
      <c r="B13" s="57" t="s">
        <v>145</v>
      </c>
      <c r="C13" s="46">
        <v>33298000000</v>
      </c>
      <c r="D13" s="46">
        <v>25711408974</v>
      </c>
      <c r="E13" s="46">
        <v>25711408974</v>
      </c>
      <c r="F13" s="58">
        <v>0.7722</v>
      </c>
      <c r="G13" s="46">
        <v>21571887511</v>
      </c>
      <c r="H13" s="58">
        <v>0.83899999999999997</v>
      </c>
      <c r="I13" s="46">
        <v>2265400986</v>
      </c>
      <c r="J13" s="58">
        <v>8.8099999999999998E-2</v>
      </c>
      <c r="K13" s="46">
        <v>4139521463</v>
      </c>
      <c r="L13" s="36"/>
    </row>
    <row r="14" spans="1:12" ht="13.15" x14ac:dyDescent="0.4">
      <c r="A14" s="36"/>
      <c r="B14" s="57" t="s">
        <v>147</v>
      </c>
      <c r="C14" s="46">
        <v>12904694000</v>
      </c>
      <c r="D14" s="46">
        <v>6382072000</v>
      </c>
      <c r="E14" s="46">
        <v>6382072000</v>
      </c>
      <c r="F14" s="58">
        <v>0.49459999999999998</v>
      </c>
      <c r="G14" s="46">
        <v>942228935</v>
      </c>
      <c r="H14" s="58">
        <v>0.14760000000000001</v>
      </c>
      <c r="I14" s="46">
        <v>645769630</v>
      </c>
      <c r="J14" s="58">
        <v>0.1012</v>
      </c>
      <c r="K14" s="46">
        <v>5439843065</v>
      </c>
      <c r="L14" s="36"/>
    </row>
    <row r="15" spans="1:12" ht="13.15" x14ac:dyDescent="0.4">
      <c r="A15" s="36"/>
      <c r="B15" s="57" t="s">
        <v>149</v>
      </c>
      <c r="C15" s="46">
        <v>14076601000</v>
      </c>
      <c r="D15" s="46">
        <v>6135242750</v>
      </c>
      <c r="E15" s="46">
        <v>6135242750</v>
      </c>
      <c r="F15" s="58">
        <v>0.43580000000000002</v>
      </c>
      <c r="G15" s="46">
        <v>1295721156</v>
      </c>
      <c r="H15" s="58">
        <v>0.2112</v>
      </c>
      <c r="I15" s="46">
        <v>368567141</v>
      </c>
      <c r="J15" s="58">
        <v>6.0100000000000001E-2</v>
      </c>
      <c r="K15" s="46">
        <v>4839521594</v>
      </c>
      <c r="L15" s="36"/>
    </row>
    <row r="16" spans="1:12" ht="13.15" x14ac:dyDescent="0.4">
      <c r="A16" s="36"/>
      <c r="B16" s="57" t="s">
        <v>151</v>
      </c>
      <c r="C16" s="46">
        <v>2349760730</v>
      </c>
      <c r="D16" s="46">
        <v>2349760730</v>
      </c>
      <c r="E16" s="46">
        <v>2349760730</v>
      </c>
      <c r="F16" s="58">
        <v>1</v>
      </c>
      <c r="G16" s="46">
        <v>519891780</v>
      </c>
      <c r="H16" s="58">
        <v>0.2213</v>
      </c>
      <c r="I16" s="46">
        <v>90620828</v>
      </c>
      <c r="J16" s="58">
        <v>3.8600000000000002E-2</v>
      </c>
      <c r="K16" s="46">
        <v>1829868950</v>
      </c>
      <c r="L16" s="36"/>
    </row>
    <row r="17" spans="1:12" ht="13.15" x14ac:dyDescent="0.4">
      <c r="A17" s="36"/>
      <c r="B17" s="57" t="s">
        <v>179</v>
      </c>
      <c r="C17" s="46">
        <v>35162678000</v>
      </c>
      <c r="D17" s="46">
        <v>18227035714</v>
      </c>
      <c r="E17" s="46">
        <v>18227035714</v>
      </c>
      <c r="F17" s="58">
        <v>0.51839999999999997</v>
      </c>
      <c r="G17" s="46">
        <v>10477930755</v>
      </c>
      <c r="H17" s="58">
        <v>0.57489999999999997</v>
      </c>
      <c r="I17" s="46">
        <v>1244153128</v>
      </c>
      <c r="J17" s="58">
        <v>6.83E-2</v>
      </c>
      <c r="K17" s="46">
        <v>7749104959</v>
      </c>
      <c r="L17" s="36"/>
    </row>
    <row r="18" spans="1:12" ht="13.15" x14ac:dyDescent="0.4">
      <c r="A18" s="36"/>
      <c r="B18" s="57" t="s">
        <v>189</v>
      </c>
      <c r="C18" s="46">
        <v>35496760000</v>
      </c>
      <c r="D18" s="46">
        <v>35496766663</v>
      </c>
      <c r="E18" s="46">
        <v>34776207913</v>
      </c>
      <c r="F18" s="58">
        <v>0.97970000000000002</v>
      </c>
      <c r="G18" s="46">
        <v>10901026067</v>
      </c>
      <c r="H18" s="58">
        <v>0.3135</v>
      </c>
      <c r="I18" s="46">
        <v>769924407</v>
      </c>
      <c r="J18" s="58">
        <v>2.2100000000000002E-2</v>
      </c>
      <c r="K18" s="46">
        <v>23875181846</v>
      </c>
      <c r="L18" s="36"/>
    </row>
    <row r="19" spans="1:12" ht="13.15" x14ac:dyDescent="0.4">
      <c r="A19" s="36"/>
      <c r="B19" s="57" t="s">
        <v>60</v>
      </c>
      <c r="C19" s="46">
        <v>332108391000</v>
      </c>
      <c r="D19" s="46">
        <v>328935294072</v>
      </c>
      <c r="E19" s="46">
        <v>326517794072</v>
      </c>
      <c r="F19" s="58">
        <v>0.98319999999999996</v>
      </c>
      <c r="G19" s="46">
        <v>219436674225</v>
      </c>
      <c r="H19" s="58">
        <v>0.67210000000000003</v>
      </c>
      <c r="I19" s="46">
        <v>43975493335</v>
      </c>
      <c r="J19" s="58">
        <v>0.13469999999999999</v>
      </c>
      <c r="K19" s="46">
        <v>107081119847</v>
      </c>
      <c r="L19" s="36"/>
    </row>
    <row r="20" spans="1:12" ht="13.15" x14ac:dyDescent="0.4">
      <c r="A20" s="36"/>
      <c r="B20" s="59" t="s">
        <v>202</v>
      </c>
      <c r="C20" s="60">
        <v>730326988931</v>
      </c>
      <c r="D20" s="60">
        <v>635939099596</v>
      </c>
      <c r="E20" s="60">
        <v>630982622346</v>
      </c>
      <c r="F20" s="61">
        <v>0.99219999999999997</v>
      </c>
      <c r="G20" s="60">
        <v>367125980190</v>
      </c>
      <c r="H20" s="61">
        <v>0.58179999999999998</v>
      </c>
      <c r="I20" s="60">
        <v>64776928572</v>
      </c>
      <c r="J20" s="61">
        <v>0.1027</v>
      </c>
      <c r="K20" s="60">
        <v>263856642156</v>
      </c>
      <c r="L20" s="36"/>
    </row>
    <row r="21" spans="1:12" ht="13.15" x14ac:dyDescent="0.4">
      <c r="A21" s="36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36"/>
    </row>
    <row r="22" spans="1:12" ht="13.15" x14ac:dyDescent="0.4">
      <c r="A22" s="36"/>
      <c r="B22" s="62" t="s">
        <v>9</v>
      </c>
      <c r="C22" s="63"/>
      <c r="D22" s="63"/>
      <c r="E22" s="63"/>
      <c r="F22" s="63"/>
      <c r="G22" s="63"/>
      <c r="H22" s="63"/>
      <c r="I22" s="63"/>
      <c r="J22" s="63"/>
      <c r="K22" s="63"/>
      <c r="L22" s="36"/>
    </row>
    <row r="23" spans="1:12" ht="13.15" x14ac:dyDescent="0.4">
      <c r="A23" s="39"/>
      <c r="B23" s="64" t="s">
        <v>57</v>
      </c>
      <c r="C23" s="64" t="s">
        <v>47</v>
      </c>
      <c r="D23" s="64" t="s">
        <v>194</v>
      </c>
      <c r="E23" s="64" t="s">
        <v>195</v>
      </c>
      <c r="F23" s="64" t="s">
        <v>196</v>
      </c>
      <c r="G23" s="64" t="s">
        <v>197</v>
      </c>
      <c r="H23" s="64" t="s">
        <v>198</v>
      </c>
      <c r="I23" s="64" t="s">
        <v>199</v>
      </c>
      <c r="J23" s="64" t="s">
        <v>200</v>
      </c>
      <c r="K23" s="64" t="s">
        <v>201</v>
      </c>
      <c r="L23" s="39"/>
    </row>
    <row r="24" spans="1:12" ht="13.15" x14ac:dyDescent="0.4">
      <c r="A24" s="36"/>
      <c r="B24" s="57" t="s">
        <v>116</v>
      </c>
      <c r="C24" s="46">
        <v>41949878537</v>
      </c>
      <c r="D24" s="46">
        <v>41949878537</v>
      </c>
      <c r="E24" s="46">
        <v>41949878537</v>
      </c>
      <c r="F24" s="58">
        <v>1</v>
      </c>
      <c r="G24" s="46">
        <v>27105992839</v>
      </c>
      <c r="H24" s="58">
        <v>0.6462</v>
      </c>
      <c r="I24" s="46">
        <v>9476450814</v>
      </c>
      <c r="J24" s="58">
        <v>0.22589999999999999</v>
      </c>
      <c r="K24" s="46">
        <v>14843885698</v>
      </c>
      <c r="L24" s="36"/>
    </row>
    <row r="25" spans="1:12" ht="13.15" x14ac:dyDescent="0.4">
      <c r="A25" s="36"/>
      <c r="B25" s="57" t="s">
        <v>97</v>
      </c>
      <c r="C25" s="46">
        <v>50254776000</v>
      </c>
      <c r="D25" s="46">
        <v>50254775704</v>
      </c>
      <c r="E25" s="46">
        <v>50254775704</v>
      </c>
      <c r="F25" s="58">
        <v>1</v>
      </c>
      <c r="G25" s="46">
        <v>19825889547</v>
      </c>
      <c r="H25" s="58">
        <v>0.39450000000000002</v>
      </c>
      <c r="I25" s="46">
        <v>597174635</v>
      </c>
      <c r="J25" s="58">
        <v>1.1900000000000001E-2</v>
      </c>
      <c r="K25" s="46">
        <v>30428886157</v>
      </c>
      <c r="L25" s="36"/>
    </row>
    <row r="26" spans="1:12" ht="13.15" x14ac:dyDescent="0.4">
      <c r="A26" s="36"/>
      <c r="B26" s="57" t="s">
        <v>131</v>
      </c>
      <c r="C26" s="46">
        <v>22542717000</v>
      </c>
      <c r="D26" s="46">
        <v>22542717000</v>
      </c>
      <c r="E26" s="46">
        <v>22542717000</v>
      </c>
      <c r="F26" s="58">
        <v>1</v>
      </c>
      <c r="G26" s="46">
        <v>15841175257</v>
      </c>
      <c r="H26" s="58">
        <v>0.70269999999999999</v>
      </c>
      <c r="I26" s="46">
        <v>199049764</v>
      </c>
      <c r="J26" s="58">
        <v>8.8000000000000005E-3</v>
      </c>
      <c r="K26" s="46">
        <v>6701541743</v>
      </c>
      <c r="L26" s="36"/>
    </row>
    <row r="27" spans="1:12" ht="13.15" x14ac:dyDescent="0.4">
      <c r="A27" s="36"/>
      <c r="B27" s="57" t="s">
        <v>133</v>
      </c>
      <c r="C27" s="46">
        <v>20805476000</v>
      </c>
      <c r="D27" s="46">
        <v>10707237000</v>
      </c>
      <c r="E27" s="46">
        <v>10707237000</v>
      </c>
      <c r="F27" s="58">
        <v>0.51459999999999995</v>
      </c>
      <c r="G27" s="46">
        <v>7071900470</v>
      </c>
      <c r="H27" s="58">
        <v>0.66049999999999998</v>
      </c>
      <c r="I27" s="46">
        <v>115217475</v>
      </c>
      <c r="J27" s="58">
        <v>1.0800000000000001E-2</v>
      </c>
      <c r="K27" s="46">
        <v>3635336530</v>
      </c>
      <c r="L27" s="36"/>
    </row>
    <row r="28" spans="1:12" ht="13.15" x14ac:dyDescent="0.4">
      <c r="A28" s="36"/>
      <c r="B28" s="57" t="s">
        <v>136</v>
      </c>
      <c r="C28" s="46">
        <v>17365504000</v>
      </c>
      <c r="D28" s="46">
        <v>8682751780</v>
      </c>
      <c r="E28" s="46">
        <v>8682751780</v>
      </c>
      <c r="F28" s="58">
        <v>0.5</v>
      </c>
      <c r="G28" s="46">
        <v>4597972659</v>
      </c>
      <c r="H28" s="58">
        <v>0.52959999999999996</v>
      </c>
      <c r="I28" s="46">
        <v>173537346</v>
      </c>
      <c r="J28" s="58">
        <v>0.02</v>
      </c>
      <c r="K28" s="46">
        <v>4084779121</v>
      </c>
      <c r="L28" s="36"/>
    </row>
    <row r="29" spans="1:12" ht="13.15" x14ac:dyDescent="0.4">
      <c r="A29" s="36"/>
      <c r="B29" s="57" t="s">
        <v>139</v>
      </c>
      <c r="C29" s="46">
        <v>20087368000</v>
      </c>
      <c r="D29" s="46">
        <v>17612130494</v>
      </c>
      <c r="E29" s="46">
        <v>17612130494</v>
      </c>
      <c r="F29" s="58">
        <v>0.87680000000000002</v>
      </c>
      <c r="G29" s="46">
        <v>11242908661</v>
      </c>
      <c r="H29" s="58">
        <v>0.63839999999999997</v>
      </c>
      <c r="I29" s="46">
        <v>337455550</v>
      </c>
      <c r="J29" s="58">
        <v>1.9199999999999998E-2</v>
      </c>
      <c r="K29" s="46">
        <v>6369221833</v>
      </c>
      <c r="L29" s="36"/>
    </row>
    <row r="30" spans="1:12" ht="13.15" x14ac:dyDescent="0.4">
      <c r="A30" s="36"/>
      <c r="B30" s="57" t="s">
        <v>141</v>
      </c>
      <c r="C30" s="46">
        <v>28538689000</v>
      </c>
      <c r="D30" s="46">
        <v>14269344500</v>
      </c>
      <c r="E30" s="46">
        <v>14269344500</v>
      </c>
      <c r="F30" s="58">
        <v>0.5</v>
      </c>
      <c r="G30" s="46">
        <v>6867242480</v>
      </c>
      <c r="H30" s="58">
        <v>0.48130000000000001</v>
      </c>
      <c r="I30" s="46">
        <v>279772000</v>
      </c>
      <c r="J30" s="58">
        <v>1.9599999999999999E-2</v>
      </c>
      <c r="K30" s="46">
        <v>7402102020</v>
      </c>
      <c r="L30" s="36"/>
    </row>
    <row r="31" spans="1:12" ht="13.15" x14ac:dyDescent="0.4">
      <c r="A31" s="36"/>
      <c r="B31" s="57" t="s">
        <v>143</v>
      </c>
      <c r="C31" s="46">
        <v>9243055000</v>
      </c>
      <c r="D31" s="46">
        <v>9243055000</v>
      </c>
      <c r="E31" s="46">
        <v>9243055000</v>
      </c>
      <c r="F31" s="58">
        <v>1</v>
      </c>
      <c r="G31" s="46">
        <v>2283612239</v>
      </c>
      <c r="H31" s="58">
        <v>0.24709999999999999</v>
      </c>
      <c r="I31" s="46">
        <v>113200828</v>
      </c>
      <c r="J31" s="58">
        <v>1.2200000000000001E-2</v>
      </c>
      <c r="K31" s="46">
        <v>6959442761</v>
      </c>
      <c r="L31" s="36"/>
    </row>
    <row r="32" spans="1:12" ht="13.15" x14ac:dyDescent="0.4">
      <c r="A32" s="36"/>
      <c r="B32" s="57" t="s">
        <v>145</v>
      </c>
      <c r="C32" s="46">
        <v>26583433000</v>
      </c>
      <c r="D32" s="46">
        <v>23188564724</v>
      </c>
      <c r="E32" s="46">
        <v>23188564724</v>
      </c>
      <c r="F32" s="58">
        <v>0.87229999999999996</v>
      </c>
      <c r="G32" s="46">
        <v>20906238658</v>
      </c>
      <c r="H32" s="58">
        <v>0.90159999999999996</v>
      </c>
      <c r="I32" s="46">
        <v>1686846918</v>
      </c>
      <c r="J32" s="58">
        <v>7.2700000000000001E-2</v>
      </c>
      <c r="K32" s="46">
        <v>2282326066</v>
      </c>
      <c r="L32" s="36"/>
    </row>
    <row r="33" spans="1:12" ht="13.15" x14ac:dyDescent="0.4">
      <c r="A33" s="36"/>
      <c r="B33" s="57" t="s">
        <v>147</v>
      </c>
      <c r="C33" s="46">
        <v>11122934000</v>
      </c>
      <c r="D33" s="46">
        <v>5561467000</v>
      </c>
      <c r="E33" s="46">
        <v>5561467000</v>
      </c>
      <c r="F33" s="58">
        <v>0.5</v>
      </c>
      <c r="G33" s="46">
        <v>662227879</v>
      </c>
      <c r="H33" s="58">
        <v>0.1191</v>
      </c>
      <c r="I33" s="46">
        <v>421465514</v>
      </c>
      <c r="J33" s="58">
        <v>7.5800000000000006E-2</v>
      </c>
      <c r="K33" s="46">
        <v>4899239121</v>
      </c>
      <c r="L33" s="36"/>
    </row>
    <row r="34" spans="1:12" ht="13.15" x14ac:dyDescent="0.4">
      <c r="A34" s="36"/>
      <c r="B34" s="57" t="s">
        <v>149</v>
      </c>
      <c r="C34" s="46">
        <v>8737570000</v>
      </c>
      <c r="D34" s="46">
        <v>4368785000</v>
      </c>
      <c r="E34" s="46">
        <v>4368785000</v>
      </c>
      <c r="F34" s="58">
        <v>0.5</v>
      </c>
      <c r="G34" s="46">
        <v>742404415</v>
      </c>
      <c r="H34" s="58">
        <v>0.1699</v>
      </c>
      <c r="I34" s="47">
        <v>0</v>
      </c>
      <c r="J34" s="58">
        <v>0</v>
      </c>
      <c r="K34" s="46">
        <v>3626380585</v>
      </c>
      <c r="L34" s="36"/>
    </row>
    <row r="35" spans="1:12" ht="13.15" x14ac:dyDescent="0.4">
      <c r="A35" s="36"/>
      <c r="B35" s="57" t="s">
        <v>151</v>
      </c>
      <c r="C35" s="46">
        <v>1871950730</v>
      </c>
      <c r="D35" s="46">
        <v>1871950730</v>
      </c>
      <c r="E35" s="46">
        <v>1871950730</v>
      </c>
      <c r="F35" s="58">
        <v>1</v>
      </c>
      <c r="G35" s="46">
        <v>483831830</v>
      </c>
      <c r="H35" s="58">
        <v>0.25850000000000001</v>
      </c>
      <c r="I35" s="46">
        <v>78896778</v>
      </c>
      <c r="J35" s="58">
        <v>4.2099999999999999E-2</v>
      </c>
      <c r="K35" s="46">
        <v>1388118900</v>
      </c>
      <c r="L35" s="36"/>
    </row>
    <row r="36" spans="1:12" ht="13.15" x14ac:dyDescent="0.4">
      <c r="A36" s="36"/>
      <c r="B36" s="57" t="s">
        <v>179</v>
      </c>
      <c r="C36" s="47">
        <v>0</v>
      </c>
      <c r="D36" s="47">
        <v>0</v>
      </c>
      <c r="E36" s="47">
        <v>0</v>
      </c>
      <c r="F36" s="53"/>
      <c r="G36" s="47">
        <v>0</v>
      </c>
      <c r="H36" s="53"/>
      <c r="I36" s="47">
        <v>0</v>
      </c>
      <c r="J36" s="53"/>
      <c r="K36" s="47">
        <v>0</v>
      </c>
      <c r="L36" s="36"/>
    </row>
    <row r="37" spans="1:12" ht="13.15" x14ac:dyDescent="0.4">
      <c r="A37" s="36"/>
      <c r="B37" s="57" t="s">
        <v>189</v>
      </c>
      <c r="C37" s="46">
        <v>30325250000</v>
      </c>
      <c r="D37" s="46">
        <v>30325250000</v>
      </c>
      <c r="E37" s="46">
        <v>30325250000</v>
      </c>
      <c r="F37" s="58">
        <v>1</v>
      </c>
      <c r="G37" s="46">
        <v>10341429856</v>
      </c>
      <c r="H37" s="58">
        <v>0.34100000000000003</v>
      </c>
      <c r="I37" s="46">
        <v>298185307</v>
      </c>
      <c r="J37" s="58">
        <v>9.7999999999999997E-3</v>
      </c>
      <c r="K37" s="46">
        <v>19983820144</v>
      </c>
      <c r="L37" s="36"/>
    </row>
    <row r="38" spans="1:12" ht="13.15" x14ac:dyDescent="0.4">
      <c r="A38" s="36"/>
      <c r="B38" s="57" t="s">
        <v>60</v>
      </c>
      <c r="C38" s="46">
        <v>317562391000</v>
      </c>
      <c r="D38" s="46">
        <v>314429861461</v>
      </c>
      <c r="E38" s="46">
        <v>314429861461</v>
      </c>
      <c r="F38" s="58">
        <v>0.99009999999999998</v>
      </c>
      <c r="G38" s="46">
        <v>218058257792</v>
      </c>
      <c r="H38" s="58">
        <v>0.69350000000000001</v>
      </c>
      <c r="I38" s="46">
        <v>42709844280</v>
      </c>
      <c r="J38" s="58">
        <v>0.1358</v>
      </c>
      <c r="K38" s="46">
        <v>96371603669</v>
      </c>
      <c r="L38" s="36"/>
    </row>
    <row r="39" spans="1:12" ht="13.15" x14ac:dyDescent="0.4">
      <c r="A39" s="40"/>
      <c r="B39" s="65" t="s">
        <v>202</v>
      </c>
      <c r="C39" s="66">
        <v>606990992267</v>
      </c>
      <c r="D39" s="66">
        <v>555007768930</v>
      </c>
      <c r="E39" s="66">
        <v>555007768930</v>
      </c>
      <c r="F39" s="67">
        <v>1</v>
      </c>
      <c r="G39" s="66">
        <v>346031084582</v>
      </c>
      <c r="H39" s="67">
        <v>0.62350000000000005</v>
      </c>
      <c r="I39" s="66">
        <v>56487097209</v>
      </c>
      <c r="J39" s="67">
        <v>0.1018</v>
      </c>
      <c r="K39" s="66">
        <v>208976684348</v>
      </c>
      <c r="L39" s="40"/>
    </row>
    <row r="40" spans="1:12" ht="13.15" x14ac:dyDescent="0.4">
      <c r="A40" s="36"/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36"/>
    </row>
    <row r="41" spans="1:12" ht="23.25" x14ac:dyDescent="0.4">
      <c r="A41" s="36"/>
      <c r="B41" s="68" t="s">
        <v>21</v>
      </c>
      <c r="C41" s="63"/>
      <c r="D41" s="63"/>
      <c r="E41" s="63"/>
      <c r="F41" s="63"/>
      <c r="G41" s="63"/>
      <c r="H41" s="63"/>
      <c r="I41" s="63"/>
      <c r="J41" s="63"/>
      <c r="K41" s="63"/>
      <c r="L41" s="36"/>
    </row>
    <row r="42" spans="1:12" ht="13.15" x14ac:dyDescent="0.4">
      <c r="A42" s="39"/>
      <c r="B42" s="64" t="s">
        <v>57</v>
      </c>
      <c r="C42" s="64" t="s">
        <v>47</v>
      </c>
      <c r="D42" s="64" t="s">
        <v>52</v>
      </c>
      <c r="E42" s="64" t="s">
        <v>53</v>
      </c>
      <c r="F42" s="64" t="s">
        <v>196</v>
      </c>
      <c r="G42" s="64" t="s">
        <v>203</v>
      </c>
      <c r="H42" s="64" t="s">
        <v>198</v>
      </c>
      <c r="I42" s="64" t="s">
        <v>45</v>
      </c>
      <c r="J42" s="64" t="s">
        <v>200</v>
      </c>
      <c r="K42" s="64" t="s">
        <v>55</v>
      </c>
      <c r="L42" s="39"/>
    </row>
    <row r="43" spans="1:12" ht="13.15" x14ac:dyDescent="0.4">
      <c r="A43" s="36"/>
      <c r="B43" s="57" t="s">
        <v>116</v>
      </c>
      <c r="C43" s="46">
        <v>3172068664</v>
      </c>
      <c r="D43" s="46">
        <v>3172068664</v>
      </c>
      <c r="E43" s="46">
        <v>3172068664</v>
      </c>
      <c r="F43" s="58">
        <v>1</v>
      </c>
      <c r="G43" s="46">
        <v>504841973</v>
      </c>
      <c r="H43" s="58">
        <v>0.15920000000000001</v>
      </c>
      <c r="I43" s="46">
        <v>91509373</v>
      </c>
      <c r="J43" s="58">
        <v>2.8799999999999999E-2</v>
      </c>
      <c r="K43" s="46">
        <v>2667226691</v>
      </c>
      <c r="L43" s="36"/>
    </row>
    <row r="44" spans="1:12" ht="13.15" x14ac:dyDescent="0.4">
      <c r="A44" s="36"/>
      <c r="B44" s="57" t="s">
        <v>97</v>
      </c>
      <c r="C44" s="46">
        <v>6370000000</v>
      </c>
      <c r="D44" s="46">
        <v>6370000000</v>
      </c>
      <c r="E44" s="46">
        <v>6370000000</v>
      </c>
      <c r="F44" s="58">
        <v>1</v>
      </c>
      <c r="G44" s="46">
        <v>182020000</v>
      </c>
      <c r="H44" s="58">
        <v>2.86E-2</v>
      </c>
      <c r="I44" s="46">
        <v>69000000</v>
      </c>
      <c r="J44" s="58">
        <v>1.0800000000000001E-2</v>
      </c>
      <c r="K44" s="46">
        <v>6187980000</v>
      </c>
      <c r="L44" s="36"/>
    </row>
    <row r="45" spans="1:12" ht="13.15" x14ac:dyDescent="0.4">
      <c r="A45" s="36"/>
      <c r="B45" s="57" t="s">
        <v>131</v>
      </c>
      <c r="C45" s="46">
        <v>1504000000</v>
      </c>
      <c r="D45" s="46">
        <v>1504000000</v>
      </c>
      <c r="E45" s="46">
        <v>1504000000</v>
      </c>
      <c r="F45" s="58">
        <v>1</v>
      </c>
      <c r="G45" s="46">
        <v>394079880</v>
      </c>
      <c r="H45" s="58">
        <v>0.26200000000000001</v>
      </c>
      <c r="I45" s="47">
        <v>0</v>
      </c>
      <c r="J45" s="58">
        <v>0</v>
      </c>
      <c r="K45" s="46">
        <v>1109920120</v>
      </c>
      <c r="L45" s="36"/>
    </row>
    <row r="46" spans="1:12" ht="13.15" x14ac:dyDescent="0.4">
      <c r="A46" s="36"/>
      <c r="B46" s="57" t="s">
        <v>133</v>
      </c>
      <c r="C46" s="46">
        <v>1446840000</v>
      </c>
      <c r="D46" s="46">
        <v>723420000</v>
      </c>
      <c r="E46" s="46">
        <v>723420000</v>
      </c>
      <c r="F46" s="58">
        <v>0.5</v>
      </c>
      <c r="G46" s="46">
        <v>46857638</v>
      </c>
      <c r="H46" s="58">
        <v>6.4799999999999996E-2</v>
      </c>
      <c r="I46" s="46">
        <v>8775138</v>
      </c>
      <c r="J46" s="58">
        <v>1.21E-2</v>
      </c>
      <c r="K46" s="46">
        <v>676562362</v>
      </c>
      <c r="L46" s="36"/>
    </row>
    <row r="47" spans="1:12" ht="13.15" x14ac:dyDescent="0.4">
      <c r="A47" s="36"/>
      <c r="B47" s="57" t="s">
        <v>136</v>
      </c>
      <c r="C47" s="46">
        <v>649000000</v>
      </c>
      <c r="D47" s="46">
        <v>324500000</v>
      </c>
      <c r="E47" s="46">
        <v>324500000</v>
      </c>
      <c r="F47" s="58">
        <v>0.5</v>
      </c>
      <c r="G47" s="46">
        <v>24707600</v>
      </c>
      <c r="H47" s="58">
        <v>7.6100000000000001E-2</v>
      </c>
      <c r="I47" s="47">
        <v>0</v>
      </c>
      <c r="J47" s="58">
        <v>0</v>
      </c>
      <c r="K47" s="46">
        <v>299792400</v>
      </c>
      <c r="L47" s="36"/>
    </row>
    <row r="48" spans="1:12" ht="13.15" x14ac:dyDescent="0.4">
      <c r="A48" s="36"/>
      <c r="B48" s="57" t="s">
        <v>139</v>
      </c>
      <c r="C48" s="46">
        <v>1185000000</v>
      </c>
      <c r="D48" s="46">
        <v>592500000</v>
      </c>
      <c r="E48" s="46">
        <v>592500000</v>
      </c>
      <c r="F48" s="58">
        <v>0.5</v>
      </c>
      <c r="G48" s="46">
        <v>495830000</v>
      </c>
      <c r="H48" s="58">
        <v>0.83679999999999999</v>
      </c>
      <c r="I48" s="47">
        <v>0</v>
      </c>
      <c r="J48" s="58">
        <v>0</v>
      </c>
      <c r="K48" s="46">
        <v>96670000</v>
      </c>
      <c r="L48" s="36"/>
    </row>
    <row r="49" spans="1:12" ht="13.15" x14ac:dyDescent="0.4">
      <c r="A49" s="36"/>
      <c r="B49" s="57" t="s">
        <v>141</v>
      </c>
      <c r="C49" s="46">
        <v>2242000000</v>
      </c>
      <c r="D49" s="46">
        <v>1121000000</v>
      </c>
      <c r="E49" s="46">
        <v>1121000000</v>
      </c>
      <c r="F49" s="58">
        <v>0.5</v>
      </c>
      <c r="G49" s="46">
        <v>45459000</v>
      </c>
      <c r="H49" s="58">
        <v>4.0599999999999997E-2</v>
      </c>
      <c r="I49" s="46">
        <v>36500000</v>
      </c>
      <c r="J49" s="58">
        <v>3.2599999999999997E-2</v>
      </c>
      <c r="K49" s="46">
        <v>1075541000</v>
      </c>
      <c r="L49" s="36"/>
    </row>
    <row r="50" spans="1:12" ht="13.15" x14ac:dyDescent="0.4">
      <c r="A50" s="36"/>
      <c r="B50" s="57" t="s">
        <v>143</v>
      </c>
      <c r="C50" s="46">
        <v>778000000</v>
      </c>
      <c r="D50" s="46">
        <v>778000000</v>
      </c>
      <c r="E50" s="46">
        <v>778000000</v>
      </c>
      <c r="F50" s="58">
        <v>1</v>
      </c>
      <c r="G50" s="46">
        <v>1944000</v>
      </c>
      <c r="H50" s="58">
        <v>2.5000000000000001E-3</v>
      </c>
      <c r="I50" s="46">
        <v>1944000</v>
      </c>
      <c r="J50" s="58">
        <v>2.5000000000000001E-3</v>
      </c>
      <c r="K50" s="46">
        <v>776056000</v>
      </c>
      <c r="L50" s="36"/>
    </row>
    <row r="51" spans="1:12" ht="13.15" x14ac:dyDescent="0.4">
      <c r="A51" s="36"/>
      <c r="B51" s="57" t="s">
        <v>145</v>
      </c>
      <c r="C51" s="46">
        <v>1600000000</v>
      </c>
      <c r="D51" s="46">
        <v>800000000</v>
      </c>
      <c r="E51" s="46">
        <v>800000000</v>
      </c>
      <c r="F51" s="58">
        <v>0.5</v>
      </c>
      <c r="G51" s="47">
        <v>0</v>
      </c>
      <c r="H51" s="58">
        <v>0</v>
      </c>
      <c r="I51" s="47">
        <v>0</v>
      </c>
      <c r="J51" s="58">
        <v>0</v>
      </c>
      <c r="K51" s="46">
        <v>800000000</v>
      </c>
      <c r="L51" s="36"/>
    </row>
    <row r="52" spans="1:12" ht="13.15" x14ac:dyDescent="0.4">
      <c r="A52" s="36"/>
      <c r="B52" s="57" t="s">
        <v>147</v>
      </c>
      <c r="C52" s="46">
        <v>200000000</v>
      </c>
      <c r="D52" s="46">
        <v>100000000</v>
      </c>
      <c r="E52" s="46">
        <v>100000000</v>
      </c>
      <c r="F52" s="58">
        <v>0.5</v>
      </c>
      <c r="G52" s="47">
        <v>0</v>
      </c>
      <c r="H52" s="58">
        <v>0</v>
      </c>
      <c r="I52" s="47">
        <v>0</v>
      </c>
      <c r="J52" s="58">
        <v>0</v>
      </c>
      <c r="K52" s="46">
        <v>100000000</v>
      </c>
      <c r="L52" s="36"/>
    </row>
    <row r="53" spans="1:12" ht="13.15" x14ac:dyDescent="0.4">
      <c r="A53" s="36"/>
      <c r="B53" s="57" t="s">
        <v>149</v>
      </c>
      <c r="C53" s="46">
        <v>750000000</v>
      </c>
      <c r="D53" s="46">
        <v>375000000</v>
      </c>
      <c r="E53" s="46">
        <v>375000000</v>
      </c>
      <c r="F53" s="58">
        <v>0.5</v>
      </c>
      <c r="G53" s="47">
        <v>0</v>
      </c>
      <c r="H53" s="58">
        <v>0</v>
      </c>
      <c r="I53" s="47">
        <v>0</v>
      </c>
      <c r="J53" s="58">
        <v>0</v>
      </c>
      <c r="K53" s="46">
        <v>375000000</v>
      </c>
      <c r="L53" s="36"/>
    </row>
    <row r="54" spans="1:12" ht="13.15" x14ac:dyDescent="0.4">
      <c r="A54" s="36"/>
      <c r="B54" s="57" t="s">
        <v>151</v>
      </c>
      <c r="C54" s="47">
        <v>0</v>
      </c>
      <c r="D54" s="47">
        <v>0</v>
      </c>
      <c r="E54" s="47">
        <v>0</v>
      </c>
      <c r="F54" s="53"/>
      <c r="G54" s="47">
        <v>0</v>
      </c>
      <c r="H54" s="53"/>
      <c r="I54" s="47">
        <v>0</v>
      </c>
      <c r="J54" s="53"/>
      <c r="K54" s="47">
        <v>0</v>
      </c>
      <c r="L54" s="36"/>
    </row>
    <row r="55" spans="1:12" ht="13.15" x14ac:dyDescent="0.4">
      <c r="A55" s="36"/>
      <c r="B55" s="57" t="s">
        <v>179</v>
      </c>
      <c r="C55" s="46">
        <v>27992478000</v>
      </c>
      <c r="D55" s="46">
        <v>16119980214</v>
      </c>
      <c r="E55" s="46">
        <v>16119980214</v>
      </c>
      <c r="F55" s="58">
        <v>0.57589999999999997</v>
      </c>
      <c r="G55" s="46">
        <v>9317373980</v>
      </c>
      <c r="H55" s="58">
        <v>0.57799999999999996</v>
      </c>
      <c r="I55" s="46">
        <v>346781748</v>
      </c>
      <c r="J55" s="58">
        <v>2.1499999999999998E-2</v>
      </c>
      <c r="K55" s="46">
        <v>6802606234</v>
      </c>
      <c r="L55" s="36"/>
    </row>
    <row r="56" spans="1:12" ht="13.15" x14ac:dyDescent="0.4">
      <c r="A56" s="36"/>
      <c r="B56" s="57" t="s">
        <v>189</v>
      </c>
      <c r="C56" s="46">
        <v>300000000</v>
      </c>
      <c r="D56" s="46">
        <v>300000000</v>
      </c>
      <c r="E56" s="46">
        <v>300000000</v>
      </c>
      <c r="F56" s="58">
        <v>1</v>
      </c>
      <c r="G56" s="46">
        <v>4951687</v>
      </c>
      <c r="H56" s="58">
        <v>1.6500000000000001E-2</v>
      </c>
      <c r="I56" s="47">
        <v>0</v>
      </c>
      <c r="J56" s="58">
        <v>0</v>
      </c>
      <c r="K56" s="46">
        <v>295048313</v>
      </c>
      <c r="L56" s="36"/>
    </row>
    <row r="57" spans="1:12" ht="13.15" x14ac:dyDescent="0.4">
      <c r="A57" s="36"/>
      <c r="B57" s="57" t="s">
        <v>60</v>
      </c>
      <c r="C57" s="47">
        <v>0</v>
      </c>
      <c r="D57" s="47">
        <v>0</v>
      </c>
      <c r="E57" s="47">
        <v>0</v>
      </c>
      <c r="F57" s="53"/>
      <c r="G57" s="47">
        <v>0</v>
      </c>
      <c r="H57" s="53"/>
      <c r="I57" s="47">
        <v>0</v>
      </c>
      <c r="J57" s="53"/>
      <c r="K57" s="47">
        <v>0</v>
      </c>
      <c r="L57" s="36"/>
    </row>
    <row r="58" spans="1:12" ht="13.15" x14ac:dyDescent="0.4">
      <c r="A58" s="40"/>
      <c r="B58" s="65" t="s">
        <v>202</v>
      </c>
      <c r="C58" s="66">
        <v>48189386664</v>
      </c>
      <c r="D58" s="66">
        <v>32280468878</v>
      </c>
      <c r="E58" s="66">
        <v>32280468878</v>
      </c>
      <c r="F58" s="67">
        <v>1</v>
      </c>
      <c r="G58" s="66">
        <v>11018065758</v>
      </c>
      <c r="H58" s="67">
        <v>0.34129999999999999</v>
      </c>
      <c r="I58" s="66">
        <v>554510259</v>
      </c>
      <c r="J58" s="67">
        <v>1.72E-2</v>
      </c>
      <c r="K58" s="66">
        <v>21262403120</v>
      </c>
      <c r="L58" s="40"/>
    </row>
    <row r="59" spans="1:12" ht="13.15" x14ac:dyDescent="0.4">
      <c r="A59" s="36"/>
      <c r="B59" s="53"/>
      <c r="C59" s="53"/>
      <c r="D59" s="53"/>
      <c r="E59" s="53"/>
      <c r="F59" s="53"/>
      <c r="G59" s="53"/>
      <c r="H59" s="53"/>
      <c r="I59" s="53"/>
      <c r="J59" s="53"/>
      <c r="K59" s="53"/>
      <c r="L59" s="36"/>
    </row>
    <row r="60" spans="1:12" ht="13.15" x14ac:dyDescent="0.4">
      <c r="A60" s="36"/>
      <c r="B60" s="68" t="s">
        <v>24</v>
      </c>
      <c r="C60" s="63"/>
      <c r="D60" s="63"/>
      <c r="E60" s="63"/>
      <c r="F60" s="63"/>
      <c r="G60" s="63"/>
      <c r="H60" s="63"/>
      <c r="I60" s="63"/>
      <c r="J60" s="63"/>
      <c r="K60" s="63"/>
      <c r="L60" s="36"/>
    </row>
    <row r="61" spans="1:12" ht="13.15" x14ac:dyDescent="0.4">
      <c r="A61" s="39"/>
      <c r="B61" s="64" t="s">
        <v>57</v>
      </c>
      <c r="C61" s="64" t="s">
        <v>47</v>
      </c>
      <c r="D61" s="64" t="s">
        <v>52</v>
      </c>
      <c r="E61" s="64" t="s">
        <v>53</v>
      </c>
      <c r="F61" s="64" t="s">
        <v>196</v>
      </c>
      <c r="G61" s="64" t="s">
        <v>203</v>
      </c>
      <c r="H61" s="64" t="s">
        <v>198</v>
      </c>
      <c r="I61" s="64" t="s">
        <v>45</v>
      </c>
      <c r="J61" s="64" t="s">
        <v>200</v>
      </c>
      <c r="K61" s="64" t="s">
        <v>55</v>
      </c>
      <c r="L61" s="39"/>
    </row>
    <row r="62" spans="1:12" ht="13.15" x14ac:dyDescent="0.4">
      <c r="A62" s="36"/>
      <c r="B62" s="57" t="s">
        <v>116</v>
      </c>
      <c r="C62" s="47">
        <v>0</v>
      </c>
      <c r="D62" s="47">
        <v>0</v>
      </c>
      <c r="E62" s="47">
        <v>0</v>
      </c>
      <c r="F62" s="53"/>
      <c r="G62" s="47">
        <v>0</v>
      </c>
      <c r="H62" s="53"/>
      <c r="I62" s="47">
        <v>0</v>
      </c>
      <c r="J62" s="53"/>
      <c r="K62" s="47">
        <v>0</v>
      </c>
      <c r="L62" s="36"/>
    </row>
    <row r="63" spans="1:12" ht="13.15" x14ac:dyDescent="0.4">
      <c r="A63" s="36"/>
      <c r="B63" s="57" t="s">
        <v>97</v>
      </c>
      <c r="C63" s="47">
        <v>0</v>
      </c>
      <c r="D63" s="47">
        <v>0</v>
      </c>
      <c r="E63" s="47">
        <v>0</v>
      </c>
      <c r="F63" s="53"/>
      <c r="G63" s="47">
        <v>0</v>
      </c>
      <c r="H63" s="53"/>
      <c r="I63" s="47">
        <v>0</v>
      </c>
      <c r="J63" s="53"/>
      <c r="K63" s="47">
        <v>0</v>
      </c>
      <c r="L63" s="36"/>
    </row>
    <row r="64" spans="1:12" ht="13.15" x14ac:dyDescent="0.4">
      <c r="A64" s="36"/>
      <c r="B64" s="57" t="s">
        <v>131</v>
      </c>
      <c r="C64" s="47">
        <v>0</v>
      </c>
      <c r="D64" s="47">
        <v>0</v>
      </c>
      <c r="E64" s="47">
        <v>0</v>
      </c>
      <c r="F64" s="53"/>
      <c r="G64" s="47">
        <v>0</v>
      </c>
      <c r="H64" s="53"/>
      <c r="I64" s="47">
        <v>0</v>
      </c>
      <c r="J64" s="53"/>
      <c r="K64" s="47">
        <v>0</v>
      </c>
      <c r="L64" s="36"/>
    </row>
    <row r="65" spans="1:12" ht="13.15" x14ac:dyDescent="0.4">
      <c r="A65" s="36"/>
      <c r="B65" s="57" t="s">
        <v>133</v>
      </c>
      <c r="C65" s="47">
        <v>0</v>
      </c>
      <c r="D65" s="47">
        <v>0</v>
      </c>
      <c r="E65" s="47">
        <v>0</v>
      </c>
      <c r="F65" s="53"/>
      <c r="G65" s="47">
        <v>0</v>
      </c>
      <c r="H65" s="53"/>
      <c r="I65" s="47">
        <v>0</v>
      </c>
      <c r="J65" s="53"/>
      <c r="K65" s="47">
        <v>0</v>
      </c>
      <c r="L65" s="36"/>
    </row>
    <row r="66" spans="1:12" ht="13.15" x14ac:dyDescent="0.4">
      <c r="A66" s="36"/>
      <c r="B66" s="57" t="s">
        <v>136</v>
      </c>
      <c r="C66" s="47">
        <v>0</v>
      </c>
      <c r="D66" s="47">
        <v>0</v>
      </c>
      <c r="E66" s="47">
        <v>0</v>
      </c>
      <c r="F66" s="53"/>
      <c r="G66" s="47">
        <v>0</v>
      </c>
      <c r="H66" s="53"/>
      <c r="I66" s="47">
        <v>0</v>
      </c>
      <c r="J66" s="53"/>
      <c r="K66" s="47">
        <v>0</v>
      </c>
      <c r="L66" s="36"/>
    </row>
    <row r="67" spans="1:12" ht="13.15" x14ac:dyDescent="0.4">
      <c r="A67" s="36"/>
      <c r="B67" s="57" t="s">
        <v>139</v>
      </c>
      <c r="C67" s="47">
        <v>0</v>
      </c>
      <c r="D67" s="47">
        <v>0</v>
      </c>
      <c r="E67" s="47">
        <v>0</v>
      </c>
      <c r="F67" s="53"/>
      <c r="G67" s="47">
        <v>0</v>
      </c>
      <c r="H67" s="53"/>
      <c r="I67" s="47">
        <v>0</v>
      </c>
      <c r="J67" s="53"/>
      <c r="K67" s="47">
        <v>0</v>
      </c>
      <c r="L67" s="36"/>
    </row>
    <row r="68" spans="1:12" ht="13.15" x14ac:dyDescent="0.4">
      <c r="A68" s="36"/>
      <c r="B68" s="57" t="s">
        <v>141</v>
      </c>
      <c r="C68" s="47">
        <v>0</v>
      </c>
      <c r="D68" s="47">
        <v>0</v>
      </c>
      <c r="E68" s="47">
        <v>0</v>
      </c>
      <c r="F68" s="53"/>
      <c r="G68" s="47">
        <v>0</v>
      </c>
      <c r="H68" s="53"/>
      <c r="I68" s="47">
        <v>0</v>
      </c>
      <c r="J68" s="53"/>
      <c r="K68" s="47">
        <v>0</v>
      </c>
      <c r="L68" s="36"/>
    </row>
    <row r="69" spans="1:12" ht="13.15" x14ac:dyDescent="0.4">
      <c r="A69" s="36"/>
      <c r="B69" s="57" t="s">
        <v>143</v>
      </c>
      <c r="C69" s="47">
        <v>0</v>
      </c>
      <c r="D69" s="47">
        <v>0</v>
      </c>
      <c r="E69" s="47">
        <v>0</v>
      </c>
      <c r="F69" s="53"/>
      <c r="G69" s="47">
        <v>0</v>
      </c>
      <c r="H69" s="53"/>
      <c r="I69" s="47">
        <v>0</v>
      </c>
      <c r="J69" s="53"/>
      <c r="K69" s="47">
        <v>0</v>
      </c>
      <c r="L69" s="36"/>
    </row>
    <row r="70" spans="1:12" ht="13.15" x14ac:dyDescent="0.4">
      <c r="A70" s="36"/>
      <c r="B70" s="57" t="s">
        <v>145</v>
      </c>
      <c r="C70" s="47">
        <v>0</v>
      </c>
      <c r="D70" s="47">
        <v>0</v>
      </c>
      <c r="E70" s="47">
        <v>0</v>
      </c>
      <c r="F70" s="53"/>
      <c r="G70" s="47">
        <v>0</v>
      </c>
      <c r="H70" s="53"/>
      <c r="I70" s="47">
        <v>0</v>
      </c>
      <c r="J70" s="53"/>
      <c r="K70" s="47">
        <v>0</v>
      </c>
      <c r="L70" s="36"/>
    </row>
    <row r="71" spans="1:12" ht="13.15" x14ac:dyDescent="0.4">
      <c r="A71" s="36"/>
      <c r="B71" s="57" t="s">
        <v>147</v>
      </c>
      <c r="C71" s="47">
        <v>0</v>
      </c>
      <c r="D71" s="47">
        <v>0</v>
      </c>
      <c r="E71" s="47">
        <v>0</v>
      </c>
      <c r="F71" s="53"/>
      <c r="G71" s="47">
        <v>0</v>
      </c>
      <c r="H71" s="53"/>
      <c r="I71" s="47">
        <v>0</v>
      </c>
      <c r="J71" s="53"/>
      <c r="K71" s="47">
        <v>0</v>
      </c>
      <c r="L71" s="36"/>
    </row>
    <row r="72" spans="1:12" ht="13.15" x14ac:dyDescent="0.4">
      <c r="A72" s="36"/>
      <c r="B72" s="57" t="s">
        <v>149</v>
      </c>
      <c r="C72" s="47">
        <v>0</v>
      </c>
      <c r="D72" s="47">
        <v>0</v>
      </c>
      <c r="E72" s="47">
        <v>0</v>
      </c>
      <c r="F72" s="53"/>
      <c r="G72" s="47">
        <v>0</v>
      </c>
      <c r="H72" s="53"/>
      <c r="I72" s="47">
        <v>0</v>
      </c>
      <c r="J72" s="53"/>
      <c r="K72" s="47">
        <v>0</v>
      </c>
      <c r="L72" s="36"/>
    </row>
    <row r="73" spans="1:12" ht="13.15" x14ac:dyDescent="0.4">
      <c r="A73" s="36"/>
      <c r="B73" s="57" t="s">
        <v>151</v>
      </c>
      <c r="C73" s="47">
        <v>0</v>
      </c>
      <c r="D73" s="47">
        <v>0</v>
      </c>
      <c r="E73" s="47">
        <v>0</v>
      </c>
      <c r="F73" s="53"/>
      <c r="G73" s="47">
        <v>0</v>
      </c>
      <c r="H73" s="53"/>
      <c r="I73" s="47">
        <v>0</v>
      </c>
      <c r="J73" s="53"/>
      <c r="K73" s="47">
        <v>0</v>
      </c>
      <c r="L73" s="36"/>
    </row>
    <row r="74" spans="1:12" ht="13.15" x14ac:dyDescent="0.4">
      <c r="A74" s="36"/>
      <c r="B74" s="57" t="s">
        <v>179</v>
      </c>
      <c r="C74" s="47">
        <v>0</v>
      </c>
      <c r="D74" s="47">
        <v>0</v>
      </c>
      <c r="E74" s="47">
        <v>0</v>
      </c>
      <c r="F74" s="53"/>
      <c r="G74" s="47">
        <v>0</v>
      </c>
      <c r="H74" s="53"/>
      <c r="I74" s="47">
        <v>0</v>
      </c>
      <c r="J74" s="53"/>
      <c r="K74" s="47">
        <v>0</v>
      </c>
      <c r="L74" s="36"/>
    </row>
    <row r="75" spans="1:12" ht="13.15" x14ac:dyDescent="0.4">
      <c r="A75" s="36"/>
      <c r="B75" s="57" t="s">
        <v>189</v>
      </c>
      <c r="C75" s="47">
        <v>0</v>
      </c>
      <c r="D75" s="47">
        <v>0</v>
      </c>
      <c r="E75" s="47">
        <v>0</v>
      </c>
      <c r="F75" s="53"/>
      <c r="G75" s="47">
        <v>0</v>
      </c>
      <c r="H75" s="53"/>
      <c r="I75" s="47">
        <v>0</v>
      </c>
      <c r="J75" s="53"/>
      <c r="K75" s="47">
        <v>0</v>
      </c>
      <c r="L75" s="36"/>
    </row>
    <row r="76" spans="1:12" ht="13.15" x14ac:dyDescent="0.4">
      <c r="A76" s="36"/>
      <c r="B76" s="57" t="s">
        <v>60</v>
      </c>
      <c r="C76" s="46">
        <v>500000000</v>
      </c>
      <c r="D76" s="46">
        <v>500000000</v>
      </c>
      <c r="E76" s="46">
        <v>375000000</v>
      </c>
      <c r="F76" s="58">
        <v>0.75</v>
      </c>
      <c r="G76" s="46">
        <v>20986164</v>
      </c>
      <c r="H76" s="58">
        <v>5.6000000000000001E-2</v>
      </c>
      <c r="I76" s="47">
        <v>0</v>
      </c>
      <c r="J76" s="58">
        <v>0</v>
      </c>
      <c r="K76" s="46">
        <v>354013836</v>
      </c>
      <c r="L76" s="36"/>
    </row>
    <row r="77" spans="1:12" ht="13.15" x14ac:dyDescent="0.4">
      <c r="A77" s="40"/>
      <c r="B77" s="65" t="s">
        <v>202</v>
      </c>
      <c r="C77" s="66">
        <v>500000000</v>
      </c>
      <c r="D77" s="66">
        <v>500000000</v>
      </c>
      <c r="E77" s="66">
        <v>375000000</v>
      </c>
      <c r="F77" s="67">
        <v>0.75</v>
      </c>
      <c r="G77" s="66">
        <v>20986164</v>
      </c>
      <c r="H77" s="67">
        <v>5.6000000000000001E-2</v>
      </c>
      <c r="I77" s="69">
        <v>0</v>
      </c>
      <c r="J77" s="67">
        <v>0</v>
      </c>
      <c r="K77" s="66">
        <v>354013836</v>
      </c>
      <c r="L77" s="40"/>
    </row>
    <row r="78" spans="1:12" ht="13.15" x14ac:dyDescent="0.4">
      <c r="A78" s="36"/>
      <c r="B78" s="53"/>
      <c r="C78" s="53"/>
      <c r="D78" s="53"/>
      <c r="E78" s="53"/>
      <c r="F78" s="53"/>
      <c r="G78" s="53"/>
      <c r="H78" s="53"/>
      <c r="I78" s="53"/>
      <c r="J78" s="53"/>
      <c r="K78" s="53"/>
      <c r="L78" s="36"/>
    </row>
    <row r="79" spans="1:12" ht="13.15" x14ac:dyDescent="0.4">
      <c r="A79" s="36"/>
      <c r="B79" s="68" t="s">
        <v>25</v>
      </c>
      <c r="C79" s="63"/>
      <c r="D79" s="63"/>
      <c r="E79" s="63"/>
      <c r="F79" s="63"/>
      <c r="G79" s="63"/>
      <c r="H79" s="63"/>
      <c r="I79" s="63"/>
      <c r="J79" s="63"/>
      <c r="K79" s="63"/>
      <c r="L79" s="36"/>
    </row>
    <row r="80" spans="1:12" ht="13.15" x14ac:dyDescent="0.4">
      <c r="A80" s="39"/>
      <c r="B80" s="64" t="s">
        <v>57</v>
      </c>
      <c r="C80" s="64" t="s">
        <v>47</v>
      </c>
      <c r="D80" s="64" t="s">
        <v>52</v>
      </c>
      <c r="E80" s="64" t="s">
        <v>53</v>
      </c>
      <c r="F80" s="64" t="s">
        <v>196</v>
      </c>
      <c r="G80" s="64" t="s">
        <v>203</v>
      </c>
      <c r="H80" s="64" t="s">
        <v>198</v>
      </c>
      <c r="I80" s="64" t="s">
        <v>45</v>
      </c>
      <c r="J80" s="64" t="s">
        <v>200</v>
      </c>
      <c r="K80" s="64" t="s">
        <v>55</v>
      </c>
      <c r="L80" s="39"/>
    </row>
    <row r="81" spans="1:12" ht="13.15" x14ac:dyDescent="0.4">
      <c r="A81" s="36"/>
      <c r="B81" s="57" t="s">
        <v>116</v>
      </c>
      <c r="C81" s="46">
        <v>1931870000</v>
      </c>
      <c r="D81" s="46">
        <v>1931870000</v>
      </c>
      <c r="E81" s="46">
        <v>1506172500</v>
      </c>
      <c r="F81" s="58">
        <v>0.77959999999999996</v>
      </c>
      <c r="G81" s="46">
        <v>182107000</v>
      </c>
      <c r="H81" s="58">
        <v>0.12089999999999999</v>
      </c>
      <c r="I81" s="46">
        <v>131797000</v>
      </c>
      <c r="J81" s="58">
        <v>8.7499999999999994E-2</v>
      </c>
      <c r="K81" s="46">
        <v>1324065500</v>
      </c>
      <c r="L81" s="36"/>
    </row>
    <row r="82" spans="1:12" ht="13.15" x14ac:dyDescent="0.4">
      <c r="A82" s="36"/>
      <c r="B82" s="57" t="s">
        <v>97</v>
      </c>
      <c r="C82" s="46">
        <v>2561006000</v>
      </c>
      <c r="D82" s="46">
        <v>2561006000</v>
      </c>
      <c r="E82" s="46">
        <v>1989504500</v>
      </c>
      <c r="F82" s="58">
        <v>0.77680000000000005</v>
      </c>
      <c r="G82" s="46">
        <v>285326791</v>
      </c>
      <c r="H82" s="58">
        <v>0.1434</v>
      </c>
      <c r="I82" s="46">
        <v>169784700</v>
      </c>
      <c r="J82" s="58">
        <v>8.5300000000000001E-2</v>
      </c>
      <c r="K82" s="46">
        <v>1704177709</v>
      </c>
      <c r="L82" s="36"/>
    </row>
    <row r="83" spans="1:12" ht="13.15" x14ac:dyDescent="0.4">
      <c r="A83" s="36"/>
      <c r="B83" s="57" t="s">
        <v>131</v>
      </c>
      <c r="C83" s="46">
        <v>1162320000</v>
      </c>
      <c r="D83" s="46">
        <v>1062320000</v>
      </c>
      <c r="E83" s="46">
        <v>827490000</v>
      </c>
      <c r="F83" s="58">
        <v>0.71189999999999998</v>
      </c>
      <c r="G83" s="46">
        <v>225859389</v>
      </c>
      <c r="H83" s="58">
        <v>0.27289999999999998</v>
      </c>
      <c r="I83" s="46">
        <v>168453609</v>
      </c>
      <c r="J83" s="58">
        <v>0.2036</v>
      </c>
      <c r="K83" s="46">
        <v>601630611</v>
      </c>
      <c r="L83" s="36"/>
    </row>
    <row r="84" spans="1:12" ht="13.15" x14ac:dyDescent="0.4">
      <c r="A84" s="36"/>
      <c r="B84" s="57" t="s">
        <v>133</v>
      </c>
      <c r="C84" s="46">
        <v>1682602000</v>
      </c>
      <c r="D84" s="46">
        <v>420650500</v>
      </c>
      <c r="E84" s="46">
        <v>420650500</v>
      </c>
      <c r="F84" s="58">
        <v>0.25</v>
      </c>
      <c r="G84" s="46">
        <v>349705466</v>
      </c>
      <c r="H84" s="58">
        <v>0.83130000000000004</v>
      </c>
      <c r="I84" s="46">
        <v>143551635</v>
      </c>
      <c r="J84" s="58">
        <v>0.34129999999999999</v>
      </c>
      <c r="K84" s="46">
        <v>70945034</v>
      </c>
      <c r="L84" s="36"/>
    </row>
    <row r="85" spans="1:12" ht="13.15" x14ac:dyDescent="0.4">
      <c r="A85" s="36"/>
      <c r="B85" s="57" t="s">
        <v>136</v>
      </c>
      <c r="C85" s="46">
        <v>1684046000</v>
      </c>
      <c r="D85" s="46">
        <v>449480311</v>
      </c>
      <c r="E85" s="46">
        <v>449480311</v>
      </c>
      <c r="F85" s="58">
        <v>0.26690000000000003</v>
      </c>
      <c r="G85" s="46">
        <v>233491671</v>
      </c>
      <c r="H85" s="58">
        <v>0.51949999999999996</v>
      </c>
      <c r="I85" s="46">
        <v>173850671</v>
      </c>
      <c r="J85" s="58">
        <v>0.38679999999999998</v>
      </c>
      <c r="K85" s="46">
        <v>215988640</v>
      </c>
      <c r="L85" s="36"/>
    </row>
    <row r="86" spans="1:12" ht="13.15" x14ac:dyDescent="0.4">
      <c r="A86" s="36"/>
      <c r="B86" s="57" t="s">
        <v>139</v>
      </c>
      <c r="C86" s="46">
        <v>1822913000</v>
      </c>
      <c r="D86" s="46">
        <v>993994535</v>
      </c>
      <c r="E86" s="46">
        <v>993994535</v>
      </c>
      <c r="F86" s="58">
        <v>0.54530000000000001</v>
      </c>
      <c r="G86" s="46">
        <v>916193822</v>
      </c>
      <c r="H86" s="58">
        <v>0.92169999999999996</v>
      </c>
      <c r="I86" s="46">
        <v>155531150</v>
      </c>
      <c r="J86" s="58">
        <v>0.1565</v>
      </c>
      <c r="K86" s="46">
        <v>77800713</v>
      </c>
      <c r="L86" s="36"/>
    </row>
    <row r="87" spans="1:12" ht="13.15" x14ac:dyDescent="0.4">
      <c r="A87" s="36"/>
      <c r="B87" s="57" t="s">
        <v>141</v>
      </c>
      <c r="C87" s="46">
        <v>1882128000</v>
      </c>
      <c r="D87" s="46">
        <v>569432500</v>
      </c>
      <c r="E87" s="46">
        <v>569432500</v>
      </c>
      <c r="F87" s="58">
        <v>0.30249999999999999</v>
      </c>
      <c r="G87" s="46">
        <v>270493915</v>
      </c>
      <c r="H87" s="58">
        <v>0.47499999999999998</v>
      </c>
      <c r="I87" s="46">
        <v>179601415</v>
      </c>
      <c r="J87" s="58">
        <v>0.31540000000000001</v>
      </c>
      <c r="K87" s="46">
        <v>298938585</v>
      </c>
      <c r="L87" s="36"/>
    </row>
    <row r="88" spans="1:12" ht="13.15" x14ac:dyDescent="0.4">
      <c r="A88" s="36"/>
      <c r="B88" s="57" t="s">
        <v>143</v>
      </c>
      <c r="C88" s="46">
        <v>1216858000</v>
      </c>
      <c r="D88" s="46">
        <v>1076858000</v>
      </c>
      <c r="E88" s="46">
        <v>841718500</v>
      </c>
      <c r="F88" s="58">
        <v>0.69169999999999998</v>
      </c>
      <c r="G88" s="46">
        <v>137165501</v>
      </c>
      <c r="H88" s="58">
        <v>0.16300000000000001</v>
      </c>
      <c r="I88" s="46">
        <v>77443001</v>
      </c>
      <c r="J88" s="58">
        <v>9.1999999999999998E-2</v>
      </c>
      <c r="K88" s="46">
        <v>704552999</v>
      </c>
      <c r="L88" s="36"/>
    </row>
    <row r="89" spans="1:12" ht="13.15" x14ac:dyDescent="0.4">
      <c r="A89" s="36"/>
      <c r="B89" s="57" t="s">
        <v>145</v>
      </c>
      <c r="C89" s="46">
        <v>1861257000</v>
      </c>
      <c r="D89" s="46">
        <v>671629250</v>
      </c>
      <c r="E89" s="46">
        <v>671629250</v>
      </c>
      <c r="F89" s="58">
        <v>0.36080000000000001</v>
      </c>
      <c r="G89" s="46">
        <v>225459743</v>
      </c>
      <c r="H89" s="58">
        <v>0.3357</v>
      </c>
      <c r="I89" s="46">
        <v>163028728</v>
      </c>
      <c r="J89" s="58">
        <v>0.2427</v>
      </c>
      <c r="K89" s="46">
        <v>446169507</v>
      </c>
      <c r="L89" s="36"/>
    </row>
    <row r="90" spans="1:12" ht="13.15" x14ac:dyDescent="0.4">
      <c r="A90" s="36"/>
      <c r="B90" s="57" t="s">
        <v>147</v>
      </c>
      <c r="C90" s="46">
        <v>960700000</v>
      </c>
      <c r="D90" s="46">
        <v>467575000</v>
      </c>
      <c r="E90" s="46">
        <v>467575000</v>
      </c>
      <c r="F90" s="58">
        <v>0.48670000000000002</v>
      </c>
      <c r="G90" s="46">
        <v>187641412</v>
      </c>
      <c r="H90" s="58">
        <v>0.40129999999999999</v>
      </c>
      <c r="I90" s="46">
        <v>153407412</v>
      </c>
      <c r="J90" s="58">
        <v>0.3281</v>
      </c>
      <c r="K90" s="46">
        <v>279933588</v>
      </c>
      <c r="L90" s="36"/>
    </row>
    <row r="91" spans="1:12" ht="13.15" x14ac:dyDescent="0.4">
      <c r="A91" s="36"/>
      <c r="B91" s="57" t="s">
        <v>149</v>
      </c>
      <c r="C91" s="46">
        <v>1792231000</v>
      </c>
      <c r="D91" s="46">
        <v>470557750</v>
      </c>
      <c r="E91" s="46">
        <v>470557750</v>
      </c>
      <c r="F91" s="58">
        <v>0.2626</v>
      </c>
      <c r="G91" s="46">
        <v>273142046</v>
      </c>
      <c r="H91" s="58">
        <v>0.58050000000000002</v>
      </c>
      <c r="I91" s="46">
        <v>150415596</v>
      </c>
      <c r="J91" s="58">
        <v>0.31969999999999998</v>
      </c>
      <c r="K91" s="46">
        <v>197415704</v>
      </c>
      <c r="L91" s="36"/>
    </row>
    <row r="92" spans="1:12" ht="13.15" x14ac:dyDescent="0.4">
      <c r="A92" s="36"/>
      <c r="B92" s="57" t="s">
        <v>151</v>
      </c>
      <c r="C92" s="46">
        <v>372660000</v>
      </c>
      <c r="D92" s="46">
        <v>372660000</v>
      </c>
      <c r="E92" s="46">
        <v>372660000</v>
      </c>
      <c r="F92" s="58">
        <v>1</v>
      </c>
      <c r="G92" s="46">
        <v>14517350</v>
      </c>
      <c r="H92" s="58">
        <v>3.9E-2</v>
      </c>
      <c r="I92" s="46">
        <v>5604650</v>
      </c>
      <c r="J92" s="58">
        <v>1.4999999999999999E-2</v>
      </c>
      <c r="K92" s="46">
        <v>358142650</v>
      </c>
      <c r="L92" s="36"/>
    </row>
    <row r="93" spans="1:12" ht="13.15" x14ac:dyDescent="0.4">
      <c r="A93" s="36"/>
      <c r="B93" s="57" t="s">
        <v>179</v>
      </c>
      <c r="C93" s="46">
        <v>3494050000</v>
      </c>
      <c r="D93" s="46">
        <v>908980500</v>
      </c>
      <c r="E93" s="46">
        <v>908980500</v>
      </c>
      <c r="F93" s="58">
        <v>0.26019999999999999</v>
      </c>
      <c r="G93" s="46">
        <v>529636666</v>
      </c>
      <c r="H93" s="58">
        <v>0.5827</v>
      </c>
      <c r="I93" s="46">
        <v>309680677</v>
      </c>
      <c r="J93" s="58">
        <v>0.3407</v>
      </c>
      <c r="K93" s="46">
        <v>379343834</v>
      </c>
      <c r="L93" s="36"/>
    </row>
    <row r="94" spans="1:12" ht="13.15" x14ac:dyDescent="0.4">
      <c r="A94" s="36"/>
      <c r="B94" s="57" t="s">
        <v>189</v>
      </c>
      <c r="C94" s="46">
        <v>2401223000</v>
      </c>
      <c r="D94" s="46">
        <v>2401223000</v>
      </c>
      <c r="E94" s="46">
        <v>1841914250</v>
      </c>
      <c r="F94" s="58">
        <v>0.7671</v>
      </c>
      <c r="G94" s="46">
        <v>181635799</v>
      </c>
      <c r="H94" s="58">
        <v>9.8599999999999993E-2</v>
      </c>
      <c r="I94" s="46">
        <v>140480029</v>
      </c>
      <c r="J94" s="58">
        <v>7.6300000000000007E-2</v>
      </c>
      <c r="K94" s="46">
        <v>1660278451</v>
      </c>
      <c r="L94" s="36"/>
    </row>
    <row r="95" spans="1:12" ht="13.15" x14ac:dyDescent="0.4">
      <c r="A95" s="36"/>
      <c r="B95" s="57" t="s">
        <v>60</v>
      </c>
      <c r="C95" s="46">
        <v>7946000000</v>
      </c>
      <c r="D95" s="46">
        <v>7905432611</v>
      </c>
      <c r="E95" s="46">
        <v>6012932611</v>
      </c>
      <c r="F95" s="58">
        <v>0.75670000000000004</v>
      </c>
      <c r="G95" s="46">
        <v>389512664</v>
      </c>
      <c r="H95" s="58">
        <v>6.4799999999999996E-2</v>
      </c>
      <c r="I95" s="46">
        <v>297731450</v>
      </c>
      <c r="J95" s="58">
        <v>4.9500000000000002E-2</v>
      </c>
      <c r="K95" s="46">
        <v>5623419947</v>
      </c>
      <c r="L95" s="36"/>
    </row>
    <row r="96" spans="1:12" ht="13.15" x14ac:dyDescent="0.4">
      <c r="A96" s="40"/>
      <c r="B96" s="65" t="s">
        <v>202</v>
      </c>
      <c r="C96" s="66">
        <v>32771864000</v>
      </c>
      <c r="D96" s="66">
        <v>22263669957</v>
      </c>
      <c r="E96" s="66">
        <v>18344692707</v>
      </c>
      <c r="F96" s="67">
        <v>0.82399999999999995</v>
      </c>
      <c r="G96" s="66">
        <v>4401889235</v>
      </c>
      <c r="H96" s="67">
        <v>0.24</v>
      </c>
      <c r="I96" s="66">
        <v>2420361723</v>
      </c>
      <c r="J96" s="67">
        <v>0.13189999999999999</v>
      </c>
      <c r="K96" s="66">
        <v>13942803472</v>
      </c>
      <c r="L96" s="40"/>
    </row>
    <row r="97" spans="1:12" ht="13.15" x14ac:dyDescent="0.4">
      <c r="A97" s="36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36"/>
    </row>
    <row r="98" spans="1:12" ht="12.75" hidden="1" customHeight="1" x14ac:dyDescent="0.4">
      <c r="A98" s="36"/>
      <c r="B98" s="62" t="s">
        <v>169</v>
      </c>
      <c r="C98" s="63"/>
      <c r="D98" s="63"/>
      <c r="E98" s="63"/>
      <c r="F98" s="63"/>
      <c r="G98" s="63"/>
      <c r="H98" s="63"/>
      <c r="I98" s="63"/>
      <c r="J98" s="63"/>
      <c r="K98" s="63"/>
      <c r="L98" s="36"/>
    </row>
    <row r="99" spans="1:12" ht="12.75" hidden="1" customHeight="1" x14ac:dyDescent="0.4">
      <c r="A99" s="39"/>
      <c r="B99" s="64" t="s">
        <v>57</v>
      </c>
      <c r="C99" s="70"/>
      <c r="D99" s="64" t="s">
        <v>52</v>
      </c>
      <c r="E99" s="64" t="s">
        <v>53</v>
      </c>
      <c r="F99" s="64" t="s">
        <v>196</v>
      </c>
      <c r="G99" s="64" t="s">
        <v>203</v>
      </c>
      <c r="H99" s="64" t="s">
        <v>198</v>
      </c>
      <c r="I99" s="64" t="s">
        <v>45</v>
      </c>
      <c r="J99" s="64" t="s">
        <v>200</v>
      </c>
      <c r="K99" s="64" t="s">
        <v>55</v>
      </c>
      <c r="L99" s="39"/>
    </row>
    <row r="100" spans="1:12" ht="12.75" hidden="1" customHeight="1" x14ac:dyDescent="0.4">
      <c r="A100" s="36"/>
      <c r="B100" s="57" t="s">
        <v>116</v>
      </c>
      <c r="C100" s="53"/>
      <c r="D100" s="47">
        <v>0</v>
      </c>
      <c r="E100" s="47">
        <v>0</v>
      </c>
      <c r="F100" s="53"/>
      <c r="G100" s="47">
        <v>0</v>
      </c>
      <c r="H100" s="53"/>
      <c r="I100" s="47">
        <v>0</v>
      </c>
      <c r="J100" s="53"/>
      <c r="K100" s="47">
        <v>0</v>
      </c>
      <c r="L100" s="36"/>
    </row>
    <row r="101" spans="1:12" ht="12.75" hidden="1" customHeight="1" x14ac:dyDescent="0.4">
      <c r="A101" s="36"/>
      <c r="B101" s="57" t="s">
        <v>97</v>
      </c>
      <c r="C101" s="53"/>
      <c r="D101" s="47">
        <v>0</v>
      </c>
      <c r="E101" s="47">
        <v>0</v>
      </c>
      <c r="F101" s="53"/>
      <c r="G101" s="47">
        <v>0</v>
      </c>
      <c r="H101" s="53"/>
      <c r="I101" s="47">
        <v>0</v>
      </c>
      <c r="J101" s="53"/>
      <c r="K101" s="47">
        <v>0</v>
      </c>
      <c r="L101" s="36"/>
    </row>
    <row r="102" spans="1:12" ht="12.75" hidden="1" customHeight="1" x14ac:dyDescent="0.4">
      <c r="A102" s="36"/>
      <c r="B102" s="57" t="s">
        <v>131</v>
      </c>
      <c r="C102" s="53"/>
      <c r="D102" s="47">
        <v>0</v>
      </c>
      <c r="E102" s="47">
        <v>0</v>
      </c>
      <c r="F102" s="53"/>
      <c r="G102" s="47">
        <v>0</v>
      </c>
      <c r="H102" s="53"/>
      <c r="I102" s="47">
        <v>0</v>
      </c>
      <c r="J102" s="53"/>
      <c r="K102" s="47">
        <v>0</v>
      </c>
      <c r="L102" s="36"/>
    </row>
    <row r="103" spans="1:12" ht="12.75" hidden="1" customHeight="1" x14ac:dyDescent="0.4">
      <c r="A103" s="36"/>
      <c r="B103" s="57" t="s">
        <v>133</v>
      </c>
      <c r="C103" s="53"/>
      <c r="D103" s="47">
        <v>0</v>
      </c>
      <c r="E103" s="47">
        <v>0</v>
      </c>
      <c r="F103" s="53"/>
      <c r="G103" s="47">
        <v>0</v>
      </c>
      <c r="H103" s="53"/>
      <c r="I103" s="47">
        <v>0</v>
      </c>
      <c r="J103" s="53"/>
      <c r="K103" s="47">
        <v>0</v>
      </c>
      <c r="L103" s="36"/>
    </row>
    <row r="104" spans="1:12" ht="12.75" hidden="1" customHeight="1" x14ac:dyDescent="0.4">
      <c r="A104" s="36"/>
      <c r="B104" s="57" t="s">
        <v>136</v>
      </c>
      <c r="C104" s="53"/>
      <c r="D104" s="47">
        <v>0</v>
      </c>
      <c r="E104" s="47">
        <v>0</v>
      </c>
      <c r="F104" s="53"/>
      <c r="G104" s="47">
        <v>0</v>
      </c>
      <c r="H104" s="53"/>
      <c r="I104" s="47">
        <v>0</v>
      </c>
      <c r="J104" s="53"/>
      <c r="K104" s="47">
        <v>0</v>
      </c>
      <c r="L104" s="36"/>
    </row>
    <row r="105" spans="1:12" ht="12.75" hidden="1" customHeight="1" x14ac:dyDescent="0.4">
      <c r="A105" s="36"/>
      <c r="B105" s="57" t="s">
        <v>139</v>
      </c>
      <c r="C105" s="53"/>
      <c r="D105" s="47">
        <v>0</v>
      </c>
      <c r="E105" s="47">
        <v>0</v>
      </c>
      <c r="F105" s="53"/>
      <c r="G105" s="47">
        <v>0</v>
      </c>
      <c r="H105" s="53"/>
      <c r="I105" s="47">
        <v>0</v>
      </c>
      <c r="J105" s="53"/>
      <c r="K105" s="47">
        <v>0</v>
      </c>
      <c r="L105" s="36"/>
    </row>
    <row r="106" spans="1:12" ht="12.75" hidden="1" customHeight="1" x14ac:dyDescent="0.4">
      <c r="A106" s="36"/>
      <c r="B106" s="57" t="s">
        <v>141</v>
      </c>
      <c r="C106" s="53"/>
      <c r="D106" s="47">
        <v>0</v>
      </c>
      <c r="E106" s="47">
        <v>0</v>
      </c>
      <c r="F106" s="53"/>
      <c r="G106" s="47">
        <v>0</v>
      </c>
      <c r="H106" s="53"/>
      <c r="I106" s="47">
        <v>0</v>
      </c>
      <c r="J106" s="53"/>
      <c r="K106" s="47">
        <v>0</v>
      </c>
      <c r="L106" s="36"/>
    </row>
    <row r="107" spans="1:12" ht="12.75" hidden="1" customHeight="1" x14ac:dyDescent="0.4">
      <c r="A107" s="36"/>
      <c r="B107" s="57" t="s">
        <v>143</v>
      </c>
      <c r="C107" s="53"/>
      <c r="D107" s="47">
        <v>0</v>
      </c>
      <c r="E107" s="47">
        <v>0</v>
      </c>
      <c r="F107" s="53"/>
      <c r="G107" s="47">
        <v>0</v>
      </c>
      <c r="H107" s="53"/>
      <c r="I107" s="47">
        <v>0</v>
      </c>
      <c r="J107" s="53"/>
      <c r="K107" s="47">
        <v>0</v>
      </c>
      <c r="L107" s="36"/>
    </row>
    <row r="108" spans="1:12" ht="12.75" hidden="1" customHeight="1" x14ac:dyDescent="0.4">
      <c r="A108" s="36"/>
      <c r="B108" s="57" t="s">
        <v>145</v>
      </c>
      <c r="C108" s="53"/>
      <c r="D108" s="47">
        <v>0</v>
      </c>
      <c r="E108" s="47">
        <v>0</v>
      </c>
      <c r="F108" s="53"/>
      <c r="G108" s="47">
        <v>0</v>
      </c>
      <c r="H108" s="53"/>
      <c r="I108" s="47">
        <v>0</v>
      </c>
      <c r="J108" s="53"/>
      <c r="K108" s="47">
        <v>0</v>
      </c>
      <c r="L108" s="36"/>
    </row>
    <row r="109" spans="1:12" ht="12.75" hidden="1" customHeight="1" x14ac:dyDescent="0.4">
      <c r="A109" s="36"/>
      <c r="B109" s="57" t="s">
        <v>147</v>
      </c>
      <c r="C109" s="53"/>
      <c r="D109" s="47">
        <v>0</v>
      </c>
      <c r="E109" s="47">
        <v>0</v>
      </c>
      <c r="F109" s="53"/>
      <c r="G109" s="47">
        <v>0</v>
      </c>
      <c r="H109" s="53"/>
      <c r="I109" s="47">
        <v>0</v>
      </c>
      <c r="J109" s="53"/>
      <c r="K109" s="47">
        <v>0</v>
      </c>
      <c r="L109" s="36"/>
    </row>
    <row r="110" spans="1:12" ht="12.75" hidden="1" customHeight="1" x14ac:dyDescent="0.4">
      <c r="A110" s="36"/>
      <c r="B110" s="57" t="s">
        <v>149</v>
      </c>
      <c r="C110" s="53"/>
      <c r="D110" s="47">
        <v>0</v>
      </c>
      <c r="E110" s="47">
        <v>0</v>
      </c>
      <c r="F110" s="53"/>
      <c r="G110" s="47">
        <v>0</v>
      </c>
      <c r="H110" s="53"/>
      <c r="I110" s="47">
        <v>0</v>
      </c>
      <c r="J110" s="53"/>
      <c r="K110" s="47">
        <v>0</v>
      </c>
      <c r="L110" s="36"/>
    </row>
    <row r="111" spans="1:12" ht="12.75" hidden="1" customHeight="1" x14ac:dyDescent="0.4">
      <c r="A111" s="36"/>
      <c r="B111" s="57" t="s">
        <v>151</v>
      </c>
      <c r="C111" s="53"/>
      <c r="D111" s="47">
        <v>0</v>
      </c>
      <c r="E111" s="47">
        <v>0</v>
      </c>
      <c r="F111" s="53"/>
      <c r="G111" s="47">
        <v>0</v>
      </c>
      <c r="H111" s="53"/>
      <c r="I111" s="47">
        <v>0</v>
      </c>
      <c r="J111" s="53"/>
      <c r="K111" s="47">
        <v>0</v>
      </c>
      <c r="L111" s="36"/>
    </row>
    <row r="112" spans="1:12" ht="12.75" hidden="1" customHeight="1" x14ac:dyDescent="0.4">
      <c r="A112" s="36"/>
      <c r="B112" s="57" t="s">
        <v>179</v>
      </c>
      <c r="C112" s="53"/>
      <c r="D112" s="47">
        <v>0</v>
      </c>
      <c r="E112" s="47">
        <v>0</v>
      </c>
      <c r="F112" s="53"/>
      <c r="G112" s="47">
        <v>0</v>
      </c>
      <c r="H112" s="53"/>
      <c r="I112" s="47">
        <v>0</v>
      </c>
      <c r="J112" s="53"/>
      <c r="K112" s="47">
        <v>0</v>
      </c>
      <c r="L112" s="36"/>
    </row>
    <row r="113" spans="1:12" ht="12.75" hidden="1" customHeight="1" x14ac:dyDescent="0.4">
      <c r="A113" s="36"/>
      <c r="B113" s="57" t="s">
        <v>189</v>
      </c>
      <c r="C113" s="53"/>
      <c r="D113" s="47">
        <v>0</v>
      </c>
      <c r="E113" s="47">
        <v>0</v>
      </c>
      <c r="F113" s="53"/>
      <c r="G113" s="47">
        <v>0</v>
      </c>
      <c r="H113" s="53"/>
      <c r="I113" s="47">
        <v>0</v>
      </c>
      <c r="J113" s="53"/>
      <c r="K113" s="47">
        <v>0</v>
      </c>
      <c r="L113" s="36"/>
    </row>
    <row r="114" spans="1:12" ht="12.75" hidden="1" customHeight="1" x14ac:dyDescent="0.4">
      <c r="A114" s="36"/>
      <c r="B114" s="57" t="s">
        <v>60</v>
      </c>
      <c r="C114" s="53"/>
      <c r="D114" s="47">
        <v>0</v>
      </c>
      <c r="E114" s="47">
        <v>0</v>
      </c>
      <c r="F114" s="53"/>
      <c r="G114" s="47">
        <v>0</v>
      </c>
      <c r="H114" s="53"/>
      <c r="I114" s="47">
        <v>0</v>
      </c>
      <c r="J114" s="53"/>
      <c r="K114" s="47">
        <v>0</v>
      </c>
      <c r="L114" s="36"/>
    </row>
    <row r="115" spans="1:12" ht="12.75" hidden="1" customHeight="1" x14ac:dyDescent="0.4">
      <c r="A115" s="40"/>
      <c r="B115" s="65" t="s">
        <v>202</v>
      </c>
      <c r="C115" s="70"/>
      <c r="D115" s="69">
        <v>0</v>
      </c>
      <c r="E115" s="69">
        <v>0</v>
      </c>
      <c r="F115" s="64" t="e">
        <v>#DIV/0!</v>
      </c>
      <c r="G115" s="69">
        <v>0</v>
      </c>
      <c r="H115" s="64" t="e">
        <v>#DIV/0!</v>
      </c>
      <c r="I115" s="69">
        <v>0</v>
      </c>
      <c r="J115" s="64" t="e">
        <v>#DIV/0!</v>
      </c>
      <c r="K115" s="69">
        <v>0</v>
      </c>
      <c r="L115" s="40"/>
    </row>
    <row r="116" spans="1:12" ht="12.75" hidden="1" customHeight="1" x14ac:dyDescent="0.4">
      <c r="A116" s="36"/>
      <c r="B116" s="53"/>
      <c r="C116" s="53"/>
      <c r="D116" s="53"/>
      <c r="E116" s="53"/>
      <c r="F116" s="53"/>
      <c r="G116" s="53"/>
      <c r="H116" s="53"/>
      <c r="I116" s="53"/>
      <c r="J116" s="53"/>
      <c r="K116" s="53"/>
      <c r="L116" s="36"/>
    </row>
    <row r="117" spans="1:12" ht="12.75" customHeight="1" x14ac:dyDescent="0.4">
      <c r="A117" s="36"/>
      <c r="B117" s="62" t="s">
        <v>23</v>
      </c>
      <c r="C117" s="63"/>
      <c r="D117" s="63"/>
      <c r="E117" s="63"/>
      <c r="F117" s="63"/>
      <c r="G117" s="63"/>
      <c r="H117" s="63"/>
      <c r="I117" s="63"/>
      <c r="J117" s="63"/>
      <c r="K117" s="63"/>
      <c r="L117" s="36"/>
    </row>
    <row r="118" spans="1:12" ht="12.75" customHeight="1" x14ac:dyDescent="0.4">
      <c r="A118" s="39"/>
      <c r="B118" s="64" t="s">
        <v>57</v>
      </c>
      <c r="C118" s="64" t="s">
        <v>47</v>
      </c>
      <c r="D118" s="64" t="s">
        <v>52</v>
      </c>
      <c r="E118" s="64" t="s">
        <v>53</v>
      </c>
      <c r="F118" s="64" t="s">
        <v>196</v>
      </c>
      <c r="G118" s="64" t="s">
        <v>203</v>
      </c>
      <c r="H118" s="64" t="s">
        <v>198</v>
      </c>
      <c r="I118" s="64" t="s">
        <v>45</v>
      </c>
      <c r="J118" s="64" t="s">
        <v>200</v>
      </c>
      <c r="K118" s="64" t="s">
        <v>55</v>
      </c>
      <c r="L118" s="39"/>
    </row>
    <row r="119" spans="1:12" ht="12.75" customHeight="1" x14ac:dyDescent="0.4">
      <c r="A119" s="36"/>
      <c r="B119" s="57" t="s">
        <v>116</v>
      </c>
      <c r="C119" s="46">
        <v>200000000</v>
      </c>
      <c r="D119" s="46">
        <v>200000000</v>
      </c>
      <c r="E119" s="46">
        <v>150000000</v>
      </c>
      <c r="F119" s="58">
        <v>0.75</v>
      </c>
      <c r="G119" s="46">
        <v>24488000</v>
      </c>
      <c r="H119" s="58">
        <v>0.1633</v>
      </c>
      <c r="I119" s="46">
        <v>24488000</v>
      </c>
      <c r="J119" s="58">
        <v>0.1633</v>
      </c>
      <c r="K119" s="46">
        <v>125512000</v>
      </c>
      <c r="L119" s="36"/>
    </row>
    <row r="120" spans="1:12" ht="12.75" customHeight="1" x14ac:dyDescent="0.4">
      <c r="A120" s="36"/>
      <c r="B120" s="57" t="s">
        <v>97</v>
      </c>
      <c r="C120" s="46">
        <v>400000000</v>
      </c>
      <c r="D120" s="46">
        <v>400000000</v>
      </c>
      <c r="E120" s="46">
        <v>300000000</v>
      </c>
      <c r="F120" s="58">
        <v>0.75</v>
      </c>
      <c r="G120" s="47">
        <v>0</v>
      </c>
      <c r="H120" s="58">
        <v>0</v>
      </c>
      <c r="I120" s="47">
        <v>0</v>
      </c>
      <c r="J120" s="58">
        <v>0</v>
      </c>
      <c r="K120" s="46">
        <v>300000000</v>
      </c>
      <c r="L120" s="36"/>
    </row>
    <row r="121" spans="1:12" ht="12.75" customHeight="1" x14ac:dyDescent="0.4">
      <c r="A121" s="36"/>
      <c r="B121" s="57" t="s">
        <v>131</v>
      </c>
      <c r="C121" s="46">
        <v>705000000</v>
      </c>
      <c r="D121" s="46">
        <v>705000000</v>
      </c>
      <c r="E121" s="46">
        <v>528750000</v>
      </c>
      <c r="F121" s="58">
        <v>0.75</v>
      </c>
      <c r="G121" s="47">
        <v>0</v>
      </c>
      <c r="H121" s="58">
        <v>0</v>
      </c>
      <c r="I121" s="47">
        <v>0</v>
      </c>
      <c r="J121" s="58">
        <v>0</v>
      </c>
      <c r="K121" s="46">
        <v>528750000</v>
      </c>
      <c r="L121" s="36"/>
    </row>
    <row r="122" spans="1:12" ht="12.75" customHeight="1" x14ac:dyDescent="0.4">
      <c r="A122" s="36"/>
      <c r="B122" s="57" t="s">
        <v>133</v>
      </c>
      <c r="C122" s="46">
        <v>250000000</v>
      </c>
      <c r="D122" s="46">
        <v>125000000</v>
      </c>
      <c r="E122" s="46">
        <v>125000000</v>
      </c>
      <c r="F122" s="58">
        <v>0.5</v>
      </c>
      <c r="G122" s="47">
        <v>0</v>
      </c>
      <c r="H122" s="58">
        <v>0</v>
      </c>
      <c r="I122" s="47">
        <v>0</v>
      </c>
      <c r="J122" s="58">
        <v>0</v>
      </c>
      <c r="K122" s="46">
        <v>125000000</v>
      </c>
      <c r="L122" s="36"/>
    </row>
    <row r="123" spans="1:12" ht="12.75" customHeight="1" x14ac:dyDescent="0.4">
      <c r="A123" s="36"/>
      <c r="B123" s="57" t="s">
        <v>136</v>
      </c>
      <c r="C123" s="46">
        <v>150000000</v>
      </c>
      <c r="D123" s="46">
        <v>75000000</v>
      </c>
      <c r="E123" s="46">
        <v>75000000</v>
      </c>
      <c r="F123" s="58">
        <v>0.5</v>
      </c>
      <c r="G123" s="46">
        <v>41856000</v>
      </c>
      <c r="H123" s="58">
        <v>0.55810000000000004</v>
      </c>
      <c r="I123" s="46">
        <v>41856000</v>
      </c>
      <c r="J123" s="58">
        <v>0.55810000000000004</v>
      </c>
      <c r="K123" s="46">
        <v>33144000</v>
      </c>
      <c r="L123" s="36"/>
    </row>
    <row r="124" spans="1:12" ht="12.75" customHeight="1" x14ac:dyDescent="0.4">
      <c r="A124" s="36"/>
      <c r="B124" s="57" t="s">
        <v>139</v>
      </c>
      <c r="C124" s="46">
        <v>1040000000</v>
      </c>
      <c r="D124" s="46">
        <v>520000000</v>
      </c>
      <c r="E124" s="46">
        <v>520000000</v>
      </c>
      <c r="F124" s="58">
        <v>0.5</v>
      </c>
      <c r="G124" s="47">
        <v>0</v>
      </c>
      <c r="H124" s="58">
        <v>0</v>
      </c>
      <c r="I124" s="47">
        <v>0</v>
      </c>
      <c r="J124" s="58">
        <v>0</v>
      </c>
      <c r="K124" s="46">
        <v>520000000</v>
      </c>
      <c r="L124" s="36"/>
    </row>
    <row r="125" spans="1:12" ht="12.75" customHeight="1" x14ac:dyDescent="0.4">
      <c r="A125" s="36"/>
      <c r="B125" s="57" t="s">
        <v>141</v>
      </c>
      <c r="C125" s="46">
        <v>200000000</v>
      </c>
      <c r="D125" s="46">
        <v>100000000</v>
      </c>
      <c r="E125" s="46">
        <v>100000000</v>
      </c>
      <c r="F125" s="58">
        <v>0.5</v>
      </c>
      <c r="G125" s="47">
        <v>0</v>
      </c>
      <c r="H125" s="58">
        <v>0</v>
      </c>
      <c r="I125" s="47">
        <v>0</v>
      </c>
      <c r="J125" s="58">
        <v>0</v>
      </c>
      <c r="K125" s="46">
        <v>100000000</v>
      </c>
      <c r="L125" s="36"/>
    </row>
    <row r="126" spans="1:12" ht="12.75" customHeight="1" x14ac:dyDescent="0.4">
      <c r="A126" s="36"/>
      <c r="B126" s="57" t="s">
        <v>143</v>
      </c>
      <c r="C126" s="46">
        <v>100000000</v>
      </c>
      <c r="D126" s="46">
        <v>100000000</v>
      </c>
      <c r="E126" s="46">
        <v>75000000</v>
      </c>
      <c r="F126" s="58">
        <v>0.75</v>
      </c>
      <c r="G126" s="46">
        <v>2159300</v>
      </c>
      <c r="H126" s="58">
        <v>2.8799999999999999E-2</v>
      </c>
      <c r="I126" s="46">
        <v>2159300</v>
      </c>
      <c r="J126" s="58">
        <v>2.8799999999999999E-2</v>
      </c>
      <c r="K126" s="46">
        <v>72840700</v>
      </c>
      <c r="L126" s="36"/>
    </row>
    <row r="127" spans="1:12" ht="12.75" customHeight="1" x14ac:dyDescent="0.4">
      <c r="A127" s="36"/>
      <c r="B127" s="57" t="s">
        <v>145</v>
      </c>
      <c r="C127" s="46">
        <v>200000000</v>
      </c>
      <c r="D127" s="46">
        <v>100000000</v>
      </c>
      <c r="E127" s="46">
        <v>100000000</v>
      </c>
      <c r="F127" s="58">
        <v>0.5</v>
      </c>
      <c r="G127" s="47">
        <v>0</v>
      </c>
      <c r="H127" s="58">
        <v>0</v>
      </c>
      <c r="I127" s="47">
        <v>0</v>
      </c>
      <c r="J127" s="58">
        <v>0</v>
      </c>
      <c r="K127" s="46">
        <v>100000000</v>
      </c>
      <c r="L127" s="36"/>
    </row>
    <row r="128" spans="1:12" ht="12.75" customHeight="1" x14ac:dyDescent="0.4">
      <c r="A128" s="36"/>
      <c r="B128" s="57" t="s">
        <v>147</v>
      </c>
      <c r="C128" s="46">
        <v>110000000</v>
      </c>
      <c r="D128" s="46">
        <v>100000000</v>
      </c>
      <c r="E128" s="46">
        <v>100000000</v>
      </c>
      <c r="F128" s="58">
        <v>0.90910000000000002</v>
      </c>
      <c r="G128" s="47">
        <v>0</v>
      </c>
      <c r="H128" s="58">
        <v>0</v>
      </c>
      <c r="I128" s="47">
        <v>0</v>
      </c>
      <c r="J128" s="58">
        <v>0</v>
      </c>
      <c r="K128" s="46">
        <v>100000000</v>
      </c>
      <c r="L128" s="36"/>
    </row>
    <row r="129" spans="1:12" ht="12.75" customHeight="1" x14ac:dyDescent="0.4">
      <c r="A129" s="36"/>
      <c r="B129" s="57" t="s">
        <v>149</v>
      </c>
      <c r="C129" s="46">
        <v>250000000</v>
      </c>
      <c r="D129" s="46">
        <v>125000000</v>
      </c>
      <c r="E129" s="46">
        <v>125000000</v>
      </c>
      <c r="F129" s="58">
        <v>0.5</v>
      </c>
      <c r="G129" s="47">
        <v>0</v>
      </c>
      <c r="H129" s="58">
        <v>0</v>
      </c>
      <c r="I129" s="47">
        <v>0</v>
      </c>
      <c r="J129" s="58">
        <v>0</v>
      </c>
      <c r="K129" s="46">
        <v>125000000</v>
      </c>
      <c r="L129" s="36"/>
    </row>
    <row r="130" spans="1:12" ht="12.75" customHeight="1" x14ac:dyDescent="0.4">
      <c r="A130" s="36"/>
      <c r="B130" s="57" t="s">
        <v>151</v>
      </c>
      <c r="C130" s="46">
        <v>60000000</v>
      </c>
      <c r="D130" s="46">
        <v>60000000</v>
      </c>
      <c r="E130" s="46">
        <v>60000000</v>
      </c>
      <c r="F130" s="58">
        <v>1</v>
      </c>
      <c r="G130" s="46">
        <v>9000000</v>
      </c>
      <c r="H130" s="58">
        <v>0.15</v>
      </c>
      <c r="I130" s="47">
        <v>0</v>
      </c>
      <c r="J130" s="58">
        <v>0</v>
      </c>
      <c r="K130" s="46">
        <v>51000000</v>
      </c>
      <c r="L130" s="36"/>
    </row>
    <row r="131" spans="1:12" ht="12.75" customHeight="1" x14ac:dyDescent="0.4">
      <c r="A131" s="36"/>
      <c r="B131" s="57" t="s">
        <v>179</v>
      </c>
      <c r="C131" s="46">
        <v>100000000</v>
      </c>
      <c r="D131" s="46">
        <v>50000000</v>
      </c>
      <c r="E131" s="46">
        <v>50000000</v>
      </c>
      <c r="F131" s="58">
        <v>0.5</v>
      </c>
      <c r="G131" s="46">
        <v>12720000</v>
      </c>
      <c r="H131" s="58">
        <v>0.25440000000000002</v>
      </c>
      <c r="I131" s="46">
        <v>12720000</v>
      </c>
      <c r="J131" s="58">
        <v>0.25440000000000002</v>
      </c>
      <c r="K131" s="46">
        <v>37280000</v>
      </c>
      <c r="L131" s="36"/>
    </row>
    <row r="132" spans="1:12" ht="12.75" customHeight="1" x14ac:dyDescent="0.4">
      <c r="A132" s="36"/>
      <c r="B132" s="57" t="s">
        <v>189</v>
      </c>
      <c r="C132" s="46">
        <v>645000000</v>
      </c>
      <c r="D132" s="46">
        <v>645000000</v>
      </c>
      <c r="E132" s="46">
        <v>483750000</v>
      </c>
      <c r="F132" s="58">
        <v>0.75</v>
      </c>
      <c r="G132" s="46">
        <v>83170000</v>
      </c>
      <c r="H132" s="58">
        <v>0.1719</v>
      </c>
      <c r="I132" s="46">
        <v>68355000</v>
      </c>
      <c r="J132" s="58">
        <v>0.14130000000000001</v>
      </c>
      <c r="K132" s="46">
        <v>400580000</v>
      </c>
      <c r="L132" s="36"/>
    </row>
    <row r="133" spans="1:12" ht="12.75" customHeight="1" x14ac:dyDescent="0.4">
      <c r="A133" s="36"/>
      <c r="B133" s="57" t="s">
        <v>60</v>
      </c>
      <c r="C133" s="46">
        <v>1600000000</v>
      </c>
      <c r="D133" s="46">
        <v>1600000000</v>
      </c>
      <c r="E133" s="46">
        <v>1200000000</v>
      </c>
      <c r="F133" s="58">
        <v>0.75</v>
      </c>
      <c r="G133" s="47">
        <v>0</v>
      </c>
      <c r="H133" s="58">
        <v>0</v>
      </c>
      <c r="I133" s="47">
        <v>0</v>
      </c>
      <c r="J133" s="58">
        <v>0</v>
      </c>
      <c r="K133" s="46">
        <v>1200000000</v>
      </c>
      <c r="L133" s="36"/>
    </row>
    <row r="134" spans="1:12" ht="12.75" customHeight="1" x14ac:dyDescent="0.4">
      <c r="A134" s="40"/>
      <c r="B134" s="65" t="s">
        <v>202</v>
      </c>
      <c r="C134" s="66">
        <v>6010000000</v>
      </c>
      <c r="D134" s="66">
        <v>4905000000</v>
      </c>
      <c r="E134" s="66">
        <v>3992500000</v>
      </c>
      <c r="F134" s="67">
        <v>0.81399999999999995</v>
      </c>
      <c r="G134" s="66">
        <v>173393300</v>
      </c>
      <c r="H134" s="67">
        <v>4.3400000000000001E-2</v>
      </c>
      <c r="I134" s="66">
        <v>149578300</v>
      </c>
      <c r="J134" s="67">
        <v>3.7499999999999999E-2</v>
      </c>
      <c r="K134" s="66">
        <v>3819106700</v>
      </c>
      <c r="L134" s="40"/>
    </row>
    <row r="135" spans="1:12" ht="12.75" customHeight="1" x14ac:dyDescent="0.4">
      <c r="A135" s="36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36"/>
    </row>
    <row r="136" spans="1:12" ht="12.75" customHeight="1" x14ac:dyDescent="0.4">
      <c r="A136" s="36"/>
      <c r="B136" s="68" t="s">
        <v>22</v>
      </c>
      <c r="C136" s="63"/>
      <c r="D136" s="63"/>
      <c r="E136" s="63"/>
      <c r="F136" s="63"/>
      <c r="G136" s="63"/>
      <c r="H136" s="63"/>
      <c r="I136" s="63"/>
      <c r="J136" s="63"/>
      <c r="K136" s="63"/>
      <c r="L136" s="36"/>
    </row>
    <row r="137" spans="1:12" ht="12.75" customHeight="1" x14ac:dyDescent="0.4">
      <c r="A137" s="39"/>
      <c r="B137" s="64" t="s">
        <v>57</v>
      </c>
      <c r="C137" s="64" t="s">
        <v>47</v>
      </c>
      <c r="D137" s="64" t="s">
        <v>52</v>
      </c>
      <c r="E137" s="64" t="s">
        <v>53</v>
      </c>
      <c r="F137" s="64" t="s">
        <v>196</v>
      </c>
      <c r="G137" s="64" t="s">
        <v>203</v>
      </c>
      <c r="H137" s="64" t="s">
        <v>198</v>
      </c>
      <c r="I137" s="64" t="s">
        <v>45</v>
      </c>
      <c r="J137" s="64" t="s">
        <v>200</v>
      </c>
      <c r="K137" s="64" t="s">
        <v>55</v>
      </c>
      <c r="L137" s="39"/>
    </row>
    <row r="138" spans="1:12" ht="12.75" customHeight="1" x14ac:dyDescent="0.4">
      <c r="A138" s="36"/>
      <c r="B138" s="57" t="s">
        <v>116</v>
      </c>
      <c r="C138" s="47">
        <v>0</v>
      </c>
      <c r="D138" s="47">
        <v>0</v>
      </c>
      <c r="E138" s="47">
        <v>0</v>
      </c>
      <c r="F138" s="53"/>
      <c r="G138" s="47">
        <v>0</v>
      </c>
      <c r="H138" s="53"/>
      <c r="I138" s="47">
        <v>0</v>
      </c>
      <c r="J138" s="53"/>
      <c r="K138" s="47">
        <v>0</v>
      </c>
      <c r="L138" s="36"/>
    </row>
    <row r="139" spans="1:12" ht="12.75" customHeight="1" x14ac:dyDescent="0.4">
      <c r="A139" s="36"/>
      <c r="B139" s="57" t="s">
        <v>97</v>
      </c>
      <c r="C139" s="46">
        <v>180000000</v>
      </c>
      <c r="D139" s="46">
        <v>180000150</v>
      </c>
      <c r="E139" s="46">
        <v>180000150</v>
      </c>
      <c r="F139" s="58">
        <v>1</v>
      </c>
      <c r="G139" s="46">
        <v>28710000</v>
      </c>
      <c r="H139" s="58">
        <v>0.1595</v>
      </c>
      <c r="I139" s="47">
        <v>0</v>
      </c>
      <c r="J139" s="58">
        <v>0</v>
      </c>
      <c r="K139" s="46">
        <v>151290150</v>
      </c>
      <c r="L139" s="36"/>
    </row>
    <row r="140" spans="1:12" ht="12.75" customHeight="1" x14ac:dyDescent="0.4">
      <c r="A140" s="36"/>
      <c r="B140" s="57" t="s">
        <v>131</v>
      </c>
      <c r="C140" s="46">
        <v>118875000</v>
      </c>
      <c r="D140" s="46">
        <v>118875000</v>
      </c>
      <c r="E140" s="46">
        <v>118875000</v>
      </c>
      <c r="F140" s="58">
        <v>1</v>
      </c>
      <c r="G140" s="46">
        <v>15775000</v>
      </c>
      <c r="H140" s="58">
        <v>0.13270000000000001</v>
      </c>
      <c r="I140" s="46">
        <v>4050000</v>
      </c>
      <c r="J140" s="58">
        <v>3.4099999999999998E-2</v>
      </c>
      <c r="K140" s="46">
        <v>103100000</v>
      </c>
      <c r="L140" s="36"/>
    </row>
    <row r="141" spans="1:12" ht="12.75" customHeight="1" x14ac:dyDescent="0.4">
      <c r="A141" s="36"/>
      <c r="B141" s="57" t="s">
        <v>133</v>
      </c>
      <c r="C141" s="46">
        <v>90090000</v>
      </c>
      <c r="D141" s="46">
        <v>45045000</v>
      </c>
      <c r="E141" s="46">
        <v>45045000</v>
      </c>
      <c r="F141" s="58">
        <v>0.5</v>
      </c>
      <c r="G141" s="46">
        <v>11205000</v>
      </c>
      <c r="H141" s="58">
        <v>0.24879999999999999</v>
      </c>
      <c r="I141" s="47">
        <v>0</v>
      </c>
      <c r="J141" s="58">
        <v>0</v>
      </c>
      <c r="K141" s="46">
        <v>33840000</v>
      </c>
      <c r="L141" s="36"/>
    </row>
    <row r="142" spans="1:12" ht="12.75" customHeight="1" x14ac:dyDescent="0.4">
      <c r="A142" s="36"/>
      <c r="B142" s="57" t="s">
        <v>136</v>
      </c>
      <c r="C142" s="46">
        <v>320100000</v>
      </c>
      <c r="D142" s="46">
        <v>160050000</v>
      </c>
      <c r="E142" s="46">
        <v>160050000</v>
      </c>
      <c r="F142" s="58">
        <v>0.5</v>
      </c>
      <c r="G142" s="46">
        <v>71775000</v>
      </c>
      <c r="H142" s="58">
        <v>0.44850000000000001</v>
      </c>
      <c r="I142" s="46">
        <v>27250000</v>
      </c>
      <c r="J142" s="58">
        <v>0.17030000000000001</v>
      </c>
      <c r="K142" s="46">
        <v>88275000</v>
      </c>
      <c r="L142" s="36"/>
    </row>
    <row r="143" spans="1:12" ht="12.75" customHeight="1" x14ac:dyDescent="0.4">
      <c r="A143" s="36"/>
      <c r="B143" s="57" t="s">
        <v>139</v>
      </c>
      <c r="C143" s="46">
        <v>250000000</v>
      </c>
      <c r="D143" s="46">
        <v>125000000</v>
      </c>
      <c r="E143" s="46">
        <v>125000000</v>
      </c>
      <c r="F143" s="58">
        <v>0.5</v>
      </c>
      <c r="G143" s="46">
        <v>32848750</v>
      </c>
      <c r="H143" s="58">
        <v>0.26279999999999998</v>
      </c>
      <c r="I143" s="47">
        <v>0</v>
      </c>
      <c r="J143" s="58">
        <v>0</v>
      </c>
      <c r="K143" s="46">
        <v>92151250</v>
      </c>
      <c r="L143" s="36"/>
    </row>
    <row r="144" spans="1:12" ht="12.75" customHeight="1" x14ac:dyDescent="0.4">
      <c r="A144" s="36"/>
      <c r="B144" s="57" t="s">
        <v>141</v>
      </c>
      <c r="C144" s="46">
        <v>346378000</v>
      </c>
      <c r="D144" s="46">
        <v>173189000</v>
      </c>
      <c r="E144" s="46">
        <v>173189000</v>
      </c>
      <c r="F144" s="58">
        <v>0.5</v>
      </c>
      <c r="G144" s="46">
        <v>63260000</v>
      </c>
      <c r="H144" s="58">
        <v>0.36530000000000001</v>
      </c>
      <c r="I144" s="46">
        <v>62100000</v>
      </c>
      <c r="J144" s="58">
        <v>0.35859999999999997</v>
      </c>
      <c r="K144" s="46">
        <v>109929000</v>
      </c>
      <c r="L144" s="36"/>
    </row>
    <row r="145" spans="1:12" ht="12.75" customHeight="1" x14ac:dyDescent="0.4">
      <c r="A145" s="36"/>
      <c r="B145" s="57" t="s">
        <v>143</v>
      </c>
      <c r="C145" s="46">
        <v>111310000</v>
      </c>
      <c r="D145" s="46">
        <v>111310000</v>
      </c>
      <c r="E145" s="46">
        <v>111310000</v>
      </c>
      <c r="F145" s="58">
        <v>1</v>
      </c>
      <c r="G145" s="46">
        <v>21262500</v>
      </c>
      <c r="H145" s="58">
        <v>0.191</v>
      </c>
      <c r="I145" s="46">
        <v>21262500</v>
      </c>
      <c r="J145" s="58">
        <v>0.191</v>
      </c>
      <c r="K145" s="46">
        <v>90047500</v>
      </c>
      <c r="L145" s="36"/>
    </row>
    <row r="146" spans="1:12" ht="12.75" customHeight="1" x14ac:dyDescent="0.4">
      <c r="A146" s="36"/>
      <c r="B146" s="57" t="s">
        <v>145</v>
      </c>
      <c r="C146" s="46">
        <v>141550000</v>
      </c>
      <c r="D146" s="46">
        <v>70775000</v>
      </c>
      <c r="E146" s="46">
        <v>70775000</v>
      </c>
      <c r="F146" s="58">
        <v>0.5</v>
      </c>
      <c r="G146" s="46">
        <v>28052000</v>
      </c>
      <c r="H146" s="58">
        <v>0.39639999999999997</v>
      </c>
      <c r="I146" s="46">
        <v>3970000</v>
      </c>
      <c r="J146" s="58">
        <v>5.6099999999999997E-2</v>
      </c>
      <c r="K146" s="46">
        <v>42723000</v>
      </c>
      <c r="L146" s="36"/>
    </row>
    <row r="147" spans="1:12" ht="12.75" customHeight="1" x14ac:dyDescent="0.4">
      <c r="A147" s="36"/>
      <c r="B147" s="57" t="s">
        <v>147</v>
      </c>
      <c r="C147" s="46">
        <v>99980000</v>
      </c>
      <c r="D147" s="46">
        <v>63030000</v>
      </c>
      <c r="E147" s="46">
        <v>63030000</v>
      </c>
      <c r="F147" s="58">
        <v>0.63039999999999996</v>
      </c>
      <c r="G147" s="46">
        <v>19823200</v>
      </c>
      <c r="H147" s="58">
        <v>0.3145</v>
      </c>
      <c r="I147" s="47">
        <v>0</v>
      </c>
      <c r="J147" s="58">
        <v>0</v>
      </c>
      <c r="K147" s="46">
        <v>43206800</v>
      </c>
      <c r="L147" s="36"/>
    </row>
    <row r="148" spans="1:12" ht="12.75" customHeight="1" x14ac:dyDescent="0.4">
      <c r="A148" s="36"/>
      <c r="B148" s="57" t="s">
        <v>149</v>
      </c>
      <c r="C148" s="46">
        <v>316800000</v>
      </c>
      <c r="D148" s="46">
        <v>158400000</v>
      </c>
      <c r="E148" s="46">
        <v>158400000</v>
      </c>
      <c r="F148" s="58">
        <v>0.5</v>
      </c>
      <c r="G148" s="46">
        <v>52208150</v>
      </c>
      <c r="H148" s="58">
        <v>0.3296</v>
      </c>
      <c r="I148" s="47">
        <v>0</v>
      </c>
      <c r="J148" s="58">
        <v>0</v>
      </c>
      <c r="K148" s="46">
        <v>106191850</v>
      </c>
      <c r="L148" s="36"/>
    </row>
    <row r="149" spans="1:12" ht="12.75" customHeight="1" x14ac:dyDescent="0.4">
      <c r="A149" s="36"/>
      <c r="B149" s="57" t="s">
        <v>151</v>
      </c>
      <c r="C149" s="46">
        <v>45150000</v>
      </c>
      <c r="D149" s="46">
        <v>45150000</v>
      </c>
      <c r="E149" s="46">
        <v>45150000</v>
      </c>
      <c r="F149" s="58">
        <v>1</v>
      </c>
      <c r="G149" s="46">
        <v>12542600</v>
      </c>
      <c r="H149" s="58">
        <v>0.27779999999999999</v>
      </c>
      <c r="I149" s="46">
        <v>6119400</v>
      </c>
      <c r="J149" s="58">
        <v>0.13550000000000001</v>
      </c>
      <c r="K149" s="46">
        <v>32607400</v>
      </c>
      <c r="L149" s="36"/>
    </row>
    <row r="150" spans="1:12" ht="12.75" customHeight="1" x14ac:dyDescent="0.4">
      <c r="A150" s="36"/>
      <c r="B150" s="57" t="s">
        <v>179</v>
      </c>
      <c r="C150" s="46">
        <v>1016150000</v>
      </c>
      <c r="D150" s="46">
        <v>508075000</v>
      </c>
      <c r="E150" s="46">
        <v>508075000</v>
      </c>
      <c r="F150" s="58">
        <v>0.5</v>
      </c>
      <c r="G150" s="46">
        <v>163165000</v>
      </c>
      <c r="H150" s="58">
        <v>0.3211</v>
      </c>
      <c r="I150" s="46">
        <v>128340000</v>
      </c>
      <c r="J150" s="58">
        <v>0.25259999999999999</v>
      </c>
      <c r="K150" s="46">
        <v>344910000</v>
      </c>
      <c r="L150" s="36"/>
    </row>
    <row r="151" spans="1:12" ht="12.75" customHeight="1" x14ac:dyDescent="0.4">
      <c r="A151" s="36"/>
      <c r="B151" s="57" t="s">
        <v>189</v>
      </c>
      <c r="C151" s="46">
        <v>285972000</v>
      </c>
      <c r="D151" s="46">
        <v>285978663</v>
      </c>
      <c r="E151" s="46">
        <v>285978663</v>
      </c>
      <c r="F151" s="58">
        <v>1</v>
      </c>
      <c r="G151" s="46">
        <v>55485000</v>
      </c>
      <c r="H151" s="58">
        <v>0.19400000000000001</v>
      </c>
      <c r="I151" s="46">
        <v>32200000</v>
      </c>
      <c r="J151" s="58">
        <v>0.11260000000000001</v>
      </c>
      <c r="K151" s="46">
        <v>230493663</v>
      </c>
      <c r="L151" s="36"/>
    </row>
    <row r="152" spans="1:12" ht="12.75" customHeight="1" x14ac:dyDescent="0.4">
      <c r="A152" s="36"/>
      <c r="B152" s="57" t="s">
        <v>60</v>
      </c>
      <c r="C152" s="47">
        <v>0</v>
      </c>
      <c r="D152" s="47">
        <v>0</v>
      </c>
      <c r="E152" s="47">
        <v>0</v>
      </c>
      <c r="F152" s="53"/>
      <c r="G152" s="47">
        <v>0</v>
      </c>
      <c r="H152" s="53"/>
      <c r="I152" s="47">
        <v>0</v>
      </c>
      <c r="J152" s="53"/>
      <c r="K152" s="47">
        <v>0</v>
      </c>
      <c r="L152" s="36"/>
    </row>
    <row r="153" spans="1:12" ht="12.75" customHeight="1" x14ac:dyDescent="0.4">
      <c r="A153" s="40"/>
      <c r="B153" s="65" t="s">
        <v>202</v>
      </c>
      <c r="C153" s="66">
        <v>3322355000</v>
      </c>
      <c r="D153" s="66">
        <v>2044877813</v>
      </c>
      <c r="E153" s="66">
        <v>2044877813</v>
      </c>
      <c r="F153" s="67">
        <v>1</v>
      </c>
      <c r="G153" s="66">
        <v>576112200</v>
      </c>
      <c r="H153" s="67">
        <v>0.28170000000000001</v>
      </c>
      <c r="I153" s="66">
        <v>285291900</v>
      </c>
      <c r="J153" s="67">
        <v>0.13950000000000001</v>
      </c>
      <c r="K153" s="66">
        <v>1468765613</v>
      </c>
      <c r="L153" s="40"/>
    </row>
    <row r="154" spans="1:12" ht="12.75" customHeight="1" x14ac:dyDescent="0.4">
      <c r="A154" s="36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36"/>
    </row>
    <row r="155" spans="1:12" ht="12.75" customHeight="1" x14ac:dyDescent="0.4">
      <c r="A155" s="36"/>
      <c r="B155" s="68" t="s">
        <v>26</v>
      </c>
      <c r="C155" s="63"/>
      <c r="D155" s="63"/>
      <c r="E155" s="63"/>
      <c r="F155" s="63"/>
      <c r="G155" s="63"/>
      <c r="H155" s="63"/>
      <c r="I155" s="63"/>
      <c r="J155" s="63"/>
      <c r="K155" s="63"/>
      <c r="L155" s="36"/>
    </row>
    <row r="156" spans="1:12" ht="12.75" customHeight="1" x14ac:dyDescent="0.4">
      <c r="A156" s="39"/>
      <c r="B156" s="64" t="s">
        <v>57</v>
      </c>
      <c r="C156" s="64" t="s">
        <v>47</v>
      </c>
      <c r="D156" s="64" t="s">
        <v>52</v>
      </c>
      <c r="E156" s="64" t="s">
        <v>53</v>
      </c>
      <c r="F156" s="64" t="s">
        <v>196</v>
      </c>
      <c r="G156" s="64" t="s">
        <v>203</v>
      </c>
      <c r="H156" s="64" t="s">
        <v>198</v>
      </c>
      <c r="I156" s="64" t="s">
        <v>45</v>
      </c>
      <c r="J156" s="64" t="s">
        <v>200</v>
      </c>
      <c r="K156" s="64" t="s">
        <v>55</v>
      </c>
      <c r="L156" s="39"/>
    </row>
    <row r="157" spans="1:12" ht="12.75" customHeight="1" x14ac:dyDescent="0.4">
      <c r="A157" s="36"/>
      <c r="B157" s="57" t="s">
        <v>116</v>
      </c>
      <c r="C157" s="47">
        <v>0</v>
      </c>
      <c r="D157" s="47">
        <v>0</v>
      </c>
      <c r="E157" s="47">
        <v>0</v>
      </c>
      <c r="F157" s="53"/>
      <c r="G157" s="47">
        <v>0</v>
      </c>
      <c r="H157" s="53"/>
      <c r="I157" s="47">
        <v>0</v>
      </c>
      <c r="J157" s="53"/>
      <c r="K157" s="47">
        <v>0</v>
      </c>
      <c r="L157" s="36"/>
    </row>
    <row r="158" spans="1:12" ht="12.75" customHeight="1" x14ac:dyDescent="0.4">
      <c r="A158" s="36"/>
      <c r="B158" s="57" t="s">
        <v>97</v>
      </c>
      <c r="C158" s="46">
        <v>3500000000</v>
      </c>
      <c r="D158" s="46">
        <v>3500000000</v>
      </c>
      <c r="E158" s="46">
        <v>3500000000</v>
      </c>
      <c r="F158" s="58">
        <v>1</v>
      </c>
      <c r="G158" s="46">
        <v>466659980</v>
      </c>
      <c r="H158" s="58">
        <v>0.1333</v>
      </c>
      <c r="I158" s="46">
        <v>466659980</v>
      </c>
      <c r="J158" s="58">
        <v>0.1333</v>
      </c>
      <c r="K158" s="46">
        <v>3033340020</v>
      </c>
      <c r="L158" s="36"/>
    </row>
    <row r="159" spans="1:12" ht="12.75" customHeight="1" x14ac:dyDescent="0.4">
      <c r="A159" s="36"/>
      <c r="B159" s="57" t="s">
        <v>131</v>
      </c>
      <c r="C159" s="46">
        <v>2260000000</v>
      </c>
      <c r="D159" s="46">
        <v>2260000000</v>
      </c>
      <c r="E159" s="46">
        <v>2260000000</v>
      </c>
      <c r="F159" s="58">
        <v>1</v>
      </c>
      <c r="G159" s="46">
        <v>325092882</v>
      </c>
      <c r="H159" s="58">
        <v>0.14380000000000001</v>
      </c>
      <c r="I159" s="46">
        <v>325092882</v>
      </c>
      <c r="J159" s="58">
        <v>0.14380000000000001</v>
      </c>
      <c r="K159" s="46">
        <v>1934907118</v>
      </c>
      <c r="L159" s="36"/>
    </row>
    <row r="160" spans="1:12" ht="12.75" customHeight="1" x14ac:dyDescent="0.4">
      <c r="A160" s="36"/>
      <c r="B160" s="57" t="s">
        <v>133</v>
      </c>
      <c r="C160" s="46">
        <v>2501300000</v>
      </c>
      <c r="D160" s="46">
        <v>625325000</v>
      </c>
      <c r="E160" s="46">
        <v>625325000</v>
      </c>
      <c r="F160" s="58">
        <v>0.25</v>
      </c>
      <c r="G160" s="46">
        <v>346514506</v>
      </c>
      <c r="H160" s="58">
        <v>0.55410000000000004</v>
      </c>
      <c r="I160" s="46">
        <v>346245306</v>
      </c>
      <c r="J160" s="58">
        <v>0.55369999999999997</v>
      </c>
      <c r="K160" s="46">
        <v>278810494</v>
      </c>
      <c r="L160" s="36"/>
    </row>
    <row r="161" spans="1:12" ht="12.75" customHeight="1" x14ac:dyDescent="0.4">
      <c r="A161" s="36"/>
      <c r="B161" s="57" t="s">
        <v>136</v>
      </c>
      <c r="C161" s="46">
        <v>2570000000</v>
      </c>
      <c r="D161" s="46">
        <v>642500000</v>
      </c>
      <c r="E161" s="46">
        <v>642500000</v>
      </c>
      <c r="F161" s="58">
        <v>0.25</v>
      </c>
      <c r="G161" s="46">
        <v>394857596</v>
      </c>
      <c r="H161" s="58">
        <v>0.61460000000000004</v>
      </c>
      <c r="I161" s="46">
        <v>394857596</v>
      </c>
      <c r="J161" s="58">
        <v>0.61460000000000004</v>
      </c>
      <c r="K161" s="46">
        <v>247642404</v>
      </c>
      <c r="L161" s="36"/>
    </row>
    <row r="162" spans="1:12" ht="12.75" customHeight="1" x14ac:dyDescent="0.4">
      <c r="A162" s="36"/>
      <c r="B162" s="57" t="s">
        <v>139</v>
      </c>
      <c r="C162" s="46">
        <v>3063576000</v>
      </c>
      <c r="D162" s="46">
        <v>765894000</v>
      </c>
      <c r="E162" s="46">
        <v>765894000</v>
      </c>
      <c r="F162" s="58">
        <v>0.25</v>
      </c>
      <c r="G162" s="46">
        <v>396859899</v>
      </c>
      <c r="H162" s="58">
        <v>0.51819999999999999</v>
      </c>
      <c r="I162" s="46">
        <v>396859899</v>
      </c>
      <c r="J162" s="58">
        <v>0.51819999999999999</v>
      </c>
      <c r="K162" s="46">
        <v>369034101</v>
      </c>
      <c r="L162" s="36"/>
    </row>
    <row r="163" spans="1:12" ht="12.75" customHeight="1" x14ac:dyDescent="0.4">
      <c r="A163" s="36"/>
      <c r="B163" s="57" t="s">
        <v>141</v>
      </c>
      <c r="C163" s="46">
        <v>2185360000</v>
      </c>
      <c r="D163" s="46">
        <v>546340018</v>
      </c>
      <c r="E163" s="46">
        <v>546340018</v>
      </c>
      <c r="F163" s="58">
        <v>0.25</v>
      </c>
      <c r="G163" s="46">
        <v>320371955</v>
      </c>
      <c r="H163" s="58">
        <v>0.58640000000000003</v>
      </c>
      <c r="I163" s="46">
        <v>320371955</v>
      </c>
      <c r="J163" s="58">
        <v>0.58640000000000003</v>
      </c>
      <c r="K163" s="46">
        <v>225968063</v>
      </c>
      <c r="L163" s="36"/>
    </row>
    <row r="164" spans="1:12" ht="12.75" customHeight="1" x14ac:dyDescent="0.4">
      <c r="A164" s="36"/>
      <c r="B164" s="57" t="s">
        <v>143</v>
      </c>
      <c r="C164" s="46">
        <v>2310000000</v>
      </c>
      <c r="D164" s="46">
        <v>2310000000</v>
      </c>
      <c r="E164" s="46">
        <v>2310000000</v>
      </c>
      <c r="F164" s="58">
        <v>1</v>
      </c>
      <c r="G164" s="46">
        <v>284145595</v>
      </c>
      <c r="H164" s="58">
        <v>0.123</v>
      </c>
      <c r="I164" s="46">
        <v>284145595</v>
      </c>
      <c r="J164" s="58">
        <v>0.123</v>
      </c>
      <c r="K164" s="46">
        <v>2025854405</v>
      </c>
      <c r="L164" s="36"/>
    </row>
    <row r="165" spans="1:12" ht="12.75" customHeight="1" x14ac:dyDescent="0.4">
      <c r="A165" s="36"/>
      <c r="B165" s="57" t="s">
        <v>145</v>
      </c>
      <c r="C165" s="46">
        <v>2911760000</v>
      </c>
      <c r="D165" s="46">
        <v>880440000</v>
      </c>
      <c r="E165" s="46">
        <v>880440000</v>
      </c>
      <c r="F165" s="58">
        <v>0.3024</v>
      </c>
      <c r="G165" s="46">
        <v>412137110</v>
      </c>
      <c r="H165" s="58">
        <v>0.46810000000000002</v>
      </c>
      <c r="I165" s="46">
        <v>411555340</v>
      </c>
      <c r="J165" s="58">
        <v>0.46739999999999998</v>
      </c>
      <c r="K165" s="46">
        <v>468302890</v>
      </c>
      <c r="L165" s="36"/>
    </row>
    <row r="166" spans="1:12" ht="12.75" customHeight="1" x14ac:dyDescent="0.4">
      <c r="A166" s="36"/>
      <c r="B166" s="57" t="s">
        <v>147</v>
      </c>
      <c r="C166" s="46">
        <v>411080000</v>
      </c>
      <c r="D166" s="46">
        <v>90000000</v>
      </c>
      <c r="E166" s="46">
        <v>90000000</v>
      </c>
      <c r="F166" s="58">
        <v>0.21890000000000001</v>
      </c>
      <c r="G166" s="46">
        <v>72536444</v>
      </c>
      <c r="H166" s="58">
        <v>0.80600000000000005</v>
      </c>
      <c r="I166" s="46">
        <v>70896704</v>
      </c>
      <c r="J166" s="58">
        <v>0.78769999999999996</v>
      </c>
      <c r="K166" s="46">
        <v>17463556</v>
      </c>
      <c r="L166" s="36"/>
    </row>
    <row r="167" spans="1:12" ht="12.75" customHeight="1" x14ac:dyDescent="0.4">
      <c r="A167" s="36"/>
      <c r="B167" s="57" t="s">
        <v>149</v>
      </c>
      <c r="C167" s="46">
        <v>2230000000</v>
      </c>
      <c r="D167" s="46">
        <v>637500000</v>
      </c>
      <c r="E167" s="46">
        <v>637500000</v>
      </c>
      <c r="F167" s="58">
        <v>0.28589999999999999</v>
      </c>
      <c r="G167" s="46">
        <v>227966545</v>
      </c>
      <c r="H167" s="58">
        <v>0.35759999999999997</v>
      </c>
      <c r="I167" s="46">
        <v>218151545</v>
      </c>
      <c r="J167" s="58">
        <v>0.3422</v>
      </c>
      <c r="K167" s="46">
        <v>409533455</v>
      </c>
      <c r="L167" s="36"/>
    </row>
    <row r="168" spans="1:12" ht="12.75" customHeight="1" x14ac:dyDescent="0.4">
      <c r="A168" s="36"/>
      <c r="B168" s="57" t="s">
        <v>151</v>
      </c>
      <c r="C168" s="47">
        <v>0</v>
      </c>
      <c r="D168" s="47">
        <v>0</v>
      </c>
      <c r="E168" s="47">
        <v>0</v>
      </c>
      <c r="F168" s="53"/>
      <c r="G168" s="47">
        <v>0</v>
      </c>
      <c r="H168" s="53"/>
      <c r="I168" s="47">
        <v>0</v>
      </c>
      <c r="J168" s="53"/>
      <c r="K168" s="47">
        <v>0</v>
      </c>
      <c r="L168" s="36"/>
    </row>
    <row r="169" spans="1:12" ht="12.75" customHeight="1" x14ac:dyDescent="0.4">
      <c r="A169" s="36"/>
      <c r="B169" s="57" t="s">
        <v>179</v>
      </c>
      <c r="C169" s="46">
        <v>2560000000</v>
      </c>
      <c r="D169" s="46">
        <v>640000000</v>
      </c>
      <c r="E169" s="46">
        <v>640000000</v>
      </c>
      <c r="F169" s="58">
        <v>0.25</v>
      </c>
      <c r="G169" s="46">
        <v>455035109</v>
      </c>
      <c r="H169" s="58">
        <v>0.71099999999999997</v>
      </c>
      <c r="I169" s="46">
        <v>446630703</v>
      </c>
      <c r="J169" s="58">
        <v>0.69789999999999996</v>
      </c>
      <c r="K169" s="46">
        <v>184964891</v>
      </c>
      <c r="L169" s="36"/>
    </row>
    <row r="170" spans="1:12" ht="12.75" customHeight="1" x14ac:dyDescent="0.4">
      <c r="A170" s="36"/>
      <c r="B170" s="57" t="s">
        <v>189</v>
      </c>
      <c r="C170" s="46">
        <v>1539315000</v>
      </c>
      <c r="D170" s="46">
        <v>1539315000</v>
      </c>
      <c r="E170" s="46">
        <v>1539315000</v>
      </c>
      <c r="F170" s="58">
        <v>1</v>
      </c>
      <c r="G170" s="46">
        <v>234353725</v>
      </c>
      <c r="H170" s="58">
        <v>0.1522</v>
      </c>
      <c r="I170" s="46">
        <v>230704071</v>
      </c>
      <c r="J170" s="58">
        <v>0.14990000000000001</v>
      </c>
      <c r="K170" s="46">
        <v>1304961275</v>
      </c>
      <c r="L170" s="36"/>
    </row>
    <row r="171" spans="1:12" ht="12.75" customHeight="1" x14ac:dyDescent="0.4">
      <c r="A171" s="36"/>
      <c r="B171" s="57" t="s">
        <v>60</v>
      </c>
      <c r="C171" s="46">
        <v>4500000000</v>
      </c>
      <c r="D171" s="46">
        <v>4500000000</v>
      </c>
      <c r="E171" s="46">
        <v>4500000000</v>
      </c>
      <c r="F171" s="58">
        <v>1</v>
      </c>
      <c r="G171" s="46">
        <v>967917605</v>
      </c>
      <c r="H171" s="58">
        <v>0.21510000000000001</v>
      </c>
      <c r="I171" s="46">
        <v>967917605</v>
      </c>
      <c r="J171" s="58">
        <v>0.21510000000000001</v>
      </c>
      <c r="K171" s="46">
        <v>3532082395</v>
      </c>
      <c r="L171" s="36"/>
    </row>
    <row r="172" spans="1:12" ht="12.75" customHeight="1" x14ac:dyDescent="0.4">
      <c r="A172" s="40"/>
      <c r="B172" s="65" t="s">
        <v>202</v>
      </c>
      <c r="C172" s="66">
        <v>32542391000</v>
      </c>
      <c r="D172" s="66">
        <v>18937314018</v>
      </c>
      <c r="E172" s="66">
        <v>18937314018</v>
      </c>
      <c r="F172" s="67">
        <v>1</v>
      </c>
      <c r="G172" s="66">
        <v>4904448951</v>
      </c>
      <c r="H172" s="67">
        <v>0.25900000000000001</v>
      </c>
      <c r="I172" s="66">
        <v>4880089181</v>
      </c>
      <c r="J172" s="67">
        <v>0.25769999999999998</v>
      </c>
      <c r="K172" s="66">
        <v>14032865067</v>
      </c>
      <c r="L172" s="40"/>
    </row>
    <row r="173" spans="1:12" ht="13.15" x14ac:dyDescent="0.4">
      <c r="A173" s="36"/>
      <c r="B173" s="36"/>
      <c r="C173" s="37"/>
      <c r="D173" s="37"/>
      <c r="E173" s="37"/>
      <c r="F173" s="38"/>
      <c r="G173" s="37"/>
      <c r="H173" s="38"/>
      <c r="I173" s="37"/>
      <c r="J173" s="38"/>
      <c r="K173" s="37"/>
      <c r="L173" s="36"/>
    </row>
    <row r="174" spans="1:12" ht="0" hidden="1" customHeight="1" x14ac:dyDescent="0.4"/>
    <row r="175" spans="1:12" ht="0" hidden="1" customHeight="1" x14ac:dyDescent="0.4"/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Monitoring RKA 2026</vt:lpstr>
      <vt:lpstr>Hitung Per Bulan</vt:lpstr>
      <vt:lpstr>Pivot</vt:lpstr>
      <vt:lpstr>ZFM01</vt:lpstr>
      <vt:lpstr>Pivot_</vt:lpstr>
      <vt:lpstr>Rekap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SANUSI ZULFIRMAN LUBIS</cp:lastModifiedBy>
  <dcterms:created xsi:type="dcterms:W3CDTF">2026-02-23T06:44:17Z</dcterms:created>
  <dcterms:modified xsi:type="dcterms:W3CDTF">2026-03-16T02:06:30Z</dcterms:modified>
</cp:coreProperties>
</file>