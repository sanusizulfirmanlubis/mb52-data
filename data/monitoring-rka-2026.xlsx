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3. TSSP.3\1. Laporan Bulanan\2026\3. Mar\KP\RKA\"/>
    </mc:Choice>
  </mc:AlternateContent>
  <xr:revisionPtr revIDLastSave="0" documentId="13_ncr:1_{9EF02729-5FDF-4692-873F-EA6EEBDFCB30}" xr6:coauthVersionLast="47" xr6:coauthVersionMax="47" xr10:uidLastSave="{00000000-0000-0000-0000-000000000000}"/>
  <bookViews>
    <workbookView xWindow="-98" yWindow="-98" windowWidth="21795" windowHeight="12975" tabRatio="848" xr2:uid="{00000000-000D-0000-FFFF-FFFF00000000}"/>
  </bookViews>
  <sheets>
    <sheet name="Monitoring RKA 2026" sheetId="1" r:id="rId1"/>
    <sheet name="Hitung Per Bulan" sheetId="3" r:id="rId2"/>
    <sheet name="Pivot" sheetId="2" r:id="rId3"/>
    <sheet name="ZFM01" sheetId="4" r:id="rId4"/>
    <sheet name="Pivot_" sheetId="5" r:id="rId5"/>
    <sheet name="Rekap" sheetId="6" r:id="rId6"/>
  </sheets>
  <definedNames>
    <definedName name="_xlnm._FilterDatabase" localSheetId="1" hidden="1">'Hitung Per Bulan'!$A$1:$G$1261</definedName>
    <definedName name="_xlnm._FilterDatabase" localSheetId="0" hidden="1">'Monitoring RKA 2026'!$A$1:$G$1261</definedName>
    <definedName name="_xlnm._FilterDatabase" localSheetId="3" hidden="1">ZFM01!$A$1:$J$543</definedName>
  </definedNames>
  <calcPr calcId="191029"/>
  <pivotCaches>
    <pivotCache cacheId="13" r:id="rId7"/>
    <pivotCache cacheId="1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3" l="1"/>
  <c r="L16" i="3"/>
  <c r="M16" i="3"/>
  <c r="L28" i="3"/>
  <c r="M28" i="3"/>
  <c r="L40" i="3"/>
  <c r="M40" i="3"/>
  <c r="L52" i="3"/>
  <c r="M52" i="3"/>
  <c r="L64" i="3"/>
  <c r="M64" i="3"/>
  <c r="L76" i="3"/>
  <c r="M76" i="3"/>
  <c r="L88" i="3"/>
  <c r="M88" i="3"/>
  <c r="L100" i="3"/>
  <c r="M100" i="3"/>
  <c r="L112" i="3"/>
  <c r="M112" i="3"/>
  <c r="L124" i="3"/>
  <c r="M124" i="3"/>
  <c r="L136" i="3"/>
  <c r="M136" i="3"/>
  <c r="L148" i="3"/>
  <c r="M148" i="3"/>
  <c r="L160" i="3"/>
  <c r="M160" i="3"/>
  <c r="L172" i="3"/>
  <c r="M172" i="3"/>
  <c r="G1261" i="1"/>
  <c r="G1260" i="1"/>
  <c r="G1259" i="1"/>
  <c r="G1258" i="1"/>
  <c r="G1257" i="1"/>
  <c r="G1256" i="1"/>
  <c r="G1255" i="1"/>
  <c r="G1254" i="1"/>
  <c r="G1251" i="1"/>
  <c r="G1250" i="1"/>
  <c r="G1249" i="1"/>
  <c r="G1248" i="1"/>
  <c r="G1247" i="1"/>
  <c r="G1246" i="1"/>
  <c r="G1245" i="1"/>
  <c r="G1244" i="1"/>
  <c r="G1243" i="1"/>
  <c r="G1242" i="1"/>
  <c r="G1239" i="1"/>
  <c r="G1238" i="1"/>
  <c r="G1237" i="1"/>
  <c r="G1236" i="1"/>
  <c r="G1235" i="1"/>
  <c r="G1234" i="1"/>
  <c r="G1233" i="1"/>
  <c r="G1232" i="1"/>
  <c r="G1231" i="1"/>
  <c r="G1230" i="1"/>
  <c r="G1227" i="1"/>
  <c r="G1226" i="1"/>
  <c r="G1225" i="1"/>
  <c r="G1224" i="1"/>
  <c r="G1223" i="1"/>
  <c r="G1222" i="1"/>
  <c r="G1221" i="1"/>
  <c r="G1220" i="1"/>
  <c r="G1219" i="1"/>
  <c r="G1218" i="1"/>
  <c r="G1215" i="1"/>
  <c r="G1214" i="1"/>
  <c r="G1213" i="1"/>
  <c r="G1212" i="1"/>
  <c r="G1211" i="1"/>
  <c r="G1210" i="1"/>
  <c r="G1209" i="1"/>
  <c r="G1208" i="1"/>
  <c r="G1207" i="1"/>
  <c r="G1206" i="1"/>
  <c r="G1203" i="1"/>
  <c r="G1202" i="1"/>
  <c r="G1201" i="1"/>
  <c r="G1200" i="1"/>
  <c r="G1199" i="1"/>
  <c r="G1198" i="1"/>
  <c r="G1197" i="1"/>
  <c r="G1196" i="1"/>
  <c r="G1195" i="1"/>
  <c r="G1194" i="1"/>
  <c r="G1191" i="1"/>
  <c r="G1190" i="1"/>
  <c r="G1189" i="1"/>
  <c r="G1188" i="1"/>
  <c r="G1187" i="1"/>
  <c r="G1186" i="1"/>
  <c r="G1185" i="1"/>
  <c r="G1184" i="1"/>
  <c r="G1183" i="1"/>
  <c r="G1182" i="1"/>
  <c r="G1179" i="1"/>
  <c r="G1178" i="1"/>
  <c r="G1177" i="1"/>
  <c r="G1176" i="1"/>
  <c r="G1175" i="1"/>
  <c r="G1174" i="1"/>
  <c r="G1173" i="1"/>
  <c r="G1172" i="1"/>
  <c r="G1171" i="1"/>
  <c r="G1170" i="1"/>
  <c r="G1167" i="1"/>
  <c r="G1166" i="1"/>
  <c r="G1165" i="1"/>
  <c r="G1164" i="1"/>
  <c r="G1163" i="1"/>
  <c r="G1162" i="1"/>
  <c r="G1161" i="1"/>
  <c r="G1160" i="1"/>
  <c r="G1159" i="1"/>
  <c r="G1158" i="1"/>
  <c r="G1155" i="1"/>
  <c r="G1154" i="1"/>
  <c r="G1153" i="1"/>
  <c r="G1152" i="1"/>
  <c r="G1151" i="1"/>
  <c r="G1150" i="1"/>
  <c r="G1149" i="1"/>
  <c r="G1148" i="1"/>
  <c r="G1147" i="1"/>
  <c r="G1146" i="1"/>
  <c r="G1143" i="1"/>
  <c r="G1142" i="1"/>
  <c r="G1141" i="1"/>
  <c r="G1140" i="1"/>
  <c r="G1139" i="1"/>
  <c r="G1138" i="1"/>
  <c r="G1137" i="1"/>
  <c r="G1136" i="1"/>
  <c r="G1135" i="1"/>
  <c r="G1134" i="1"/>
  <c r="G1131" i="1"/>
  <c r="G1130" i="1"/>
  <c r="G1129" i="1"/>
  <c r="G1128" i="1"/>
  <c r="G1127" i="1"/>
  <c r="G1126" i="1"/>
  <c r="G1125" i="1"/>
  <c r="G1124" i="1"/>
  <c r="G1123" i="1"/>
  <c r="G1122" i="1"/>
  <c r="G1119" i="1"/>
  <c r="G1118" i="1"/>
  <c r="G1117" i="1"/>
  <c r="G1116" i="1"/>
  <c r="G1115" i="1"/>
  <c r="G1114" i="1"/>
  <c r="G1113" i="1"/>
  <c r="G1112" i="1"/>
  <c r="G1111" i="1"/>
  <c r="G1110" i="1"/>
  <c r="G1107" i="1"/>
  <c r="G1106" i="1"/>
  <c r="G1105" i="1"/>
  <c r="G1104" i="1"/>
  <c r="G1103" i="1"/>
  <c r="G1102" i="1"/>
  <c r="G1101" i="1"/>
  <c r="G1100" i="1"/>
  <c r="G1099" i="1"/>
  <c r="G1098" i="1"/>
  <c r="G1095" i="1"/>
  <c r="G1094" i="1"/>
  <c r="G1093" i="1"/>
  <c r="G1092" i="1"/>
  <c r="G1091" i="1"/>
  <c r="G1090" i="1"/>
  <c r="G1089" i="1"/>
  <c r="G1088" i="1"/>
  <c r="G1087" i="1"/>
  <c r="G1086" i="1"/>
  <c r="G1083" i="1"/>
  <c r="G1082" i="1"/>
  <c r="G1081" i="1"/>
  <c r="G1080" i="1"/>
  <c r="G1079" i="1"/>
  <c r="G1078" i="1"/>
  <c r="G1077" i="1"/>
  <c r="G1076" i="1"/>
  <c r="G1075" i="1"/>
  <c r="G1074" i="1"/>
  <c r="G1071" i="1"/>
  <c r="G1070" i="1"/>
  <c r="G1069" i="1"/>
  <c r="G1068" i="1"/>
  <c r="G1067" i="1"/>
  <c r="G1066" i="1"/>
  <c r="G1065" i="1"/>
  <c r="G1064" i="1"/>
  <c r="G1063" i="1"/>
  <c r="G1062" i="1"/>
  <c r="G1059" i="1"/>
  <c r="G1058" i="1"/>
  <c r="G1057" i="1"/>
  <c r="G1056" i="1"/>
  <c r="G1055" i="1"/>
  <c r="G1054" i="1"/>
  <c r="G1053" i="1"/>
  <c r="G1052" i="1"/>
  <c r="G1051" i="1"/>
  <c r="G1050" i="1"/>
  <c r="G1047" i="1"/>
  <c r="G1046" i="1"/>
  <c r="G1045" i="1"/>
  <c r="G1044" i="1"/>
  <c r="G1043" i="1"/>
  <c r="G1042" i="1"/>
  <c r="G1041" i="1"/>
  <c r="G1040" i="1"/>
  <c r="G1039" i="1"/>
  <c r="G1038" i="1"/>
  <c r="G1035" i="1"/>
  <c r="G1034" i="1"/>
  <c r="G1033" i="1"/>
  <c r="G1032" i="1"/>
  <c r="G1031" i="1"/>
  <c r="G1030" i="1"/>
  <c r="G1029" i="1"/>
  <c r="G1028" i="1"/>
  <c r="G1027" i="1"/>
  <c r="G1026" i="1"/>
  <c r="G1023" i="1"/>
  <c r="G1022" i="1"/>
  <c r="G1021" i="1"/>
  <c r="G1020" i="1"/>
  <c r="G1019" i="1"/>
  <c r="G1018" i="1"/>
  <c r="G1017" i="1"/>
  <c r="G1016" i="1"/>
  <c r="G1015" i="1"/>
  <c r="G1014" i="1"/>
  <c r="G1011" i="1"/>
  <c r="G1010" i="1"/>
  <c r="G1009" i="1"/>
  <c r="G1008" i="1"/>
  <c r="G1007" i="1"/>
  <c r="G1006" i="1"/>
  <c r="G1005" i="1"/>
  <c r="G1004" i="1"/>
  <c r="G1003" i="1"/>
  <c r="G1002" i="1"/>
  <c r="G999" i="1"/>
  <c r="G998" i="1"/>
  <c r="G997" i="1"/>
  <c r="G996" i="1"/>
  <c r="G995" i="1"/>
  <c r="G994" i="1"/>
  <c r="G993" i="1"/>
  <c r="G992" i="1"/>
  <c r="G991" i="1"/>
  <c r="G990" i="1"/>
  <c r="G987" i="1"/>
  <c r="G986" i="1"/>
  <c r="G985" i="1"/>
  <c r="G984" i="1"/>
  <c r="G983" i="1"/>
  <c r="G982" i="1"/>
  <c r="G981" i="1"/>
  <c r="G980" i="1"/>
  <c r="G979" i="1"/>
  <c r="G978" i="1"/>
  <c r="G975" i="1"/>
  <c r="G974" i="1"/>
  <c r="G973" i="1"/>
  <c r="G972" i="1"/>
  <c r="G971" i="1"/>
  <c r="G970" i="1"/>
  <c r="G969" i="1"/>
  <c r="G968" i="1"/>
  <c r="G967" i="1"/>
  <c r="G966" i="1"/>
  <c r="G963" i="1"/>
  <c r="G962" i="1"/>
  <c r="G961" i="1"/>
  <c r="G960" i="1"/>
  <c r="G959" i="1"/>
  <c r="G958" i="1"/>
  <c r="G957" i="1"/>
  <c r="G956" i="1"/>
  <c r="G955" i="1"/>
  <c r="G954" i="1"/>
  <c r="G951" i="1"/>
  <c r="G950" i="1"/>
  <c r="G949" i="1"/>
  <c r="G948" i="1"/>
  <c r="G947" i="1"/>
  <c r="G946" i="1"/>
  <c r="G945" i="1"/>
  <c r="G944" i="1"/>
  <c r="G943" i="1"/>
  <c r="G942" i="1"/>
  <c r="G939" i="1"/>
  <c r="G938" i="1"/>
  <c r="G937" i="1"/>
  <c r="G936" i="1"/>
  <c r="G935" i="1"/>
  <c r="G934" i="1"/>
  <c r="G933" i="1"/>
  <c r="G932" i="1"/>
  <c r="G931" i="1"/>
  <c r="G930" i="1"/>
  <c r="G927" i="1"/>
  <c r="G926" i="1"/>
  <c r="G925" i="1"/>
  <c r="G924" i="1"/>
  <c r="G923" i="1"/>
  <c r="G922" i="1"/>
  <c r="G921" i="1"/>
  <c r="G920" i="1"/>
  <c r="G919" i="1"/>
  <c r="G918" i="1"/>
  <c r="G915" i="1"/>
  <c r="G914" i="1"/>
  <c r="G913" i="1"/>
  <c r="G912" i="1"/>
  <c r="G911" i="1"/>
  <c r="G910" i="1"/>
  <c r="G909" i="1"/>
  <c r="G908" i="1"/>
  <c r="G907" i="1"/>
  <c r="G906" i="1"/>
  <c r="G903" i="1"/>
  <c r="G902" i="1"/>
  <c r="G901" i="1"/>
  <c r="G900" i="1"/>
  <c r="G899" i="1"/>
  <c r="G898" i="1"/>
  <c r="G897" i="1"/>
  <c r="G896" i="1"/>
  <c r="G895" i="1"/>
  <c r="G894" i="1"/>
  <c r="G891" i="1"/>
  <c r="G890" i="1"/>
  <c r="G889" i="1"/>
  <c r="G888" i="1"/>
  <c r="G887" i="1"/>
  <c r="G886" i="1"/>
  <c r="G885" i="1"/>
  <c r="G884" i="1"/>
  <c r="G883" i="1"/>
  <c r="G882" i="1"/>
  <c r="G879" i="1"/>
  <c r="G878" i="1"/>
  <c r="G877" i="1"/>
  <c r="G876" i="1"/>
  <c r="G875" i="1"/>
  <c r="G874" i="1"/>
  <c r="G873" i="1"/>
  <c r="G872" i="1"/>
  <c r="G871" i="1"/>
  <c r="G870" i="1"/>
  <c r="G867" i="1"/>
  <c r="G866" i="1"/>
  <c r="G865" i="1"/>
  <c r="G864" i="1"/>
  <c r="G863" i="1"/>
  <c r="G862" i="1"/>
  <c r="G861" i="1"/>
  <c r="G860" i="1"/>
  <c r="G859" i="1"/>
  <c r="G858" i="1"/>
  <c r="G855" i="1"/>
  <c r="G854" i="1"/>
  <c r="G853" i="1"/>
  <c r="G852" i="1"/>
  <c r="G851" i="1"/>
  <c r="G850" i="1"/>
  <c r="G849" i="1"/>
  <c r="G848" i="1"/>
  <c r="G847" i="1"/>
  <c r="G846" i="1"/>
  <c r="G843" i="1"/>
  <c r="G842" i="1"/>
  <c r="G841" i="1"/>
  <c r="G840" i="1"/>
  <c r="G839" i="1"/>
  <c r="G838" i="1"/>
  <c r="G837" i="1"/>
  <c r="G836" i="1"/>
  <c r="G835" i="1"/>
  <c r="G834" i="1"/>
  <c r="G831" i="1"/>
  <c r="G830" i="1"/>
  <c r="G829" i="1"/>
  <c r="G828" i="1"/>
  <c r="G827" i="1"/>
  <c r="G826" i="1"/>
  <c r="G825" i="1"/>
  <c r="G824" i="1"/>
  <c r="G823" i="1"/>
  <c r="G822" i="1"/>
  <c r="G819" i="1"/>
  <c r="G818" i="1"/>
  <c r="G817" i="1"/>
  <c r="G816" i="1"/>
  <c r="G815" i="1"/>
  <c r="G814" i="1"/>
  <c r="G813" i="1"/>
  <c r="G812" i="1"/>
  <c r="G811" i="1"/>
  <c r="G810" i="1"/>
  <c r="G807" i="1"/>
  <c r="G806" i="1"/>
  <c r="G805" i="1"/>
  <c r="G804" i="1"/>
  <c r="G803" i="1"/>
  <c r="G802" i="1"/>
  <c r="G801" i="1"/>
  <c r="G800" i="1"/>
  <c r="G799" i="1"/>
  <c r="G798" i="1"/>
  <c r="G795" i="1"/>
  <c r="G794" i="1"/>
  <c r="G793" i="1"/>
  <c r="G792" i="1"/>
  <c r="G791" i="1"/>
  <c r="G790" i="1"/>
  <c r="G789" i="1"/>
  <c r="G788" i="1"/>
  <c r="G787" i="1"/>
  <c r="G786" i="1"/>
  <c r="G783" i="1"/>
  <c r="G782" i="1"/>
  <c r="G781" i="1"/>
  <c r="G780" i="1"/>
  <c r="G779" i="1"/>
  <c r="G778" i="1"/>
  <c r="G777" i="1"/>
  <c r="G776" i="1"/>
  <c r="G775" i="1"/>
  <c r="G774" i="1"/>
  <c r="G771" i="1"/>
  <c r="G770" i="1"/>
  <c r="G769" i="1"/>
  <c r="G768" i="1"/>
  <c r="G767" i="1"/>
  <c r="G766" i="1"/>
  <c r="G765" i="1"/>
  <c r="G764" i="1"/>
  <c r="G763" i="1"/>
  <c r="G762" i="1"/>
  <c r="G759" i="1"/>
  <c r="G758" i="1"/>
  <c r="G757" i="1"/>
  <c r="G756" i="1"/>
  <c r="G755" i="1"/>
  <c r="G754" i="1"/>
  <c r="G753" i="1"/>
  <c r="G752" i="1"/>
  <c r="G751" i="1"/>
  <c r="G750" i="1"/>
  <c r="G747" i="1"/>
  <c r="G746" i="1"/>
  <c r="G745" i="1"/>
  <c r="G744" i="1"/>
  <c r="G743" i="1"/>
  <c r="G742" i="1"/>
  <c r="G741" i="1"/>
  <c r="G740" i="1"/>
  <c r="G739" i="1"/>
  <c r="G738" i="1"/>
  <c r="G735" i="1"/>
  <c r="G734" i="1"/>
  <c r="G733" i="1"/>
  <c r="G732" i="1"/>
  <c r="G731" i="1"/>
  <c r="G730" i="1"/>
  <c r="G729" i="1"/>
  <c r="G728" i="1"/>
  <c r="G727" i="1"/>
  <c r="G726" i="1"/>
  <c r="G723" i="1"/>
  <c r="G722" i="1"/>
  <c r="G721" i="1"/>
  <c r="G720" i="1"/>
  <c r="G719" i="1"/>
  <c r="G718" i="1"/>
  <c r="G717" i="1"/>
  <c r="G716" i="1"/>
  <c r="G715" i="1"/>
  <c r="G714" i="1"/>
  <c r="G711" i="1"/>
  <c r="G710" i="1"/>
  <c r="G709" i="1"/>
  <c r="G708" i="1"/>
  <c r="G707" i="1"/>
  <c r="G706" i="1"/>
  <c r="G705" i="1"/>
  <c r="G704" i="1"/>
  <c r="G703" i="1"/>
  <c r="G702" i="1"/>
  <c r="G699" i="1"/>
  <c r="G698" i="1"/>
  <c r="G697" i="1"/>
  <c r="G696" i="1"/>
  <c r="G695" i="1"/>
  <c r="G694" i="1"/>
  <c r="G693" i="1"/>
  <c r="G692" i="1"/>
  <c r="G691" i="1"/>
  <c r="G690" i="1"/>
  <c r="G687" i="1"/>
  <c r="G686" i="1"/>
  <c r="G685" i="1"/>
  <c r="G684" i="1"/>
  <c r="G683" i="1"/>
  <c r="G682" i="1"/>
  <c r="G681" i="1"/>
  <c r="G680" i="1"/>
  <c r="G679" i="1"/>
  <c r="G678" i="1"/>
  <c r="G675" i="1"/>
  <c r="G674" i="1"/>
  <c r="G673" i="1"/>
  <c r="G672" i="1"/>
  <c r="G671" i="1"/>
  <c r="G670" i="1"/>
  <c r="G669" i="1"/>
  <c r="G668" i="1"/>
  <c r="G667" i="1"/>
  <c r="G666" i="1"/>
  <c r="G663" i="1"/>
  <c r="G662" i="1"/>
  <c r="G661" i="1"/>
  <c r="G660" i="1"/>
  <c r="G659" i="1"/>
  <c r="G658" i="1"/>
  <c r="G657" i="1"/>
  <c r="G656" i="1"/>
  <c r="G655" i="1"/>
  <c r="G654" i="1"/>
  <c r="G651" i="1"/>
  <c r="G650" i="1"/>
  <c r="G649" i="1"/>
  <c r="G648" i="1"/>
  <c r="G647" i="1"/>
  <c r="G646" i="1"/>
  <c r="G645" i="1"/>
  <c r="G644" i="1"/>
  <c r="G643" i="1"/>
  <c r="G642" i="1"/>
  <c r="G639" i="1"/>
  <c r="G638" i="1"/>
  <c r="G637" i="1"/>
  <c r="G636" i="1"/>
  <c r="G635" i="1"/>
  <c r="G634" i="1"/>
  <c r="G633" i="1"/>
  <c r="G632" i="1"/>
  <c r="G631" i="1"/>
  <c r="G630" i="1"/>
  <c r="G627" i="1"/>
  <c r="G626" i="1"/>
  <c r="G625" i="1"/>
  <c r="G624" i="1"/>
  <c r="G623" i="1"/>
  <c r="G622" i="1"/>
  <c r="G621" i="1"/>
  <c r="G620" i="1"/>
  <c r="G619" i="1"/>
  <c r="G618" i="1"/>
  <c r="G615" i="1"/>
  <c r="G614" i="1"/>
  <c r="G613" i="1"/>
  <c r="G612" i="1"/>
  <c r="G611" i="1"/>
  <c r="G610" i="1"/>
  <c r="G609" i="1"/>
  <c r="G608" i="1"/>
  <c r="G607" i="1"/>
  <c r="G606" i="1"/>
  <c r="G603" i="1"/>
  <c r="G602" i="1"/>
  <c r="G601" i="1"/>
  <c r="G600" i="1"/>
  <c r="G599" i="1"/>
  <c r="G598" i="1"/>
  <c r="G597" i="1"/>
  <c r="G596" i="1"/>
  <c r="G595" i="1"/>
  <c r="G594" i="1"/>
  <c r="G591" i="1"/>
  <c r="G590" i="1"/>
  <c r="G589" i="1"/>
  <c r="G588" i="1"/>
  <c r="G587" i="1"/>
  <c r="G586" i="1"/>
  <c r="G585" i="1"/>
  <c r="G584" i="1"/>
  <c r="G583" i="1"/>
  <c r="G582" i="1"/>
  <c r="G579" i="1"/>
  <c r="G578" i="1"/>
  <c r="G577" i="1"/>
  <c r="G576" i="1"/>
  <c r="G575" i="1"/>
  <c r="G574" i="1"/>
  <c r="G573" i="1"/>
  <c r="G572" i="1"/>
  <c r="G571" i="1"/>
  <c r="G570" i="1"/>
  <c r="G567" i="1"/>
  <c r="G566" i="1"/>
  <c r="G565" i="1"/>
  <c r="G564" i="1"/>
  <c r="G563" i="1"/>
  <c r="G562" i="1"/>
  <c r="G561" i="1"/>
  <c r="G560" i="1"/>
  <c r="G559" i="1"/>
  <c r="G558" i="1"/>
  <c r="G555" i="1"/>
  <c r="G554" i="1"/>
  <c r="G553" i="1"/>
  <c r="G552" i="1"/>
  <c r="G551" i="1"/>
  <c r="G550" i="1"/>
  <c r="G549" i="1"/>
  <c r="G548" i="1"/>
  <c r="G547" i="1"/>
  <c r="G546" i="1"/>
  <c r="G543" i="1"/>
  <c r="G542" i="1"/>
  <c r="G541" i="1"/>
  <c r="G540" i="1"/>
  <c r="G539" i="1"/>
  <c r="G538" i="1"/>
  <c r="G537" i="1"/>
  <c r="G536" i="1"/>
  <c r="G535" i="1"/>
  <c r="G534" i="1"/>
  <c r="G531" i="1"/>
  <c r="G530" i="1"/>
  <c r="G529" i="1"/>
  <c r="G528" i="1"/>
  <c r="G527" i="1"/>
  <c r="G526" i="1"/>
  <c r="G525" i="1"/>
  <c r="G524" i="1"/>
  <c r="G523" i="1"/>
  <c r="G522" i="1"/>
  <c r="G519" i="1"/>
  <c r="G518" i="1"/>
  <c r="G517" i="1"/>
  <c r="G516" i="1"/>
  <c r="G515" i="1"/>
  <c r="G514" i="1"/>
  <c r="G513" i="1"/>
  <c r="G512" i="1"/>
  <c r="G511" i="1"/>
  <c r="G510" i="1"/>
  <c r="G507" i="1"/>
  <c r="G506" i="1"/>
  <c r="G505" i="1"/>
  <c r="G504" i="1"/>
  <c r="G503" i="1"/>
  <c r="G502" i="1"/>
  <c r="G501" i="1"/>
  <c r="G500" i="1"/>
  <c r="G499" i="1"/>
  <c r="G498" i="1"/>
  <c r="G495" i="1"/>
  <c r="G494" i="1"/>
  <c r="G493" i="1"/>
  <c r="G492" i="1"/>
  <c r="G491" i="1"/>
  <c r="G490" i="1"/>
  <c r="G489" i="1"/>
  <c r="G488" i="1"/>
  <c r="G487" i="1"/>
  <c r="G486" i="1"/>
  <c r="G483" i="1"/>
  <c r="G482" i="1"/>
  <c r="G481" i="1"/>
  <c r="G480" i="1"/>
  <c r="G479" i="1"/>
  <c r="G478" i="1"/>
  <c r="G477" i="1"/>
  <c r="G476" i="1"/>
  <c r="G475" i="1"/>
  <c r="G474" i="1"/>
  <c r="G471" i="1"/>
  <c r="G470" i="1"/>
  <c r="G469" i="1"/>
  <c r="G468" i="1"/>
  <c r="G467" i="1"/>
  <c r="G466" i="1"/>
  <c r="G465" i="1"/>
  <c r="G464" i="1"/>
  <c r="G463" i="1"/>
  <c r="G462" i="1"/>
  <c r="G459" i="1"/>
  <c r="G458" i="1"/>
  <c r="G457" i="1"/>
  <c r="G456" i="1"/>
  <c r="G455" i="1"/>
  <c r="G454" i="1"/>
  <c r="G453" i="1"/>
  <c r="G452" i="1"/>
  <c r="G451" i="1"/>
  <c r="G450" i="1"/>
  <c r="G447" i="1"/>
  <c r="G446" i="1"/>
  <c r="G445" i="1"/>
  <c r="G444" i="1"/>
  <c r="G443" i="1"/>
  <c r="G442" i="1"/>
  <c r="G441" i="1"/>
  <c r="G440" i="1"/>
  <c r="G439" i="1"/>
  <c r="G438" i="1"/>
  <c r="G435" i="1"/>
  <c r="G434" i="1"/>
  <c r="G433" i="1"/>
  <c r="G432" i="1"/>
  <c r="G431" i="1"/>
  <c r="G430" i="1"/>
  <c r="G429" i="1"/>
  <c r="G428" i="1"/>
  <c r="G427" i="1"/>
  <c r="G426" i="1"/>
  <c r="G423" i="1"/>
  <c r="G422" i="1"/>
  <c r="G421" i="1"/>
  <c r="G420" i="1"/>
  <c r="G419" i="1"/>
  <c r="G418" i="1"/>
  <c r="G417" i="1"/>
  <c r="G416" i="1"/>
  <c r="G415" i="1"/>
  <c r="G414" i="1"/>
  <c r="G411" i="1"/>
  <c r="G410" i="1"/>
  <c r="G409" i="1"/>
  <c r="G408" i="1"/>
  <c r="G407" i="1"/>
  <c r="G406" i="1"/>
  <c r="G405" i="1"/>
  <c r="G404" i="1"/>
  <c r="G403" i="1"/>
  <c r="G402" i="1"/>
  <c r="G399" i="1"/>
  <c r="G398" i="1"/>
  <c r="G397" i="1"/>
  <c r="G396" i="1"/>
  <c r="G395" i="1"/>
  <c r="G394" i="1"/>
  <c r="G393" i="1"/>
  <c r="G392" i="1"/>
  <c r="G391" i="1"/>
  <c r="G390" i="1"/>
  <c r="G387" i="1"/>
  <c r="G386" i="1"/>
  <c r="G385" i="1"/>
  <c r="G384" i="1"/>
  <c r="G383" i="1"/>
  <c r="G382" i="1"/>
  <c r="G381" i="1"/>
  <c r="G380" i="1"/>
  <c r="G379" i="1"/>
  <c r="G378" i="1"/>
  <c r="G375" i="1"/>
  <c r="G374" i="1"/>
  <c r="G373" i="1"/>
  <c r="G372" i="1"/>
  <c r="G371" i="1"/>
  <c r="G370" i="1"/>
  <c r="G369" i="1"/>
  <c r="G368" i="1"/>
  <c r="G367" i="1"/>
  <c r="G366" i="1"/>
  <c r="G363" i="1"/>
  <c r="G362" i="1"/>
  <c r="G361" i="1"/>
  <c r="G360" i="1"/>
  <c r="G359" i="1"/>
  <c r="G358" i="1"/>
  <c r="G357" i="1"/>
  <c r="G356" i="1"/>
  <c r="G355" i="1"/>
  <c r="G354" i="1"/>
  <c r="G351" i="1"/>
  <c r="G350" i="1"/>
  <c r="G349" i="1"/>
  <c r="G348" i="1"/>
  <c r="G347" i="1"/>
  <c r="G346" i="1"/>
  <c r="G345" i="1"/>
  <c r="G344" i="1"/>
  <c r="G343" i="1"/>
  <c r="G342" i="1"/>
  <c r="G339" i="1"/>
  <c r="G338" i="1"/>
  <c r="G337" i="1"/>
  <c r="G336" i="1"/>
  <c r="G335" i="1"/>
  <c r="G334" i="1"/>
  <c r="G333" i="1"/>
  <c r="G332" i="1"/>
  <c r="G331" i="1"/>
  <c r="G330" i="1"/>
  <c r="G327" i="1"/>
  <c r="G326" i="1"/>
  <c r="G325" i="1"/>
  <c r="G324" i="1"/>
  <c r="G323" i="1"/>
  <c r="G322" i="1"/>
  <c r="G321" i="1"/>
  <c r="G320" i="1"/>
  <c r="G319" i="1"/>
  <c r="G318" i="1"/>
  <c r="G315" i="1"/>
  <c r="G314" i="1"/>
  <c r="G313" i="1"/>
  <c r="G312" i="1"/>
  <c r="G311" i="1"/>
  <c r="G310" i="1"/>
  <c r="G309" i="1"/>
  <c r="G308" i="1"/>
  <c r="G307" i="1"/>
  <c r="G306" i="1"/>
  <c r="G303" i="1"/>
  <c r="G302" i="1"/>
  <c r="G301" i="1"/>
  <c r="G300" i="1"/>
  <c r="G299" i="1"/>
  <c r="G298" i="1"/>
  <c r="G297" i="1"/>
  <c r="G296" i="1"/>
  <c r="G295" i="1"/>
  <c r="G294" i="1"/>
  <c r="G291" i="1"/>
  <c r="G290" i="1"/>
  <c r="G289" i="1"/>
  <c r="G288" i="1"/>
  <c r="G287" i="1"/>
  <c r="G286" i="1"/>
  <c r="G285" i="1"/>
  <c r="G284" i="1"/>
  <c r="G283" i="1"/>
  <c r="G282" i="1"/>
  <c r="G279" i="1"/>
  <c r="G278" i="1"/>
  <c r="G277" i="1"/>
  <c r="G276" i="1"/>
  <c r="G275" i="1"/>
  <c r="G274" i="1"/>
  <c r="G273" i="1"/>
  <c r="G272" i="1"/>
  <c r="G271" i="1"/>
  <c r="G270" i="1"/>
  <c r="G267" i="1"/>
  <c r="G266" i="1"/>
  <c r="G265" i="1"/>
  <c r="G264" i="1"/>
  <c r="G263" i="1"/>
  <c r="G262" i="1"/>
  <c r="G261" i="1"/>
  <c r="G260" i="1"/>
  <c r="G259" i="1"/>
  <c r="G258" i="1"/>
  <c r="G255" i="1"/>
  <c r="G254" i="1"/>
  <c r="G253" i="1"/>
  <c r="G252" i="1"/>
  <c r="G251" i="1"/>
  <c r="G250" i="1"/>
  <c r="G249" i="1"/>
  <c r="G248" i="1"/>
  <c r="G247" i="1"/>
  <c r="G246" i="1"/>
  <c r="G243" i="1"/>
  <c r="G242" i="1"/>
  <c r="G241" i="1"/>
  <c r="G240" i="1"/>
  <c r="G239" i="1"/>
  <c r="G238" i="1"/>
  <c r="G237" i="1"/>
  <c r="G236" i="1"/>
  <c r="G235" i="1"/>
  <c r="G234" i="1"/>
  <c r="G231" i="1"/>
  <c r="G230" i="1"/>
  <c r="G229" i="1"/>
  <c r="G228" i="1"/>
  <c r="G227" i="1"/>
  <c r="G226" i="1"/>
  <c r="G225" i="1"/>
  <c r="G224" i="1"/>
  <c r="G223" i="1"/>
  <c r="G222" i="1"/>
  <c r="G219" i="1"/>
  <c r="G218" i="1"/>
  <c r="G217" i="1"/>
  <c r="G216" i="1"/>
  <c r="G215" i="1"/>
  <c r="G214" i="1"/>
  <c r="G213" i="1"/>
  <c r="G212" i="1"/>
  <c r="G211" i="1"/>
  <c r="G210" i="1"/>
  <c r="G207" i="1"/>
  <c r="G206" i="1"/>
  <c r="G195" i="1"/>
  <c r="G194" i="1"/>
  <c r="G183" i="1"/>
  <c r="G182" i="1"/>
  <c r="G3" i="1"/>
  <c r="E1261" i="1"/>
  <c r="E1260" i="1"/>
  <c r="E1259" i="1"/>
  <c r="E1258" i="1"/>
  <c r="E1257" i="1"/>
  <c r="E1256" i="1"/>
  <c r="E1255" i="1"/>
  <c r="E1254" i="1"/>
  <c r="E1251" i="1"/>
  <c r="E1250" i="1"/>
  <c r="E1249" i="1"/>
  <c r="E1248" i="1"/>
  <c r="E1247" i="1"/>
  <c r="E1246" i="1"/>
  <c r="E1245" i="1"/>
  <c r="E1244" i="1"/>
  <c r="E1243" i="1"/>
  <c r="E1242" i="1"/>
  <c r="E1239" i="1"/>
  <c r="E1238" i="1"/>
  <c r="E1237" i="1"/>
  <c r="E1236" i="1"/>
  <c r="E1235" i="1"/>
  <c r="E1234" i="1"/>
  <c r="E1233" i="1"/>
  <c r="E1232" i="1"/>
  <c r="E1231" i="1"/>
  <c r="E1230" i="1"/>
  <c r="E1227" i="1"/>
  <c r="E1226" i="1"/>
  <c r="E1225" i="1"/>
  <c r="E1224" i="1"/>
  <c r="E1223" i="1"/>
  <c r="E1222" i="1"/>
  <c r="E1221" i="1"/>
  <c r="E1220" i="1"/>
  <c r="E1219" i="1"/>
  <c r="E1218" i="1"/>
  <c r="E1215" i="1"/>
  <c r="E1214" i="1"/>
  <c r="E1213" i="1"/>
  <c r="E1212" i="1"/>
  <c r="E1211" i="1"/>
  <c r="E1210" i="1"/>
  <c r="E1209" i="1"/>
  <c r="E1208" i="1"/>
  <c r="E1207" i="1"/>
  <c r="E1206" i="1"/>
  <c r="E1203" i="1"/>
  <c r="E1202" i="1"/>
  <c r="E1201" i="1"/>
  <c r="E1200" i="1"/>
  <c r="E1199" i="1"/>
  <c r="E1198" i="1"/>
  <c r="E1197" i="1"/>
  <c r="E1196" i="1"/>
  <c r="E1195" i="1"/>
  <c r="E1194" i="1"/>
  <c r="E1191" i="1"/>
  <c r="E1190" i="1"/>
  <c r="E1189" i="1"/>
  <c r="E1188" i="1"/>
  <c r="E1187" i="1"/>
  <c r="E1186" i="1"/>
  <c r="E1185" i="1"/>
  <c r="E1184" i="1"/>
  <c r="E1183" i="1"/>
  <c r="E1182" i="1"/>
  <c r="E1179" i="1"/>
  <c r="E1178" i="1"/>
  <c r="E1177" i="1"/>
  <c r="E1176" i="1"/>
  <c r="E1175" i="1"/>
  <c r="E1174" i="1"/>
  <c r="E1173" i="1"/>
  <c r="E1172" i="1"/>
  <c r="E1171" i="1"/>
  <c r="E1170" i="1"/>
  <c r="E1167" i="1"/>
  <c r="E1166" i="1"/>
  <c r="E1165" i="1"/>
  <c r="E1164" i="1"/>
  <c r="E1163" i="1"/>
  <c r="E1162" i="1"/>
  <c r="E1161" i="1"/>
  <c r="E1160" i="1"/>
  <c r="E1159" i="1"/>
  <c r="E1158" i="1"/>
  <c r="E1155" i="1"/>
  <c r="E1154" i="1"/>
  <c r="E1153" i="1"/>
  <c r="E1152" i="1"/>
  <c r="E1151" i="1"/>
  <c r="E1150" i="1"/>
  <c r="E1149" i="1"/>
  <c r="E1148" i="1"/>
  <c r="E1147" i="1"/>
  <c r="E1146" i="1"/>
  <c r="E1143" i="1"/>
  <c r="E1142" i="1"/>
  <c r="E1141" i="1"/>
  <c r="E1140" i="1"/>
  <c r="E1139" i="1"/>
  <c r="E1138" i="1"/>
  <c r="E1137" i="1"/>
  <c r="E1136" i="1"/>
  <c r="E1135" i="1"/>
  <c r="E1134" i="1"/>
  <c r="E1131" i="1"/>
  <c r="E1130" i="1"/>
  <c r="E1129" i="1"/>
  <c r="E1128" i="1"/>
  <c r="E1127" i="1"/>
  <c r="E1126" i="1"/>
  <c r="E1125" i="1"/>
  <c r="E1124" i="1"/>
  <c r="E1123" i="1"/>
  <c r="E1122" i="1"/>
  <c r="E1119" i="1"/>
  <c r="E1118" i="1"/>
  <c r="E1117" i="1"/>
  <c r="E1116" i="1"/>
  <c r="E1115" i="1"/>
  <c r="E1114" i="1"/>
  <c r="E1113" i="1"/>
  <c r="E1112" i="1"/>
  <c r="E1111" i="1"/>
  <c r="E1110" i="1"/>
  <c r="E1107" i="1"/>
  <c r="E1106" i="1"/>
  <c r="E1105" i="1"/>
  <c r="E1104" i="1"/>
  <c r="E1103" i="1"/>
  <c r="E1102" i="1"/>
  <c r="E1101" i="1"/>
  <c r="E1100" i="1"/>
  <c r="E1099" i="1"/>
  <c r="E1098" i="1"/>
  <c r="E1095" i="1"/>
  <c r="E1094" i="1"/>
  <c r="E1093" i="1"/>
  <c r="E1092" i="1"/>
  <c r="E1091" i="1"/>
  <c r="E1090" i="1"/>
  <c r="E1089" i="1"/>
  <c r="E1088" i="1"/>
  <c r="E1087" i="1"/>
  <c r="E1086" i="1"/>
  <c r="E1083" i="1"/>
  <c r="E1082" i="1"/>
  <c r="E1081" i="1"/>
  <c r="E1080" i="1"/>
  <c r="E1079" i="1"/>
  <c r="E1078" i="1"/>
  <c r="E1077" i="1"/>
  <c r="E1076" i="1"/>
  <c r="E1075" i="1"/>
  <c r="E1074" i="1"/>
  <c r="E1071" i="1"/>
  <c r="E1070" i="1"/>
  <c r="E1069" i="1"/>
  <c r="E1068" i="1"/>
  <c r="E1067" i="1"/>
  <c r="E1066" i="1"/>
  <c r="E1065" i="1"/>
  <c r="E1064" i="1"/>
  <c r="E1063" i="1"/>
  <c r="E1062" i="1"/>
  <c r="E1059" i="1"/>
  <c r="E1058" i="1"/>
  <c r="E1057" i="1"/>
  <c r="E1056" i="1"/>
  <c r="E1055" i="1"/>
  <c r="E1054" i="1"/>
  <c r="E1053" i="1"/>
  <c r="E1052" i="1"/>
  <c r="E1051" i="1"/>
  <c r="E1050" i="1"/>
  <c r="E1047" i="1"/>
  <c r="E1046" i="1"/>
  <c r="E1045" i="1"/>
  <c r="E1044" i="1"/>
  <c r="E1043" i="1"/>
  <c r="E1042" i="1"/>
  <c r="E1041" i="1"/>
  <c r="E1040" i="1"/>
  <c r="E1039" i="1"/>
  <c r="E1038" i="1"/>
  <c r="E1035" i="1"/>
  <c r="E1034" i="1"/>
  <c r="E1033" i="1"/>
  <c r="E1032" i="1"/>
  <c r="E1031" i="1"/>
  <c r="E1030" i="1"/>
  <c r="E1029" i="1"/>
  <c r="E1028" i="1"/>
  <c r="E1027" i="1"/>
  <c r="E1026" i="1"/>
  <c r="E1023" i="1"/>
  <c r="E1022" i="1"/>
  <c r="E1021" i="1"/>
  <c r="E1020" i="1"/>
  <c r="E1019" i="1"/>
  <c r="E1018" i="1"/>
  <c r="E1017" i="1"/>
  <c r="E1016" i="1"/>
  <c r="E1015" i="1"/>
  <c r="E1014" i="1"/>
  <c r="E1011" i="1"/>
  <c r="E1010" i="1"/>
  <c r="E1009" i="1"/>
  <c r="E1008" i="1"/>
  <c r="E1007" i="1"/>
  <c r="E1006" i="1"/>
  <c r="E1005" i="1"/>
  <c r="E1004" i="1"/>
  <c r="E1003" i="1"/>
  <c r="E1002" i="1"/>
  <c r="E999" i="1"/>
  <c r="E998" i="1"/>
  <c r="E997" i="1"/>
  <c r="E996" i="1"/>
  <c r="E995" i="1"/>
  <c r="E994" i="1"/>
  <c r="E993" i="1"/>
  <c r="E992" i="1"/>
  <c r="E991" i="1"/>
  <c r="E990" i="1"/>
  <c r="E987" i="1"/>
  <c r="E986" i="1"/>
  <c r="E985" i="1"/>
  <c r="E984" i="1"/>
  <c r="E983" i="1"/>
  <c r="E982" i="1"/>
  <c r="E981" i="1"/>
  <c r="E980" i="1"/>
  <c r="E979" i="1"/>
  <c r="E978" i="1"/>
  <c r="E975" i="1"/>
  <c r="E974" i="1"/>
  <c r="E973" i="1"/>
  <c r="E972" i="1"/>
  <c r="E971" i="1"/>
  <c r="E970" i="1"/>
  <c r="E969" i="1"/>
  <c r="E968" i="1"/>
  <c r="E967" i="1"/>
  <c r="E966" i="1"/>
  <c r="E963" i="1"/>
  <c r="E962" i="1"/>
  <c r="E961" i="1"/>
  <c r="E960" i="1"/>
  <c r="E959" i="1"/>
  <c r="E958" i="1"/>
  <c r="E957" i="1"/>
  <c r="E956" i="1"/>
  <c r="E955" i="1"/>
  <c r="E954" i="1"/>
  <c r="E951" i="1"/>
  <c r="E950" i="1"/>
  <c r="E949" i="1"/>
  <c r="E948" i="1"/>
  <c r="E947" i="1"/>
  <c r="E946" i="1"/>
  <c r="E945" i="1"/>
  <c r="E944" i="1"/>
  <c r="E943" i="1"/>
  <c r="E942" i="1"/>
  <c r="E939" i="1"/>
  <c r="E938" i="1"/>
  <c r="E937" i="1"/>
  <c r="E936" i="1"/>
  <c r="E935" i="1"/>
  <c r="E934" i="1"/>
  <c r="E933" i="1"/>
  <c r="E932" i="1"/>
  <c r="E931" i="1"/>
  <c r="E930" i="1"/>
  <c r="E927" i="1"/>
  <c r="E926" i="1"/>
  <c r="E925" i="1"/>
  <c r="E924" i="1"/>
  <c r="E923" i="1"/>
  <c r="E922" i="1"/>
  <c r="E921" i="1"/>
  <c r="E920" i="1"/>
  <c r="E919" i="1"/>
  <c r="E918" i="1"/>
  <c r="E915" i="1"/>
  <c r="E914" i="1"/>
  <c r="E913" i="1"/>
  <c r="E912" i="1"/>
  <c r="E911" i="1"/>
  <c r="E910" i="1"/>
  <c r="E909" i="1"/>
  <c r="E908" i="1"/>
  <c r="E907" i="1"/>
  <c r="E906" i="1"/>
  <c r="E903" i="1"/>
  <c r="E902" i="1"/>
  <c r="E901" i="1"/>
  <c r="E900" i="1"/>
  <c r="E899" i="1"/>
  <c r="E898" i="1"/>
  <c r="E897" i="1"/>
  <c r="E896" i="1"/>
  <c r="E895" i="1"/>
  <c r="E894" i="1"/>
  <c r="E891" i="1"/>
  <c r="E890" i="1"/>
  <c r="E889" i="1"/>
  <c r="E888" i="1"/>
  <c r="E887" i="1"/>
  <c r="E886" i="1"/>
  <c r="E885" i="1"/>
  <c r="E884" i="1"/>
  <c r="E883" i="1"/>
  <c r="E882" i="1"/>
  <c r="E879" i="1"/>
  <c r="E878" i="1"/>
  <c r="E877" i="1"/>
  <c r="E876" i="1"/>
  <c r="E875" i="1"/>
  <c r="E874" i="1"/>
  <c r="E873" i="1"/>
  <c r="E872" i="1"/>
  <c r="E871" i="1"/>
  <c r="E870" i="1"/>
  <c r="E867" i="1"/>
  <c r="E866" i="1"/>
  <c r="E865" i="1"/>
  <c r="E864" i="1"/>
  <c r="E863" i="1"/>
  <c r="E862" i="1"/>
  <c r="E861" i="1"/>
  <c r="E860" i="1"/>
  <c r="E859" i="1"/>
  <c r="E858" i="1"/>
  <c r="E855" i="1"/>
  <c r="E854" i="1"/>
  <c r="E853" i="1"/>
  <c r="E852" i="1"/>
  <c r="E851" i="1"/>
  <c r="E850" i="1"/>
  <c r="E849" i="1"/>
  <c r="E848" i="1"/>
  <c r="E847" i="1"/>
  <c r="E846" i="1"/>
  <c r="E843" i="1"/>
  <c r="E842" i="1"/>
  <c r="E841" i="1"/>
  <c r="E840" i="1"/>
  <c r="E839" i="1"/>
  <c r="E838" i="1"/>
  <c r="E837" i="1"/>
  <c r="E836" i="1"/>
  <c r="E835" i="1"/>
  <c r="E834" i="1"/>
  <c r="E831" i="1"/>
  <c r="E830" i="1"/>
  <c r="E829" i="1"/>
  <c r="E828" i="1"/>
  <c r="E827" i="1"/>
  <c r="E826" i="1"/>
  <c r="E825" i="1"/>
  <c r="E824" i="1"/>
  <c r="E823" i="1"/>
  <c r="E822" i="1"/>
  <c r="E819" i="1"/>
  <c r="E818" i="1"/>
  <c r="E817" i="1"/>
  <c r="E816" i="1"/>
  <c r="E815" i="1"/>
  <c r="E814" i="1"/>
  <c r="E813" i="1"/>
  <c r="E812" i="1"/>
  <c r="E811" i="1"/>
  <c r="E810" i="1"/>
  <c r="E807" i="1"/>
  <c r="E806" i="1"/>
  <c r="E805" i="1"/>
  <c r="E804" i="1"/>
  <c r="E803" i="1"/>
  <c r="E802" i="1"/>
  <c r="E801" i="1"/>
  <c r="E800" i="1"/>
  <c r="E799" i="1"/>
  <c r="E798" i="1"/>
  <c r="E795" i="1"/>
  <c r="E794" i="1"/>
  <c r="E793" i="1"/>
  <c r="E792" i="1"/>
  <c r="E791" i="1"/>
  <c r="E790" i="1"/>
  <c r="E789" i="1"/>
  <c r="E788" i="1"/>
  <c r="E787" i="1"/>
  <c r="E786" i="1"/>
  <c r="E783" i="1"/>
  <c r="E782" i="1"/>
  <c r="E781" i="1"/>
  <c r="E780" i="1"/>
  <c r="E779" i="1"/>
  <c r="E778" i="1"/>
  <c r="E777" i="1"/>
  <c r="E776" i="1"/>
  <c r="E775" i="1"/>
  <c r="E774" i="1"/>
  <c r="E771" i="1"/>
  <c r="E770" i="1"/>
  <c r="E769" i="1"/>
  <c r="E768" i="1"/>
  <c r="E767" i="1"/>
  <c r="E766" i="1"/>
  <c r="E765" i="1"/>
  <c r="E764" i="1"/>
  <c r="E763" i="1"/>
  <c r="E762" i="1"/>
  <c r="E759" i="1"/>
  <c r="E758" i="1"/>
  <c r="E757" i="1"/>
  <c r="E756" i="1"/>
  <c r="E755" i="1"/>
  <c r="E754" i="1"/>
  <c r="E753" i="1"/>
  <c r="E752" i="1"/>
  <c r="E751" i="1"/>
  <c r="E750" i="1"/>
  <c r="E747" i="1"/>
  <c r="E746" i="1"/>
  <c r="E745" i="1"/>
  <c r="E744" i="1"/>
  <c r="E743" i="1"/>
  <c r="E742" i="1"/>
  <c r="E741" i="1"/>
  <c r="E740" i="1"/>
  <c r="E739" i="1"/>
  <c r="E738" i="1"/>
  <c r="E735" i="1"/>
  <c r="E734" i="1"/>
  <c r="E733" i="1"/>
  <c r="E732" i="1"/>
  <c r="E731" i="1"/>
  <c r="E730" i="1"/>
  <c r="E729" i="1"/>
  <c r="E728" i="1"/>
  <c r="E727" i="1"/>
  <c r="E726" i="1"/>
  <c r="E723" i="1"/>
  <c r="E722" i="1"/>
  <c r="E721" i="1"/>
  <c r="E720" i="1"/>
  <c r="E719" i="1"/>
  <c r="E718" i="1"/>
  <c r="E717" i="1"/>
  <c r="E716" i="1"/>
  <c r="E715" i="1"/>
  <c r="E714" i="1"/>
  <c r="E711" i="1"/>
  <c r="E710" i="1"/>
  <c r="E709" i="1"/>
  <c r="E708" i="1"/>
  <c r="E707" i="1"/>
  <c r="E706" i="1"/>
  <c r="E705" i="1"/>
  <c r="E704" i="1"/>
  <c r="E703" i="1"/>
  <c r="E702" i="1"/>
  <c r="E699" i="1"/>
  <c r="E698" i="1"/>
  <c r="E697" i="1"/>
  <c r="E696" i="1"/>
  <c r="E695" i="1"/>
  <c r="E694" i="1"/>
  <c r="E693" i="1"/>
  <c r="E692" i="1"/>
  <c r="E691" i="1"/>
  <c r="E690" i="1"/>
  <c r="E687" i="1"/>
  <c r="E686" i="1"/>
  <c r="E685" i="1"/>
  <c r="E684" i="1"/>
  <c r="E683" i="1"/>
  <c r="E682" i="1"/>
  <c r="E681" i="1"/>
  <c r="E680" i="1"/>
  <c r="E679" i="1"/>
  <c r="E678" i="1"/>
  <c r="E675" i="1"/>
  <c r="E674" i="1"/>
  <c r="E673" i="1"/>
  <c r="E672" i="1"/>
  <c r="E671" i="1"/>
  <c r="E670" i="1"/>
  <c r="E669" i="1"/>
  <c r="E668" i="1"/>
  <c r="E667" i="1"/>
  <c r="E666" i="1"/>
  <c r="E663" i="1"/>
  <c r="E662" i="1"/>
  <c r="E661" i="1"/>
  <c r="E660" i="1"/>
  <c r="E659" i="1"/>
  <c r="E658" i="1"/>
  <c r="E657" i="1"/>
  <c r="E656" i="1"/>
  <c r="E655" i="1"/>
  <c r="E654" i="1"/>
  <c r="E651" i="1"/>
  <c r="E650" i="1"/>
  <c r="E649" i="1"/>
  <c r="E648" i="1"/>
  <c r="E647" i="1"/>
  <c r="E646" i="1"/>
  <c r="E645" i="1"/>
  <c r="E644" i="1"/>
  <c r="E643" i="1"/>
  <c r="E642" i="1"/>
  <c r="E639" i="1"/>
  <c r="E638" i="1"/>
  <c r="E637" i="1"/>
  <c r="E636" i="1"/>
  <c r="E635" i="1"/>
  <c r="E634" i="1"/>
  <c r="E633" i="1"/>
  <c r="E632" i="1"/>
  <c r="E631" i="1"/>
  <c r="E630" i="1"/>
  <c r="E627" i="1"/>
  <c r="E626" i="1"/>
  <c r="E625" i="1"/>
  <c r="E624" i="1"/>
  <c r="E623" i="1"/>
  <c r="E622" i="1"/>
  <c r="E621" i="1"/>
  <c r="E620" i="1"/>
  <c r="E619" i="1"/>
  <c r="E618" i="1"/>
  <c r="E615" i="1"/>
  <c r="E614" i="1"/>
  <c r="E613" i="1"/>
  <c r="E612" i="1"/>
  <c r="E611" i="1"/>
  <c r="E610" i="1"/>
  <c r="E609" i="1"/>
  <c r="E608" i="1"/>
  <c r="E607" i="1"/>
  <c r="E606" i="1"/>
  <c r="E603" i="1"/>
  <c r="E602" i="1"/>
  <c r="E601" i="1"/>
  <c r="E600" i="1"/>
  <c r="E599" i="1"/>
  <c r="E598" i="1"/>
  <c r="E597" i="1"/>
  <c r="E596" i="1"/>
  <c r="E595" i="1"/>
  <c r="E594" i="1"/>
  <c r="E591" i="1"/>
  <c r="E590" i="1"/>
  <c r="E589" i="1"/>
  <c r="E588" i="1"/>
  <c r="E587" i="1"/>
  <c r="E586" i="1"/>
  <c r="E585" i="1"/>
  <c r="E584" i="1"/>
  <c r="E583" i="1"/>
  <c r="E582" i="1"/>
  <c r="E579" i="1"/>
  <c r="E578" i="1"/>
  <c r="E577" i="1"/>
  <c r="E576" i="1"/>
  <c r="E575" i="1"/>
  <c r="E574" i="1"/>
  <c r="E573" i="1"/>
  <c r="E572" i="1"/>
  <c r="E571" i="1"/>
  <c r="E570" i="1"/>
  <c r="E567" i="1"/>
  <c r="E566" i="1"/>
  <c r="E565" i="1"/>
  <c r="E564" i="1"/>
  <c r="E563" i="1"/>
  <c r="E562" i="1"/>
  <c r="E561" i="1"/>
  <c r="E560" i="1"/>
  <c r="E559" i="1"/>
  <c r="E558" i="1"/>
  <c r="E555" i="1"/>
  <c r="E554" i="1"/>
  <c r="E553" i="1"/>
  <c r="E552" i="1"/>
  <c r="E551" i="1"/>
  <c r="E550" i="1"/>
  <c r="E549" i="1"/>
  <c r="E548" i="1"/>
  <c r="E547" i="1"/>
  <c r="E546" i="1"/>
  <c r="E543" i="1"/>
  <c r="E542" i="1"/>
  <c r="E541" i="1"/>
  <c r="E540" i="1"/>
  <c r="E539" i="1"/>
  <c r="E538" i="1"/>
  <c r="E537" i="1"/>
  <c r="E536" i="1"/>
  <c r="E535" i="1"/>
  <c r="E534" i="1"/>
  <c r="E531" i="1"/>
  <c r="E530" i="1"/>
  <c r="E529" i="1"/>
  <c r="E528" i="1"/>
  <c r="E527" i="1"/>
  <c r="E526" i="1"/>
  <c r="E525" i="1"/>
  <c r="E524" i="1"/>
  <c r="E523" i="1"/>
  <c r="E522" i="1"/>
  <c r="E519" i="1"/>
  <c r="E518" i="1"/>
  <c r="E517" i="1"/>
  <c r="E516" i="1"/>
  <c r="E515" i="1"/>
  <c r="E514" i="1"/>
  <c r="E513" i="1"/>
  <c r="E512" i="1"/>
  <c r="E511" i="1"/>
  <c r="E510" i="1"/>
  <c r="E507" i="1"/>
  <c r="E506" i="1"/>
  <c r="E505" i="1"/>
  <c r="E504" i="1"/>
  <c r="E503" i="1"/>
  <c r="E502" i="1"/>
  <c r="E501" i="1"/>
  <c r="E500" i="1"/>
  <c r="E499" i="1"/>
  <c r="E498" i="1"/>
  <c r="E495" i="1"/>
  <c r="E494" i="1"/>
  <c r="E493" i="1"/>
  <c r="E492" i="1"/>
  <c r="E491" i="1"/>
  <c r="E490" i="1"/>
  <c r="E489" i="1"/>
  <c r="E488" i="1"/>
  <c r="E487" i="1"/>
  <c r="E486" i="1"/>
  <c r="E483" i="1"/>
  <c r="E482" i="1"/>
  <c r="E481" i="1"/>
  <c r="E480" i="1"/>
  <c r="E479" i="1"/>
  <c r="E478" i="1"/>
  <c r="E477" i="1"/>
  <c r="E476" i="1"/>
  <c r="E475" i="1"/>
  <c r="E474" i="1"/>
  <c r="E471" i="1"/>
  <c r="E470" i="1"/>
  <c r="E469" i="1"/>
  <c r="E468" i="1"/>
  <c r="E467" i="1"/>
  <c r="E466" i="1"/>
  <c r="E465" i="1"/>
  <c r="E464" i="1"/>
  <c r="E463" i="1"/>
  <c r="E462" i="1"/>
  <c r="E459" i="1"/>
  <c r="E458" i="1"/>
  <c r="E457" i="1"/>
  <c r="E456" i="1"/>
  <c r="E455" i="1"/>
  <c r="E454" i="1"/>
  <c r="E453" i="1"/>
  <c r="E452" i="1"/>
  <c r="E451" i="1"/>
  <c r="E450" i="1"/>
  <c r="E447" i="1"/>
  <c r="E446" i="1"/>
  <c r="E445" i="1"/>
  <c r="E444" i="1"/>
  <c r="E443" i="1"/>
  <c r="E442" i="1"/>
  <c r="E441" i="1"/>
  <c r="E440" i="1"/>
  <c r="E439" i="1"/>
  <c r="E438" i="1"/>
  <c r="E435" i="1"/>
  <c r="E434" i="1"/>
  <c r="E433" i="1"/>
  <c r="E432" i="1"/>
  <c r="E431" i="1"/>
  <c r="E430" i="1"/>
  <c r="E429" i="1"/>
  <c r="E428" i="1"/>
  <c r="E427" i="1"/>
  <c r="E426" i="1"/>
  <c r="E423" i="1"/>
  <c r="E422" i="1"/>
  <c r="E421" i="1"/>
  <c r="E420" i="1"/>
  <c r="E419" i="1"/>
  <c r="E418" i="1"/>
  <c r="E417" i="1"/>
  <c r="E416" i="1"/>
  <c r="E415" i="1"/>
  <c r="E414" i="1"/>
  <c r="E411" i="1"/>
  <c r="E410" i="1"/>
  <c r="E409" i="1"/>
  <c r="E408" i="1"/>
  <c r="E407" i="1"/>
  <c r="E406" i="1"/>
  <c r="E405" i="1"/>
  <c r="E404" i="1"/>
  <c r="E403" i="1"/>
  <c r="E402" i="1"/>
  <c r="E399" i="1"/>
  <c r="E398" i="1"/>
  <c r="E397" i="1"/>
  <c r="E396" i="1"/>
  <c r="E395" i="1"/>
  <c r="E394" i="1"/>
  <c r="E393" i="1"/>
  <c r="E392" i="1"/>
  <c r="E391" i="1"/>
  <c r="E390" i="1"/>
  <c r="E387" i="1"/>
  <c r="E386" i="1"/>
  <c r="E385" i="1"/>
  <c r="E384" i="1"/>
  <c r="E383" i="1"/>
  <c r="E382" i="1"/>
  <c r="E381" i="1"/>
  <c r="E380" i="1"/>
  <c r="E379" i="1"/>
  <c r="E378" i="1"/>
  <c r="E375" i="1"/>
  <c r="E374" i="1"/>
  <c r="E373" i="1"/>
  <c r="E372" i="1"/>
  <c r="E371" i="1"/>
  <c r="E370" i="1"/>
  <c r="E369" i="1"/>
  <c r="E368" i="1"/>
  <c r="E367" i="1"/>
  <c r="E366" i="1"/>
  <c r="E363" i="1"/>
  <c r="E362" i="1"/>
  <c r="E361" i="1"/>
  <c r="E360" i="1"/>
  <c r="E359" i="1"/>
  <c r="E358" i="1"/>
  <c r="E357" i="1"/>
  <c r="E356" i="1"/>
  <c r="E355" i="1"/>
  <c r="E354" i="1"/>
  <c r="E351" i="1"/>
  <c r="E350" i="1"/>
  <c r="E349" i="1"/>
  <c r="E348" i="1"/>
  <c r="E347" i="1"/>
  <c r="E346" i="1"/>
  <c r="E345" i="1"/>
  <c r="E344" i="1"/>
  <c r="E343" i="1"/>
  <c r="E342" i="1"/>
  <c r="E339" i="1"/>
  <c r="E338" i="1"/>
  <c r="E337" i="1"/>
  <c r="E336" i="1"/>
  <c r="E335" i="1"/>
  <c r="E334" i="1"/>
  <c r="E333" i="1"/>
  <c r="E332" i="1"/>
  <c r="E331" i="1"/>
  <c r="E330" i="1"/>
  <c r="E327" i="1"/>
  <c r="E326" i="1"/>
  <c r="E325" i="1"/>
  <c r="E324" i="1"/>
  <c r="E323" i="1"/>
  <c r="E322" i="1"/>
  <c r="E321" i="1"/>
  <c r="E320" i="1"/>
  <c r="E319" i="1"/>
  <c r="E318" i="1"/>
  <c r="E315" i="1"/>
  <c r="E314" i="1"/>
  <c r="E313" i="1"/>
  <c r="E312" i="1"/>
  <c r="E311" i="1"/>
  <c r="E310" i="1"/>
  <c r="E309" i="1"/>
  <c r="E308" i="1"/>
  <c r="E307" i="1"/>
  <c r="E306" i="1"/>
  <c r="E303" i="1"/>
  <c r="E302" i="1"/>
  <c r="E301" i="1"/>
  <c r="E300" i="1"/>
  <c r="E299" i="1"/>
  <c r="E298" i="1"/>
  <c r="E297" i="1"/>
  <c r="E296" i="1"/>
  <c r="E295" i="1"/>
  <c r="E294" i="1"/>
  <c r="E291" i="1"/>
  <c r="E290" i="1"/>
  <c r="E289" i="1"/>
  <c r="E288" i="1"/>
  <c r="E287" i="1"/>
  <c r="E286" i="1"/>
  <c r="E285" i="1"/>
  <c r="E284" i="1"/>
  <c r="E283" i="1"/>
  <c r="E282" i="1"/>
  <c r="E279" i="1"/>
  <c r="E278" i="1"/>
  <c r="E277" i="1"/>
  <c r="E276" i="1"/>
  <c r="E275" i="1"/>
  <c r="E274" i="1"/>
  <c r="E273" i="1"/>
  <c r="E272" i="1"/>
  <c r="E271" i="1"/>
  <c r="E270" i="1"/>
  <c r="E267" i="1"/>
  <c r="E266" i="1"/>
  <c r="E265" i="1"/>
  <c r="E264" i="1"/>
  <c r="E263" i="1"/>
  <c r="E262" i="1"/>
  <c r="E261" i="1"/>
  <c r="E260" i="1"/>
  <c r="E259" i="1"/>
  <c r="E258" i="1"/>
  <c r="E255" i="1"/>
  <c r="E254" i="1"/>
  <c r="E253" i="1"/>
  <c r="E252" i="1"/>
  <c r="E251" i="1"/>
  <c r="E250" i="1"/>
  <c r="E249" i="1"/>
  <c r="E248" i="1"/>
  <c r="E247" i="1"/>
  <c r="E246" i="1"/>
  <c r="E243" i="1"/>
  <c r="E242" i="1"/>
  <c r="E241" i="1"/>
  <c r="E240" i="1"/>
  <c r="E239" i="1"/>
  <c r="E238" i="1"/>
  <c r="E237" i="1"/>
  <c r="E236" i="1"/>
  <c r="E235" i="1"/>
  <c r="E234" i="1"/>
  <c r="E231" i="1"/>
  <c r="E230" i="1"/>
  <c r="E229" i="1"/>
  <c r="E228" i="1"/>
  <c r="E227" i="1"/>
  <c r="E226" i="1"/>
  <c r="E225" i="1"/>
  <c r="E224" i="1"/>
  <c r="E223" i="1"/>
  <c r="E222" i="1"/>
  <c r="E219" i="1"/>
  <c r="E218" i="1"/>
  <c r="E217" i="1"/>
  <c r="E216" i="1"/>
  <c r="E215" i="1"/>
  <c r="E214" i="1"/>
  <c r="E213" i="1"/>
  <c r="E212" i="1"/>
  <c r="E211" i="1"/>
  <c r="E210" i="1"/>
  <c r="E207" i="1"/>
  <c r="E206" i="1"/>
  <c r="E195" i="1"/>
  <c r="E194" i="1"/>
  <c r="E183" i="1"/>
  <c r="E182" i="1"/>
  <c r="E3" i="1"/>
  <c r="G2" i="1"/>
  <c r="E2" i="1"/>
  <c r="A101" i="5"/>
  <c r="A102" i="5" s="1"/>
  <c r="A103" i="5" s="1"/>
  <c r="A104" i="5" s="1"/>
  <c r="A105" i="5" s="1"/>
  <c r="A93" i="5"/>
  <c r="A94" i="5" s="1"/>
  <c r="A95" i="5" s="1"/>
  <c r="A96" i="5" s="1"/>
  <c r="A97" i="5" s="1"/>
  <c r="A98" i="5" s="1"/>
  <c r="A85" i="5"/>
  <c r="A86" i="5" s="1"/>
  <c r="A87" i="5" s="1"/>
  <c r="A88" i="5" s="1"/>
  <c r="A89" i="5" s="1"/>
  <c r="A90" i="5" s="1"/>
  <c r="A91" i="5" s="1"/>
  <c r="A78" i="5"/>
  <c r="A79" i="5" s="1"/>
  <c r="A80" i="5" s="1"/>
  <c r="A81" i="5" s="1"/>
  <c r="A82" i="5" s="1"/>
  <c r="A83" i="5" s="1"/>
  <c r="A71" i="5"/>
  <c r="A72" i="5" s="1"/>
  <c r="A73" i="5" s="1"/>
  <c r="A74" i="5" s="1"/>
  <c r="A75" i="5" s="1"/>
  <c r="A76" i="5" s="1"/>
  <c r="A64" i="5"/>
  <c r="A65" i="5" s="1"/>
  <c r="A66" i="5" s="1"/>
  <c r="A67" i="5" s="1"/>
  <c r="A68" i="5" s="1"/>
  <c r="A69" i="5" s="1"/>
  <c r="A57" i="5"/>
  <c r="A58" i="5" s="1"/>
  <c r="A59" i="5" s="1"/>
  <c r="A60" i="5" s="1"/>
  <c r="A61" i="5" s="1"/>
  <c r="A62" i="5" s="1"/>
  <c r="A50" i="5"/>
  <c r="A51" i="5" s="1"/>
  <c r="A52" i="5" s="1"/>
  <c r="A53" i="5" s="1"/>
  <c r="A54" i="5" s="1"/>
  <c r="A55" i="5" s="1"/>
  <c r="A43" i="5"/>
  <c r="A44" i="5" s="1"/>
  <c r="A45" i="5" s="1"/>
  <c r="A46" i="5" s="1"/>
  <c r="A47" i="5" s="1"/>
  <c r="A48" i="5" s="1"/>
  <c r="A36" i="5"/>
  <c r="A37" i="5" s="1"/>
  <c r="A38" i="5" s="1"/>
  <c r="A39" i="5" s="1"/>
  <c r="A40" i="5" s="1"/>
  <c r="A41" i="5" s="1"/>
  <c r="A29" i="5"/>
  <c r="A30" i="5" s="1"/>
  <c r="A31" i="5" s="1"/>
  <c r="A32" i="5" s="1"/>
  <c r="A33" i="5" s="1"/>
  <c r="A34" i="5" s="1"/>
  <c r="A22" i="5"/>
  <c r="A23" i="5" s="1"/>
  <c r="A24" i="5" s="1"/>
  <c r="A25" i="5" s="1"/>
  <c r="A26" i="5" s="1"/>
  <c r="A27" i="5" s="1"/>
  <c r="A15" i="5"/>
  <c r="A16" i="5" s="1"/>
  <c r="A17" i="5" s="1"/>
  <c r="A18" i="5" s="1"/>
  <c r="A19" i="5" s="1"/>
  <c r="A20" i="5" s="1"/>
  <c r="A9" i="5"/>
  <c r="A5" i="5"/>
  <c r="A6" i="5" s="1"/>
  <c r="A4" i="5"/>
  <c r="L1204" i="3" l="1"/>
  <c r="M1204" i="3"/>
  <c r="L1216" i="3"/>
  <c r="L1228" i="3"/>
  <c r="M880" i="3"/>
  <c r="M496" i="3"/>
  <c r="M592" i="3"/>
  <c r="L1180" i="3"/>
  <c r="L1192" i="3"/>
  <c r="M1228" i="3"/>
  <c r="M208" i="3"/>
  <c r="M688" i="3"/>
  <c r="L508" i="3"/>
  <c r="L988" i="3"/>
  <c r="L520" i="3"/>
  <c r="L340" i="3"/>
  <c r="L628" i="3"/>
  <c r="L916" i="3"/>
  <c r="M436" i="3"/>
  <c r="M724" i="3"/>
  <c r="M820" i="3"/>
  <c r="M916" i="3"/>
  <c r="M1012" i="3"/>
  <c r="M1108" i="3"/>
  <c r="L256" i="3"/>
  <c r="L352" i="3"/>
  <c r="L448" i="3"/>
  <c r="L544" i="3"/>
  <c r="L640" i="3"/>
  <c r="L736" i="3"/>
  <c r="L832" i="3"/>
  <c r="L928" i="3"/>
  <c r="L1024" i="3"/>
  <c r="L1120" i="3"/>
  <c r="M256" i="3"/>
  <c r="M352" i="3"/>
  <c r="M448" i="3"/>
  <c r="M544" i="3"/>
  <c r="M640" i="3"/>
  <c r="M736" i="3"/>
  <c r="M832" i="3"/>
  <c r="M928" i="3"/>
  <c r="M1024" i="3"/>
  <c r="M1120" i="3"/>
  <c r="M1216" i="3"/>
  <c r="L1240" i="3"/>
  <c r="L892" i="3"/>
  <c r="M244" i="3"/>
  <c r="L940" i="3"/>
  <c r="M1036" i="3"/>
  <c r="L760" i="3"/>
  <c r="M184" i="3"/>
  <c r="M568" i="3"/>
  <c r="M664" i="3"/>
  <c r="M760" i="3"/>
  <c r="M856" i="3"/>
  <c r="M952" i="3"/>
  <c r="M1048" i="3"/>
  <c r="M1144" i="3"/>
  <c r="M1240" i="3"/>
  <c r="M304" i="3"/>
  <c r="L220" i="3"/>
  <c r="L604" i="3"/>
  <c r="L232" i="3"/>
  <c r="L616" i="3"/>
  <c r="L904" i="3"/>
  <c r="L244" i="3"/>
  <c r="L724" i="3"/>
  <c r="L1108" i="3"/>
  <c r="M628" i="3"/>
  <c r="L364" i="3"/>
  <c r="L652" i="3"/>
  <c r="L1036" i="3"/>
  <c r="M268" i="3"/>
  <c r="M652" i="3"/>
  <c r="M940" i="3"/>
  <c r="L280" i="3"/>
  <c r="L472" i="3"/>
  <c r="L856" i="3"/>
  <c r="L952" i="3"/>
  <c r="L1048" i="3"/>
  <c r="L1144" i="3"/>
  <c r="M280" i="3"/>
  <c r="M376" i="3"/>
  <c r="M472" i="3"/>
  <c r="L196" i="3"/>
  <c r="L292" i="3"/>
  <c r="L388" i="3"/>
  <c r="L484" i="3"/>
  <c r="L580" i="3"/>
  <c r="L676" i="3"/>
  <c r="L772" i="3"/>
  <c r="L868" i="3"/>
  <c r="L964" i="3"/>
  <c r="L1060" i="3"/>
  <c r="L1156" i="3"/>
  <c r="L1252" i="3"/>
  <c r="M976" i="3"/>
  <c r="L412" i="3"/>
  <c r="L1084" i="3"/>
  <c r="L328" i="3"/>
  <c r="L808" i="3"/>
  <c r="L436" i="3"/>
  <c r="L1012" i="3"/>
  <c r="M532" i="3"/>
  <c r="L556" i="3"/>
  <c r="L844" i="3"/>
  <c r="M460" i="3"/>
  <c r="M844" i="3"/>
  <c r="L568" i="3"/>
  <c r="M196" i="3"/>
  <c r="M580" i="3"/>
  <c r="M964" i="3"/>
  <c r="M1156" i="3"/>
  <c r="M1252" i="3"/>
  <c r="M400" i="3"/>
  <c r="M784" i="3"/>
  <c r="L316" i="3"/>
  <c r="L796" i="3"/>
  <c r="L424" i="3"/>
  <c r="L712" i="3"/>
  <c r="L532" i="3"/>
  <c r="L820" i="3"/>
  <c r="M340" i="3"/>
  <c r="L268" i="3"/>
  <c r="L460" i="3"/>
  <c r="L748" i="3"/>
  <c r="L1132" i="3"/>
  <c r="M364" i="3"/>
  <c r="M556" i="3"/>
  <c r="M748" i="3"/>
  <c r="M1132" i="3"/>
  <c r="L184" i="3"/>
  <c r="L376" i="3"/>
  <c r="L664" i="3"/>
  <c r="M4" i="3"/>
  <c r="M292" i="3"/>
  <c r="M388" i="3"/>
  <c r="M484" i="3"/>
  <c r="M676" i="3"/>
  <c r="M772" i="3"/>
  <c r="M868" i="3"/>
  <c r="M1060" i="3"/>
  <c r="L208" i="3"/>
  <c r="L304" i="3"/>
  <c r="L400" i="3"/>
  <c r="L496" i="3"/>
  <c r="L592" i="3"/>
  <c r="L688" i="3"/>
  <c r="L784" i="3"/>
  <c r="L880" i="3"/>
  <c r="L976" i="3"/>
  <c r="L1072" i="3"/>
  <c r="L1168" i="3"/>
  <c r="M1072" i="3"/>
  <c r="M1168" i="3"/>
  <c r="L700" i="3"/>
  <c r="M220" i="3"/>
  <c r="M316" i="3"/>
  <c r="M412" i="3"/>
  <c r="M508" i="3"/>
  <c r="M604" i="3"/>
  <c r="M700" i="3"/>
  <c r="M796" i="3"/>
  <c r="M892" i="3"/>
  <c r="M988" i="3"/>
  <c r="M1084" i="3"/>
  <c r="M1180" i="3"/>
  <c r="L1000" i="3"/>
  <c r="L1096" i="3"/>
  <c r="M232" i="3"/>
  <c r="M328" i="3"/>
  <c r="M424" i="3"/>
  <c r="M520" i="3"/>
  <c r="M616" i="3"/>
  <c r="M712" i="3"/>
  <c r="M808" i="3"/>
  <c r="M904" i="3"/>
  <c r="M1000" i="3"/>
  <c r="M1096" i="3"/>
  <c r="M1192" i="3"/>
  <c r="J209" i="3"/>
  <c r="G209" i="1" s="1"/>
  <c r="I785" i="3"/>
  <c r="E785" i="1" s="1"/>
  <c r="I881" i="3"/>
  <c r="E881" i="1" s="1"/>
  <c r="I977" i="3"/>
  <c r="E977" i="1" s="1"/>
  <c r="I1073" i="3"/>
  <c r="E1073" i="1" s="1"/>
  <c r="I1169" i="3"/>
  <c r="E1169" i="1" s="1"/>
  <c r="I29" i="3"/>
  <c r="E29" i="1" s="1"/>
  <c r="I1085" i="3"/>
  <c r="E1085" i="1" s="1"/>
  <c r="I1181" i="3"/>
  <c r="E1181" i="1" s="1"/>
  <c r="J17" i="3"/>
  <c r="G17" i="1" s="1"/>
  <c r="J29" i="3"/>
  <c r="G29" i="1" s="1"/>
  <c r="J125" i="3"/>
  <c r="G125" i="1" s="1"/>
  <c r="J221" i="3"/>
  <c r="G221" i="1" s="1"/>
  <c r="J401" i="3"/>
  <c r="G401" i="1" s="1"/>
  <c r="I41" i="3"/>
  <c r="E41" i="1" s="1"/>
  <c r="I137" i="3"/>
  <c r="E137" i="1" s="1"/>
  <c r="I233" i="3"/>
  <c r="E233" i="1" s="1"/>
  <c r="I329" i="3"/>
  <c r="E329" i="1" s="1"/>
  <c r="I425" i="3"/>
  <c r="E425" i="1" s="1"/>
  <c r="J233" i="3"/>
  <c r="G233" i="1" s="1"/>
  <c r="J329" i="3"/>
  <c r="G329" i="1" s="1"/>
  <c r="J425" i="3"/>
  <c r="G425" i="1" s="1"/>
  <c r="J521" i="3"/>
  <c r="G521" i="1" s="1"/>
  <c r="J617" i="3"/>
  <c r="G617" i="1" s="1"/>
  <c r="I437" i="3"/>
  <c r="E437" i="1" s="1"/>
  <c r="I533" i="3"/>
  <c r="E533" i="1" s="1"/>
  <c r="I629" i="3"/>
  <c r="E629" i="1" s="1"/>
  <c r="I725" i="3"/>
  <c r="E725" i="1" s="1"/>
  <c r="I821" i="3"/>
  <c r="E821" i="1" s="1"/>
  <c r="I917" i="3"/>
  <c r="E917" i="1" s="1"/>
  <c r="J629" i="3"/>
  <c r="G629" i="1" s="1"/>
  <c r="J725" i="3"/>
  <c r="G725" i="1" s="1"/>
  <c r="J917" i="3"/>
  <c r="G917" i="1" s="1"/>
  <c r="J1013" i="3"/>
  <c r="G1013" i="1" s="1"/>
  <c r="J1109" i="3"/>
  <c r="G1109" i="1" s="1"/>
  <c r="I929" i="3"/>
  <c r="E929" i="1" s="1"/>
  <c r="I1025" i="3"/>
  <c r="E1025" i="1" s="1"/>
  <c r="I1121" i="3"/>
  <c r="E1121" i="1" s="1"/>
  <c r="I1217" i="3"/>
  <c r="E1217" i="1" s="1"/>
  <c r="J977" i="3"/>
  <c r="G977" i="1" s="1"/>
  <c r="J1025" i="3"/>
  <c r="G1025" i="1" s="1"/>
  <c r="J1121" i="3"/>
  <c r="G1121" i="1" s="1"/>
  <c r="J1217" i="3"/>
  <c r="G1217" i="1" s="1"/>
  <c r="J881" i="3"/>
  <c r="G881" i="1" s="1"/>
  <c r="I77" i="3"/>
  <c r="E77" i="1" s="1"/>
  <c r="I173" i="3"/>
  <c r="E173" i="1" s="1"/>
  <c r="I1229" i="3"/>
  <c r="E1229" i="1" s="1"/>
  <c r="J113" i="3"/>
  <c r="G113" i="1" s="1"/>
  <c r="J77" i="3"/>
  <c r="G77" i="1" s="1"/>
  <c r="J173" i="3"/>
  <c r="G173" i="1" s="1"/>
  <c r="J269" i="3"/>
  <c r="G269" i="1" s="1"/>
  <c r="J1037" i="3"/>
  <c r="G1037" i="1" s="1"/>
  <c r="I89" i="3"/>
  <c r="E89" i="1" s="1"/>
  <c r="I185" i="3"/>
  <c r="E185" i="1" s="1"/>
  <c r="I281" i="3"/>
  <c r="E281" i="1" s="1"/>
  <c r="I377" i="3"/>
  <c r="E377" i="1" s="1"/>
  <c r="I473" i="3"/>
  <c r="E473" i="1" s="1"/>
  <c r="I569" i="3"/>
  <c r="E569" i="1" s="1"/>
  <c r="I1241" i="3"/>
  <c r="E1241" i="1" s="1"/>
  <c r="J473" i="3"/>
  <c r="G473" i="1" s="1"/>
  <c r="J569" i="3"/>
  <c r="G569" i="1" s="1"/>
  <c r="J665" i="3"/>
  <c r="G665" i="1" s="1"/>
  <c r="J761" i="3"/>
  <c r="G761" i="1" s="1"/>
  <c r="J857" i="3"/>
  <c r="G857" i="1" s="1"/>
  <c r="J1049" i="3"/>
  <c r="G1049" i="1" s="1"/>
  <c r="I197" i="3"/>
  <c r="E197" i="1" s="1"/>
  <c r="I677" i="3"/>
  <c r="E677" i="1" s="1"/>
  <c r="I773" i="3"/>
  <c r="E773" i="1" s="1"/>
  <c r="I869" i="3"/>
  <c r="E869" i="1" s="1"/>
  <c r="I965" i="3"/>
  <c r="E965" i="1" s="1"/>
  <c r="I1061" i="3"/>
  <c r="E1061" i="1" s="1"/>
  <c r="I1157" i="3"/>
  <c r="E1157" i="1" s="1"/>
  <c r="I1253" i="3"/>
  <c r="E1253" i="1" s="1"/>
  <c r="J485" i="3"/>
  <c r="G485" i="1" s="1"/>
  <c r="J581" i="3"/>
  <c r="G581" i="1" s="1"/>
  <c r="J677" i="3"/>
  <c r="G677" i="1" s="1"/>
  <c r="J869" i="3"/>
  <c r="G869" i="1" s="1"/>
  <c r="J965" i="3"/>
  <c r="G965" i="1" s="1"/>
  <c r="J1061" i="3"/>
  <c r="G1061" i="1" s="1"/>
  <c r="J1157" i="3"/>
  <c r="G1157" i="1" s="1"/>
  <c r="J1253" i="3"/>
  <c r="G1253" i="1" s="1"/>
  <c r="A10" i="5"/>
  <c r="D67" i="1"/>
  <c r="D65" i="1"/>
  <c r="J1261" i="3"/>
  <c r="I1261" i="3"/>
  <c r="J1260" i="3"/>
  <c r="I1260" i="3"/>
  <c r="J1259" i="3"/>
  <c r="I1259" i="3"/>
  <c r="J1258" i="3"/>
  <c r="I1258" i="3"/>
  <c r="J1257" i="3"/>
  <c r="I1257" i="3"/>
  <c r="J1256" i="3"/>
  <c r="I1256" i="3"/>
  <c r="J1255" i="3"/>
  <c r="I1255" i="3"/>
  <c r="J1254" i="3"/>
  <c r="I1254" i="3"/>
  <c r="J1251" i="3"/>
  <c r="I1251" i="3"/>
  <c r="J1250" i="3"/>
  <c r="I1250" i="3"/>
  <c r="J1249" i="3"/>
  <c r="I1249" i="3"/>
  <c r="J1248" i="3"/>
  <c r="I1248" i="3"/>
  <c r="J1247" i="3"/>
  <c r="I1247" i="3"/>
  <c r="J1246" i="3"/>
  <c r="I1246" i="3"/>
  <c r="J1245" i="3"/>
  <c r="I1245" i="3"/>
  <c r="J1244" i="3"/>
  <c r="I1244" i="3"/>
  <c r="J1243" i="3"/>
  <c r="I1243" i="3"/>
  <c r="J1242" i="3"/>
  <c r="I1242" i="3"/>
  <c r="J1241" i="3"/>
  <c r="G1241" i="1" s="1"/>
  <c r="J1239" i="3"/>
  <c r="I1239" i="3"/>
  <c r="J1238" i="3"/>
  <c r="I1238" i="3"/>
  <c r="J1237" i="3"/>
  <c r="I1237" i="3"/>
  <c r="J1236" i="3"/>
  <c r="I1236" i="3"/>
  <c r="J1235" i="3"/>
  <c r="I1235" i="3"/>
  <c r="J1234" i="3"/>
  <c r="I1234" i="3"/>
  <c r="J1233" i="3"/>
  <c r="I1233" i="3"/>
  <c r="J1232" i="3"/>
  <c r="I1232" i="3"/>
  <c r="J1231" i="3"/>
  <c r="I1231" i="3"/>
  <c r="J1230" i="3"/>
  <c r="I1230" i="3"/>
  <c r="J1229" i="3"/>
  <c r="G1229" i="1" s="1"/>
  <c r="J1227" i="3"/>
  <c r="I1227" i="3"/>
  <c r="J1226" i="3"/>
  <c r="I1226" i="3"/>
  <c r="J1225" i="3"/>
  <c r="I1225" i="3"/>
  <c r="J1224" i="3"/>
  <c r="I1224" i="3"/>
  <c r="J1223" i="3"/>
  <c r="I1223" i="3"/>
  <c r="J1222" i="3"/>
  <c r="I1222" i="3"/>
  <c r="J1221" i="3"/>
  <c r="I1221" i="3"/>
  <c r="J1220" i="3"/>
  <c r="I1220" i="3"/>
  <c r="J1219" i="3"/>
  <c r="I1219" i="3"/>
  <c r="J1218" i="3"/>
  <c r="I1218" i="3"/>
  <c r="J1215" i="3"/>
  <c r="I1215" i="3"/>
  <c r="J1214" i="3"/>
  <c r="I1214" i="3"/>
  <c r="J1213" i="3"/>
  <c r="I1213" i="3"/>
  <c r="J1212" i="3"/>
  <c r="I1212" i="3"/>
  <c r="J1211" i="3"/>
  <c r="I1211" i="3"/>
  <c r="J1210" i="3"/>
  <c r="I1210" i="3"/>
  <c r="J1209" i="3"/>
  <c r="I1209" i="3"/>
  <c r="J1208" i="3"/>
  <c r="I1208" i="3"/>
  <c r="J1207" i="3"/>
  <c r="I1207" i="3"/>
  <c r="J1206" i="3"/>
  <c r="I1206" i="3"/>
  <c r="J1205" i="3"/>
  <c r="G1205" i="1" s="1"/>
  <c r="I1205" i="3"/>
  <c r="E1205" i="1" s="1"/>
  <c r="J1203" i="3"/>
  <c r="I1203" i="3"/>
  <c r="J1202" i="3"/>
  <c r="I1202" i="3"/>
  <c r="J1201" i="3"/>
  <c r="I1201" i="3"/>
  <c r="J1200" i="3"/>
  <c r="I1200" i="3"/>
  <c r="J1199" i="3"/>
  <c r="I1199" i="3"/>
  <c r="J1198" i="3"/>
  <c r="I1198" i="3"/>
  <c r="J1197" i="3"/>
  <c r="I1197" i="3"/>
  <c r="J1196" i="3"/>
  <c r="I1196" i="3"/>
  <c r="J1195" i="3"/>
  <c r="I1195" i="3"/>
  <c r="J1194" i="3"/>
  <c r="I1194" i="3"/>
  <c r="J1193" i="3"/>
  <c r="G1193" i="1" s="1"/>
  <c r="I1193" i="3"/>
  <c r="E1193" i="1" s="1"/>
  <c r="J1191" i="3"/>
  <c r="I1191" i="3"/>
  <c r="J1190" i="3"/>
  <c r="I1190" i="3"/>
  <c r="J1189" i="3"/>
  <c r="I1189" i="3"/>
  <c r="J1188" i="3"/>
  <c r="I1188" i="3"/>
  <c r="J1187" i="3"/>
  <c r="I1187" i="3"/>
  <c r="J1186" i="3"/>
  <c r="I1186" i="3"/>
  <c r="J1185" i="3"/>
  <c r="I1185" i="3"/>
  <c r="J1184" i="3"/>
  <c r="I1184" i="3"/>
  <c r="J1183" i="3"/>
  <c r="I1183" i="3"/>
  <c r="J1182" i="3"/>
  <c r="I1182" i="3"/>
  <c r="J1181" i="3"/>
  <c r="G1181" i="1" s="1"/>
  <c r="J1179" i="3"/>
  <c r="I1179" i="3"/>
  <c r="J1178" i="3"/>
  <c r="I1178" i="3"/>
  <c r="J1177" i="3"/>
  <c r="I1177" i="3"/>
  <c r="J1176" i="3"/>
  <c r="I1176" i="3"/>
  <c r="J1175" i="3"/>
  <c r="I1175" i="3"/>
  <c r="J1174" i="3"/>
  <c r="I1174" i="3"/>
  <c r="J1173" i="3"/>
  <c r="I1173" i="3"/>
  <c r="J1172" i="3"/>
  <c r="I1172" i="3"/>
  <c r="J1171" i="3"/>
  <c r="I1171" i="3"/>
  <c r="J1170" i="3"/>
  <c r="I1170" i="3"/>
  <c r="J1169" i="3"/>
  <c r="G1169" i="1" s="1"/>
  <c r="J1167" i="3"/>
  <c r="I1167" i="3"/>
  <c r="J1166" i="3"/>
  <c r="I1166" i="3"/>
  <c r="J1165" i="3"/>
  <c r="I1165" i="3"/>
  <c r="J1164" i="3"/>
  <c r="I1164" i="3"/>
  <c r="J1163" i="3"/>
  <c r="I1163" i="3"/>
  <c r="J1162" i="3"/>
  <c r="I1162" i="3"/>
  <c r="J1161" i="3"/>
  <c r="I1161" i="3"/>
  <c r="J1160" i="3"/>
  <c r="I1160" i="3"/>
  <c r="J1159" i="3"/>
  <c r="I1159" i="3"/>
  <c r="J1158" i="3"/>
  <c r="I1158" i="3"/>
  <c r="J1155" i="3"/>
  <c r="I1155" i="3"/>
  <c r="J1154" i="3"/>
  <c r="I1154" i="3"/>
  <c r="J1153" i="3"/>
  <c r="I1153" i="3"/>
  <c r="J1152" i="3"/>
  <c r="I1152" i="3"/>
  <c r="J1151" i="3"/>
  <c r="I1151" i="3"/>
  <c r="J1150" i="3"/>
  <c r="I1150" i="3"/>
  <c r="J1149" i="3"/>
  <c r="I1149" i="3"/>
  <c r="J1148" i="3"/>
  <c r="I1148" i="3"/>
  <c r="J1147" i="3"/>
  <c r="I1147" i="3"/>
  <c r="J1146" i="3"/>
  <c r="I1146" i="3"/>
  <c r="J1145" i="3"/>
  <c r="G1145" i="1" s="1"/>
  <c r="I1145" i="3"/>
  <c r="E1145" i="1" s="1"/>
  <c r="J1143" i="3"/>
  <c r="I1143" i="3"/>
  <c r="J1142" i="3"/>
  <c r="I1142" i="3"/>
  <c r="J1141" i="3"/>
  <c r="I1141" i="3"/>
  <c r="J1140" i="3"/>
  <c r="I1140" i="3"/>
  <c r="J1139" i="3"/>
  <c r="I1139" i="3"/>
  <c r="J1138" i="3"/>
  <c r="I1138" i="3"/>
  <c r="J1137" i="3"/>
  <c r="I1137" i="3"/>
  <c r="J1136" i="3"/>
  <c r="I1136" i="3"/>
  <c r="J1135" i="3"/>
  <c r="I1135" i="3"/>
  <c r="J1134" i="3"/>
  <c r="I1134" i="3"/>
  <c r="J1133" i="3"/>
  <c r="G1133" i="1" s="1"/>
  <c r="I1133" i="3"/>
  <c r="E1133" i="1" s="1"/>
  <c r="J1131" i="3"/>
  <c r="I1131" i="3"/>
  <c r="J1130" i="3"/>
  <c r="I1130" i="3"/>
  <c r="J1129" i="3"/>
  <c r="I1129" i="3"/>
  <c r="J1128" i="3"/>
  <c r="I1128" i="3"/>
  <c r="J1127" i="3"/>
  <c r="I1127" i="3"/>
  <c r="J1126" i="3"/>
  <c r="I1126" i="3"/>
  <c r="J1125" i="3"/>
  <c r="I1125" i="3"/>
  <c r="J1124" i="3"/>
  <c r="I1124" i="3"/>
  <c r="J1123" i="3"/>
  <c r="I1123" i="3"/>
  <c r="J1122" i="3"/>
  <c r="I1122" i="3"/>
  <c r="J1119" i="3"/>
  <c r="I1119" i="3"/>
  <c r="J1118" i="3"/>
  <c r="I1118" i="3"/>
  <c r="J1117" i="3"/>
  <c r="I1117" i="3"/>
  <c r="J1116" i="3"/>
  <c r="I1116" i="3"/>
  <c r="J1115" i="3"/>
  <c r="I1115" i="3"/>
  <c r="J1114" i="3"/>
  <c r="I1114" i="3"/>
  <c r="J1113" i="3"/>
  <c r="I1113" i="3"/>
  <c r="J1112" i="3"/>
  <c r="I1112" i="3"/>
  <c r="J1111" i="3"/>
  <c r="I1111" i="3"/>
  <c r="J1110" i="3"/>
  <c r="I1110" i="3"/>
  <c r="I1109" i="3"/>
  <c r="E1109" i="1" s="1"/>
  <c r="J1107" i="3"/>
  <c r="I1106" i="3"/>
  <c r="J1106" i="3"/>
  <c r="J1105" i="3"/>
  <c r="I1105" i="3"/>
  <c r="J1104" i="3"/>
  <c r="I1104" i="3"/>
  <c r="J1103" i="3"/>
  <c r="I1103" i="3"/>
  <c r="J1102" i="3"/>
  <c r="I1102" i="3"/>
  <c r="J1101" i="3"/>
  <c r="I1101" i="3"/>
  <c r="J1100" i="3"/>
  <c r="I1100" i="3"/>
  <c r="J1099" i="3"/>
  <c r="I1099" i="3"/>
  <c r="J1098" i="3"/>
  <c r="I1098" i="3"/>
  <c r="J1097" i="3"/>
  <c r="G1097" i="1" s="1"/>
  <c r="I1097" i="3"/>
  <c r="E1097" i="1" s="1"/>
  <c r="J1095" i="3"/>
  <c r="I1095" i="3"/>
  <c r="J1094" i="3"/>
  <c r="I1094" i="3"/>
  <c r="J1093" i="3"/>
  <c r="I1093" i="3"/>
  <c r="J1092" i="3"/>
  <c r="I1092" i="3"/>
  <c r="J1091" i="3"/>
  <c r="I1091" i="3"/>
  <c r="J1090" i="3"/>
  <c r="I1090" i="3"/>
  <c r="J1089" i="3"/>
  <c r="I1089" i="3"/>
  <c r="J1088" i="3"/>
  <c r="I1088" i="3"/>
  <c r="J1087" i="3"/>
  <c r="I1087" i="3"/>
  <c r="J1086" i="3"/>
  <c r="I1086" i="3"/>
  <c r="J1085" i="3"/>
  <c r="G1085" i="1" s="1"/>
  <c r="J1083" i="3"/>
  <c r="I1083" i="3"/>
  <c r="J1082" i="3"/>
  <c r="I1082" i="3"/>
  <c r="J1081" i="3"/>
  <c r="I1081" i="3"/>
  <c r="J1080" i="3"/>
  <c r="I1080" i="3"/>
  <c r="J1079" i="3"/>
  <c r="I1079" i="3"/>
  <c r="J1078" i="3"/>
  <c r="I1078" i="3"/>
  <c r="J1077" i="3"/>
  <c r="I1077" i="3"/>
  <c r="J1076" i="3"/>
  <c r="I1076" i="3"/>
  <c r="J1075" i="3"/>
  <c r="I1075" i="3"/>
  <c r="J1074" i="3"/>
  <c r="I1074" i="3"/>
  <c r="J1073" i="3"/>
  <c r="G1073" i="1" s="1"/>
  <c r="J1071" i="3"/>
  <c r="I1071" i="3"/>
  <c r="J1070" i="3"/>
  <c r="I1070" i="3"/>
  <c r="J1069" i="3"/>
  <c r="I1069" i="3"/>
  <c r="J1068" i="3"/>
  <c r="I1068" i="3"/>
  <c r="J1067" i="3"/>
  <c r="I1067" i="3"/>
  <c r="J1066" i="3"/>
  <c r="I1066" i="3"/>
  <c r="J1065" i="3"/>
  <c r="I1065" i="3"/>
  <c r="J1064" i="3"/>
  <c r="I1064" i="3"/>
  <c r="J1063" i="3"/>
  <c r="I1063" i="3"/>
  <c r="J1062" i="3"/>
  <c r="I1062" i="3"/>
  <c r="J1059" i="3"/>
  <c r="I1059" i="3"/>
  <c r="J1058" i="3"/>
  <c r="I1058" i="3"/>
  <c r="J1057" i="3"/>
  <c r="I1057" i="3"/>
  <c r="J1056" i="3"/>
  <c r="I1056" i="3"/>
  <c r="J1055" i="3"/>
  <c r="I1055" i="3"/>
  <c r="J1054" i="3"/>
  <c r="I1054" i="3"/>
  <c r="J1053" i="3"/>
  <c r="I1053" i="3"/>
  <c r="J1052" i="3"/>
  <c r="I1052" i="3"/>
  <c r="J1051" i="3"/>
  <c r="I1051" i="3"/>
  <c r="J1050" i="3"/>
  <c r="I1050" i="3"/>
  <c r="I1049" i="3"/>
  <c r="E1049" i="1" s="1"/>
  <c r="J1047" i="3"/>
  <c r="I1047" i="3"/>
  <c r="J1046" i="3"/>
  <c r="I1046" i="3"/>
  <c r="J1045" i="3"/>
  <c r="I1045" i="3"/>
  <c r="J1044" i="3"/>
  <c r="I1044" i="3"/>
  <c r="J1043" i="3"/>
  <c r="I1043" i="3"/>
  <c r="J1042" i="3"/>
  <c r="I1042" i="3"/>
  <c r="J1041" i="3"/>
  <c r="I1041" i="3"/>
  <c r="J1040" i="3"/>
  <c r="I1040" i="3"/>
  <c r="J1039" i="3"/>
  <c r="I1039" i="3"/>
  <c r="J1038" i="3"/>
  <c r="I1038" i="3"/>
  <c r="I1037" i="3"/>
  <c r="E1037" i="1" s="1"/>
  <c r="J1035" i="3"/>
  <c r="I1035" i="3"/>
  <c r="J1034" i="3"/>
  <c r="I1034" i="3"/>
  <c r="J1033" i="3"/>
  <c r="I1033" i="3"/>
  <c r="J1032" i="3"/>
  <c r="I1032" i="3"/>
  <c r="J1031" i="3"/>
  <c r="I1031" i="3"/>
  <c r="J1030" i="3"/>
  <c r="I1030" i="3"/>
  <c r="J1029" i="3"/>
  <c r="I1029" i="3"/>
  <c r="J1028" i="3"/>
  <c r="I1028" i="3"/>
  <c r="J1027" i="3"/>
  <c r="I1027" i="3"/>
  <c r="J1026" i="3"/>
  <c r="I1026" i="3"/>
  <c r="J1023" i="3"/>
  <c r="I1023" i="3"/>
  <c r="J1022" i="3"/>
  <c r="I1022" i="3"/>
  <c r="J1021" i="3"/>
  <c r="I1021" i="3"/>
  <c r="J1020" i="3"/>
  <c r="I1020" i="3"/>
  <c r="J1019" i="3"/>
  <c r="I1019" i="3"/>
  <c r="J1018" i="3"/>
  <c r="I1018" i="3"/>
  <c r="J1017" i="3"/>
  <c r="I1017" i="3"/>
  <c r="J1016" i="3"/>
  <c r="I1016" i="3"/>
  <c r="J1015" i="3"/>
  <c r="I1015" i="3"/>
  <c r="J1014" i="3"/>
  <c r="I1014" i="3"/>
  <c r="I1013" i="3"/>
  <c r="E1013" i="1" s="1"/>
  <c r="J1011" i="3"/>
  <c r="I1011" i="3"/>
  <c r="J1010" i="3"/>
  <c r="I1010" i="3"/>
  <c r="J1009" i="3"/>
  <c r="I1009" i="3"/>
  <c r="J1008" i="3"/>
  <c r="I1008" i="3"/>
  <c r="J1007" i="3"/>
  <c r="I1007" i="3"/>
  <c r="J1006" i="3"/>
  <c r="I1006" i="3"/>
  <c r="J1005" i="3"/>
  <c r="I1005" i="3"/>
  <c r="J1004" i="3"/>
  <c r="I1004" i="3"/>
  <c r="J1003" i="3"/>
  <c r="I1003" i="3"/>
  <c r="J1002" i="3"/>
  <c r="I1002" i="3"/>
  <c r="J1001" i="3"/>
  <c r="G1001" i="1" s="1"/>
  <c r="I1001" i="3"/>
  <c r="E1001" i="1" s="1"/>
  <c r="J999" i="3"/>
  <c r="I999" i="3"/>
  <c r="J998" i="3"/>
  <c r="I998" i="3"/>
  <c r="J997" i="3"/>
  <c r="I997" i="3"/>
  <c r="J996" i="3"/>
  <c r="I996" i="3"/>
  <c r="J995" i="3"/>
  <c r="I995" i="3"/>
  <c r="J994" i="3"/>
  <c r="I994" i="3"/>
  <c r="J993" i="3"/>
  <c r="I993" i="3"/>
  <c r="J992" i="3"/>
  <c r="I992" i="3"/>
  <c r="J991" i="3"/>
  <c r="I991" i="3"/>
  <c r="J990" i="3"/>
  <c r="I990" i="3"/>
  <c r="J989" i="3"/>
  <c r="G989" i="1" s="1"/>
  <c r="I989" i="3"/>
  <c r="E989" i="1" s="1"/>
  <c r="J987" i="3"/>
  <c r="I987" i="3"/>
  <c r="J986" i="3"/>
  <c r="I986" i="3"/>
  <c r="J985" i="3"/>
  <c r="I985" i="3"/>
  <c r="J984" i="3"/>
  <c r="I984" i="3"/>
  <c r="J983" i="3"/>
  <c r="I983" i="3"/>
  <c r="J982" i="3"/>
  <c r="I982" i="3"/>
  <c r="J981" i="3"/>
  <c r="I981" i="3"/>
  <c r="J980" i="3"/>
  <c r="I980" i="3"/>
  <c r="J979" i="3"/>
  <c r="I979" i="3"/>
  <c r="J978" i="3"/>
  <c r="I978" i="3"/>
  <c r="J975" i="3"/>
  <c r="I975" i="3"/>
  <c r="J974" i="3"/>
  <c r="I974" i="3"/>
  <c r="J973" i="3"/>
  <c r="I973" i="3"/>
  <c r="J972" i="3"/>
  <c r="I972" i="3"/>
  <c r="J971" i="3"/>
  <c r="I971" i="3"/>
  <c r="J970" i="3"/>
  <c r="I970" i="3"/>
  <c r="J969" i="3"/>
  <c r="I969" i="3"/>
  <c r="J968" i="3"/>
  <c r="I968" i="3"/>
  <c r="J967" i="3"/>
  <c r="I967" i="3"/>
  <c r="J966" i="3"/>
  <c r="I966" i="3"/>
  <c r="J963" i="3"/>
  <c r="I963" i="3"/>
  <c r="J962" i="3"/>
  <c r="I962" i="3"/>
  <c r="J961" i="3"/>
  <c r="I961" i="3"/>
  <c r="J960" i="3"/>
  <c r="I960" i="3"/>
  <c r="J959" i="3"/>
  <c r="I959" i="3"/>
  <c r="J958" i="3"/>
  <c r="I958" i="3"/>
  <c r="J957" i="3"/>
  <c r="I957" i="3"/>
  <c r="J956" i="3"/>
  <c r="I956" i="3"/>
  <c r="J955" i="3"/>
  <c r="I955" i="3"/>
  <c r="J954" i="3"/>
  <c r="I954" i="3"/>
  <c r="J953" i="3"/>
  <c r="G953" i="1" s="1"/>
  <c r="I953" i="3"/>
  <c r="E953" i="1" s="1"/>
  <c r="J951" i="3"/>
  <c r="I951" i="3"/>
  <c r="J950" i="3"/>
  <c r="I950" i="3"/>
  <c r="J949" i="3"/>
  <c r="I949" i="3"/>
  <c r="J948" i="3"/>
  <c r="I948" i="3"/>
  <c r="J947" i="3"/>
  <c r="I947" i="3"/>
  <c r="J946" i="3"/>
  <c r="I946" i="3"/>
  <c r="J945" i="3"/>
  <c r="I945" i="3"/>
  <c r="J944" i="3"/>
  <c r="I944" i="3"/>
  <c r="J943" i="3"/>
  <c r="I943" i="3"/>
  <c r="J942" i="3"/>
  <c r="I942" i="3"/>
  <c r="J941" i="3"/>
  <c r="G941" i="1" s="1"/>
  <c r="I941" i="3"/>
  <c r="E941" i="1" s="1"/>
  <c r="J939" i="3"/>
  <c r="I939" i="3"/>
  <c r="J938" i="3"/>
  <c r="I938" i="3"/>
  <c r="J937" i="3"/>
  <c r="I937" i="3"/>
  <c r="J936" i="3"/>
  <c r="I936" i="3"/>
  <c r="J935" i="3"/>
  <c r="I935" i="3"/>
  <c r="J934" i="3"/>
  <c r="I934" i="3"/>
  <c r="J933" i="3"/>
  <c r="I933" i="3"/>
  <c r="J932" i="3"/>
  <c r="I932" i="3"/>
  <c r="J931" i="3"/>
  <c r="I931" i="3"/>
  <c r="J930" i="3"/>
  <c r="I930" i="3"/>
  <c r="J929" i="3"/>
  <c r="G929" i="1" s="1"/>
  <c r="J927" i="3"/>
  <c r="I927" i="3"/>
  <c r="J926" i="3"/>
  <c r="I926" i="3"/>
  <c r="J925" i="3"/>
  <c r="I925" i="3"/>
  <c r="J924" i="3"/>
  <c r="I924" i="3"/>
  <c r="J923" i="3"/>
  <c r="I923" i="3"/>
  <c r="J922" i="3"/>
  <c r="I922" i="3"/>
  <c r="J921" i="3"/>
  <c r="I921" i="3"/>
  <c r="J920" i="3"/>
  <c r="I920" i="3"/>
  <c r="J919" i="3"/>
  <c r="I919" i="3"/>
  <c r="J918" i="3"/>
  <c r="I918" i="3"/>
  <c r="J915" i="3"/>
  <c r="I915" i="3"/>
  <c r="J914" i="3"/>
  <c r="I914" i="3"/>
  <c r="J913" i="3"/>
  <c r="I913" i="3"/>
  <c r="J912" i="3"/>
  <c r="I912" i="3"/>
  <c r="J911" i="3"/>
  <c r="I911" i="3"/>
  <c r="J910" i="3"/>
  <c r="I910" i="3"/>
  <c r="J909" i="3"/>
  <c r="I909" i="3"/>
  <c r="J908" i="3"/>
  <c r="I908" i="3"/>
  <c r="J907" i="3"/>
  <c r="I907" i="3"/>
  <c r="J906" i="3"/>
  <c r="I906" i="3"/>
  <c r="J905" i="3"/>
  <c r="G905" i="1" s="1"/>
  <c r="I905" i="3"/>
  <c r="E905" i="1" s="1"/>
  <c r="J903" i="3"/>
  <c r="I903" i="3"/>
  <c r="J902" i="3"/>
  <c r="I902" i="3"/>
  <c r="J901" i="3"/>
  <c r="I901" i="3"/>
  <c r="J900" i="3"/>
  <c r="I900" i="3"/>
  <c r="J899" i="3"/>
  <c r="I899" i="3"/>
  <c r="J898" i="3"/>
  <c r="I898" i="3"/>
  <c r="J897" i="3"/>
  <c r="I897" i="3"/>
  <c r="J896" i="3"/>
  <c r="I896" i="3"/>
  <c r="J895" i="3"/>
  <c r="I895" i="3"/>
  <c r="J894" i="3"/>
  <c r="I894" i="3"/>
  <c r="J893" i="3"/>
  <c r="G893" i="1" s="1"/>
  <c r="I893" i="3"/>
  <c r="E893" i="1" s="1"/>
  <c r="J891" i="3"/>
  <c r="I891" i="3"/>
  <c r="J890" i="3"/>
  <c r="I890" i="3"/>
  <c r="J889" i="3"/>
  <c r="I889" i="3"/>
  <c r="J888" i="3"/>
  <c r="I888" i="3"/>
  <c r="J887" i="3"/>
  <c r="I887" i="3"/>
  <c r="J886" i="3"/>
  <c r="I886" i="3"/>
  <c r="J885" i="3"/>
  <c r="I885" i="3"/>
  <c r="J884" i="3"/>
  <c r="I884" i="3"/>
  <c r="J883" i="3"/>
  <c r="I883" i="3"/>
  <c r="J882" i="3"/>
  <c r="I882" i="3"/>
  <c r="J879" i="3"/>
  <c r="I879" i="3"/>
  <c r="J878" i="3"/>
  <c r="I878" i="3"/>
  <c r="J877" i="3"/>
  <c r="I877" i="3"/>
  <c r="J876" i="3"/>
  <c r="I876" i="3"/>
  <c r="J875" i="3"/>
  <c r="I875" i="3"/>
  <c r="J874" i="3"/>
  <c r="I874" i="3"/>
  <c r="J873" i="3"/>
  <c r="I873" i="3"/>
  <c r="J872" i="3"/>
  <c r="I872" i="3"/>
  <c r="J871" i="3"/>
  <c r="I871" i="3"/>
  <c r="J870" i="3"/>
  <c r="I870" i="3"/>
  <c r="J867" i="3"/>
  <c r="I867" i="3"/>
  <c r="J866" i="3"/>
  <c r="I866" i="3"/>
  <c r="J865" i="3"/>
  <c r="I865" i="3"/>
  <c r="J864" i="3"/>
  <c r="I864" i="3"/>
  <c r="J863" i="3"/>
  <c r="I863" i="3"/>
  <c r="J862" i="3"/>
  <c r="I862" i="3"/>
  <c r="J861" i="3"/>
  <c r="I861" i="3"/>
  <c r="J860" i="3"/>
  <c r="I860" i="3"/>
  <c r="J859" i="3"/>
  <c r="I859" i="3"/>
  <c r="J858" i="3"/>
  <c r="I858" i="3"/>
  <c r="I857" i="3"/>
  <c r="E857" i="1" s="1"/>
  <c r="J855" i="3"/>
  <c r="I855" i="3"/>
  <c r="J854" i="3"/>
  <c r="I854" i="3"/>
  <c r="J853" i="3"/>
  <c r="I853" i="3"/>
  <c r="J852" i="3"/>
  <c r="I852" i="3"/>
  <c r="J851" i="3"/>
  <c r="I851" i="3"/>
  <c r="J850" i="3"/>
  <c r="I850" i="3"/>
  <c r="J849" i="3"/>
  <c r="I849" i="3"/>
  <c r="J848" i="3"/>
  <c r="I848" i="3"/>
  <c r="J847" i="3"/>
  <c r="I847" i="3"/>
  <c r="J846" i="3"/>
  <c r="I846" i="3"/>
  <c r="J845" i="3"/>
  <c r="G845" i="1" s="1"/>
  <c r="I845" i="3"/>
  <c r="E845" i="1" s="1"/>
  <c r="J843" i="3"/>
  <c r="I843" i="3"/>
  <c r="J842" i="3"/>
  <c r="I842" i="3"/>
  <c r="J841" i="3"/>
  <c r="I841" i="3"/>
  <c r="J840" i="3"/>
  <c r="I840" i="3"/>
  <c r="J839" i="3"/>
  <c r="I839" i="3"/>
  <c r="J838" i="3"/>
  <c r="I838" i="3"/>
  <c r="J837" i="3"/>
  <c r="I837" i="3"/>
  <c r="J836" i="3"/>
  <c r="I836" i="3"/>
  <c r="J835" i="3"/>
  <c r="I835" i="3"/>
  <c r="J834" i="3"/>
  <c r="I834" i="3"/>
  <c r="J833" i="3"/>
  <c r="G833" i="1" s="1"/>
  <c r="I833" i="3"/>
  <c r="E833" i="1" s="1"/>
  <c r="J831" i="3"/>
  <c r="I831" i="3"/>
  <c r="J830" i="3"/>
  <c r="I830" i="3"/>
  <c r="J829" i="3"/>
  <c r="I829" i="3"/>
  <c r="J828" i="3"/>
  <c r="I828" i="3"/>
  <c r="J827" i="3"/>
  <c r="I827" i="3"/>
  <c r="J826" i="3"/>
  <c r="I826" i="3"/>
  <c r="J825" i="3"/>
  <c r="I825" i="3"/>
  <c r="J824" i="3"/>
  <c r="I824" i="3"/>
  <c r="J823" i="3"/>
  <c r="I823" i="3"/>
  <c r="J822" i="3"/>
  <c r="I822" i="3"/>
  <c r="J821" i="3"/>
  <c r="G821" i="1" s="1"/>
  <c r="J819" i="3"/>
  <c r="I819" i="3"/>
  <c r="J818" i="3"/>
  <c r="I818" i="3"/>
  <c r="J817" i="3"/>
  <c r="I817" i="3"/>
  <c r="J816" i="3"/>
  <c r="I816" i="3"/>
  <c r="J815" i="3"/>
  <c r="I815" i="3"/>
  <c r="J814" i="3"/>
  <c r="I814" i="3"/>
  <c r="J813" i="3"/>
  <c r="I813" i="3"/>
  <c r="J812" i="3"/>
  <c r="I812" i="3"/>
  <c r="J811" i="3"/>
  <c r="I811" i="3"/>
  <c r="J810" i="3"/>
  <c r="I810" i="3"/>
  <c r="J809" i="3"/>
  <c r="G809" i="1" s="1"/>
  <c r="I809" i="3"/>
  <c r="E809" i="1" s="1"/>
  <c r="J807" i="3"/>
  <c r="I807" i="3"/>
  <c r="J806" i="3"/>
  <c r="I806" i="3"/>
  <c r="J805" i="3"/>
  <c r="I805" i="3"/>
  <c r="J804" i="3"/>
  <c r="I804" i="3"/>
  <c r="J803" i="3"/>
  <c r="I803" i="3"/>
  <c r="J802" i="3"/>
  <c r="I802" i="3"/>
  <c r="J801" i="3"/>
  <c r="I801" i="3"/>
  <c r="J800" i="3"/>
  <c r="I800" i="3"/>
  <c r="J799" i="3"/>
  <c r="I799" i="3"/>
  <c r="J798" i="3"/>
  <c r="I798" i="3"/>
  <c r="J797" i="3"/>
  <c r="G797" i="1" s="1"/>
  <c r="I797" i="3"/>
  <c r="E797" i="1" s="1"/>
  <c r="J795" i="3"/>
  <c r="I795" i="3"/>
  <c r="J794" i="3"/>
  <c r="I794" i="3"/>
  <c r="J793" i="3"/>
  <c r="I793" i="3"/>
  <c r="J792" i="3"/>
  <c r="I792" i="3"/>
  <c r="J791" i="3"/>
  <c r="I791" i="3"/>
  <c r="J790" i="3"/>
  <c r="I790" i="3"/>
  <c r="J789" i="3"/>
  <c r="I789" i="3"/>
  <c r="J788" i="3"/>
  <c r="I788" i="3"/>
  <c r="J787" i="3"/>
  <c r="I787" i="3"/>
  <c r="J786" i="3"/>
  <c r="I786" i="3"/>
  <c r="J785" i="3"/>
  <c r="G785" i="1" s="1"/>
  <c r="J783" i="3"/>
  <c r="I783" i="3"/>
  <c r="J782" i="3"/>
  <c r="I782" i="3"/>
  <c r="J781" i="3"/>
  <c r="I781" i="3"/>
  <c r="J780" i="3"/>
  <c r="I780" i="3"/>
  <c r="J779" i="3"/>
  <c r="I779" i="3"/>
  <c r="J778" i="3"/>
  <c r="I778" i="3"/>
  <c r="J777" i="3"/>
  <c r="I777" i="3"/>
  <c r="J776" i="3"/>
  <c r="I776" i="3"/>
  <c r="J775" i="3"/>
  <c r="I775" i="3"/>
  <c r="J774" i="3"/>
  <c r="I774" i="3"/>
  <c r="J773" i="3"/>
  <c r="G773" i="1" s="1"/>
  <c r="J771" i="3"/>
  <c r="I771" i="3"/>
  <c r="J770" i="3"/>
  <c r="I770" i="3"/>
  <c r="J769" i="3"/>
  <c r="I769" i="3"/>
  <c r="J768" i="3"/>
  <c r="I768" i="3"/>
  <c r="J767" i="3"/>
  <c r="I767" i="3"/>
  <c r="J766" i="3"/>
  <c r="I766" i="3"/>
  <c r="J765" i="3"/>
  <c r="I765" i="3"/>
  <c r="J764" i="3"/>
  <c r="I764" i="3"/>
  <c r="J763" i="3"/>
  <c r="I763" i="3"/>
  <c r="J762" i="3"/>
  <c r="I762" i="3"/>
  <c r="I761" i="3"/>
  <c r="E761" i="1" s="1"/>
  <c r="J759" i="3"/>
  <c r="I759" i="3"/>
  <c r="J758" i="3"/>
  <c r="I758" i="3"/>
  <c r="J757" i="3"/>
  <c r="I757" i="3"/>
  <c r="J756" i="3"/>
  <c r="I756" i="3"/>
  <c r="J755" i="3"/>
  <c r="I755" i="3"/>
  <c r="J754" i="3"/>
  <c r="I754" i="3"/>
  <c r="J753" i="3"/>
  <c r="I753" i="3"/>
  <c r="J752" i="3"/>
  <c r="I752" i="3"/>
  <c r="J751" i="3"/>
  <c r="I751" i="3"/>
  <c r="J750" i="3"/>
  <c r="I750" i="3"/>
  <c r="J749" i="3"/>
  <c r="G749" i="1" s="1"/>
  <c r="I749" i="3"/>
  <c r="E749" i="1" s="1"/>
  <c r="J747" i="3"/>
  <c r="I747" i="3"/>
  <c r="J746" i="3"/>
  <c r="I746" i="3"/>
  <c r="J745" i="3"/>
  <c r="I745" i="3"/>
  <c r="J744" i="3"/>
  <c r="I744" i="3"/>
  <c r="J743" i="3"/>
  <c r="I743" i="3"/>
  <c r="J742" i="3"/>
  <c r="I742" i="3"/>
  <c r="J741" i="3"/>
  <c r="I741" i="3"/>
  <c r="J740" i="3"/>
  <c r="I740" i="3"/>
  <c r="J739" i="3"/>
  <c r="I739" i="3"/>
  <c r="J738" i="3"/>
  <c r="I738" i="3"/>
  <c r="J737" i="3"/>
  <c r="G737" i="1" s="1"/>
  <c r="I737" i="3"/>
  <c r="E737" i="1" s="1"/>
  <c r="J735" i="3"/>
  <c r="I735" i="3"/>
  <c r="J734" i="3"/>
  <c r="I734" i="3"/>
  <c r="J733" i="3"/>
  <c r="I733" i="3"/>
  <c r="J732" i="3"/>
  <c r="I732" i="3"/>
  <c r="J731" i="3"/>
  <c r="I731" i="3"/>
  <c r="J730" i="3"/>
  <c r="I730" i="3"/>
  <c r="J729" i="3"/>
  <c r="I729" i="3"/>
  <c r="J728" i="3"/>
  <c r="I728" i="3"/>
  <c r="J727" i="3"/>
  <c r="I727" i="3"/>
  <c r="J726" i="3"/>
  <c r="I726" i="3"/>
  <c r="J723" i="3"/>
  <c r="I723" i="3"/>
  <c r="J722" i="3"/>
  <c r="I722" i="3"/>
  <c r="J721" i="3"/>
  <c r="I721" i="3"/>
  <c r="J720" i="3"/>
  <c r="I720" i="3"/>
  <c r="J719" i="3"/>
  <c r="I719" i="3"/>
  <c r="J718" i="3"/>
  <c r="I718" i="3"/>
  <c r="J717" i="3"/>
  <c r="I717" i="3"/>
  <c r="J716" i="3"/>
  <c r="I716" i="3"/>
  <c r="J715" i="3"/>
  <c r="I715" i="3"/>
  <c r="J714" i="3"/>
  <c r="I714" i="3"/>
  <c r="J713" i="3"/>
  <c r="G713" i="1" s="1"/>
  <c r="I713" i="3"/>
  <c r="E713" i="1" s="1"/>
  <c r="J711" i="3"/>
  <c r="I711" i="3"/>
  <c r="J710" i="3"/>
  <c r="I710" i="3"/>
  <c r="J709" i="3"/>
  <c r="I709" i="3"/>
  <c r="J708" i="3"/>
  <c r="I708" i="3"/>
  <c r="J707" i="3"/>
  <c r="I707" i="3"/>
  <c r="J706" i="3"/>
  <c r="I706" i="3"/>
  <c r="J705" i="3"/>
  <c r="I705" i="3"/>
  <c r="J704" i="3"/>
  <c r="I704" i="3"/>
  <c r="J703" i="3"/>
  <c r="I703" i="3"/>
  <c r="J702" i="3"/>
  <c r="I702" i="3"/>
  <c r="J701" i="3"/>
  <c r="G701" i="1" s="1"/>
  <c r="I701" i="3"/>
  <c r="E701" i="1" s="1"/>
  <c r="J699" i="3"/>
  <c r="I699" i="3"/>
  <c r="J698" i="3"/>
  <c r="I698" i="3"/>
  <c r="J697" i="3"/>
  <c r="I697" i="3"/>
  <c r="J696" i="3"/>
  <c r="I696" i="3"/>
  <c r="J695" i="3"/>
  <c r="I695" i="3"/>
  <c r="J694" i="3"/>
  <c r="I694" i="3"/>
  <c r="J693" i="3"/>
  <c r="I693" i="3"/>
  <c r="J692" i="3"/>
  <c r="I692" i="3"/>
  <c r="J691" i="3"/>
  <c r="I691" i="3"/>
  <c r="J690" i="3"/>
  <c r="I690" i="3"/>
  <c r="J689" i="3"/>
  <c r="G689" i="1" s="1"/>
  <c r="I689" i="3"/>
  <c r="E689" i="1" s="1"/>
  <c r="J687" i="3"/>
  <c r="I687" i="3"/>
  <c r="J686" i="3"/>
  <c r="I686" i="3"/>
  <c r="J685" i="3"/>
  <c r="I685" i="3"/>
  <c r="J684" i="3"/>
  <c r="I684" i="3"/>
  <c r="J683" i="3"/>
  <c r="I683" i="3"/>
  <c r="J682" i="3"/>
  <c r="I682" i="3"/>
  <c r="J681" i="3"/>
  <c r="I681" i="3"/>
  <c r="J680" i="3"/>
  <c r="I680" i="3"/>
  <c r="J679" i="3"/>
  <c r="I679" i="3"/>
  <c r="J678" i="3"/>
  <c r="I678" i="3"/>
  <c r="J675" i="3"/>
  <c r="I675" i="3"/>
  <c r="J674" i="3"/>
  <c r="I674" i="3"/>
  <c r="J673" i="3"/>
  <c r="I673" i="3"/>
  <c r="J672" i="3"/>
  <c r="I672" i="3"/>
  <c r="J671" i="3"/>
  <c r="I671" i="3"/>
  <c r="J670" i="3"/>
  <c r="I670" i="3"/>
  <c r="J669" i="3"/>
  <c r="I669" i="3"/>
  <c r="J668" i="3"/>
  <c r="I668" i="3"/>
  <c r="J667" i="3"/>
  <c r="I667" i="3"/>
  <c r="J666" i="3"/>
  <c r="I666" i="3"/>
  <c r="I665" i="3"/>
  <c r="E665" i="1" s="1"/>
  <c r="J663" i="3"/>
  <c r="I663" i="3"/>
  <c r="J662" i="3"/>
  <c r="I662" i="3"/>
  <c r="J661" i="3"/>
  <c r="I661" i="3"/>
  <c r="J660" i="3"/>
  <c r="I660" i="3"/>
  <c r="J659" i="3"/>
  <c r="I659" i="3"/>
  <c r="J658" i="3"/>
  <c r="I658" i="3"/>
  <c r="J657" i="3"/>
  <c r="I657" i="3"/>
  <c r="J656" i="3"/>
  <c r="I656" i="3"/>
  <c r="J655" i="3"/>
  <c r="I655" i="3"/>
  <c r="J654" i="3"/>
  <c r="I654" i="3"/>
  <c r="J653" i="3"/>
  <c r="G653" i="1" s="1"/>
  <c r="I653" i="3"/>
  <c r="E653" i="1" s="1"/>
  <c r="J651" i="3"/>
  <c r="I651" i="3"/>
  <c r="J650" i="3"/>
  <c r="I650" i="3"/>
  <c r="J649" i="3"/>
  <c r="I649" i="3"/>
  <c r="J648" i="3"/>
  <c r="I648" i="3"/>
  <c r="J647" i="3"/>
  <c r="I647" i="3"/>
  <c r="J646" i="3"/>
  <c r="I646" i="3"/>
  <c r="J645" i="3"/>
  <c r="I645" i="3"/>
  <c r="J644" i="3"/>
  <c r="I644" i="3"/>
  <c r="J643" i="3"/>
  <c r="I643" i="3"/>
  <c r="J642" i="3"/>
  <c r="I642" i="3"/>
  <c r="J641" i="3"/>
  <c r="G641" i="1" s="1"/>
  <c r="I641" i="3"/>
  <c r="E641" i="1" s="1"/>
  <c r="J639" i="3"/>
  <c r="I639" i="3"/>
  <c r="J638" i="3"/>
  <c r="I638" i="3"/>
  <c r="J637" i="3"/>
  <c r="I637" i="3"/>
  <c r="J636" i="3"/>
  <c r="I636" i="3"/>
  <c r="J635" i="3"/>
  <c r="I635" i="3"/>
  <c r="J634" i="3"/>
  <c r="I634" i="3"/>
  <c r="J633" i="3"/>
  <c r="I633" i="3"/>
  <c r="J632" i="3"/>
  <c r="I632" i="3"/>
  <c r="J631" i="3"/>
  <c r="I631" i="3"/>
  <c r="J630" i="3"/>
  <c r="I630" i="3"/>
  <c r="J627" i="3"/>
  <c r="I627" i="3"/>
  <c r="J626" i="3"/>
  <c r="I626" i="3"/>
  <c r="J625" i="3"/>
  <c r="I625" i="3"/>
  <c r="J624" i="3"/>
  <c r="I624" i="3"/>
  <c r="J623" i="3"/>
  <c r="I623" i="3"/>
  <c r="J622" i="3"/>
  <c r="I622" i="3"/>
  <c r="J621" i="3"/>
  <c r="I621" i="3"/>
  <c r="J620" i="3"/>
  <c r="I620" i="3"/>
  <c r="J619" i="3"/>
  <c r="I619" i="3"/>
  <c r="J618" i="3"/>
  <c r="I618" i="3"/>
  <c r="I617" i="3"/>
  <c r="E617" i="1" s="1"/>
  <c r="J615" i="3"/>
  <c r="I615" i="3"/>
  <c r="J614" i="3"/>
  <c r="I614" i="3"/>
  <c r="J613" i="3"/>
  <c r="I613" i="3"/>
  <c r="J612" i="3"/>
  <c r="I612" i="3"/>
  <c r="J611" i="3"/>
  <c r="I611" i="3"/>
  <c r="J610" i="3"/>
  <c r="I610" i="3"/>
  <c r="J609" i="3"/>
  <c r="I609" i="3"/>
  <c r="J608" i="3"/>
  <c r="I608" i="3"/>
  <c r="J607" i="3"/>
  <c r="I607" i="3"/>
  <c r="J606" i="3"/>
  <c r="I606" i="3"/>
  <c r="J605" i="3"/>
  <c r="G605" i="1" s="1"/>
  <c r="I605" i="3"/>
  <c r="E605" i="1" s="1"/>
  <c r="J603" i="3"/>
  <c r="I603" i="3"/>
  <c r="J602" i="3"/>
  <c r="I602" i="3"/>
  <c r="J601" i="3"/>
  <c r="I601" i="3"/>
  <c r="J600" i="3"/>
  <c r="I600" i="3"/>
  <c r="J599" i="3"/>
  <c r="I599" i="3"/>
  <c r="J598" i="3"/>
  <c r="I598" i="3"/>
  <c r="J597" i="3"/>
  <c r="I597" i="3"/>
  <c r="J596" i="3"/>
  <c r="I596" i="3"/>
  <c r="J595" i="3"/>
  <c r="I595" i="3"/>
  <c r="J594" i="3"/>
  <c r="I594" i="3"/>
  <c r="J593" i="3"/>
  <c r="G593" i="1" s="1"/>
  <c r="I593" i="3"/>
  <c r="E593" i="1" s="1"/>
  <c r="J591" i="3"/>
  <c r="I591" i="3"/>
  <c r="J590" i="3"/>
  <c r="I590" i="3"/>
  <c r="J589" i="3"/>
  <c r="I589" i="3"/>
  <c r="J588" i="3"/>
  <c r="I588" i="3"/>
  <c r="J587" i="3"/>
  <c r="I587" i="3"/>
  <c r="J586" i="3"/>
  <c r="I586" i="3"/>
  <c r="J585" i="3"/>
  <c r="I585" i="3"/>
  <c r="J584" i="3"/>
  <c r="I584" i="3"/>
  <c r="J583" i="3"/>
  <c r="I583" i="3"/>
  <c r="J582" i="3"/>
  <c r="I582" i="3"/>
  <c r="I581" i="3"/>
  <c r="E581" i="1" s="1"/>
  <c r="J579" i="3"/>
  <c r="I579" i="3"/>
  <c r="J578" i="3"/>
  <c r="I578" i="3"/>
  <c r="J577" i="3"/>
  <c r="I577" i="3"/>
  <c r="J576" i="3"/>
  <c r="I576" i="3"/>
  <c r="J575" i="3"/>
  <c r="I575" i="3"/>
  <c r="J574" i="3"/>
  <c r="I574" i="3"/>
  <c r="J573" i="3"/>
  <c r="I573" i="3"/>
  <c r="J572" i="3"/>
  <c r="I572" i="3"/>
  <c r="J571" i="3"/>
  <c r="I571" i="3"/>
  <c r="J570" i="3"/>
  <c r="I570" i="3"/>
  <c r="J567" i="3"/>
  <c r="I567" i="3"/>
  <c r="J566" i="3"/>
  <c r="I566" i="3"/>
  <c r="J565" i="3"/>
  <c r="I565" i="3"/>
  <c r="J564" i="3"/>
  <c r="I564" i="3"/>
  <c r="J563" i="3"/>
  <c r="I563" i="3"/>
  <c r="J562" i="3"/>
  <c r="I562" i="3"/>
  <c r="J561" i="3"/>
  <c r="I561" i="3"/>
  <c r="J560" i="3"/>
  <c r="I560" i="3"/>
  <c r="J559" i="3"/>
  <c r="I559" i="3"/>
  <c r="J558" i="3"/>
  <c r="I558" i="3"/>
  <c r="J557" i="3"/>
  <c r="G557" i="1" s="1"/>
  <c r="I557" i="3"/>
  <c r="E557" i="1" s="1"/>
  <c r="J555" i="3"/>
  <c r="I555" i="3"/>
  <c r="J554" i="3"/>
  <c r="I554" i="3"/>
  <c r="J553" i="3"/>
  <c r="I553" i="3"/>
  <c r="J552" i="3"/>
  <c r="I552" i="3"/>
  <c r="J551" i="3"/>
  <c r="I551" i="3"/>
  <c r="J550" i="3"/>
  <c r="I550" i="3"/>
  <c r="J549" i="3"/>
  <c r="I549" i="3"/>
  <c r="J548" i="3"/>
  <c r="I548" i="3"/>
  <c r="J547" i="3"/>
  <c r="I547" i="3"/>
  <c r="J546" i="3"/>
  <c r="I546" i="3"/>
  <c r="J545" i="3"/>
  <c r="G545" i="1" s="1"/>
  <c r="I545" i="3"/>
  <c r="E545" i="1" s="1"/>
  <c r="J543" i="3"/>
  <c r="I543" i="3"/>
  <c r="J542" i="3"/>
  <c r="I542" i="3"/>
  <c r="J541" i="3"/>
  <c r="I541" i="3"/>
  <c r="J540" i="3"/>
  <c r="I540" i="3"/>
  <c r="J539" i="3"/>
  <c r="I539" i="3"/>
  <c r="J538" i="3"/>
  <c r="I538" i="3"/>
  <c r="J537" i="3"/>
  <c r="I537" i="3"/>
  <c r="J536" i="3"/>
  <c r="I536" i="3"/>
  <c r="J535" i="3"/>
  <c r="I535" i="3"/>
  <c r="J534" i="3"/>
  <c r="I534" i="3"/>
  <c r="J533" i="3"/>
  <c r="G533" i="1" s="1"/>
  <c r="J531" i="3"/>
  <c r="I531" i="3"/>
  <c r="J530" i="3"/>
  <c r="I530" i="3"/>
  <c r="J529" i="3"/>
  <c r="I529" i="3"/>
  <c r="J528" i="3"/>
  <c r="I528" i="3"/>
  <c r="J527" i="3"/>
  <c r="I527" i="3"/>
  <c r="J526" i="3"/>
  <c r="I526" i="3"/>
  <c r="J525" i="3"/>
  <c r="I525" i="3"/>
  <c r="J524" i="3"/>
  <c r="I524" i="3"/>
  <c r="J523" i="3"/>
  <c r="I523" i="3"/>
  <c r="J522" i="3"/>
  <c r="I522" i="3"/>
  <c r="I521" i="3"/>
  <c r="E521" i="1" s="1"/>
  <c r="J519" i="3"/>
  <c r="I519" i="3"/>
  <c r="J518" i="3"/>
  <c r="I518" i="3"/>
  <c r="J517" i="3"/>
  <c r="I517" i="3"/>
  <c r="J516" i="3"/>
  <c r="I516" i="3"/>
  <c r="J515" i="3"/>
  <c r="I515" i="3"/>
  <c r="J514" i="3"/>
  <c r="I514" i="3"/>
  <c r="J513" i="3"/>
  <c r="I513" i="3"/>
  <c r="J512" i="3"/>
  <c r="I512" i="3"/>
  <c r="J511" i="3"/>
  <c r="I511" i="3"/>
  <c r="J510" i="3"/>
  <c r="I510" i="3"/>
  <c r="J509" i="3"/>
  <c r="G509" i="1" s="1"/>
  <c r="I509" i="3"/>
  <c r="E509" i="1" s="1"/>
  <c r="J507" i="3"/>
  <c r="I507" i="3"/>
  <c r="J506" i="3"/>
  <c r="I506" i="3"/>
  <c r="J505" i="3"/>
  <c r="I505" i="3"/>
  <c r="J504" i="3"/>
  <c r="I504" i="3"/>
  <c r="J503" i="3"/>
  <c r="I503" i="3"/>
  <c r="J502" i="3"/>
  <c r="I502" i="3"/>
  <c r="J501" i="3"/>
  <c r="I501" i="3"/>
  <c r="J500" i="3"/>
  <c r="I500" i="3"/>
  <c r="J499" i="3"/>
  <c r="I499" i="3"/>
  <c r="J498" i="3"/>
  <c r="I498" i="3"/>
  <c r="J497" i="3"/>
  <c r="G497" i="1" s="1"/>
  <c r="I497" i="3"/>
  <c r="E497" i="1" s="1"/>
  <c r="J495" i="3"/>
  <c r="I495" i="3"/>
  <c r="J494" i="3"/>
  <c r="I494" i="3"/>
  <c r="J493" i="3"/>
  <c r="I493" i="3"/>
  <c r="J492" i="3"/>
  <c r="I492" i="3"/>
  <c r="J491" i="3"/>
  <c r="I491" i="3"/>
  <c r="J490" i="3"/>
  <c r="I490" i="3"/>
  <c r="J489" i="3"/>
  <c r="I489" i="3"/>
  <c r="J488" i="3"/>
  <c r="I488" i="3"/>
  <c r="J487" i="3"/>
  <c r="I487" i="3"/>
  <c r="J486" i="3"/>
  <c r="I486" i="3"/>
  <c r="I485" i="3"/>
  <c r="E485" i="1" s="1"/>
  <c r="J483" i="3"/>
  <c r="I483" i="3"/>
  <c r="J482" i="3"/>
  <c r="I482" i="3"/>
  <c r="J481" i="3"/>
  <c r="I481" i="3"/>
  <c r="J480" i="3"/>
  <c r="I480" i="3"/>
  <c r="J479" i="3"/>
  <c r="I479" i="3"/>
  <c r="J478" i="3"/>
  <c r="I478" i="3"/>
  <c r="J477" i="3"/>
  <c r="I477" i="3"/>
  <c r="J476" i="3"/>
  <c r="I476" i="3"/>
  <c r="J475" i="3"/>
  <c r="I475" i="3"/>
  <c r="J474" i="3"/>
  <c r="I474" i="3"/>
  <c r="J471" i="3"/>
  <c r="I471" i="3"/>
  <c r="J470" i="3"/>
  <c r="I470" i="3"/>
  <c r="J469" i="3"/>
  <c r="I469" i="3"/>
  <c r="J468" i="3"/>
  <c r="I468" i="3"/>
  <c r="J467" i="3"/>
  <c r="I467" i="3"/>
  <c r="J466" i="3"/>
  <c r="I466" i="3"/>
  <c r="J465" i="3"/>
  <c r="I465" i="3"/>
  <c r="J464" i="3"/>
  <c r="I464" i="3"/>
  <c r="J463" i="3"/>
  <c r="I463" i="3"/>
  <c r="J462" i="3"/>
  <c r="I462" i="3"/>
  <c r="J461" i="3"/>
  <c r="G461" i="1" s="1"/>
  <c r="I461" i="3"/>
  <c r="E461" i="1" s="1"/>
  <c r="J459" i="3"/>
  <c r="I459" i="3"/>
  <c r="J458" i="3"/>
  <c r="I458" i="3"/>
  <c r="J457" i="3"/>
  <c r="I457" i="3"/>
  <c r="J456" i="3"/>
  <c r="I456" i="3"/>
  <c r="J455" i="3"/>
  <c r="I455" i="3"/>
  <c r="J454" i="3"/>
  <c r="I454" i="3"/>
  <c r="J453" i="3"/>
  <c r="I453" i="3"/>
  <c r="J452" i="3"/>
  <c r="I452" i="3"/>
  <c r="J451" i="3"/>
  <c r="I451" i="3"/>
  <c r="J450" i="3"/>
  <c r="I450" i="3"/>
  <c r="J449" i="3"/>
  <c r="G449" i="1" s="1"/>
  <c r="I449" i="3"/>
  <c r="E449" i="1" s="1"/>
  <c r="J447" i="3"/>
  <c r="I447" i="3"/>
  <c r="J446" i="3"/>
  <c r="I446" i="3"/>
  <c r="J445" i="3"/>
  <c r="I445" i="3"/>
  <c r="J444" i="3"/>
  <c r="I444" i="3"/>
  <c r="J443" i="3"/>
  <c r="I443" i="3"/>
  <c r="J442" i="3"/>
  <c r="I442" i="3"/>
  <c r="J441" i="3"/>
  <c r="I441" i="3"/>
  <c r="J440" i="3"/>
  <c r="I440" i="3"/>
  <c r="J439" i="3"/>
  <c r="I439" i="3"/>
  <c r="J438" i="3"/>
  <c r="I438" i="3"/>
  <c r="J437" i="3"/>
  <c r="G437" i="1" s="1"/>
  <c r="J435" i="3"/>
  <c r="I435" i="3"/>
  <c r="J434" i="3"/>
  <c r="I434" i="3"/>
  <c r="J433" i="3"/>
  <c r="I433" i="3"/>
  <c r="J432" i="3"/>
  <c r="I432" i="3"/>
  <c r="J431" i="3"/>
  <c r="I431" i="3"/>
  <c r="J430" i="3"/>
  <c r="I430" i="3"/>
  <c r="J429" i="3"/>
  <c r="I429" i="3"/>
  <c r="J428" i="3"/>
  <c r="I428" i="3"/>
  <c r="J427" i="3"/>
  <c r="I427" i="3"/>
  <c r="J426" i="3"/>
  <c r="I426" i="3"/>
  <c r="J423" i="3"/>
  <c r="I423" i="3"/>
  <c r="J422" i="3"/>
  <c r="I422" i="3"/>
  <c r="J421" i="3"/>
  <c r="I421" i="3"/>
  <c r="J420" i="3"/>
  <c r="I420" i="3"/>
  <c r="J419" i="3"/>
  <c r="I419" i="3"/>
  <c r="J418" i="3"/>
  <c r="I418" i="3"/>
  <c r="J417" i="3"/>
  <c r="I417" i="3"/>
  <c r="J416" i="3"/>
  <c r="I416" i="3"/>
  <c r="J415" i="3"/>
  <c r="I415" i="3"/>
  <c r="J414" i="3"/>
  <c r="I414" i="3"/>
  <c r="J413" i="3"/>
  <c r="G413" i="1" s="1"/>
  <c r="I413" i="3"/>
  <c r="E413" i="1" s="1"/>
  <c r="J411" i="3"/>
  <c r="I411" i="3"/>
  <c r="J410" i="3"/>
  <c r="I410" i="3"/>
  <c r="J409" i="3"/>
  <c r="I409" i="3"/>
  <c r="J408" i="3"/>
  <c r="I408" i="3"/>
  <c r="J407" i="3"/>
  <c r="I407" i="3"/>
  <c r="J406" i="3"/>
  <c r="I406" i="3"/>
  <c r="J405" i="3"/>
  <c r="I405" i="3"/>
  <c r="J404" i="3"/>
  <c r="I404" i="3"/>
  <c r="J403" i="3"/>
  <c r="I403" i="3"/>
  <c r="J402" i="3"/>
  <c r="I402" i="3"/>
  <c r="I401" i="3"/>
  <c r="E401" i="1" s="1"/>
  <c r="J399" i="3"/>
  <c r="I399" i="3"/>
  <c r="J398" i="3"/>
  <c r="I398" i="3"/>
  <c r="J397" i="3"/>
  <c r="I397" i="3"/>
  <c r="J396" i="3"/>
  <c r="I396" i="3"/>
  <c r="J395" i="3"/>
  <c r="I395" i="3"/>
  <c r="J394" i="3"/>
  <c r="I394" i="3"/>
  <c r="J393" i="3"/>
  <c r="I393" i="3"/>
  <c r="J392" i="3"/>
  <c r="I392" i="3"/>
  <c r="J391" i="3"/>
  <c r="I391" i="3"/>
  <c r="J390" i="3"/>
  <c r="I390" i="3"/>
  <c r="J389" i="3"/>
  <c r="G389" i="1" s="1"/>
  <c r="I389" i="3"/>
  <c r="E389" i="1" s="1"/>
  <c r="J387" i="3"/>
  <c r="I387" i="3"/>
  <c r="J386" i="3"/>
  <c r="I386" i="3"/>
  <c r="J385" i="3"/>
  <c r="I385" i="3"/>
  <c r="J384" i="3"/>
  <c r="I384" i="3"/>
  <c r="J383" i="3"/>
  <c r="I383" i="3"/>
  <c r="J382" i="3"/>
  <c r="I382" i="3"/>
  <c r="J381" i="3"/>
  <c r="I381" i="3"/>
  <c r="J380" i="3"/>
  <c r="I380" i="3"/>
  <c r="J379" i="3"/>
  <c r="I379" i="3"/>
  <c r="J378" i="3"/>
  <c r="I378" i="3"/>
  <c r="J377" i="3"/>
  <c r="G377" i="1" s="1"/>
  <c r="J375" i="3"/>
  <c r="I375" i="3"/>
  <c r="J374" i="3"/>
  <c r="I374" i="3"/>
  <c r="J373" i="3"/>
  <c r="I373" i="3"/>
  <c r="J372" i="3"/>
  <c r="I372" i="3"/>
  <c r="J371" i="3"/>
  <c r="I371" i="3"/>
  <c r="J370" i="3"/>
  <c r="I370" i="3"/>
  <c r="J369" i="3"/>
  <c r="I369" i="3"/>
  <c r="J368" i="3"/>
  <c r="I368" i="3"/>
  <c r="J367" i="3"/>
  <c r="I367" i="3"/>
  <c r="J366" i="3"/>
  <c r="I366" i="3"/>
  <c r="J365" i="3"/>
  <c r="G365" i="1" s="1"/>
  <c r="I365" i="3"/>
  <c r="E365" i="1" s="1"/>
  <c r="J363" i="3"/>
  <c r="I363" i="3"/>
  <c r="J362" i="3"/>
  <c r="I362" i="3"/>
  <c r="J361" i="3"/>
  <c r="I361" i="3"/>
  <c r="J360" i="3"/>
  <c r="I360" i="3"/>
  <c r="J359" i="3"/>
  <c r="I359" i="3"/>
  <c r="J358" i="3"/>
  <c r="I358" i="3"/>
  <c r="J357" i="3"/>
  <c r="I357" i="3"/>
  <c r="J356" i="3"/>
  <c r="I356" i="3"/>
  <c r="J355" i="3"/>
  <c r="I355" i="3"/>
  <c r="J354" i="3"/>
  <c r="I354" i="3"/>
  <c r="J353" i="3"/>
  <c r="G353" i="1" s="1"/>
  <c r="I353" i="3"/>
  <c r="E353" i="1" s="1"/>
  <c r="J351" i="3"/>
  <c r="I351" i="3"/>
  <c r="J350" i="3"/>
  <c r="I350" i="3"/>
  <c r="J349" i="3"/>
  <c r="I349" i="3"/>
  <c r="J348" i="3"/>
  <c r="I348" i="3"/>
  <c r="J347" i="3"/>
  <c r="I347" i="3"/>
  <c r="J346" i="3"/>
  <c r="I346" i="3"/>
  <c r="J345" i="3"/>
  <c r="I345" i="3"/>
  <c r="J344" i="3"/>
  <c r="I344" i="3"/>
  <c r="J343" i="3"/>
  <c r="I343" i="3"/>
  <c r="J342" i="3"/>
  <c r="I342" i="3"/>
  <c r="J341" i="3"/>
  <c r="G341" i="1" s="1"/>
  <c r="I341" i="3"/>
  <c r="E341" i="1" s="1"/>
  <c r="J339" i="3"/>
  <c r="I339" i="3"/>
  <c r="J338" i="3"/>
  <c r="I338" i="3"/>
  <c r="J337" i="3"/>
  <c r="I337" i="3"/>
  <c r="J336" i="3"/>
  <c r="I336" i="3"/>
  <c r="J335" i="3"/>
  <c r="I335" i="3"/>
  <c r="J334" i="3"/>
  <c r="I334" i="3"/>
  <c r="J333" i="3"/>
  <c r="I333" i="3"/>
  <c r="J332" i="3"/>
  <c r="I332" i="3"/>
  <c r="J331" i="3"/>
  <c r="I331" i="3"/>
  <c r="J330" i="3"/>
  <c r="I330" i="3"/>
  <c r="J327" i="3"/>
  <c r="I327" i="3"/>
  <c r="J326" i="3"/>
  <c r="I326" i="3"/>
  <c r="J325" i="3"/>
  <c r="I325" i="3"/>
  <c r="J324" i="3"/>
  <c r="I324" i="3"/>
  <c r="J323" i="3"/>
  <c r="I323" i="3"/>
  <c r="J322" i="3"/>
  <c r="I322" i="3"/>
  <c r="J321" i="3"/>
  <c r="I321" i="3"/>
  <c r="J320" i="3"/>
  <c r="I320" i="3"/>
  <c r="J319" i="3"/>
  <c r="I319" i="3"/>
  <c r="J318" i="3"/>
  <c r="I318" i="3"/>
  <c r="J317" i="3"/>
  <c r="G317" i="1" s="1"/>
  <c r="I317" i="3"/>
  <c r="E317" i="1" s="1"/>
  <c r="J315" i="3"/>
  <c r="I315" i="3"/>
  <c r="J314" i="3"/>
  <c r="I314" i="3"/>
  <c r="J313" i="3"/>
  <c r="I313" i="3"/>
  <c r="J312" i="3"/>
  <c r="I312" i="3"/>
  <c r="J311" i="3"/>
  <c r="I311" i="3"/>
  <c r="J310" i="3"/>
  <c r="I310" i="3"/>
  <c r="J309" i="3"/>
  <c r="I309" i="3"/>
  <c r="J308" i="3"/>
  <c r="I308" i="3"/>
  <c r="J307" i="3"/>
  <c r="I307" i="3"/>
  <c r="J306" i="3"/>
  <c r="I306" i="3"/>
  <c r="J305" i="3"/>
  <c r="G305" i="1" s="1"/>
  <c r="I305" i="3"/>
  <c r="E305" i="1" s="1"/>
  <c r="J303" i="3"/>
  <c r="I303" i="3"/>
  <c r="J302" i="3"/>
  <c r="I302" i="3"/>
  <c r="J301" i="3"/>
  <c r="I301" i="3"/>
  <c r="J300" i="3"/>
  <c r="I300" i="3"/>
  <c r="J299" i="3"/>
  <c r="I299" i="3"/>
  <c r="J298" i="3"/>
  <c r="I298" i="3"/>
  <c r="J297" i="3"/>
  <c r="I297" i="3"/>
  <c r="J296" i="3"/>
  <c r="I296" i="3"/>
  <c r="J295" i="3"/>
  <c r="I295" i="3"/>
  <c r="J294" i="3"/>
  <c r="I294" i="3"/>
  <c r="J293" i="3"/>
  <c r="G293" i="1" s="1"/>
  <c r="I293" i="3"/>
  <c r="E293" i="1" s="1"/>
  <c r="J291" i="3"/>
  <c r="I291" i="3"/>
  <c r="J290" i="3"/>
  <c r="I290" i="3"/>
  <c r="J289" i="3"/>
  <c r="I289" i="3"/>
  <c r="J288" i="3"/>
  <c r="I288" i="3"/>
  <c r="J287" i="3"/>
  <c r="I287" i="3"/>
  <c r="J286" i="3"/>
  <c r="I286" i="3"/>
  <c r="J285" i="3"/>
  <c r="I285" i="3"/>
  <c r="J284" i="3"/>
  <c r="I284" i="3"/>
  <c r="J283" i="3"/>
  <c r="I283" i="3"/>
  <c r="J282" i="3"/>
  <c r="I282" i="3"/>
  <c r="J281" i="3"/>
  <c r="G281" i="1" s="1"/>
  <c r="J279" i="3"/>
  <c r="I279" i="3"/>
  <c r="J278" i="3"/>
  <c r="I278" i="3"/>
  <c r="J277" i="3"/>
  <c r="I277" i="3"/>
  <c r="J276" i="3"/>
  <c r="I276" i="3"/>
  <c r="J275" i="3"/>
  <c r="I275" i="3"/>
  <c r="J274" i="3"/>
  <c r="I274" i="3"/>
  <c r="J273" i="3"/>
  <c r="I273" i="3"/>
  <c r="J272" i="3"/>
  <c r="I272" i="3"/>
  <c r="J271" i="3"/>
  <c r="I271" i="3"/>
  <c r="J270" i="3"/>
  <c r="I270" i="3"/>
  <c r="I269" i="3"/>
  <c r="E269" i="1" s="1"/>
  <c r="J267" i="3"/>
  <c r="I267" i="3"/>
  <c r="J266" i="3"/>
  <c r="I266" i="3"/>
  <c r="J265" i="3"/>
  <c r="I265" i="3"/>
  <c r="J264" i="3"/>
  <c r="I264" i="3"/>
  <c r="J263" i="3"/>
  <c r="I263" i="3"/>
  <c r="J262" i="3"/>
  <c r="I262" i="3"/>
  <c r="J261" i="3"/>
  <c r="I261" i="3"/>
  <c r="J260" i="3"/>
  <c r="I260" i="3"/>
  <c r="J259" i="3"/>
  <c r="I259" i="3"/>
  <c r="J258" i="3"/>
  <c r="I258" i="3"/>
  <c r="J257" i="3"/>
  <c r="G257" i="1" s="1"/>
  <c r="I257" i="3"/>
  <c r="E257" i="1" s="1"/>
  <c r="J255" i="3"/>
  <c r="I255" i="3"/>
  <c r="J254" i="3"/>
  <c r="I254" i="3"/>
  <c r="J253" i="3"/>
  <c r="I253" i="3"/>
  <c r="J252" i="3"/>
  <c r="I252" i="3"/>
  <c r="J251" i="3"/>
  <c r="I251" i="3"/>
  <c r="J250" i="3"/>
  <c r="I250" i="3"/>
  <c r="J249" i="3"/>
  <c r="I249" i="3"/>
  <c r="J248" i="3"/>
  <c r="I248" i="3"/>
  <c r="J247" i="3"/>
  <c r="I247" i="3"/>
  <c r="J246" i="3"/>
  <c r="I246" i="3"/>
  <c r="J245" i="3"/>
  <c r="G245" i="1" s="1"/>
  <c r="I245" i="3"/>
  <c r="E245" i="1" s="1"/>
  <c r="J243" i="3"/>
  <c r="I243" i="3"/>
  <c r="J242" i="3"/>
  <c r="I242" i="3"/>
  <c r="J241" i="3"/>
  <c r="I241" i="3"/>
  <c r="J240" i="3"/>
  <c r="I240" i="3"/>
  <c r="J239" i="3"/>
  <c r="I239" i="3"/>
  <c r="J238" i="3"/>
  <c r="I238" i="3"/>
  <c r="J237" i="3"/>
  <c r="I237" i="3"/>
  <c r="J236" i="3"/>
  <c r="I236" i="3"/>
  <c r="J235" i="3"/>
  <c r="I235" i="3"/>
  <c r="J234" i="3"/>
  <c r="I234" i="3"/>
  <c r="J231" i="3"/>
  <c r="I231" i="3"/>
  <c r="J230" i="3"/>
  <c r="I230" i="3"/>
  <c r="J229" i="3"/>
  <c r="I229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I221" i="3"/>
  <c r="E221" i="1" s="1"/>
  <c r="J219" i="3"/>
  <c r="I219" i="3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I209" i="3"/>
  <c r="E209" i="1" s="1"/>
  <c r="J207" i="3"/>
  <c r="I207" i="3"/>
  <c r="J206" i="3"/>
  <c r="I206" i="3"/>
  <c r="J205" i="3"/>
  <c r="G205" i="1" s="1"/>
  <c r="I205" i="3"/>
  <c r="E205" i="1" s="1"/>
  <c r="J204" i="3"/>
  <c r="G204" i="1" s="1"/>
  <c r="I204" i="3"/>
  <c r="E204" i="1" s="1"/>
  <c r="J203" i="3"/>
  <c r="G203" i="1" s="1"/>
  <c r="I203" i="3"/>
  <c r="E203" i="1" s="1"/>
  <c r="J202" i="3"/>
  <c r="G202" i="1" s="1"/>
  <c r="I202" i="3"/>
  <c r="E202" i="1" s="1"/>
  <c r="J201" i="3"/>
  <c r="G201" i="1" s="1"/>
  <c r="I201" i="3"/>
  <c r="E201" i="1" s="1"/>
  <c r="J200" i="3"/>
  <c r="G200" i="1" s="1"/>
  <c r="I200" i="3"/>
  <c r="E200" i="1" s="1"/>
  <c r="J199" i="3"/>
  <c r="G199" i="1" s="1"/>
  <c r="I199" i="3"/>
  <c r="E199" i="1" s="1"/>
  <c r="J198" i="3"/>
  <c r="G198" i="1" s="1"/>
  <c r="I198" i="3"/>
  <c r="E198" i="1" s="1"/>
  <c r="J197" i="3"/>
  <c r="G197" i="1" s="1"/>
  <c r="J195" i="3"/>
  <c r="I195" i="3"/>
  <c r="J194" i="3"/>
  <c r="I194" i="3"/>
  <c r="J193" i="3"/>
  <c r="G193" i="1" s="1"/>
  <c r="I193" i="3"/>
  <c r="E193" i="1" s="1"/>
  <c r="J192" i="3"/>
  <c r="G192" i="1" s="1"/>
  <c r="I192" i="3"/>
  <c r="E192" i="1" s="1"/>
  <c r="J191" i="3"/>
  <c r="G191" i="1" s="1"/>
  <c r="I191" i="3"/>
  <c r="E191" i="1" s="1"/>
  <c r="J190" i="3"/>
  <c r="G190" i="1" s="1"/>
  <c r="I190" i="3"/>
  <c r="E190" i="1" s="1"/>
  <c r="J189" i="3"/>
  <c r="G189" i="1" s="1"/>
  <c r="I189" i="3"/>
  <c r="E189" i="1" s="1"/>
  <c r="J188" i="3"/>
  <c r="G188" i="1" s="1"/>
  <c r="I188" i="3"/>
  <c r="E188" i="1" s="1"/>
  <c r="J187" i="3"/>
  <c r="G187" i="1" s="1"/>
  <c r="I187" i="3"/>
  <c r="E187" i="1" s="1"/>
  <c r="J186" i="3"/>
  <c r="G186" i="1" s="1"/>
  <c r="I186" i="3"/>
  <c r="E186" i="1" s="1"/>
  <c r="J185" i="3"/>
  <c r="G185" i="1" s="1"/>
  <c r="J183" i="3"/>
  <c r="I183" i="3"/>
  <c r="J182" i="3"/>
  <c r="I182" i="3"/>
  <c r="J181" i="3"/>
  <c r="G181" i="1" s="1"/>
  <c r="I181" i="3"/>
  <c r="E181" i="1" s="1"/>
  <c r="J180" i="3"/>
  <c r="G180" i="1" s="1"/>
  <c r="I180" i="3"/>
  <c r="E180" i="1" s="1"/>
  <c r="J179" i="3"/>
  <c r="G179" i="1" s="1"/>
  <c r="I179" i="3"/>
  <c r="E179" i="1" s="1"/>
  <c r="J178" i="3"/>
  <c r="G178" i="1" s="1"/>
  <c r="I178" i="3"/>
  <c r="E178" i="1" s="1"/>
  <c r="J177" i="3"/>
  <c r="G177" i="1" s="1"/>
  <c r="I177" i="3"/>
  <c r="E177" i="1" s="1"/>
  <c r="J176" i="3"/>
  <c r="G176" i="1" s="1"/>
  <c r="I176" i="3"/>
  <c r="E176" i="1" s="1"/>
  <c r="J175" i="3"/>
  <c r="G175" i="1" s="1"/>
  <c r="I175" i="3"/>
  <c r="E175" i="1" s="1"/>
  <c r="J174" i="3"/>
  <c r="G174" i="1" s="1"/>
  <c r="I174" i="3"/>
  <c r="E174" i="1" s="1"/>
  <c r="J171" i="3"/>
  <c r="G171" i="1" s="1"/>
  <c r="I171" i="3"/>
  <c r="E171" i="1" s="1"/>
  <c r="J170" i="3"/>
  <c r="G170" i="1" s="1"/>
  <c r="I170" i="3"/>
  <c r="E170" i="1" s="1"/>
  <c r="J169" i="3"/>
  <c r="G169" i="1" s="1"/>
  <c r="I169" i="3"/>
  <c r="E169" i="1" s="1"/>
  <c r="J168" i="3"/>
  <c r="G168" i="1" s="1"/>
  <c r="I168" i="3"/>
  <c r="E168" i="1" s="1"/>
  <c r="J167" i="3"/>
  <c r="G167" i="1" s="1"/>
  <c r="I167" i="3"/>
  <c r="E167" i="1" s="1"/>
  <c r="J166" i="3"/>
  <c r="G166" i="1" s="1"/>
  <c r="I166" i="3"/>
  <c r="E166" i="1" s="1"/>
  <c r="J165" i="3"/>
  <c r="G165" i="1" s="1"/>
  <c r="I165" i="3"/>
  <c r="E165" i="1" s="1"/>
  <c r="J164" i="3"/>
  <c r="G164" i="1" s="1"/>
  <c r="I164" i="3"/>
  <c r="E164" i="1" s="1"/>
  <c r="J163" i="3"/>
  <c r="G163" i="1" s="1"/>
  <c r="I163" i="3"/>
  <c r="E163" i="1" s="1"/>
  <c r="J162" i="3"/>
  <c r="G162" i="1" s="1"/>
  <c r="I162" i="3"/>
  <c r="E162" i="1" s="1"/>
  <c r="J161" i="3"/>
  <c r="G161" i="1" s="1"/>
  <c r="I161" i="3"/>
  <c r="E161" i="1" s="1"/>
  <c r="J159" i="3"/>
  <c r="G159" i="1" s="1"/>
  <c r="I159" i="3"/>
  <c r="E159" i="1" s="1"/>
  <c r="J158" i="3"/>
  <c r="G158" i="1" s="1"/>
  <c r="I158" i="3"/>
  <c r="E158" i="1" s="1"/>
  <c r="J157" i="3"/>
  <c r="G157" i="1" s="1"/>
  <c r="I157" i="3"/>
  <c r="E157" i="1" s="1"/>
  <c r="J156" i="3"/>
  <c r="G156" i="1" s="1"/>
  <c r="I156" i="3"/>
  <c r="E156" i="1" s="1"/>
  <c r="J155" i="3"/>
  <c r="G155" i="1" s="1"/>
  <c r="I155" i="3"/>
  <c r="E155" i="1" s="1"/>
  <c r="J154" i="3"/>
  <c r="G154" i="1" s="1"/>
  <c r="I154" i="3"/>
  <c r="E154" i="1" s="1"/>
  <c r="J153" i="3"/>
  <c r="G153" i="1" s="1"/>
  <c r="I153" i="3"/>
  <c r="E153" i="1" s="1"/>
  <c r="J152" i="3"/>
  <c r="G152" i="1" s="1"/>
  <c r="I152" i="3"/>
  <c r="E152" i="1" s="1"/>
  <c r="J151" i="3"/>
  <c r="G151" i="1" s="1"/>
  <c r="I151" i="3"/>
  <c r="E151" i="1" s="1"/>
  <c r="J150" i="3"/>
  <c r="G150" i="1" s="1"/>
  <c r="I150" i="3"/>
  <c r="E150" i="1" s="1"/>
  <c r="J149" i="3"/>
  <c r="G149" i="1" s="1"/>
  <c r="I149" i="3"/>
  <c r="E149" i="1" s="1"/>
  <c r="J147" i="3"/>
  <c r="G147" i="1" s="1"/>
  <c r="I147" i="3"/>
  <c r="E147" i="1" s="1"/>
  <c r="J146" i="3"/>
  <c r="G146" i="1" s="1"/>
  <c r="I146" i="3"/>
  <c r="E146" i="1" s="1"/>
  <c r="J145" i="3"/>
  <c r="G145" i="1" s="1"/>
  <c r="I145" i="3"/>
  <c r="E145" i="1" s="1"/>
  <c r="J144" i="3"/>
  <c r="G144" i="1" s="1"/>
  <c r="I144" i="3"/>
  <c r="E144" i="1" s="1"/>
  <c r="J143" i="3"/>
  <c r="G143" i="1" s="1"/>
  <c r="I143" i="3"/>
  <c r="E143" i="1" s="1"/>
  <c r="J142" i="3"/>
  <c r="G142" i="1" s="1"/>
  <c r="I142" i="3"/>
  <c r="E142" i="1" s="1"/>
  <c r="J141" i="3"/>
  <c r="G141" i="1" s="1"/>
  <c r="I141" i="3"/>
  <c r="E141" i="1" s="1"/>
  <c r="J140" i="3"/>
  <c r="G140" i="1" s="1"/>
  <c r="I140" i="3"/>
  <c r="E140" i="1" s="1"/>
  <c r="J139" i="3"/>
  <c r="G139" i="1" s="1"/>
  <c r="I139" i="3"/>
  <c r="E139" i="1" s="1"/>
  <c r="J138" i="3"/>
  <c r="G138" i="1" s="1"/>
  <c r="I138" i="3"/>
  <c r="E138" i="1" s="1"/>
  <c r="J137" i="3"/>
  <c r="G137" i="1" s="1"/>
  <c r="J135" i="3"/>
  <c r="G135" i="1" s="1"/>
  <c r="I135" i="3"/>
  <c r="E135" i="1" s="1"/>
  <c r="J134" i="3"/>
  <c r="G134" i="1" s="1"/>
  <c r="I134" i="3"/>
  <c r="E134" i="1" s="1"/>
  <c r="J133" i="3"/>
  <c r="G133" i="1" s="1"/>
  <c r="I133" i="3"/>
  <c r="E133" i="1" s="1"/>
  <c r="J132" i="3"/>
  <c r="G132" i="1" s="1"/>
  <c r="I132" i="3"/>
  <c r="E132" i="1" s="1"/>
  <c r="J131" i="3"/>
  <c r="G131" i="1" s="1"/>
  <c r="I131" i="3"/>
  <c r="E131" i="1" s="1"/>
  <c r="J130" i="3"/>
  <c r="G130" i="1" s="1"/>
  <c r="I130" i="3"/>
  <c r="E130" i="1" s="1"/>
  <c r="J129" i="3"/>
  <c r="G129" i="1" s="1"/>
  <c r="I129" i="3"/>
  <c r="E129" i="1" s="1"/>
  <c r="J128" i="3"/>
  <c r="G128" i="1" s="1"/>
  <c r="I128" i="3"/>
  <c r="E128" i="1" s="1"/>
  <c r="J127" i="3"/>
  <c r="G127" i="1" s="1"/>
  <c r="I127" i="3"/>
  <c r="E127" i="1" s="1"/>
  <c r="J126" i="3"/>
  <c r="G126" i="1" s="1"/>
  <c r="I126" i="3"/>
  <c r="E126" i="1" s="1"/>
  <c r="I125" i="3"/>
  <c r="E125" i="1" s="1"/>
  <c r="J123" i="3"/>
  <c r="G123" i="1" s="1"/>
  <c r="I123" i="3"/>
  <c r="E123" i="1" s="1"/>
  <c r="J122" i="3"/>
  <c r="G122" i="1" s="1"/>
  <c r="I122" i="3"/>
  <c r="E122" i="1" s="1"/>
  <c r="J121" i="3"/>
  <c r="G121" i="1" s="1"/>
  <c r="I121" i="3"/>
  <c r="E121" i="1" s="1"/>
  <c r="J120" i="3"/>
  <c r="G120" i="1" s="1"/>
  <c r="I120" i="3"/>
  <c r="E120" i="1" s="1"/>
  <c r="J119" i="3"/>
  <c r="G119" i="1" s="1"/>
  <c r="I119" i="3"/>
  <c r="E119" i="1" s="1"/>
  <c r="J118" i="3"/>
  <c r="G118" i="1" s="1"/>
  <c r="I118" i="3"/>
  <c r="E118" i="1" s="1"/>
  <c r="J117" i="3"/>
  <c r="G117" i="1" s="1"/>
  <c r="I117" i="3"/>
  <c r="E117" i="1" s="1"/>
  <c r="J116" i="3"/>
  <c r="G116" i="1" s="1"/>
  <c r="I116" i="3"/>
  <c r="E116" i="1" s="1"/>
  <c r="J115" i="3"/>
  <c r="G115" i="1" s="1"/>
  <c r="I115" i="3"/>
  <c r="E115" i="1" s="1"/>
  <c r="J114" i="3"/>
  <c r="G114" i="1" s="1"/>
  <c r="I114" i="3"/>
  <c r="E114" i="1" s="1"/>
  <c r="I113" i="3"/>
  <c r="E113" i="1" s="1"/>
  <c r="J111" i="3"/>
  <c r="G111" i="1" s="1"/>
  <c r="I111" i="3"/>
  <c r="E111" i="1" s="1"/>
  <c r="J110" i="3"/>
  <c r="G110" i="1" s="1"/>
  <c r="I110" i="3"/>
  <c r="E110" i="1" s="1"/>
  <c r="J109" i="3"/>
  <c r="G109" i="1" s="1"/>
  <c r="I109" i="3"/>
  <c r="E109" i="1" s="1"/>
  <c r="J108" i="3"/>
  <c r="G108" i="1" s="1"/>
  <c r="I108" i="3"/>
  <c r="E108" i="1" s="1"/>
  <c r="J107" i="3"/>
  <c r="G107" i="1" s="1"/>
  <c r="I107" i="3"/>
  <c r="E107" i="1" s="1"/>
  <c r="J106" i="3"/>
  <c r="G106" i="1" s="1"/>
  <c r="I106" i="3"/>
  <c r="E106" i="1" s="1"/>
  <c r="J105" i="3"/>
  <c r="G105" i="1" s="1"/>
  <c r="I105" i="3"/>
  <c r="E105" i="1" s="1"/>
  <c r="J104" i="3"/>
  <c r="G104" i="1" s="1"/>
  <c r="I104" i="3"/>
  <c r="E104" i="1" s="1"/>
  <c r="J103" i="3"/>
  <c r="G103" i="1" s="1"/>
  <c r="I103" i="3"/>
  <c r="E103" i="1" s="1"/>
  <c r="J102" i="3"/>
  <c r="G102" i="1" s="1"/>
  <c r="I102" i="3"/>
  <c r="E102" i="1" s="1"/>
  <c r="J101" i="3"/>
  <c r="G101" i="1" s="1"/>
  <c r="I101" i="3"/>
  <c r="E101" i="1" s="1"/>
  <c r="J99" i="3"/>
  <c r="G99" i="1" s="1"/>
  <c r="I99" i="3"/>
  <c r="E99" i="1" s="1"/>
  <c r="J98" i="3"/>
  <c r="G98" i="1" s="1"/>
  <c r="I98" i="3"/>
  <c r="E98" i="1" s="1"/>
  <c r="J97" i="3"/>
  <c r="G97" i="1" s="1"/>
  <c r="I97" i="3"/>
  <c r="E97" i="1" s="1"/>
  <c r="J96" i="3"/>
  <c r="G96" i="1" s="1"/>
  <c r="I96" i="3"/>
  <c r="E96" i="1" s="1"/>
  <c r="J95" i="3"/>
  <c r="G95" i="1" s="1"/>
  <c r="I95" i="3"/>
  <c r="E95" i="1" s="1"/>
  <c r="J94" i="3"/>
  <c r="G94" i="1" s="1"/>
  <c r="I94" i="3"/>
  <c r="E94" i="1" s="1"/>
  <c r="J93" i="3"/>
  <c r="G93" i="1" s="1"/>
  <c r="I93" i="3"/>
  <c r="E93" i="1" s="1"/>
  <c r="J92" i="3"/>
  <c r="G92" i="1" s="1"/>
  <c r="I92" i="3"/>
  <c r="E92" i="1" s="1"/>
  <c r="J91" i="3"/>
  <c r="G91" i="1" s="1"/>
  <c r="I91" i="3"/>
  <c r="E91" i="1" s="1"/>
  <c r="J90" i="3"/>
  <c r="G90" i="1" s="1"/>
  <c r="I90" i="3"/>
  <c r="E90" i="1" s="1"/>
  <c r="J89" i="3"/>
  <c r="G89" i="1" s="1"/>
  <c r="J87" i="3"/>
  <c r="G87" i="1" s="1"/>
  <c r="I87" i="3"/>
  <c r="E87" i="1" s="1"/>
  <c r="J86" i="3"/>
  <c r="G86" i="1" s="1"/>
  <c r="I86" i="3"/>
  <c r="E86" i="1" s="1"/>
  <c r="J85" i="3"/>
  <c r="G85" i="1" s="1"/>
  <c r="I85" i="3"/>
  <c r="E85" i="1" s="1"/>
  <c r="J84" i="3"/>
  <c r="G84" i="1" s="1"/>
  <c r="I84" i="3"/>
  <c r="E84" i="1" s="1"/>
  <c r="J83" i="3"/>
  <c r="G83" i="1" s="1"/>
  <c r="I83" i="3"/>
  <c r="E83" i="1" s="1"/>
  <c r="J82" i="3"/>
  <c r="G82" i="1" s="1"/>
  <c r="I82" i="3"/>
  <c r="E82" i="1" s="1"/>
  <c r="J81" i="3"/>
  <c r="G81" i="1" s="1"/>
  <c r="I81" i="3"/>
  <c r="E81" i="1" s="1"/>
  <c r="J80" i="3"/>
  <c r="G80" i="1" s="1"/>
  <c r="I80" i="3"/>
  <c r="E80" i="1" s="1"/>
  <c r="J79" i="3"/>
  <c r="G79" i="1" s="1"/>
  <c r="I79" i="3"/>
  <c r="E79" i="1" s="1"/>
  <c r="J78" i="3"/>
  <c r="G78" i="1" s="1"/>
  <c r="I78" i="3"/>
  <c r="E78" i="1" s="1"/>
  <c r="J75" i="3"/>
  <c r="G75" i="1" s="1"/>
  <c r="I75" i="3"/>
  <c r="E75" i="1" s="1"/>
  <c r="J74" i="3"/>
  <c r="G74" i="1" s="1"/>
  <c r="I74" i="3"/>
  <c r="E74" i="1" s="1"/>
  <c r="J73" i="3"/>
  <c r="G73" i="1" s="1"/>
  <c r="I73" i="3"/>
  <c r="E73" i="1" s="1"/>
  <c r="J72" i="3"/>
  <c r="G72" i="1" s="1"/>
  <c r="I72" i="3"/>
  <c r="E72" i="1" s="1"/>
  <c r="J71" i="3"/>
  <c r="G71" i="1" s="1"/>
  <c r="I71" i="3"/>
  <c r="E71" i="1" s="1"/>
  <c r="J70" i="3"/>
  <c r="G70" i="1" s="1"/>
  <c r="I70" i="3"/>
  <c r="E70" i="1" s="1"/>
  <c r="J69" i="3"/>
  <c r="G69" i="1" s="1"/>
  <c r="I69" i="3"/>
  <c r="E69" i="1" s="1"/>
  <c r="J68" i="3"/>
  <c r="G68" i="1" s="1"/>
  <c r="I68" i="3"/>
  <c r="E68" i="1" s="1"/>
  <c r="J67" i="3"/>
  <c r="G67" i="1" s="1"/>
  <c r="I67" i="3"/>
  <c r="E67" i="1" s="1"/>
  <c r="J66" i="3"/>
  <c r="G66" i="1" s="1"/>
  <c r="I66" i="3"/>
  <c r="E66" i="1" s="1"/>
  <c r="J65" i="3"/>
  <c r="G65" i="1" s="1"/>
  <c r="I65" i="3"/>
  <c r="E65" i="1" s="1"/>
  <c r="J63" i="3"/>
  <c r="G63" i="1" s="1"/>
  <c r="I63" i="3"/>
  <c r="E63" i="1" s="1"/>
  <c r="J62" i="3"/>
  <c r="G62" i="1" s="1"/>
  <c r="I62" i="3"/>
  <c r="E62" i="1" s="1"/>
  <c r="J61" i="3"/>
  <c r="G61" i="1" s="1"/>
  <c r="I61" i="3"/>
  <c r="E61" i="1" s="1"/>
  <c r="J60" i="3"/>
  <c r="G60" i="1" s="1"/>
  <c r="I60" i="3"/>
  <c r="E60" i="1" s="1"/>
  <c r="J59" i="3"/>
  <c r="G59" i="1" s="1"/>
  <c r="I59" i="3"/>
  <c r="E59" i="1" s="1"/>
  <c r="J58" i="3"/>
  <c r="G58" i="1" s="1"/>
  <c r="I58" i="3"/>
  <c r="E58" i="1" s="1"/>
  <c r="J57" i="3"/>
  <c r="G57" i="1" s="1"/>
  <c r="I57" i="3"/>
  <c r="E57" i="1" s="1"/>
  <c r="J56" i="3"/>
  <c r="G56" i="1" s="1"/>
  <c r="I56" i="3"/>
  <c r="E56" i="1" s="1"/>
  <c r="J55" i="3"/>
  <c r="G55" i="1" s="1"/>
  <c r="I55" i="3"/>
  <c r="E55" i="1" s="1"/>
  <c r="J54" i="3"/>
  <c r="G54" i="1" s="1"/>
  <c r="I54" i="3"/>
  <c r="E54" i="1" s="1"/>
  <c r="J53" i="3"/>
  <c r="G53" i="1" s="1"/>
  <c r="I53" i="3"/>
  <c r="E53" i="1" s="1"/>
  <c r="J51" i="3"/>
  <c r="G51" i="1" s="1"/>
  <c r="I51" i="3"/>
  <c r="E51" i="1" s="1"/>
  <c r="J50" i="3"/>
  <c r="G50" i="1" s="1"/>
  <c r="I50" i="3"/>
  <c r="E50" i="1" s="1"/>
  <c r="J49" i="3"/>
  <c r="G49" i="1" s="1"/>
  <c r="I49" i="3"/>
  <c r="E49" i="1" s="1"/>
  <c r="J48" i="3"/>
  <c r="G48" i="1" s="1"/>
  <c r="I48" i="3"/>
  <c r="E48" i="1" s="1"/>
  <c r="J47" i="3"/>
  <c r="G47" i="1" s="1"/>
  <c r="I47" i="3"/>
  <c r="E47" i="1" s="1"/>
  <c r="J46" i="3"/>
  <c r="G46" i="1" s="1"/>
  <c r="I46" i="3"/>
  <c r="E46" i="1" s="1"/>
  <c r="J45" i="3"/>
  <c r="G45" i="1" s="1"/>
  <c r="I45" i="3"/>
  <c r="E45" i="1" s="1"/>
  <c r="J44" i="3"/>
  <c r="G44" i="1" s="1"/>
  <c r="I44" i="3"/>
  <c r="E44" i="1" s="1"/>
  <c r="J43" i="3"/>
  <c r="G43" i="1" s="1"/>
  <c r="I43" i="3"/>
  <c r="E43" i="1" s="1"/>
  <c r="J42" i="3"/>
  <c r="G42" i="1" s="1"/>
  <c r="I42" i="3"/>
  <c r="E42" i="1" s="1"/>
  <c r="J41" i="3"/>
  <c r="G41" i="1" s="1"/>
  <c r="J39" i="3"/>
  <c r="G39" i="1" s="1"/>
  <c r="I39" i="3"/>
  <c r="E39" i="1" s="1"/>
  <c r="J38" i="3"/>
  <c r="G38" i="1" s="1"/>
  <c r="I38" i="3"/>
  <c r="E38" i="1" s="1"/>
  <c r="J37" i="3"/>
  <c r="G37" i="1" s="1"/>
  <c r="I37" i="3"/>
  <c r="E37" i="1" s="1"/>
  <c r="J36" i="3"/>
  <c r="G36" i="1" s="1"/>
  <c r="I36" i="3"/>
  <c r="E36" i="1" s="1"/>
  <c r="J35" i="3"/>
  <c r="G35" i="1" s="1"/>
  <c r="I35" i="3"/>
  <c r="E35" i="1" s="1"/>
  <c r="J34" i="3"/>
  <c r="G34" i="1" s="1"/>
  <c r="I34" i="3"/>
  <c r="E34" i="1" s="1"/>
  <c r="J33" i="3"/>
  <c r="G33" i="1" s="1"/>
  <c r="I33" i="3"/>
  <c r="E33" i="1" s="1"/>
  <c r="J32" i="3"/>
  <c r="G32" i="1" s="1"/>
  <c r="I32" i="3"/>
  <c r="E32" i="1" s="1"/>
  <c r="J31" i="3"/>
  <c r="G31" i="1" s="1"/>
  <c r="I31" i="3"/>
  <c r="E31" i="1" s="1"/>
  <c r="J30" i="3"/>
  <c r="G30" i="1" s="1"/>
  <c r="I30" i="3"/>
  <c r="E30" i="1" s="1"/>
  <c r="J27" i="3"/>
  <c r="G27" i="1" s="1"/>
  <c r="I27" i="3"/>
  <c r="E27" i="1" s="1"/>
  <c r="J26" i="3"/>
  <c r="G26" i="1" s="1"/>
  <c r="I26" i="3"/>
  <c r="E26" i="1" s="1"/>
  <c r="J25" i="3"/>
  <c r="G25" i="1" s="1"/>
  <c r="I25" i="3"/>
  <c r="E25" i="1" s="1"/>
  <c r="J24" i="3"/>
  <c r="G24" i="1" s="1"/>
  <c r="I24" i="3"/>
  <c r="E24" i="1" s="1"/>
  <c r="J23" i="3"/>
  <c r="G23" i="1" s="1"/>
  <c r="I23" i="3"/>
  <c r="E23" i="1" s="1"/>
  <c r="J22" i="3"/>
  <c r="G22" i="1" s="1"/>
  <c r="I22" i="3"/>
  <c r="E22" i="1" s="1"/>
  <c r="J21" i="3"/>
  <c r="G21" i="1" s="1"/>
  <c r="I21" i="3"/>
  <c r="E21" i="1" s="1"/>
  <c r="J20" i="3"/>
  <c r="G20" i="1" s="1"/>
  <c r="I20" i="3"/>
  <c r="E20" i="1" s="1"/>
  <c r="J19" i="3"/>
  <c r="G19" i="1" s="1"/>
  <c r="I19" i="3"/>
  <c r="E19" i="1" s="1"/>
  <c r="J18" i="3"/>
  <c r="G18" i="1" s="1"/>
  <c r="I18" i="3"/>
  <c r="E18" i="1" s="1"/>
  <c r="I17" i="3"/>
  <c r="E17" i="1" s="1"/>
  <c r="J15" i="3"/>
  <c r="G15" i="1" s="1"/>
  <c r="I15" i="3"/>
  <c r="E15" i="1" s="1"/>
  <c r="J14" i="3"/>
  <c r="G14" i="1" s="1"/>
  <c r="I14" i="3"/>
  <c r="E14" i="1" s="1"/>
  <c r="J13" i="3"/>
  <c r="G13" i="1" s="1"/>
  <c r="I13" i="3"/>
  <c r="E13" i="1" s="1"/>
  <c r="J12" i="3"/>
  <c r="G12" i="1" s="1"/>
  <c r="I12" i="3"/>
  <c r="E12" i="1" s="1"/>
  <c r="J11" i="3"/>
  <c r="G11" i="1" s="1"/>
  <c r="I11" i="3"/>
  <c r="E11" i="1" s="1"/>
  <c r="J10" i="3"/>
  <c r="G10" i="1" s="1"/>
  <c r="I10" i="3"/>
  <c r="E10" i="1" s="1"/>
  <c r="J9" i="3"/>
  <c r="G9" i="1" s="1"/>
  <c r="I9" i="3"/>
  <c r="E9" i="1" s="1"/>
  <c r="J8" i="3"/>
  <c r="G8" i="1" s="1"/>
  <c r="I8" i="3"/>
  <c r="E8" i="1" s="1"/>
  <c r="J7" i="3"/>
  <c r="G7" i="1" s="1"/>
  <c r="I7" i="3"/>
  <c r="E7" i="1" s="1"/>
  <c r="J6" i="3"/>
  <c r="G6" i="1" s="1"/>
  <c r="I6" i="3"/>
  <c r="E6" i="1" s="1"/>
  <c r="J3" i="3"/>
  <c r="I3" i="3"/>
  <c r="J2" i="3"/>
  <c r="I2" i="3"/>
  <c r="F66" i="1"/>
  <c r="A11" i="5" l="1"/>
  <c r="I1107" i="3"/>
  <c r="I122" i="2"/>
  <c r="I121" i="2"/>
  <c r="I120" i="2"/>
  <c r="I119" i="2"/>
  <c r="I118" i="2"/>
  <c r="I117" i="2"/>
  <c r="I116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6" i="2"/>
  <c r="I65" i="2"/>
  <c r="I64" i="2"/>
  <c r="I63" i="2"/>
  <c r="I62" i="2"/>
  <c r="I61" i="2"/>
  <c r="I60" i="2"/>
  <c r="I58" i="2"/>
  <c r="I57" i="2"/>
  <c r="I56" i="2"/>
  <c r="I55" i="2"/>
  <c r="I54" i="2"/>
  <c r="I53" i="2"/>
  <c r="I52" i="2"/>
  <c r="I50" i="2"/>
  <c r="I49" i="2"/>
  <c r="I48" i="2"/>
  <c r="I47" i="2"/>
  <c r="I46" i="2"/>
  <c r="I45" i="2"/>
  <c r="I44" i="2"/>
  <c r="I42" i="2"/>
  <c r="I41" i="2"/>
  <c r="I40" i="2"/>
  <c r="I39" i="2"/>
  <c r="I38" i="2"/>
  <c r="I37" i="2"/>
  <c r="I36" i="2"/>
  <c r="I34" i="2"/>
  <c r="I33" i="2"/>
  <c r="I32" i="2"/>
  <c r="I31" i="2"/>
  <c r="I30" i="2"/>
  <c r="I29" i="2"/>
  <c r="I28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G115" i="2"/>
  <c r="I115" i="2" s="1"/>
  <c r="G107" i="2"/>
  <c r="G99" i="2"/>
  <c r="I99" i="2" s="1"/>
  <c r="G91" i="2"/>
  <c r="G83" i="2"/>
  <c r="I83" i="2" s="1"/>
  <c r="G75" i="2"/>
  <c r="G67" i="2"/>
  <c r="I67" i="2" s="1"/>
  <c r="G59" i="2"/>
  <c r="I59" i="2" s="1"/>
  <c r="G51" i="2"/>
  <c r="I51" i="2" s="1"/>
  <c r="G43" i="2"/>
  <c r="I43" i="2" s="1"/>
  <c r="G35" i="2"/>
  <c r="I35" i="2" s="1"/>
  <c r="G27" i="2"/>
  <c r="I27" i="2" s="1"/>
  <c r="G19" i="2"/>
  <c r="G11" i="2"/>
  <c r="G3" i="2"/>
  <c r="A12" i="5" l="1"/>
  <c r="I123" i="2"/>
  <c r="G123" i="2"/>
  <c r="F505" i="1"/>
  <c r="F504" i="1"/>
  <c r="F503" i="1"/>
  <c r="F502" i="1"/>
  <c r="F501" i="1"/>
  <c r="F500" i="1"/>
  <c r="F499" i="1"/>
  <c r="F498" i="1"/>
  <c r="F497" i="1"/>
  <c r="F496" i="1"/>
  <c r="F495" i="1"/>
  <c r="F494" i="1"/>
  <c r="J40" i="3" l="1"/>
  <c r="G40" i="1" s="1"/>
  <c r="A13" i="5"/>
  <c r="I400" i="3" s="1"/>
  <c r="E400" i="1" s="1"/>
  <c r="J628" i="3"/>
  <c r="G628" i="1" s="1"/>
  <c r="J712" i="3"/>
  <c r="G712" i="1" s="1"/>
  <c r="I52" i="3"/>
  <c r="E52" i="1" s="1"/>
  <c r="I940" i="3"/>
  <c r="E940" i="1" s="1"/>
  <c r="I244" i="3"/>
  <c r="E244" i="1" s="1"/>
  <c r="I1192" i="3"/>
  <c r="E1192" i="1" s="1"/>
  <c r="I796" i="3"/>
  <c r="E796" i="1" s="1"/>
  <c r="J1072" i="3"/>
  <c r="G1072" i="1" s="1"/>
  <c r="I772" i="3"/>
  <c r="E772" i="1" s="1"/>
  <c r="J496" i="3"/>
  <c r="G496" i="1" s="1"/>
  <c r="I172" i="3"/>
  <c r="E172" i="1" s="1"/>
  <c r="J1120" i="3"/>
  <c r="G1120" i="1" s="1"/>
  <c r="I340" i="3"/>
  <c r="E340" i="1" s="1"/>
  <c r="I520" i="3"/>
  <c r="E520" i="1" s="1"/>
  <c r="I1096" i="3"/>
  <c r="E1096" i="1" s="1"/>
  <c r="J484" i="3"/>
  <c r="G484" i="1" s="1"/>
  <c r="I1024" i="3"/>
  <c r="E1024" i="1" s="1"/>
  <c r="I1084" i="3"/>
  <c r="E1084" i="1" s="1"/>
  <c r="J868" i="3"/>
  <c r="G868" i="1" s="1"/>
  <c r="J112" i="3"/>
  <c r="G112" i="1" s="1"/>
  <c r="J520" i="3"/>
  <c r="G520" i="1" s="1"/>
  <c r="J976" i="3"/>
  <c r="G976" i="1" s="1"/>
  <c r="I1168" i="3"/>
  <c r="E1168" i="1" s="1"/>
  <c r="I1252" i="3"/>
  <c r="E1252" i="1" s="1"/>
  <c r="I988" i="3"/>
  <c r="E988" i="1" s="1"/>
  <c r="I472" i="3"/>
  <c r="E472" i="1" s="1"/>
  <c r="I184" i="3"/>
  <c r="E184" i="1" s="1"/>
  <c r="I724" i="3"/>
  <c r="E724" i="1" s="1"/>
  <c r="J952" i="3"/>
  <c r="G952" i="1" s="1"/>
  <c r="D505" i="1"/>
  <c r="D504" i="1"/>
  <c r="D503" i="1"/>
  <c r="D502" i="1"/>
  <c r="D501" i="1"/>
  <c r="D500" i="1"/>
  <c r="D499" i="1"/>
  <c r="D498" i="1"/>
  <c r="D497" i="1"/>
  <c r="D496" i="1"/>
  <c r="D495" i="1"/>
  <c r="D494" i="1"/>
  <c r="I76" i="3" l="1"/>
  <c r="E76" i="1" s="1"/>
  <c r="I640" i="3"/>
  <c r="E640" i="1" s="1"/>
  <c r="J688" i="3"/>
  <c r="G688" i="1" s="1"/>
  <c r="I16" i="3"/>
  <c r="E16" i="1" s="1"/>
  <c r="J1216" i="3"/>
  <c r="G1216" i="1" s="1"/>
  <c r="I328" i="3"/>
  <c r="E328" i="1" s="1"/>
  <c r="J808" i="3"/>
  <c r="G808" i="1" s="1"/>
  <c r="J964" i="3"/>
  <c r="G964" i="1" s="1"/>
  <c r="J400" i="3"/>
  <c r="G400" i="1" s="1"/>
  <c r="I580" i="3"/>
  <c r="E580" i="1" s="1"/>
  <c r="I1216" i="3"/>
  <c r="E1216" i="1" s="1"/>
  <c r="J16" i="3"/>
  <c r="G16" i="1" s="1"/>
  <c r="J280" i="3"/>
  <c r="G280" i="1" s="1"/>
  <c r="I28" i="3"/>
  <c r="E28" i="1" s="1"/>
  <c r="J52" i="3"/>
  <c r="G52" i="1" s="1"/>
  <c r="J760" i="3"/>
  <c r="G760" i="1" s="1"/>
  <c r="I1228" i="3"/>
  <c r="E1228" i="1" s="1"/>
  <c r="J1228" i="3"/>
  <c r="G1228" i="1" s="1"/>
  <c r="I484" i="3"/>
  <c r="E484" i="1" s="1"/>
  <c r="J892" i="3"/>
  <c r="G892" i="1" s="1"/>
  <c r="J1204" i="3"/>
  <c r="G1204" i="1" s="1"/>
  <c r="I604" i="3"/>
  <c r="E604" i="1" s="1"/>
  <c r="I616" i="3"/>
  <c r="E616" i="1" s="1"/>
  <c r="J232" i="3"/>
  <c r="G232" i="1" s="1"/>
  <c r="I592" i="3"/>
  <c r="E592" i="1" s="1"/>
  <c r="J820" i="3"/>
  <c r="G820" i="1" s="1"/>
  <c r="I952" i="3"/>
  <c r="E952" i="1" s="1"/>
  <c r="I700" i="3"/>
  <c r="E700" i="1" s="1"/>
  <c r="J352" i="3"/>
  <c r="G352" i="1" s="1"/>
  <c r="I148" i="3"/>
  <c r="E148" i="1" s="1"/>
  <c r="J1096" i="3"/>
  <c r="G1096" i="1" s="1"/>
  <c r="J472" i="3"/>
  <c r="G472" i="1" s="1"/>
  <c r="I892" i="3"/>
  <c r="E892" i="1" s="1"/>
  <c r="J604" i="3"/>
  <c r="G604" i="1" s="1"/>
  <c r="J64" i="3"/>
  <c r="G64" i="1" s="1"/>
  <c r="J1048" i="3"/>
  <c r="G1048" i="1" s="1"/>
  <c r="J1132" i="3"/>
  <c r="G1132" i="1" s="1"/>
  <c r="J328" i="3"/>
  <c r="G328" i="1" s="1"/>
  <c r="I556" i="3"/>
  <c r="E556" i="1" s="1"/>
  <c r="J940" i="3"/>
  <c r="G940" i="1" s="1"/>
  <c r="J784" i="3"/>
  <c r="G784" i="1" s="1"/>
  <c r="I280" i="3"/>
  <c r="E280" i="1" s="1"/>
  <c r="J1180" i="3"/>
  <c r="G1180" i="1" s="1"/>
  <c r="J616" i="3"/>
  <c r="G616" i="1" s="1"/>
  <c r="I1012" i="3"/>
  <c r="E1012" i="1" s="1"/>
  <c r="I304" i="3"/>
  <c r="E304" i="1" s="1"/>
  <c r="I1060" i="3"/>
  <c r="E1060" i="1" s="1"/>
  <c r="J532" i="3"/>
  <c r="G532" i="1" s="1"/>
  <c r="I832" i="3"/>
  <c r="E832" i="1" s="1"/>
  <c r="I352" i="3"/>
  <c r="E352" i="1" s="1"/>
  <c r="I1144" i="3"/>
  <c r="E1144" i="1" s="1"/>
  <c r="I928" i="3"/>
  <c r="E928" i="1" s="1"/>
  <c r="J652" i="3"/>
  <c r="G652" i="1" s="1"/>
  <c r="J1060" i="3"/>
  <c r="G1060" i="1" s="1"/>
  <c r="I292" i="3"/>
  <c r="E292" i="1" s="1"/>
  <c r="J700" i="3"/>
  <c r="G700" i="1" s="1"/>
  <c r="J448" i="3"/>
  <c r="G448" i="1" s="1"/>
  <c r="I1036" i="3"/>
  <c r="E1036" i="1" s="1"/>
  <c r="I388" i="3"/>
  <c r="E388" i="1" s="1"/>
  <c r="J292" i="3"/>
  <c r="G292" i="1" s="1"/>
  <c r="J832" i="3"/>
  <c r="G832" i="1" s="1"/>
  <c r="I712" i="3"/>
  <c r="E712" i="1" s="1"/>
  <c r="I844" i="3"/>
  <c r="E844" i="1" s="1"/>
  <c r="I1048" i="3"/>
  <c r="E1048" i="1" s="1"/>
  <c r="I40" i="3"/>
  <c r="E40" i="1" s="1"/>
  <c r="I904" i="3"/>
  <c r="E904" i="1" s="1"/>
  <c r="J1168" i="3"/>
  <c r="G1168" i="1" s="1"/>
  <c r="I820" i="3"/>
  <c r="E820" i="1" s="1"/>
  <c r="I868" i="3"/>
  <c r="E868" i="1" s="1"/>
  <c r="J304" i="3"/>
  <c r="G304" i="1" s="1"/>
  <c r="J1192" i="3"/>
  <c r="G1192" i="1" s="1"/>
  <c r="I112" i="3"/>
  <c r="E112" i="1" s="1"/>
  <c r="J1156" i="3"/>
  <c r="G1156" i="1" s="1"/>
  <c r="I1204" i="3"/>
  <c r="E1204" i="1" s="1"/>
  <c r="J544" i="3"/>
  <c r="G544" i="1" s="1"/>
  <c r="I664" i="3"/>
  <c r="E664" i="1" s="1"/>
  <c r="I124" i="3"/>
  <c r="E124" i="1" s="1"/>
  <c r="J640" i="3"/>
  <c r="G640" i="1" s="1"/>
  <c r="I136" i="3"/>
  <c r="E136" i="1" s="1"/>
  <c r="J388" i="3"/>
  <c r="G388" i="1" s="1"/>
  <c r="J904" i="3"/>
  <c r="G904" i="1" s="1"/>
  <c r="I976" i="3"/>
  <c r="E976" i="1" s="1"/>
  <c r="J1252" i="3"/>
  <c r="G1252" i="1" s="1"/>
  <c r="I1132" i="3"/>
  <c r="E1132" i="1" s="1"/>
  <c r="J916" i="3"/>
  <c r="G916" i="1" s="1"/>
  <c r="J268" i="3"/>
  <c r="G268" i="1" s="1"/>
  <c r="I688" i="3"/>
  <c r="E688" i="1" s="1"/>
  <c r="I856" i="3"/>
  <c r="E856" i="1" s="1"/>
  <c r="I508" i="3"/>
  <c r="E508" i="1" s="1"/>
  <c r="J880" i="3"/>
  <c r="G880" i="1" s="1"/>
  <c r="J28" i="3"/>
  <c r="G28" i="1" s="1"/>
  <c r="I1000" i="3"/>
  <c r="E1000" i="1" s="1"/>
  <c r="I748" i="3"/>
  <c r="E748" i="1" s="1"/>
  <c r="I652" i="3"/>
  <c r="E652" i="1" s="1"/>
  <c r="J568" i="3"/>
  <c r="G568" i="1" s="1"/>
  <c r="J592" i="3"/>
  <c r="G592" i="1" s="1"/>
  <c r="I364" i="3"/>
  <c r="E364" i="1" s="1"/>
  <c r="J1036" i="3"/>
  <c r="G1036" i="1" s="1"/>
  <c r="I100" i="3"/>
  <c r="E100" i="1" s="1"/>
  <c r="J256" i="3"/>
  <c r="G256" i="1" s="1"/>
  <c r="I496" i="3"/>
  <c r="E496" i="1" s="1"/>
  <c r="J316" i="3"/>
  <c r="G316" i="1" s="1"/>
  <c r="I736" i="3"/>
  <c r="E736" i="1" s="1"/>
  <c r="J556" i="3"/>
  <c r="G556" i="1" s="1"/>
  <c r="I880" i="3"/>
  <c r="E880" i="1" s="1"/>
  <c r="I232" i="3"/>
  <c r="E232" i="1" s="1"/>
  <c r="J1024" i="3"/>
  <c r="G1024" i="1" s="1"/>
  <c r="I316" i="3"/>
  <c r="E316" i="1" s="1"/>
  <c r="J340" i="3"/>
  <c r="G340" i="1" s="1"/>
  <c r="I760" i="3"/>
  <c r="E760" i="1" s="1"/>
  <c r="J196" i="3"/>
  <c r="G196" i="1" s="1"/>
  <c r="J436" i="3"/>
  <c r="G436" i="1" s="1"/>
  <c r="I916" i="3"/>
  <c r="E916" i="1" s="1"/>
  <c r="J1108" i="3"/>
  <c r="G1108" i="1" s="1"/>
  <c r="J124" i="3"/>
  <c r="G124" i="1" s="1"/>
  <c r="J748" i="3"/>
  <c r="G748" i="1" s="1"/>
  <c r="J412" i="3"/>
  <c r="G412" i="1" s="1"/>
  <c r="J664" i="3"/>
  <c r="G664" i="1" s="1"/>
  <c r="I424" i="3"/>
  <c r="E424" i="1" s="1"/>
  <c r="J160" i="3"/>
  <c r="G160" i="1" s="1"/>
  <c r="J364" i="3"/>
  <c r="G364" i="1" s="1"/>
  <c r="J844" i="3"/>
  <c r="G844" i="1" s="1"/>
  <c r="J1240" i="3"/>
  <c r="G1240" i="1" s="1"/>
  <c r="I568" i="3"/>
  <c r="E568" i="1" s="1"/>
  <c r="J772" i="3"/>
  <c r="G772" i="1" s="1"/>
  <c r="I268" i="3"/>
  <c r="E268" i="1" s="1"/>
  <c r="I1180" i="3"/>
  <c r="E1180" i="1" s="1"/>
  <c r="J736" i="3"/>
  <c r="G736" i="1" s="1"/>
  <c r="J100" i="3"/>
  <c r="G100" i="1" s="1"/>
  <c r="I196" i="3"/>
  <c r="E196" i="1" s="1"/>
  <c r="J1084" i="3"/>
  <c r="G1084" i="1" s="1"/>
  <c r="I784" i="3"/>
  <c r="E784" i="1" s="1"/>
  <c r="J1012" i="3"/>
  <c r="G1012" i="1" s="1"/>
  <c r="J508" i="3"/>
  <c r="G508" i="1" s="1"/>
  <c r="J88" i="3"/>
  <c r="G88" i="1" s="1"/>
  <c r="J580" i="3"/>
  <c r="G580" i="1" s="1"/>
  <c r="J928" i="3"/>
  <c r="G928" i="1" s="1"/>
  <c r="I460" i="3"/>
  <c r="E460" i="1" s="1"/>
  <c r="J208" i="3"/>
  <c r="G208" i="1" s="1"/>
  <c r="I448" i="3"/>
  <c r="E448" i="1" s="1"/>
  <c r="J376" i="3"/>
  <c r="G376" i="1" s="1"/>
  <c r="J424" i="3"/>
  <c r="G424" i="1" s="1"/>
  <c r="J76" i="3"/>
  <c r="G76" i="1" s="1"/>
  <c r="I256" i="3"/>
  <c r="E256" i="1" s="1"/>
  <c r="I1156" i="3"/>
  <c r="E1156" i="1" s="1"/>
  <c r="I1240" i="3"/>
  <c r="E1240" i="1" s="1"/>
  <c r="J856" i="3"/>
  <c r="G856" i="1" s="1"/>
  <c r="I1072" i="3"/>
  <c r="E1072" i="1" s="1"/>
  <c r="I1108" i="3"/>
  <c r="E1108" i="1" s="1"/>
  <c r="J460" i="3"/>
  <c r="G460" i="1" s="1"/>
  <c r="J988" i="3"/>
  <c r="G988" i="1" s="1"/>
  <c r="I1120" i="3"/>
  <c r="E1120" i="1" s="1"/>
  <c r="I64" i="3"/>
  <c r="E64" i="1" s="1"/>
  <c r="I88" i="3"/>
  <c r="E88" i="1" s="1"/>
  <c r="J148" i="3"/>
  <c r="G148" i="1" s="1"/>
  <c r="J184" i="3"/>
  <c r="G184" i="1" s="1"/>
  <c r="I544" i="3"/>
  <c r="E544" i="1" s="1"/>
  <c r="J172" i="3"/>
  <c r="G172" i="1" s="1"/>
  <c r="I532" i="3"/>
  <c r="E532" i="1" s="1"/>
  <c r="J724" i="3"/>
  <c r="G724" i="1" s="1"/>
  <c r="J796" i="3"/>
  <c r="G796" i="1" s="1"/>
  <c r="I676" i="3"/>
  <c r="E676" i="1" s="1"/>
  <c r="I436" i="3"/>
  <c r="E436" i="1" s="1"/>
  <c r="J244" i="3"/>
  <c r="G244" i="1" s="1"/>
  <c r="J1144" i="3"/>
  <c r="G1144" i="1" s="1"/>
  <c r="I964" i="3"/>
  <c r="E964" i="1" s="1"/>
  <c r="I160" i="3"/>
  <c r="E160" i="1" s="1"/>
  <c r="I808" i="3"/>
  <c r="E808" i="1" s="1"/>
  <c r="J676" i="3"/>
  <c r="G676" i="1" s="1"/>
  <c r="J1000" i="3"/>
  <c r="G1000" i="1" s="1"/>
  <c r="I208" i="3"/>
  <c r="E208" i="1" s="1"/>
  <c r="I628" i="3"/>
  <c r="E628" i="1" s="1"/>
  <c r="I412" i="3"/>
  <c r="E412" i="1" s="1"/>
  <c r="I220" i="3"/>
  <c r="E220" i="1" s="1"/>
  <c r="J220" i="3"/>
  <c r="G220" i="1" s="1"/>
  <c r="J136" i="3"/>
  <c r="G136" i="1" s="1"/>
  <c r="I376" i="3"/>
  <c r="E376" i="1" s="1"/>
  <c r="J4" i="3" l="1"/>
  <c r="G4" i="1" s="1"/>
  <c r="J5" i="3"/>
  <c r="G5" i="1" s="1"/>
  <c r="I4" i="3"/>
  <c r="E4" i="1" s="1"/>
  <c r="I5" i="3"/>
  <c r="E5" i="1" s="1"/>
</calcChain>
</file>

<file path=xl/sharedStrings.xml><?xml version="1.0" encoding="utf-8"?>
<sst xmlns="http://schemas.openxmlformats.org/spreadsheetml/2006/main" count="11590" uniqueCount="209">
  <si>
    <t>Bulan</t>
  </si>
  <si>
    <t>Wilayah</t>
  </si>
  <si>
    <t>PosAnggaran</t>
  </si>
  <si>
    <t>ProgramConsumed</t>
  </si>
  <si>
    <t>RealisasiConsumed</t>
  </si>
  <si>
    <t>ProgramActual</t>
  </si>
  <si>
    <t>RealisasiActual</t>
  </si>
  <si>
    <t>Jan</t>
  </si>
  <si>
    <t>Kantor Pusat</t>
  </si>
  <si>
    <t>Perawatan BMN</t>
  </si>
  <si>
    <t>Feb</t>
  </si>
  <si>
    <t>Mar</t>
  </si>
  <si>
    <t>Apr</t>
  </si>
  <si>
    <t>Mei</t>
  </si>
  <si>
    <t>Jun</t>
  </si>
  <si>
    <t>Jul</t>
  </si>
  <si>
    <t>Agt</t>
  </si>
  <si>
    <t>Sep</t>
  </si>
  <si>
    <t>Okt</t>
  </si>
  <si>
    <t>Nov</t>
  </si>
  <si>
    <t>Des</t>
  </si>
  <si>
    <t>Perawatan KAI</t>
  </si>
  <si>
    <t>BBM Mekanik</t>
  </si>
  <si>
    <t>Peralatan Khusus KAI</t>
  </si>
  <si>
    <t>BUTAP BMN</t>
  </si>
  <si>
    <t>BUTAP KAI</t>
  </si>
  <si>
    <t>LAT IO</t>
  </si>
  <si>
    <t>1 JAK</t>
  </si>
  <si>
    <t>1 JAK (LAA)</t>
  </si>
  <si>
    <t>2 BD</t>
  </si>
  <si>
    <t>3 CN</t>
  </si>
  <si>
    <t>4 SM</t>
  </si>
  <si>
    <t>5 PWT</t>
  </si>
  <si>
    <t>6 YK</t>
  </si>
  <si>
    <t>7 MN</t>
  </si>
  <si>
    <t>8 SB</t>
  </si>
  <si>
    <t>9 JR</t>
  </si>
  <si>
    <t>I SU</t>
  </si>
  <si>
    <t>II PD</t>
  </si>
  <si>
    <t>III PG</t>
  </si>
  <si>
    <t>IV TNK</t>
  </si>
  <si>
    <t/>
  </si>
  <si>
    <t>Row Labels</t>
  </si>
  <si>
    <t>Grand Total</t>
  </si>
  <si>
    <t>Consumed</t>
  </si>
  <si>
    <t>Actual</t>
  </si>
  <si>
    <t>Sum of Selisih</t>
  </si>
  <si>
    <t>RKAO Disetujui</t>
  </si>
  <si>
    <t>Selisih (RKAO - Actual)</t>
  </si>
  <si>
    <t>Kum Consumed</t>
  </si>
  <si>
    <t>Kum Actual</t>
  </si>
  <si>
    <t>Funds Center/Commitment Item</t>
  </si>
  <si>
    <t>RKAP</t>
  </si>
  <si>
    <t>Release</t>
  </si>
  <si>
    <t>Comitment</t>
  </si>
  <si>
    <t>Available</t>
  </si>
  <si>
    <t>NotRelease</t>
  </si>
  <si>
    <t>Daerah</t>
  </si>
  <si>
    <t>Jenis</t>
  </si>
  <si>
    <t>1182000000 Persediaan Prasarana Perkeretaapian dan Umum</t>
  </si>
  <si>
    <t>KP</t>
  </si>
  <si>
    <t>4211000000 Perawatan Bangunan Lainnya KAI</t>
  </si>
  <si>
    <t>4221421010 Peralatan Dalam Sinyal Elektrik BMN</t>
  </si>
  <si>
    <t>4221422010 Peralatan Luar Sinyal Elektrik BMN</t>
  </si>
  <si>
    <t>4221425010 Pengamanan Perlintasan Sebidang BMN</t>
  </si>
  <si>
    <t>4221426010 Pesawat Telepon BMN</t>
  </si>
  <si>
    <t>4221427010 Transmisi Komunikasi BMN</t>
  </si>
  <si>
    <t>4221428010 Peralatan Pendukung Sintel BMN</t>
  </si>
  <si>
    <t>4221429011 Beban Pemakaian Alat Kerja pendukung perawatan BMN</t>
  </si>
  <si>
    <t>4221521010 Catu Daya LAA BMN</t>
  </si>
  <si>
    <t>4221522010 Tranmisi Tenaga LAA BMN</t>
  </si>
  <si>
    <t>4221570010 Alat Kerja LAA BMN</t>
  </si>
  <si>
    <t>4222521010 Catu Daya LAA KAI</t>
  </si>
  <si>
    <t>4222600000 Peralatan Khusus Prasarana KAI</t>
  </si>
  <si>
    <t>4231110000 Rapat&amp;Akomodasi BbnUmum Prwtn Prasarana Pemerintah</t>
  </si>
  <si>
    <t>4231140000 Komunikasi Radio &amp; Telekomunikasi</t>
  </si>
  <si>
    <t>4233100000 Rapat&amp;Akomodasi Beban Umum Perawatan Prasarana KAI</t>
  </si>
  <si>
    <t>4233150010 Kerumahtanggaan Beban Umum Perawatan Prasarana KAI</t>
  </si>
  <si>
    <t>4233151710 Kerumahtanggaan UMDT Beban Umum Perawatan Pras KAI</t>
  </si>
  <si>
    <t>4233160010 Inventaris Beban Umum Perawatan Prasarana KAI</t>
  </si>
  <si>
    <t>4233180010 Beban Umum Pengiriman Prasarana KAI</t>
  </si>
  <si>
    <t>4233200000 Perjalanan Dinas BebanUmum Perawatan Prasarana KAI</t>
  </si>
  <si>
    <t>4233400000 ATK Beban Umum Perawatan Prasarana KAI</t>
  </si>
  <si>
    <t>4272100010 Gaji &amp;Tunjangan PegawaiPerawatan Prasarana Unit JJ</t>
  </si>
  <si>
    <t>-</t>
  </si>
  <si>
    <t>4272200010 Iuran Pensiun Pegawai Perawatan Prasarana Unit JJ/</t>
  </si>
  <si>
    <t>4272400000 Lembur dan Perangsang Peg PrwtnPrsrna unit JJ/Sntl</t>
  </si>
  <si>
    <t>4272500000 PakaianDinas PegPrwtn PrasaranaUnit JJ/sntl/BY Pra</t>
  </si>
  <si>
    <t>4273100010 Gaji &amp;Tunjangan Pegawai Renwas JJ/Sintel LAA</t>
  </si>
  <si>
    <t>4273200010 Iuran Pensiun Pegawai Renwas JJ/Sintel LAA</t>
  </si>
  <si>
    <t>4273400000 Lembur dan Perangsang Pegawai Renwas JJ/Sintel LAA</t>
  </si>
  <si>
    <t>4273500000 Pakaian Dinas Pegawai Renwas JJ/Sintel LAA</t>
  </si>
  <si>
    <t>5110000010 Gaji &amp;Tunjangan Pegawai Umum &amp; Administrasi</t>
  </si>
  <si>
    <t>5319000000 Pendidikan</t>
  </si>
  <si>
    <t>5325480000 Teknologi Informasi</t>
  </si>
  <si>
    <t>5400000000 Penyusutan AT Lainnya (Fasilitas Umum)</t>
  </si>
  <si>
    <t>10025000 Signalling, Telecomm &amp; Electricity</t>
  </si>
  <si>
    <t>1 Jak STL</t>
  </si>
  <si>
    <t>4123210010 Gaji &amp;Tunjangan Pegawai Perawatan Sarana</t>
  </si>
  <si>
    <t>4123240000 Lembur dan Perangsang Pegawai Perawatan Sarana</t>
  </si>
  <si>
    <t>4123250000 Pakaian Dinas Pegawai Perawatan Sarana</t>
  </si>
  <si>
    <t>4221423010 Peralatan Dalam Sinyal Mekanik BMN</t>
  </si>
  <si>
    <t>4221424010 Peralatan Luar Sinyal Mekanik BMN</t>
  </si>
  <si>
    <t>4221428011 Bangunan Sintel BMN</t>
  </si>
  <si>
    <t>4221428012 Sistem Proteksi Sintel BMN</t>
  </si>
  <si>
    <t>4221428013 Tanda Semboyan Marka Sintel BMN</t>
  </si>
  <si>
    <t>4221428014 Catu Daya Sintel BMN</t>
  </si>
  <si>
    <t>4222422110 Peralatan Pendukung Sintel KAI</t>
  </si>
  <si>
    <t>4222423110 Bangunan Sintel KAI</t>
  </si>
  <si>
    <t>4222428010 Pesawat Telepon KAI</t>
  </si>
  <si>
    <t>4222470010 Alat Kerja Sintel KAI</t>
  </si>
  <si>
    <t>4222800000 Beban BBM Mekanik Prasarana</t>
  </si>
  <si>
    <t>4232130000 LAT Beban Umum Pengoperasian Prasarana (IO)</t>
  </si>
  <si>
    <t>4242000000 Beban Penyusutan AT Bangunan Kantor</t>
  </si>
  <si>
    <t>5140000000 Lembur dan Perangsang Pegawai Umum &amp; Administrasi</t>
  </si>
  <si>
    <t>21022000 Sintelis</t>
  </si>
  <si>
    <t>1 Jak LAA</t>
  </si>
  <si>
    <t>4123110010 Gaji &amp;Tunjangan Pegawai Operasi Sarana</t>
  </si>
  <si>
    <t>4221523010 Pengendalian Catu Daya LAA BMN</t>
  </si>
  <si>
    <t>4221524010 Tanda Semboyan LAA BMN</t>
  </si>
  <si>
    <t>4221525010 Bangunan LAA BMN</t>
  </si>
  <si>
    <t>4221526010 Sistim Proteksi LAA BMN</t>
  </si>
  <si>
    <t>4221527010 Pendukung LAA BMN</t>
  </si>
  <si>
    <t>4222522010 Tranmisi Tenaga LAA KAI</t>
  </si>
  <si>
    <t>4222525010 Bangunan LAA KAI</t>
  </si>
  <si>
    <t>4222526010 Sistim Proteksi LAA KAI</t>
  </si>
  <si>
    <t>4222527010 Pendukung LAA KAI</t>
  </si>
  <si>
    <t>4222528010 Alat Kerja pendukung perawatan KAI</t>
  </si>
  <si>
    <t>4241000000 Beban Penyusutan AT Prasarana Perkeretaapian</t>
  </si>
  <si>
    <t>4271400000 Lembur dan Perangsang Pegawai Operasi Prasarana</t>
  </si>
  <si>
    <t>21023000 Listrik Aliran Atas</t>
  </si>
  <si>
    <t>2 Bd</t>
  </si>
  <si>
    <t>22022000 Sintelis</t>
  </si>
  <si>
    <t>3 Cn</t>
  </si>
  <si>
    <t>4222424010 Peralatan Luar Sinyal Elektrik KAI</t>
  </si>
  <si>
    <t>23022000 Sintelis</t>
  </si>
  <si>
    <t>4 Sm</t>
  </si>
  <si>
    <t>4233300000 LAT Beban Umum Perawatan Prasarana KAI</t>
  </si>
  <si>
    <t>24022000 Sintelis</t>
  </si>
  <si>
    <t>5 Pwt</t>
  </si>
  <si>
    <t>25022000 Sintelis</t>
  </si>
  <si>
    <t>6 Yk</t>
  </si>
  <si>
    <t>26022000 Sintelis</t>
  </si>
  <si>
    <t>7 Mn</t>
  </si>
  <si>
    <t>27022000 Sintelis</t>
  </si>
  <si>
    <t>8 Sb</t>
  </si>
  <si>
    <t>28022000 Sintelis</t>
  </si>
  <si>
    <t>9 Jr</t>
  </si>
  <si>
    <t>29022000 Sintelis</t>
  </si>
  <si>
    <t>I Su</t>
  </si>
  <si>
    <t>31022000 Sintelis</t>
  </si>
  <si>
    <t>II Pd</t>
  </si>
  <si>
    <t>4112222200 Bbn Penystn Srana Perkeretaapian Fasilitas Dipo-By</t>
  </si>
  <si>
    <t>4221221100 Perawatan Rel BMN</t>
  </si>
  <si>
    <t>4221222200 Perawatan Wesel BMN</t>
  </si>
  <si>
    <t>4221223300 Bbn Jasa Penambahan Balas BMN</t>
  </si>
  <si>
    <t>4221224400 Pemasangan Bantalan BMN</t>
  </si>
  <si>
    <t>4221225500 Perawatan Balas BMN</t>
  </si>
  <si>
    <t>4221226000 Pemecokan BMN</t>
  </si>
  <si>
    <t>4221226006 Perlintasan BMN</t>
  </si>
  <si>
    <t>4221226008 Geometri BMN</t>
  </si>
  <si>
    <t>4221226010 Perbaikan Periodik BMN</t>
  </si>
  <si>
    <t>4221321010 Perawatan Baja Jembatan Kelas 1 BMN</t>
  </si>
  <si>
    <t>4221322010 Perawatan Cat Jembatan Kelas 1 BMN</t>
  </si>
  <si>
    <t>4221323010 Perawatan Batu Jembatan Kelas 1 BMN</t>
  </si>
  <si>
    <t>4221325010 Perawatan Cat Jembatan Kelas 2 BMN</t>
  </si>
  <si>
    <t>4221325013 Perawatan Batu Jembatan Kelas 3 BMN</t>
  </si>
  <si>
    <t>4221325014 Perawatan Beton Jembatan Kelas 3 BMN</t>
  </si>
  <si>
    <t>4221600000 Peralatan Khusus Prasarana Pemerintah</t>
  </si>
  <si>
    <t>Peralatan Khusus BMN</t>
  </si>
  <si>
    <t>4222222200 Perawatan Wesel KAI</t>
  </si>
  <si>
    <t>4231120000 PerjlDinas BebanUmum PerawatanPrasarana Pemerintah</t>
  </si>
  <si>
    <t>4231130000 LAT Beban Umum Perawatan Prasarana Pemerintah</t>
  </si>
  <si>
    <t>4231150010 Krt Beban Umum Perawatan Prasarana Pemerintah</t>
  </si>
  <si>
    <t>4231151710 Kerumahtanggaan UMDT Beban Umum Perawatan Pras BMN</t>
  </si>
  <si>
    <t>4232152310 Tenaga PJL Alih Daya</t>
  </si>
  <si>
    <t>4271100010 Gaji &amp;Tunjangan Pegawai Operasi Prasarana</t>
  </si>
  <si>
    <t>4271500000 Pakaian Dinas Pegawai Operasi Prasarana</t>
  </si>
  <si>
    <t>32020100 Prasarana</t>
  </si>
  <si>
    <t>III Pg</t>
  </si>
  <si>
    <t>4222421110 Transmisi Komunikasi KAI</t>
  </si>
  <si>
    <t>4222423010 Peralatan Dalam Sinyal Elektrik KAI</t>
  </si>
  <si>
    <t>4222424110 Sistem Proteksi Sintel KAI</t>
  </si>
  <si>
    <t>4222425010 Peralatan Dalam Sinyal Mekanik KAI</t>
  </si>
  <si>
    <t>4222425110 Tanda Semboyan Marka Sintel KAI</t>
  </si>
  <si>
    <t>4222426010 Peralatan Luar Sinyal Mekanik KAI</t>
  </si>
  <si>
    <t>4222426110 Catu Daya Sintel KAI</t>
  </si>
  <si>
    <t>4222427010 Pengamanan Perlintasan Sebidang KAI</t>
  </si>
  <si>
    <t>34022000 Sintelis Divre III Palembang</t>
  </si>
  <si>
    <t>IV Tnk</t>
  </si>
  <si>
    <t>35022000 Sintelis Divre IV Tanjungkarang</t>
  </si>
  <si>
    <t>Sum of Consumed</t>
  </si>
  <si>
    <t>Sum of Actual</t>
  </si>
  <si>
    <t>TOTAL STE</t>
  </si>
  <si>
    <t>RKAP SAP</t>
  </si>
  <si>
    <t>Release SAP</t>
  </si>
  <si>
    <t>% Release</t>
  </si>
  <si>
    <t>Consume SAP</t>
  </si>
  <si>
    <t>% Consume</t>
  </si>
  <si>
    <t>Actual SAP</t>
  </si>
  <si>
    <t>% Actual</t>
  </si>
  <si>
    <t>Available SAP</t>
  </si>
  <si>
    <t>TOTAL</t>
  </si>
  <si>
    <t>Consume</t>
  </si>
  <si>
    <t>1 Jak (LAA)</t>
  </si>
  <si>
    <t>1 Jak</t>
  </si>
  <si>
    <t>4231140010 ATK Beban Umum Perawatan Prasarana Pemerintah</t>
  </si>
  <si>
    <t>4231160010 Inventaris BebanUmum PerawatanPrasarana Pemerintah</t>
  </si>
  <si>
    <t>4231180010 Pengiriman Prasarana BMN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</si>
</sst>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</font>
    <font>
      <sz val="9"/>
      <color theme="1"/>
      <name val="Calibri"/>
    </font>
    <font>
      <b/>
      <sz val="9"/>
      <color theme="1"/>
      <name val="Calibri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  <font>
      <sz val="9"/>
      <color rgb="FFFFFFFF"/>
      <name val="Calibri"/>
      <family val="2"/>
    </font>
    <font>
      <b/>
      <sz val="9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B7E1C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1" fontId="1" fillId="2" borderId="0" xfId="1" applyNumberFormat="1" applyFont="1" applyFill="1"/>
    <xf numFmtId="0" fontId="0" fillId="2" borderId="0" xfId="0" applyFill="1"/>
    <xf numFmtId="1" fontId="0" fillId="2" borderId="0" xfId="1" applyNumberFormat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1" applyNumberFormat="1" applyFont="1"/>
    <xf numFmtId="164" fontId="0" fillId="0" borderId="0" xfId="0" applyNumberFormat="1"/>
    <xf numFmtId="164" fontId="3" fillId="0" borderId="1" xfId="0" applyNumberFormat="1" applyFont="1" applyBorder="1"/>
    <xf numFmtId="164" fontId="3" fillId="0" borderId="2" xfId="0" applyNumberFormat="1" applyFont="1" applyBorder="1"/>
    <xf numFmtId="164" fontId="0" fillId="0" borderId="0" xfId="0" applyNumberFormat="1" applyBorder="1"/>
    <xf numFmtId="164" fontId="3" fillId="4" borderId="2" xfId="0" applyNumberFormat="1" applyFont="1" applyFill="1" applyBorder="1"/>
    <xf numFmtId="0" fontId="0" fillId="0" borderId="0" xfId="0" pivotButton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right" vertical="center" wrapText="1"/>
    </xf>
    <xf numFmtId="164" fontId="0" fillId="0" borderId="0" xfId="1" applyNumberFormat="1" applyFont="1" applyFill="1"/>
    <xf numFmtId="164" fontId="0" fillId="0" borderId="0" xfId="0" applyNumberFormat="1" applyFill="1" applyAlignment="1">
      <alignment horizontal="right" vertical="center" wrapText="1"/>
    </xf>
    <xf numFmtId="164" fontId="0" fillId="0" borderId="0" xfId="0" applyNumberFormat="1" applyFill="1"/>
    <xf numFmtId="0" fontId="0" fillId="0" borderId="0" xfId="0" applyFill="1"/>
    <xf numFmtId="1" fontId="1" fillId="3" borderId="0" xfId="1" applyNumberFormat="1" applyFont="1" applyFill="1"/>
    <xf numFmtId="0" fontId="0" fillId="0" borderId="0" xfId="0" applyAlignment="1">
      <alignment horizontal="right"/>
    </xf>
    <xf numFmtId="0" fontId="0" fillId="3" borderId="0" xfId="0" applyFill="1"/>
    <xf numFmtId="1" fontId="0" fillId="3" borderId="0" xfId="1" applyNumberFormat="1" applyFont="1" applyFill="1"/>
    <xf numFmtId="1" fontId="0" fillId="0" borderId="0" xfId="0" applyNumberFormat="1" applyAlignment="1">
      <alignment horizontal="right"/>
    </xf>
    <xf numFmtId="0" fontId="0" fillId="0" borderId="0" xfId="0" applyFill="1" applyAlignment="1">
      <alignment horizontal="left" indent="1"/>
    </xf>
    <xf numFmtId="0" fontId="4" fillId="3" borderId="0" xfId="0" applyFont="1" applyFill="1"/>
    <xf numFmtId="1" fontId="4" fillId="3" borderId="0" xfId="1" applyNumberFormat="1" applyFont="1" applyFill="1"/>
    <xf numFmtId="1" fontId="0" fillId="2" borderId="0" xfId="0" applyNumberFormat="1" applyFill="1"/>
    <xf numFmtId="0" fontId="5" fillId="0" borderId="0" xfId="2"/>
    <xf numFmtId="0" fontId="6" fillId="0" borderId="0" xfId="2" applyFont="1"/>
    <xf numFmtId="0" fontId="6" fillId="0" borderId="0" xfId="2" applyFont="1" applyAlignment="1">
      <alignment horizontal="right"/>
    </xf>
    <xf numFmtId="164" fontId="6" fillId="0" borderId="0" xfId="3" applyNumberFormat="1" applyFont="1" applyAlignment="1">
      <alignment horizontal="right"/>
    </xf>
    <xf numFmtId="0" fontId="7" fillId="0" borderId="0" xfId="2" applyFont="1" applyAlignment="1">
      <alignment vertical="center"/>
    </xf>
    <xf numFmtId="3" fontId="7" fillId="0" borderId="0" xfId="2" applyNumberFormat="1" applyFont="1" applyAlignment="1">
      <alignment vertical="center"/>
    </xf>
    <xf numFmtId="10" fontId="7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9" fillId="0" borderId="0" xfId="0" pivotButton="1" applyFont="1"/>
    <xf numFmtId="164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indent="1"/>
    </xf>
    <xf numFmtId="0" fontId="10" fillId="0" borderId="0" xfId="0" applyFont="1" applyAlignment="1">
      <alignment vertical="center" wrapText="1"/>
    </xf>
    <xf numFmtId="3" fontId="10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vertical="center" wrapText="1"/>
    </xf>
    <xf numFmtId="3" fontId="10" fillId="6" borderId="0" xfId="0" applyNumberFormat="1" applyFont="1" applyFill="1" applyAlignment="1">
      <alignment horizontal="right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3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vertical="center" wrapText="1"/>
    </xf>
    <xf numFmtId="10" fontId="10" fillId="0" borderId="0" xfId="0" applyNumberFormat="1" applyFont="1" applyAlignment="1">
      <alignment horizontal="center" vertical="center" wrapText="1"/>
    </xf>
    <xf numFmtId="0" fontId="13" fillId="8" borderId="0" xfId="0" applyFont="1" applyFill="1" applyAlignment="1">
      <alignment vertical="center" wrapText="1"/>
    </xf>
    <xf numFmtId="3" fontId="13" fillId="8" borderId="0" xfId="0" applyNumberFormat="1" applyFont="1" applyFill="1" applyAlignment="1">
      <alignment horizontal="right" vertical="center" wrapText="1"/>
    </xf>
    <xf numFmtId="10" fontId="13" fillId="8" borderId="0" xfId="0" applyNumberFormat="1" applyFont="1" applyFill="1" applyAlignment="1">
      <alignment horizontal="center" vertical="center" wrapText="1"/>
    </xf>
    <xf numFmtId="0" fontId="12" fillId="10" borderId="0" xfId="0" applyFont="1" applyFill="1" applyAlignment="1">
      <alignment vertical="center"/>
    </xf>
    <xf numFmtId="0" fontId="11" fillId="10" borderId="0" xfId="0" applyFont="1" applyFill="1" applyAlignment="1">
      <alignment vertical="center" wrapText="1"/>
    </xf>
    <xf numFmtId="0" fontId="13" fillId="11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vertical="center" wrapText="1"/>
    </xf>
    <xf numFmtId="3" fontId="13" fillId="11" borderId="0" xfId="0" applyNumberFormat="1" applyFont="1" applyFill="1" applyAlignment="1">
      <alignment horizontal="right" vertical="center" wrapText="1"/>
    </xf>
    <xf numFmtId="10" fontId="13" fillId="11" borderId="0" xfId="0" applyNumberFormat="1" applyFont="1" applyFill="1" applyAlignment="1">
      <alignment horizontal="center" vertical="center" wrapText="1"/>
    </xf>
    <xf numFmtId="0" fontId="12" fillId="10" borderId="0" xfId="0" applyFont="1" applyFill="1" applyAlignment="1">
      <alignment vertical="center" wrapText="1"/>
    </xf>
    <xf numFmtId="0" fontId="13" fillId="11" borderId="0" xfId="0" applyFont="1" applyFill="1" applyAlignment="1">
      <alignment horizontal="right" vertical="center" wrapText="1"/>
    </xf>
    <xf numFmtId="0" fontId="11" fillId="11" borderId="0" xfId="0" applyFont="1" applyFill="1" applyAlignment="1">
      <alignment vertical="center" wrapText="1"/>
    </xf>
    <xf numFmtId="0" fontId="6" fillId="0" borderId="0" xfId="2" applyFont="1" applyAlignment="1">
      <alignment horizontal="center"/>
    </xf>
    <xf numFmtId="1" fontId="1" fillId="2" borderId="0" xfId="1" applyNumberFormat="1" applyFont="1" applyFill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 applyAlignment="1">
      <alignment horizontal="right" vertical="center" wrapText="1"/>
    </xf>
  </cellXfs>
  <cellStyles count="4">
    <cellStyle name="Comma" xfId="1" builtinId="3"/>
    <cellStyle name="Comma 2" xfId="3" xr:uid="{7F1CFFA7-593C-467A-B0AC-ECE3FED82773}"/>
    <cellStyle name="Normal" xfId="0" builtinId="0"/>
    <cellStyle name="Normal 2" xfId="2" xr:uid="{FDDDF9A2-C1ED-46D0-8F8D-E5F02167E370}"/>
  </cellStyles>
  <dxfs count="400">
    <dxf>
      <alignment horizontal="right"/>
    </dxf>
    <dxf>
      <numFmt numFmtId="164" formatCode="_-* #,##0_-;\-* #,##0_-;_-* &quot;-&quot;??_-;_-@_-"/>
    </dxf>
    <dxf>
      <numFmt numFmtId="164" formatCode="_-* #,##0_-;\-* #,##0_-;_-* &quot;-&quot;??_-;_-@_-"/>
    </dxf>
    <dxf>
      <alignment horizontal="right"/>
    </dxf>
    <dxf>
      <alignment vertical="center"/>
    </dxf>
    <dxf>
      <alignment vertical="center"/>
    </dxf>
    <dxf>
      <alignment wrapText="1"/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* #,##0_-;\-* #,##0_-;_-* &quot;-&quot;??_-;_-@_-"/>
      <alignment horizontal="right" vertical="center" wrapText="1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right"/>
    </dxf>
    <dxf>
      <alignment horizontal="right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right"/>
    </dxf>
    <dxf>
      <alignment horizontal="right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  <alignment horizontal="right" vertical="center"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right"/>
    </dxf>
    <dxf>
      <numFmt numFmtId="164" formatCode="_-* #,##0_-;\-* #,##0_-;_-* &quot;-&quot;??_-;_-@_-"/>
    </dxf>
    <dxf>
      <numFmt numFmtId="164" formatCode="_-* #,##0_-;\-* #,##0_-;_-* &quot;-&quot;??_-;_-@_-"/>
    </dxf>
    <dxf>
      <alignment horizontal="righ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1.416827546294" createdVersion="7" refreshedVersion="7" minRefreshableVersion="3" recordCount="550" xr:uid="{06C424F9-67B7-4C4A-BCB0-C072DE5D604B}">
  <cacheSource type="worksheet">
    <worksheetSource ref="A1:J1048576" sheet="ZFM01"/>
  </cacheSource>
  <cacheFields count="10">
    <cacheField name="Funds Center/Commitment Item" numFmtId="0">
      <sharedItems containsBlank="1"/>
    </cacheField>
    <cacheField name="RKAP" numFmtId="0">
      <sharedItems containsString="0" containsBlank="1" containsNumber="1" containsInteger="1" minValue="0" maxValue="362606000000"/>
    </cacheField>
    <cacheField name="Release" numFmtId="0">
      <sharedItems containsString="0" containsBlank="1" containsNumber="1" containsInteger="1" minValue="0" maxValue="360188000000"/>
    </cacheField>
    <cacheField name="Comitment" numFmtId="0">
      <sharedItems containsString="0" containsBlank="1" containsNumber="1" containsInteger="1" minValue="0" maxValue="241340000000"/>
    </cacheField>
    <cacheField name="Actual" numFmtId="0">
      <sharedItems containsString="0" containsBlank="1" containsNumber="1" containsInteger="1" minValue="-10748637" maxValue="56192569755"/>
    </cacheField>
    <cacheField name="Consumed" numFmtId="0">
      <sharedItems containsString="0" containsBlank="1" containsNumber="1" containsInteger="1" minValue="-10748637" maxValue="297533000000"/>
    </cacheField>
    <cacheField name="Available" numFmtId="0">
      <sharedItems containsString="0" containsBlank="1" containsNumber="1" containsInteger="1" minValue="-410815330" maxValue="76927561010"/>
    </cacheField>
    <cacheField name="NotRelease" numFmtId="0">
      <sharedItems containsString="0" containsBlank="1" containsNumber="1" containsInteger="1" minValue="0" maxValue="2417500000"/>
    </cacheField>
    <cacheField name="Daerah" numFmtId="0">
      <sharedItems containsBlank="1" count="16">
        <s v="KP"/>
        <s v="1 Jak STL"/>
        <s v="1 Jak LAA"/>
        <s v="2 Bd"/>
        <s v="3 Cn"/>
        <s v="4 Sm"/>
        <s v="5 Pwt"/>
        <s v="6 Yk"/>
        <s v="7 Mn"/>
        <s v="8 Sb"/>
        <s v="9 Jr"/>
        <s v="I Su"/>
        <s v="II Pd"/>
        <s v="III Pg"/>
        <s v="IV Tnk"/>
        <m/>
      </sharedItems>
    </cacheField>
    <cacheField name="Jenis" numFmtId="0">
      <sharedItems containsBlank="1" count="11">
        <s v="Perawatan BMN"/>
        <s v="BUTAP KAI"/>
        <s v="Perawatan KAI"/>
        <s v="Peralatan Khusus KAI"/>
        <s v="BUTAP BMN"/>
        <s v="LAT IO"/>
        <s v="-"/>
        <e v="#N/A"/>
        <s v="BBM Mekanik"/>
        <s v="Peralatan Khusus BM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1.41702789352" createdVersion="7" refreshedVersion="7" minRefreshableVersion="3" recordCount="1261" xr:uid="{02376FC1-714A-43A0-9456-433A0D0D95F3}">
  <cacheSource type="worksheet">
    <worksheetSource ref="A1:G1048576" sheet="Monitoring RKA 2026"/>
  </cacheSource>
  <cacheFields count="8">
    <cacheField name="Bulan" numFmtId="0">
      <sharedItems containsBlank="1"/>
    </cacheField>
    <cacheField name="Wilayah" numFmtId="0">
      <sharedItems containsBlank="1" count="16">
        <s v="Kantor Pusat"/>
        <s v="1 JAK"/>
        <s v="1 JAK (LAA)"/>
        <s v="2 BD"/>
        <s v="3 CN"/>
        <s v="4 SM"/>
        <s v="5 PWT"/>
        <s v="6 YK"/>
        <s v="7 MN"/>
        <s v="8 SB"/>
        <s v="9 JR"/>
        <s v="I SU"/>
        <s v="II PD"/>
        <s v="III PG"/>
        <s v="IV TNK"/>
        <m/>
      </sharedItems>
    </cacheField>
    <cacheField name="PosAnggaran" numFmtId="0">
      <sharedItems containsBlank="1" count="8">
        <s v="Perawatan BMN"/>
        <s v="Perawatan KAI"/>
        <s v="BBM Mekanik"/>
        <s v="Peralatan Khusus KAI"/>
        <s v="BUTAP BMN"/>
        <s v="BUTAP KAI"/>
        <s v="LAT IO"/>
        <m/>
      </sharedItems>
    </cacheField>
    <cacheField name="ProgramConsumed" numFmtId="1">
      <sharedItems containsString="0" containsBlank="1" containsNumber="1" minValue="0" maxValue="227166881580"/>
    </cacheField>
    <cacheField name="RealisasiConsumed" numFmtId="1">
      <sharedItems containsBlank="1" containsMixedTypes="1" containsNumber="1" containsInteger="1" minValue="-2392957906" maxValue="144879653762"/>
    </cacheField>
    <cacheField name="ProgramActual" numFmtId="1">
      <sharedItems containsString="0" containsBlank="1" containsNumber="1" minValue="0" maxValue="108871425778"/>
    </cacheField>
    <cacheField name="RealisasiActual" numFmtId="1">
      <sharedItems containsBlank="1" containsMixedTypes="1" containsNumber="1" containsInteger="1" minValue="0" maxValue="48109844280"/>
    </cacheField>
    <cacheField name="Selisih" numFmtId="0" formula="ProgramActual-ProgramConsume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1182000000 Persediaan Prasarana Perkeretaapian dan Umum"/>
    <n v="92766189536"/>
    <n v="92766189536"/>
    <n v="85954753160"/>
    <n v="46437298"/>
    <n v="86001190458"/>
    <n v="6764999078"/>
    <n v="0"/>
    <x v="0"/>
    <x v="0"/>
  </r>
  <r>
    <s v="4211000000 Perawatan Bangunan Lainnya KAI"/>
    <n v="0"/>
    <n v="0"/>
    <n v="0"/>
    <n v="0"/>
    <n v="0"/>
    <n v="0"/>
    <n v="0"/>
    <x v="0"/>
    <x v="1"/>
  </r>
  <r>
    <s v="4221421010 Peralatan Dalam Sinyal Elektrik BMN"/>
    <n v="57855713800"/>
    <n v="57855713800"/>
    <n v="52055713800"/>
    <n v="5400000000"/>
    <n v="57455713800"/>
    <n v="400000000"/>
    <n v="0"/>
    <x v="0"/>
    <x v="0"/>
  </r>
  <r>
    <s v="4221422010 Peralatan Luar Sinyal Elektrik BMN"/>
    <n v="32816341758"/>
    <n v="32816341758"/>
    <n v="2662482200"/>
    <n v="28199383820"/>
    <n v="30861866020"/>
    <n v="1954475738"/>
    <n v="0"/>
    <x v="0"/>
    <x v="0"/>
  </r>
  <r>
    <s v="4221423010 Peralatan Dalam Sinyal Mekanik BMN"/>
    <n v="2001312000"/>
    <n v="2001312000"/>
    <n v="2001312000"/>
    <n v="0"/>
    <n v="2001312000"/>
    <n v="0"/>
    <n v="0"/>
    <x v="0"/>
    <x v="0"/>
  </r>
  <r>
    <s v="4221425010 Pengamanan Perlintasan Sebidang BMN"/>
    <n v="17448622000"/>
    <n v="17448622000"/>
    <n v="17448621050"/>
    <n v="0"/>
    <n v="17448621050"/>
    <n v="950"/>
    <n v="0"/>
    <x v="0"/>
    <x v="0"/>
  </r>
  <r>
    <s v="4221426010 Pesawat Telepon BMN"/>
    <n v="3947046000"/>
    <n v="3947046000"/>
    <n v="3129065362"/>
    <n v="0"/>
    <n v="3129065362"/>
    <n v="817980638"/>
    <n v="0"/>
    <x v="0"/>
    <x v="0"/>
  </r>
  <r>
    <s v="4221427010 Transmisi Komunikasi BMN"/>
    <n v="63547356665"/>
    <n v="63547356665"/>
    <n v="54626167394"/>
    <n v="8154071362"/>
    <n v="62780238756"/>
    <n v="767117909"/>
    <n v="0"/>
    <x v="0"/>
    <x v="0"/>
  </r>
  <r>
    <s v="4221428010 Peralatan Pendukung Sintel BMN"/>
    <n v="1577077000"/>
    <n v="1577077000"/>
    <n v="67563765"/>
    <n v="0"/>
    <n v="67563765"/>
    <n v="1509513235"/>
    <n v="0"/>
    <x v="0"/>
    <x v="0"/>
  </r>
  <r>
    <s v="4221429011 Beban Pemakaian Alat Kerja pendukung perawatan BMN"/>
    <n v="1010789797"/>
    <n v="1010789797"/>
    <n v="0"/>
    <n v="0"/>
    <n v="0"/>
    <n v="1010789797"/>
    <n v="0"/>
    <x v="0"/>
    <x v="0"/>
  </r>
  <r>
    <s v="4221521010 Catu Daya LAA BMN"/>
    <n v="26083685696"/>
    <n v="26083685696"/>
    <n v="13509377389"/>
    <n v="6309951800"/>
    <n v="19819329189"/>
    <n v="6264356507"/>
    <n v="0"/>
    <x v="0"/>
    <x v="0"/>
  </r>
  <r>
    <s v="4221522010 Tranmisi Tenaga LAA BMN"/>
    <n v="11951319669"/>
    <n v="11951319669"/>
    <n v="9730852838"/>
    <n v="0"/>
    <n v="9730852838"/>
    <n v="2220466831"/>
    <n v="0"/>
    <x v="0"/>
    <x v="0"/>
  </r>
  <r>
    <s v="4221570010 Alat Kerja LAA BMN"/>
    <n v="4308413000"/>
    <n v="4308413000"/>
    <n v="0"/>
    <n v="0"/>
    <n v="0"/>
    <n v="4308413000"/>
    <n v="0"/>
    <x v="0"/>
    <x v="0"/>
  </r>
  <r>
    <s v="4222521010 Catu Daya LAA KAI"/>
    <n v="0"/>
    <n v="0"/>
    <n v="0"/>
    <n v="0"/>
    <n v="0"/>
    <n v="0"/>
    <n v="0"/>
    <x v="0"/>
    <x v="2"/>
  </r>
  <r>
    <s v="4222600000 Peralatan Khusus Prasarana KAI"/>
    <n v="1600000000"/>
    <n v="1200000000"/>
    <n v="42457000"/>
    <n v="0"/>
    <n v="42457000"/>
    <n v="1157543000"/>
    <n v="400000000"/>
    <x v="0"/>
    <x v="3"/>
  </r>
  <r>
    <s v="4231110000 Rapat&amp;Akomodasi BbnUmum Prwtn Prasarana Pemerintah"/>
    <n v="492289000"/>
    <n v="367289000"/>
    <n v="20986164"/>
    <n v="0"/>
    <n v="20986164"/>
    <n v="346302836"/>
    <n v="125000000"/>
    <x v="0"/>
    <x v="4"/>
  </r>
  <r>
    <s v="4231140000 Komunikasi Radio &amp; Telekomunikasi"/>
    <n v="4500000000"/>
    <n v="4500000000"/>
    <n v="0"/>
    <n v="967917605"/>
    <n v="967917605"/>
    <n v="3532082395"/>
    <n v="0"/>
    <x v="0"/>
    <x v="5"/>
  </r>
  <r>
    <s v="4233100000 Rapat&amp;Akomodasi Beban Umum Perawatan Prasarana KAI"/>
    <n v="1493730000"/>
    <n v="1118730000"/>
    <n v="1948000"/>
    <n v="0"/>
    <n v="1948000"/>
    <n v="1116782000"/>
    <n v="375000000"/>
    <x v="0"/>
    <x v="1"/>
  </r>
  <r>
    <s v="4233150010 Kerumahtanggaan Beban Umum Perawatan Prasarana KAI"/>
    <n v="744010000"/>
    <n v="551510000"/>
    <n v="23486714"/>
    <n v="28810450"/>
    <n v="52297164"/>
    <n v="499212836"/>
    <n v="192500000"/>
    <x v="0"/>
    <x v="1"/>
  </r>
  <r>
    <s v="4233151710 Kerumahtanggaan UMDT Beban Umum Perawatan Pras KAI"/>
    <n v="156000000"/>
    <n v="156000000"/>
    <n v="0"/>
    <n v="26000000"/>
    <n v="26000000"/>
    <n v="130000000"/>
    <n v="0"/>
    <x v="0"/>
    <x v="1"/>
  </r>
  <r>
    <s v="4233160010 Inventaris Beban Umum Perawatan Prasarana KAI"/>
    <n v="500000000"/>
    <n v="375000000"/>
    <n v="0"/>
    <n v="0"/>
    <n v="0"/>
    <n v="375000000"/>
    <n v="125000000"/>
    <x v="0"/>
    <x v="1"/>
  </r>
  <r>
    <s v="4233180010 Beban Umum Pengiriman Prasarana KAI"/>
    <n v="800000000"/>
    <n v="600000000"/>
    <n v="56042500"/>
    <n v="49833500"/>
    <n v="105876000"/>
    <n v="494124000"/>
    <n v="200000000"/>
    <x v="0"/>
    <x v="1"/>
  </r>
  <r>
    <s v="4233200000 Perjalanan Dinas BebanUmum Perawatan Prasarana KAI"/>
    <n v="2491692611"/>
    <n v="1866692611"/>
    <n v="0"/>
    <n v="223550000"/>
    <n v="223550000"/>
    <n v="1643142611"/>
    <n v="625000000"/>
    <x v="0"/>
    <x v="1"/>
  </r>
  <r>
    <s v="4233400000 ATK Beban Umum Perawatan Prasarana KAI"/>
    <n v="220000000"/>
    <n v="220000000"/>
    <n v="0"/>
    <n v="0"/>
    <n v="0"/>
    <n v="220000000"/>
    <n v="0"/>
    <x v="0"/>
    <x v="1"/>
  </r>
  <r>
    <s v="4272100010 Gaji &amp;Tunjangan PegawaiPerawatan Prasarana Unit JJ"/>
    <n v="3456614204"/>
    <n v="3456614204"/>
    <n v="0"/>
    <n v="707255149"/>
    <n v="707255149"/>
    <n v="2749359055"/>
    <n v="0"/>
    <x v="0"/>
    <x v="6"/>
  </r>
  <r>
    <s v="4272200010 Iuran Pensiun Pegawai Perawatan Prasarana Unit JJ/"/>
    <n v="52828623"/>
    <n v="52828623"/>
    <n v="0"/>
    <n v="10895853"/>
    <n v="10895853"/>
    <n v="41932770"/>
    <n v="0"/>
    <x v="0"/>
    <x v="6"/>
  </r>
  <r>
    <s v="4272400000 Lembur dan Perangsang Peg PrwtnPrsrna unit JJ/Sntl"/>
    <n v="4078270035"/>
    <n v="4078270035"/>
    <n v="0"/>
    <n v="792078990"/>
    <n v="792078990"/>
    <n v="3286191045"/>
    <n v="0"/>
    <x v="0"/>
    <x v="6"/>
  </r>
  <r>
    <s v="4272500000 PakaianDinas PegPrwtn PrasaranaUnit JJ/sntl/BY Pra"/>
    <n v="16502520"/>
    <n v="16502520"/>
    <n v="0"/>
    <n v="0"/>
    <n v="0"/>
    <n v="16502520"/>
    <n v="0"/>
    <x v="0"/>
    <x v="6"/>
  </r>
  <r>
    <s v="4273100010 Gaji &amp;Tunjangan Pegawai Renwas JJ/Sintel LAA"/>
    <n v="10947475255"/>
    <n v="10947475255"/>
    <n v="0"/>
    <n v="2009378127"/>
    <n v="2009378127"/>
    <n v="8938097128"/>
    <n v="0"/>
    <x v="0"/>
    <x v="6"/>
  </r>
  <r>
    <s v="4273200010 Iuran Pensiun Pegawai Renwas JJ/Sintel LAA"/>
    <n v="248090002"/>
    <n v="248090002"/>
    <n v="0"/>
    <n v="67218034"/>
    <n v="67218034"/>
    <n v="180871968"/>
    <n v="0"/>
    <x v="0"/>
    <x v="6"/>
  </r>
  <r>
    <s v="4273400000 Lembur dan Perangsang Pegawai Renwas JJ/Sintel LAA"/>
    <n v="13970066046"/>
    <n v="13970066046"/>
    <n v="0"/>
    <n v="2799721074"/>
    <n v="2799721074"/>
    <n v="11170344972"/>
    <n v="0"/>
    <x v="0"/>
    <x v="6"/>
  </r>
  <r>
    <s v="4273500000 Pakaian Dinas Pegawai Renwas JJ/Sintel LAA"/>
    <n v="24203697"/>
    <n v="24203697"/>
    <n v="0"/>
    <n v="0"/>
    <n v="0"/>
    <n v="24203697"/>
    <n v="0"/>
    <x v="0"/>
    <x v="6"/>
  </r>
  <r>
    <s v="5110000010 Gaji &amp;Tunjangan Pegawai Umum &amp; Administrasi"/>
    <n v="0"/>
    <n v="0"/>
    <n v="0"/>
    <n v="-10748637"/>
    <n v="-10748637"/>
    <n v="10748637"/>
    <n v="0"/>
    <x v="0"/>
    <x v="6"/>
  </r>
  <r>
    <s v="5319000000 Pendidikan"/>
    <n v="1000000000"/>
    <n v="750000000"/>
    <n v="9464000"/>
    <n v="0"/>
    <n v="9464000"/>
    <n v="740536000"/>
    <n v="250000000"/>
    <x v="0"/>
    <x v="1"/>
  </r>
  <r>
    <s v="5325480000 Teknologi Informasi"/>
    <n v="500000000"/>
    <n v="375000000"/>
    <n v="0"/>
    <n v="0"/>
    <n v="0"/>
    <n v="375000000"/>
    <n v="125000000"/>
    <x v="0"/>
    <x v="1"/>
  </r>
  <r>
    <s v="5400000000 Penyusutan AT Lainnya (Fasilitas Umum)"/>
    <n v="0"/>
    <n v="0"/>
    <n v="0"/>
    <n v="410815330"/>
    <n v="410815330"/>
    <n v="-410815330"/>
    <n v="0"/>
    <x v="0"/>
    <x v="6"/>
  </r>
  <r>
    <s v="10025000 Signalling, Telecomm &amp; Electricity"/>
    <n v="362606000000"/>
    <n v="360188000000"/>
    <n v="241340000000"/>
    <n v="56192569755"/>
    <n v="297533000000"/>
    <n v="62655275823"/>
    <n v="2417500000"/>
    <x v="0"/>
    <x v="7"/>
  </r>
  <r>
    <s v="1182000000 Persediaan Prasarana Perkeretaapian dan Umum"/>
    <n v="25194775704"/>
    <n v="25194775704"/>
    <n v="17081409964"/>
    <n v="0"/>
    <n v="17081409964"/>
    <n v="8113365740"/>
    <n v="0"/>
    <x v="1"/>
    <x v="0"/>
  </r>
  <r>
    <s v="4123210010 Gaji &amp;Tunjangan Pegawai Perawatan Sarana"/>
    <n v="17002987"/>
    <n v="17002987"/>
    <n v="0"/>
    <n v="0"/>
    <n v="0"/>
    <n v="17002987"/>
    <n v="0"/>
    <x v="1"/>
    <x v="6"/>
  </r>
  <r>
    <s v="4123240000 Lembur dan Perangsang Pegawai Perawatan Sarana"/>
    <n v="32320895"/>
    <n v="32320895"/>
    <n v="0"/>
    <n v="0"/>
    <n v="0"/>
    <n v="32320895"/>
    <n v="0"/>
    <x v="1"/>
    <x v="6"/>
  </r>
  <r>
    <s v="4123250000 Pakaian Dinas Pegawai Perawatan Sarana"/>
    <n v="550084"/>
    <n v="550084"/>
    <n v="0"/>
    <n v="0"/>
    <n v="0"/>
    <n v="550084"/>
    <n v="0"/>
    <x v="1"/>
    <x v="6"/>
  </r>
  <r>
    <s v="4221421010 Peralatan Dalam Sinyal Elektrik BMN"/>
    <n v="400000000"/>
    <n v="400000000"/>
    <n v="0"/>
    <n v="0"/>
    <n v="0"/>
    <n v="400000000"/>
    <n v="0"/>
    <x v="1"/>
    <x v="0"/>
  </r>
  <r>
    <s v="4221422010 Peralatan Luar Sinyal Elektrik BMN"/>
    <n v="2000000000"/>
    <n v="2000000000"/>
    <n v="0"/>
    <n v="0"/>
    <n v="0"/>
    <n v="2000000000"/>
    <n v="0"/>
    <x v="1"/>
    <x v="0"/>
  </r>
  <r>
    <s v="4221423010 Peralatan Dalam Sinyal Mekanik BMN"/>
    <n v="100000000"/>
    <n v="100000000"/>
    <n v="0"/>
    <n v="0"/>
    <n v="0"/>
    <n v="100000000"/>
    <n v="0"/>
    <x v="1"/>
    <x v="0"/>
  </r>
  <r>
    <s v="4221424010 Peralatan Luar Sinyal Mekanik BMN"/>
    <n v="400000000"/>
    <n v="400000000"/>
    <n v="0"/>
    <n v="0"/>
    <n v="0"/>
    <n v="400000000"/>
    <n v="0"/>
    <x v="1"/>
    <x v="0"/>
  </r>
  <r>
    <s v="4221425010 Pengamanan Perlintasan Sebidang BMN"/>
    <n v="1300000000"/>
    <n v="1300000000"/>
    <n v="463560600"/>
    <n v="0"/>
    <n v="463560600"/>
    <n v="836439400"/>
    <n v="0"/>
    <x v="1"/>
    <x v="0"/>
  </r>
  <r>
    <s v="4221427010 Transmisi Komunikasi BMN"/>
    <n v="6000000000"/>
    <n v="6000000000"/>
    <n v="2487092234"/>
    <n v="0"/>
    <n v="2487092234"/>
    <n v="3512907766"/>
    <n v="0"/>
    <x v="1"/>
    <x v="0"/>
  </r>
  <r>
    <s v="4221428010 Peralatan Pendukung Sintel BMN"/>
    <n v="4260000000"/>
    <n v="4260000000"/>
    <n v="480263597"/>
    <n v="496793192"/>
    <n v="977056789"/>
    <n v="3282943211"/>
    <n v="0"/>
    <x v="1"/>
    <x v="0"/>
  </r>
  <r>
    <s v="4221428011 Bangunan Sintel BMN"/>
    <n v="1000000000"/>
    <n v="1000000000"/>
    <n v="0"/>
    <n v="0"/>
    <n v="0"/>
    <n v="1000000000"/>
    <n v="0"/>
    <x v="1"/>
    <x v="0"/>
  </r>
  <r>
    <s v="4221428012 Sistem Proteksi Sintel BMN"/>
    <n v="2500000000"/>
    <n v="2500000000"/>
    <n v="0"/>
    <n v="0"/>
    <n v="0"/>
    <n v="2500000000"/>
    <n v="0"/>
    <x v="1"/>
    <x v="0"/>
  </r>
  <r>
    <s v="4221428013 Tanda Semboyan Marka Sintel BMN"/>
    <n v="250000000"/>
    <n v="250000000"/>
    <n v="0"/>
    <n v="0"/>
    <n v="0"/>
    <n v="250000000"/>
    <n v="0"/>
    <x v="1"/>
    <x v="0"/>
  </r>
  <r>
    <s v="4221428014 Catu Daya Sintel BMN"/>
    <n v="6850000000"/>
    <n v="6850000000"/>
    <n v="49949500"/>
    <n v="207269960"/>
    <n v="257219460"/>
    <n v="6592780540"/>
    <n v="0"/>
    <x v="1"/>
    <x v="0"/>
  </r>
  <r>
    <s v="4222422110 Peralatan Pendukung Sintel KAI"/>
    <n v="2620000000"/>
    <n v="2620000000"/>
    <n v="461920000"/>
    <n v="69000000"/>
    <n v="530920000"/>
    <n v="2089080000"/>
    <n v="0"/>
    <x v="1"/>
    <x v="2"/>
  </r>
  <r>
    <s v="4222423110 Bangunan Sintel KAI"/>
    <n v="750000000"/>
    <n v="750000000"/>
    <n v="0"/>
    <n v="0"/>
    <n v="0"/>
    <n v="750000000"/>
    <n v="0"/>
    <x v="1"/>
    <x v="2"/>
  </r>
  <r>
    <s v="4222428010 Pesawat Telepon KAI"/>
    <n v="500000000"/>
    <n v="500000000"/>
    <n v="0"/>
    <n v="0"/>
    <n v="0"/>
    <n v="500000000"/>
    <n v="0"/>
    <x v="1"/>
    <x v="2"/>
  </r>
  <r>
    <s v="4222470010 Alat Kerja Sintel KAI"/>
    <n v="2500000000"/>
    <n v="2500000000"/>
    <n v="0"/>
    <n v="0"/>
    <n v="0"/>
    <n v="2500000000"/>
    <n v="0"/>
    <x v="1"/>
    <x v="2"/>
  </r>
  <r>
    <s v="4222600000 Peralatan Khusus Prasarana KAI"/>
    <n v="400000000"/>
    <n v="300000000"/>
    <n v="0"/>
    <n v="0"/>
    <n v="0"/>
    <n v="300000000"/>
    <n v="100000000"/>
    <x v="1"/>
    <x v="3"/>
  </r>
  <r>
    <s v="4222800000 Beban BBM Mekanik Prasarana"/>
    <n v="180000150"/>
    <n v="180000150"/>
    <n v="28710000"/>
    <n v="0"/>
    <n v="28710000"/>
    <n v="151290150"/>
    <n v="0"/>
    <x v="1"/>
    <x v="8"/>
  </r>
  <r>
    <s v="4232130000 LAT Beban Umum Pengoperasian Prasarana (IO)"/>
    <n v="3500000000"/>
    <n v="3500000000"/>
    <n v="0"/>
    <n v="675269947"/>
    <n v="675269947"/>
    <n v="2824730053"/>
    <n v="0"/>
    <x v="1"/>
    <x v="5"/>
  </r>
  <r>
    <s v="4233100000 Rapat&amp;Akomodasi Beban Umum Perawatan Prasarana KAI"/>
    <n v="556000000"/>
    <n v="417000000"/>
    <n v="83429000"/>
    <n v="49256425"/>
    <n v="132685425"/>
    <n v="284314575"/>
    <n v="139000000"/>
    <x v="1"/>
    <x v="1"/>
  </r>
  <r>
    <s v="4233150010 Kerumahtanggaan Beban Umum Perawatan Prasarana KAI"/>
    <n v="446900000"/>
    <n v="335175000"/>
    <n v="101845816"/>
    <n v="46287600"/>
    <n v="148133416"/>
    <n v="187041584"/>
    <n v="111725000"/>
    <x v="1"/>
    <x v="1"/>
  </r>
  <r>
    <s v="4233151710 Kerumahtanggaan UMDT Beban Umum Perawatan Pras KAI"/>
    <n v="195000000"/>
    <n v="195000000"/>
    <n v="0"/>
    <n v="31957500"/>
    <n v="31957500"/>
    <n v="163042500"/>
    <n v="0"/>
    <x v="1"/>
    <x v="1"/>
  </r>
  <r>
    <s v="4233160010 Inventaris Beban Umum Perawatan Prasarana KAI"/>
    <n v="810806000"/>
    <n v="608104500"/>
    <n v="97296720"/>
    <n v="0"/>
    <n v="97296720"/>
    <n v="510807780"/>
    <n v="202701500"/>
    <x v="1"/>
    <x v="1"/>
  </r>
  <r>
    <s v="4233180010 Beban Umum Pengiriman Prasarana KAI"/>
    <n v="0"/>
    <n v="0"/>
    <n v="0"/>
    <n v="0"/>
    <n v="0"/>
    <n v="0"/>
    <n v="0"/>
    <x v="1"/>
    <x v="1"/>
  </r>
  <r>
    <s v="4233200000 Perjalanan Dinas BebanUmum Perawatan Prasarana KAI"/>
    <n v="472300000"/>
    <n v="354225000"/>
    <n v="56676000"/>
    <n v="80369250"/>
    <n v="137045250"/>
    <n v="217179750"/>
    <n v="118075000"/>
    <x v="1"/>
    <x v="1"/>
  </r>
  <r>
    <s v="4233400000 ATK Beban Umum Perawatan Prasarana KAI"/>
    <n v="80000000"/>
    <n v="80000000"/>
    <n v="44932700"/>
    <n v="0"/>
    <n v="44932700"/>
    <n v="35067300"/>
    <n v="0"/>
    <x v="1"/>
    <x v="1"/>
  </r>
  <r>
    <s v="4242000000 Beban Penyusutan AT Bangunan Kantor"/>
    <n v="0"/>
    <n v="0"/>
    <n v="0"/>
    <n v="12636872"/>
    <n v="12636872"/>
    <n v="-12636872"/>
    <n v="0"/>
    <x v="1"/>
    <x v="6"/>
  </r>
  <r>
    <s v="4272100010 Gaji &amp;Tunjangan PegawaiPerawatan Prasarana Unit JJ"/>
    <n v="22931607229"/>
    <n v="22931607229"/>
    <n v="0"/>
    <n v="5316295251"/>
    <n v="5316295251"/>
    <n v="17615311978"/>
    <n v="0"/>
    <x v="1"/>
    <x v="6"/>
  </r>
  <r>
    <s v="4272200010 Iuran Pensiun Pegawai Perawatan Prasarana Unit JJ/"/>
    <n v="604955157"/>
    <n v="604955157"/>
    <n v="0"/>
    <n v="133086540"/>
    <n v="133086540"/>
    <n v="471868617"/>
    <n v="0"/>
    <x v="1"/>
    <x v="6"/>
  </r>
  <r>
    <s v="4272400000 Lembur dan Perangsang Peg PrwtnPrsrna unit JJ/Sntl"/>
    <n v="20967421530"/>
    <n v="20967421530"/>
    <n v="0"/>
    <n v="4470778886"/>
    <n v="4470778886"/>
    <n v="16496642644"/>
    <n v="0"/>
    <x v="1"/>
    <x v="6"/>
  </r>
  <r>
    <s v="4272500000 PakaianDinas PegPrwtn PrasaranaUnit JJ/sntl/BY Pra"/>
    <n v="105616131"/>
    <n v="105616131"/>
    <n v="0"/>
    <n v="0"/>
    <n v="0"/>
    <n v="105616131"/>
    <n v="0"/>
    <x v="1"/>
    <x v="6"/>
  </r>
  <r>
    <s v="4273100010 Gaji &amp;Tunjangan Pegawai Renwas JJ/Sintel LAA"/>
    <n v="1649426585"/>
    <n v="1649426585"/>
    <n v="0"/>
    <n v="436603309"/>
    <n v="436603309"/>
    <n v="1212823276"/>
    <n v="0"/>
    <x v="1"/>
    <x v="6"/>
  </r>
  <r>
    <s v="4273200010 Iuran Pensiun Pegawai Renwas JJ/Sintel LAA"/>
    <n v="53660123"/>
    <n v="53660123"/>
    <n v="0"/>
    <n v="16427984"/>
    <n v="16427984"/>
    <n v="37232139"/>
    <n v="0"/>
    <x v="1"/>
    <x v="6"/>
  </r>
  <r>
    <s v="4273400000 Lembur dan Perangsang Pegawai Renwas JJ/Sintel LAA"/>
    <n v="1937118528"/>
    <n v="1937118528"/>
    <n v="0"/>
    <n v="490714318"/>
    <n v="490714318"/>
    <n v="1446404210"/>
    <n v="0"/>
    <x v="1"/>
    <x v="6"/>
  </r>
  <r>
    <s v="4273500000 Pakaian Dinas Pegawai Renwas JJ/Sintel LAA"/>
    <n v="3850588"/>
    <n v="3850588"/>
    <n v="0"/>
    <n v="0"/>
    <n v="0"/>
    <n v="3850588"/>
    <n v="0"/>
    <x v="1"/>
    <x v="6"/>
  </r>
  <r>
    <s v="5140000000 Lembur dan Perangsang Pegawai Umum &amp; Administrasi"/>
    <n v="0"/>
    <n v="0"/>
    <n v="0"/>
    <n v="416016"/>
    <n v="416016"/>
    <n v="-416016"/>
    <n v="0"/>
    <x v="1"/>
    <x v="6"/>
  </r>
  <r>
    <s v="21022000 Sintelis"/>
    <n v="111569000000"/>
    <n v="110898000000"/>
    <n v="21437086131"/>
    <n v="12533163050"/>
    <n v="33970249181"/>
    <n v="76927561010"/>
    <n v="671501500"/>
    <x v="1"/>
    <x v="7"/>
  </r>
  <r>
    <s v="1182000000 Persediaan Prasarana Perkeretaapian dan Umum"/>
    <n v="4044107500"/>
    <n v="4044107500"/>
    <n v="1518071200"/>
    <n v="585361000"/>
    <n v="2103432200"/>
    <n v="1940675300"/>
    <n v="0"/>
    <x v="2"/>
    <x v="0"/>
  </r>
  <r>
    <s v="4123110010 Gaji &amp;Tunjangan Pegawai Operasi Sarana"/>
    <n v="0"/>
    <n v="0"/>
    <n v="0"/>
    <n v="-2900000"/>
    <n v="-2900000"/>
    <n v="2900000"/>
    <n v="0"/>
    <x v="2"/>
    <x v="6"/>
  </r>
  <r>
    <s v="4221521010 Catu Daya LAA BMN"/>
    <n v="1657269514"/>
    <n v="1657269514"/>
    <n v="0"/>
    <n v="125198600"/>
    <n v="125198600"/>
    <n v="1532070914"/>
    <n v="0"/>
    <x v="2"/>
    <x v="0"/>
  </r>
  <r>
    <s v="4221522010 Tranmisi Tenaga LAA BMN"/>
    <n v="30639775739"/>
    <n v="30639775739"/>
    <n v="16588171728"/>
    <n v="7766359971"/>
    <n v="24354531699"/>
    <n v="6285244040"/>
    <n v="0"/>
    <x v="2"/>
    <x v="0"/>
  </r>
  <r>
    <s v="4221523010 Pengendalian Catu Daya LAA BMN"/>
    <n v="288221000"/>
    <n v="288221000"/>
    <n v="0"/>
    <n v="0"/>
    <n v="0"/>
    <n v="288221000"/>
    <n v="0"/>
    <x v="2"/>
    <x v="0"/>
  </r>
  <r>
    <s v="4221524010 Tanda Semboyan LAA BMN"/>
    <n v="593000000"/>
    <n v="593000000"/>
    <n v="0"/>
    <n v="0"/>
    <n v="0"/>
    <n v="593000000"/>
    <n v="0"/>
    <x v="2"/>
    <x v="0"/>
  </r>
  <r>
    <s v="4221525010 Bangunan LAA BMN"/>
    <n v="1210765056"/>
    <n v="1210765056"/>
    <n v="0"/>
    <n v="104534440"/>
    <n v="104534440"/>
    <n v="1106230616"/>
    <n v="0"/>
    <x v="2"/>
    <x v="0"/>
  </r>
  <r>
    <s v="4221526010 Sistim Proteksi LAA BMN"/>
    <n v="720219728"/>
    <n v="720219728"/>
    <n v="0"/>
    <n v="396500562"/>
    <n v="396500562"/>
    <n v="323719166"/>
    <n v="0"/>
    <x v="2"/>
    <x v="0"/>
  </r>
  <r>
    <s v="4221527010 Pendukung LAA BMN"/>
    <n v="2796520000"/>
    <n v="2796520000"/>
    <n v="564674777"/>
    <n v="654736071"/>
    <n v="1219410848"/>
    <n v="1577109152"/>
    <n v="0"/>
    <x v="2"/>
    <x v="0"/>
  </r>
  <r>
    <s v="4222521010 Catu Daya LAA KAI"/>
    <n v="231587382"/>
    <n v="231587382"/>
    <n v="0"/>
    <n v="0"/>
    <n v="0"/>
    <n v="231587382"/>
    <n v="0"/>
    <x v="2"/>
    <x v="2"/>
  </r>
  <r>
    <s v="4222522010 Tranmisi Tenaga LAA KAI"/>
    <n v="180831882"/>
    <n v="180831882"/>
    <n v="0"/>
    <n v="0"/>
    <n v="0"/>
    <n v="180831882"/>
    <n v="0"/>
    <x v="2"/>
    <x v="2"/>
  </r>
  <r>
    <s v="4222525010 Bangunan LAA KAI"/>
    <n v="400000000"/>
    <n v="400000000"/>
    <n v="0"/>
    <n v="52516373"/>
    <n v="52516373"/>
    <n v="347483627"/>
    <n v="0"/>
    <x v="2"/>
    <x v="2"/>
  </r>
  <r>
    <s v="4222526010 Sistim Proteksi LAA KAI"/>
    <n v="289155000"/>
    <n v="289155000"/>
    <n v="0"/>
    <n v="0"/>
    <n v="0"/>
    <n v="289155000"/>
    <n v="0"/>
    <x v="2"/>
    <x v="2"/>
  </r>
  <r>
    <s v="4222527010 Pendukung LAA KAI"/>
    <n v="360000000"/>
    <n v="360000000"/>
    <n v="133528000"/>
    <n v="0"/>
    <n v="133528000"/>
    <n v="226472000"/>
    <n v="0"/>
    <x v="2"/>
    <x v="2"/>
  </r>
  <r>
    <s v="4222528010 Alat Kerja pendukung perawatan KAI"/>
    <n v="1710494400"/>
    <n v="1710494400"/>
    <n v="364436500"/>
    <n v="52419100"/>
    <n v="416855600"/>
    <n v="1293638800"/>
    <n v="0"/>
    <x v="2"/>
    <x v="2"/>
  </r>
  <r>
    <s v="4222600000 Peralatan Khusus Prasarana KAI"/>
    <n v="200000000"/>
    <n v="150000000"/>
    <n v="41976000"/>
    <n v="24488000"/>
    <n v="66464000"/>
    <n v="83536000"/>
    <n v="50000000"/>
    <x v="2"/>
    <x v="3"/>
  </r>
  <r>
    <s v="4233100000 Rapat&amp;Akomodasi Beban Umum Perawatan Prasarana KAI"/>
    <n v="559300000"/>
    <n v="419475000"/>
    <n v="30610000"/>
    <n v="8717850"/>
    <n v="39327850"/>
    <n v="380147150"/>
    <n v="139825000"/>
    <x v="2"/>
    <x v="1"/>
  </r>
  <r>
    <s v="4233150010 Kerumahtanggaan Beban Umum Perawatan Prasarana KAI"/>
    <n v="341280000"/>
    <n v="255960000"/>
    <n v="47161500"/>
    <n v="46900000"/>
    <n v="94061500"/>
    <n v="161898500"/>
    <n v="85320000"/>
    <x v="2"/>
    <x v="1"/>
  </r>
  <r>
    <s v="4233151710 Kerumahtanggaan UMDT Beban Umum Perawatan Pras KAI"/>
    <n v="138000000"/>
    <n v="138000000"/>
    <n v="0"/>
    <n v="23000000"/>
    <n v="23000000"/>
    <n v="115000000"/>
    <n v="0"/>
    <x v="2"/>
    <x v="1"/>
  </r>
  <r>
    <s v="4233160010 Inventaris Beban Umum Perawatan Prasarana KAI"/>
    <n v="388800000"/>
    <n v="291600000"/>
    <n v="0"/>
    <n v="0"/>
    <n v="0"/>
    <n v="291600000"/>
    <n v="97200000"/>
    <x v="2"/>
    <x v="1"/>
  </r>
  <r>
    <s v="4233180010 Beban Umum Pengiriman Prasarana KAI"/>
    <n v="20000000"/>
    <n v="15000000"/>
    <n v="0"/>
    <n v="0"/>
    <n v="0"/>
    <n v="15000000"/>
    <n v="5000000"/>
    <x v="2"/>
    <x v="1"/>
  </r>
  <r>
    <s v="4233200000 Perjalanan Dinas BebanUmum Perawatan Prasarana KAI"/>
    <n v="393410000"/>
    <n v="295057500"/>
    <n v="0"/>
    <n v="79589000"/>
    <n v="79589000"/>
    <n v="215468500"/>
    <n v="98352500"/>
    <x v="2"/>
    <x v="1"/>
  </r>
  <r>
    <s v="4233400000 ATK Beban Umum Perawatan Prasarana KAI"/>
    <n v="91080000"/>
    <n v="91080000"/>
    <n v="0"/>
    <n v="0"/>
    <n v="0"/>
    <n v="91080000"/>
    <n v="0"/>
    <x v="2"/>
    <x v="1"/>
  </r>
  <r>
    <s v="4241000000 Beban Penyusutan AT Prasarana Perkeretaapian"/>
    <n v="0"/>
    <n v="0"/>
    <n v="0"/>
    <n v="120464821"/>
    <n v="120464821"/>
    <n v="-120464821"/>
    <n v="0"/>
    <x v="2"/>
    <x v="6"/>
  </r>
  <r>
    <s v="4242000000 Beban Penyusutan AT Bangunan Kantor"/>
    <n v="0"/>
    <n v="0"/>
    <n v="0"/>
    <n v="8227433"/>
    <n v="8227433"/>
    <n v="-8227433"/>
    <n v="0"/>
    <x v="2"/>
    <x v="6"/>
  </r>
  <r>
    <s v="4271400000 Lembur dan Perangsang Pegawai Operasi Prasarana"/>
    <n v="0"/>
    <n v="0"/>
    <n v="0"/>
    <n v="491371"/>
    <n v="491371"/>
    <n v="-491371"/>
    <n v="0"/>
    <x v="2"/>
    <x v="6"/>
  </r>
  <r>
    <s v="4272100010 Gaji &amp;Tunjangan PegawaiPerawatan Prasarana Unit JJ"/>
    <n v="16223644853"/>
    <n v="16223644853"/>
    <n v="0"/>
    <n v="3829024628"/>
    <n v="3829024628"/>
    <n v="12394620225"/>
    <n v="0"/>
    <x v="2"/>
    <x v="6"/>
  </r>
  <r>
    <s v="4272200010 Iuran Pensiun Pegawai Perawatan Prasarana Unit JJ/"/>
    <n v="201591062"/>
    <n v="201591062"/>
    <n v="0"/>
    <n v="49521489"/>
    <n v="49521489"/>
    <n v="152069573"/>
    <n v="0"/>
    <x v="2"/>
    <x v="6"/>
  </r>
  <r>
    <s v="4272400000 Lembur dan Perangsang Peg PrwtnPrsrna unit JJ/Sntl"/>
    <n v="14498179948"/>
    <n v="14498179948"/>
    <n v="0"/>
    <n v="3215042751"/>
    <n v="3215042751"/>
    <n v="11283137197"/>
    <n v="0"/>
    <x v="2"/>
    <x v="6"/>
  </r>
  <r>
    <s v="4272500000 PakaianDinas PegPrwtn PrasaranaUnit JJ/sntl/BY Pra"/>
    <n v="79212098"/>
    <n v="79212098"/>
    <n v="0"/>
    <n v="0"/>
    <n v="0"/>
    <n v="79212098"/>
    <n v="0"/>
    <x v="2"/>
    <x v="6"/>
  </r>
  <r>
    <s v="4273100010 Gaji &amp;Tunjangan Pegawai Renwas JJ/Sintel LAA"/>
    <n v="1964472996"/>
    <n v="1964472996"/>
    <n v="0"/>
    <n v="331618516"/>
    <n v="331618516"/>
    <n v="1632854480"/>
    <n v="0"/>
    <x v="2"/>
    <x v="6"/>
  </r>
  <r>
    <s v="4273200010 Iuran Pensiun Pegawai Renwas JJ/Sintel LAA"/>
    <n v="40912616"/>
    <n v="40912616"/>
    <n v="0"/>
    <n v="10050397"/>
    <n v="10050397"/>
    <n v="30862219"/>
    <n v="0"/>
    <x v="2"/>
    <x v="6"/>
  </r>
  <r>
    <s v="4273400000 Lembur dan Perangsang Pegawai Renwas JJ/Sintel LAA"/>
    <n v="1928660874"/>
    <n v="1928660874"/>
    <n v="0"/>
    <n v="400847189"/>
    <n v="400847189"/>
    <n v="1527813685"/>
    <n v="0"/>
    <x v="2"/>
    <x v="6"/>
  </r>
  <r>
    <s v="4273500000 Pakaian Dinas Pegawai Renwas JJ/Sintel LAA"/>
    <n v="3850588"/>
    <n v="3850588"/>
    <n v="0"/>
    <n v="0"/>
    <n v="0"/>
    <n v="3850588"/>
    <n v="0"/>
    <x v="2"/>
    <x v="6"/>
  </r>
  <r>
    <s v="21023000 Listrik Aliran Atas"/>
    <n v="82194342236"/>
    <n v="81718644736"/>
    <n v="19288629705"/>
    <n v="17882709562"/>
    <n v="37171339267"/>
    <n v="44547305469"/>
    <n v="475697500"/>
    <x v="2"/>
    <x v="7"/>
  </r>
  <r>
    <s v="1182000000 Persediaan Prasarana Perkeretaapian dan Umum"/>
    <n v="8995670000"/>
    <n v="8995670000"/>
    <n v="7317523312"/>
    <n v="477511000"/>
    <n v="7795034312"/>
    <n v="1200635688"/>
    <n v="0"/>
    <x v="3"/>
    <x v="0"/>
  </r>
  <r>
    <s v="4221422010 Peralatan Luar Sinyal Elektrik BMN"/>
    <n v="435680000"/>
    <n v="435680000"/>
    <n v="79631400"/>
    <n v="8607111"/>
    <n v="88238511"/>
    <n v="347441489"/>
    <n v="0"/>
    <x v="3"/>
    <x v="0"/>
  </r>
  <r>
    <s v="4221423010 Peralatan Dalam Sinyal Mekanik BMN"/>
    <n v="229890000"/>
    <n v="229890000"/>
    <n v="0"/>
    <n v="0"/>
    <n v="0"/>
    <n v="229890000"/>
    <n v="0"/>
    <x v="3"/>
    <x v="0"/>
  </r>
  <r>
    <s v="4221424010 Peralatan Luar Sinyal Mekanik BMN"/>
    <n v="929147000"/>
    <n v="929147000"/>
    <n v="496893043"/>
    <n v="9466019"/>
    <n v="506359062"/>
    <n v="422787938"/>
    <n v="0"/>
    <x v="3"/>
    <x v="0"/>
  </r>
  <r>
    <s v="4221425010 Pengamanan Perlintasan Sebidang BMN"/>
    <n v="1200699000"/>
    <n v="1200699000"/>
    <n v="0"/>
    <n v="0"/>
    <n v="0"/>
    <n v="1200699000"/>
    <n v="0"/>
    <x v="3"/>
    <x v="0"/>
  </r>
  <r>
    <s v="4221426010 Pesawat Telepon BMN"/>
    <n v="818532000"/>
    <n v="818532000"/>
    <n v="277500000"/>
    <n v="0"/>
    <n v="277500000"/>
    <n v="541032000"/>
    <n v="0"/>
    <x v="3"/>
    <x v="0"/>
  </r>
  <r>
    <s v="4221427010 Transmisi Komunikasi BMN"/>
    <n v="4824864000"/>
    <n v="4824864000"/>
    <n v="4422334413"/>
    <n v="0"/>
    <n v="4422334413"/>
    <n v="402529587"/>
    <n v="0"/>
    <x v="3"/>
    <x v="0"/>
  </r>
  <r>
    <s v="4221428010 Peralatan Pendukung Sintel BMN"/>
    <n v="1665000000"/>
    <n v="1665000000"/>
    <n v="249297044"/>
    <n v="154298841"/>
    <n v="403595885"/>
    <n v="1261404115"/>
    <n v="0"/>
    <x v="3"/>
    <x v="0"/>
  </r>
  <r>
    <s v="4221428011 Bangunan Sintel BMN"/>
    <n v="530067000"/>
    <n v="530067000"/>
    <n v="319835904"/>
    <n v="0"/>
    <n v="319835904"/>
    <n v="210231096"/>
    <n v="0"/>
    <x v="3"/>
    <x v="0"/>
  </r>
  <r>
    <s v="4221428012 Sistem Proteksi Sintel BMN"/>
    <n v="680000000"/>
    <n v="680000000"/>
    <n v="455200001"/>
    <n v="49555233"/>
    <n v="504755234"/>
    <n v="175244766"/>
    <n v="0"/>
    <x v="3"/>
    <x v="0"/>
  </r>
  <r>
    <s v="4221428014 Catu Daya Sintel BMN"/>
    <n v="2233168000"/>
    <n v="2233168000"/>
    <n v="1955857840"/>
    <n v="0"/>
    <n v="1955857840"/>
    <n v="277310160"/>
    <n v="0"/>
    <x v="3"/>
    <x v="0"/>
  </r>
  <r>
    <s v="4222422110 Peralatan Pendukung Sintel KAI"/>
    <n v="354000000"/>
    <n v="354000000"/>
    <n v="243524388"/>
    <n v="0"/>
    <n v="243524388"/>
    <n v="110475612"/>
    <n v="0"/>
    <x v="3"/>
    <x v="2"/>
  </r>
  <r>
    <s v="4222423110 Bangunan Sintel KAI"/>
    <n v="450000000"/>
    <n v="450000000"/>
    <n v="0"/>
    <n v="0"/>
    <n v="0"/>
    <n v="450000000"/>
    <n v="0"/>
    <x v="3"/>
    <x v="2"/>
  </r>
  <r>
    <s v="4222470010 Alat Kerja Sintel KAI"/>
    <n v="700000000"/>
    <n v="700000000"/>
    <n v="388459396"/>
    <n v="0"/>
    <n v="388459396"/>
    <n v="311540604"/>
    <n v="0"/>
    <x v="3"/>
    <x v="2"/>
  </r>
  <r>
    <s v="4222600000 Peralatan Khusus Prasarana KAI"/>
    <n v="705000000"/>
    <n v="528750000"/>
    <n v="497734500"/>
    <n v="0"/>
    <n v="497734500"/>
    <n v="31015500"/>
    <n v="176250000"/>
    <x v="3"/>
    <x v="3"/>
  </r>
  <r>
    <s v="4222800000 Beban BBM Mekanik Prasarana"/>
    <n v="118875000"/>
    <n v="118875000"/>
    <n v="8255000"/>
    <n v="7520000"/>
    <n v="15775000"/>
    <n v="103100000"/>
    <n v="0"/>
    <x v="3"/>
    <x v="8"/>
  </r>
  <r>
    <s v="4232130000 LAT Beban Umum Pengoperasian Prasarana (IO)"/>
    <n v="2260000000"/>
    <n v="2260000000"/>
    <n v="0"/>
    <n v="474175238"/>
    <n v="474175238"/>
    <n v="1785824762"/>
    <n v="0"/>
    <x v="3"/>
    <x v="5"/>
  </r>
  <r>
    <s v="4233100000 Rapat&amp;Akomodasi Beban Umum Perawatan Prasarana KAI"/>
    <n v="100000000"/>
    <n v="75000000"/>
    <n v="6000000"/>
    <n v="22327889"/>
    <n v="28327889"/>
    <n v="46672111"/>
    <n v="25000000"/>
    <x v="3"/>
    <x v="1"/>
  </r>
  <r>
    <s v="4233150010 Kerumahtanggaan Beban Umum Perawatan Prasarana KAI"/>
    <n v="354600000"/>
    <n v="265950000"/>
    <n v="33432500"/>
    <n v="46413500"/>
    <n v="79846000"/>
    <n v="186104000"/>
    <n v="88650000"/>
    <x v="3"/>
    <x v="1"/>
  </r>
  <r>
    <s v="4233151710 Kerumahtanggaan UMDT Beban Umum Perawatan Pras KAI"/>
    <n v="99000000"/>
    <n v="99000000"/>
    <n v="0"/>
    <n v="16266000"/>
    <n v="16266000"/>
    <n v="82734000"/>
    <n v="0"/>
    <x v="3"/>
    <x v="1"/>
  </r>
  <r>
    <s v="4233160010 Inventaris Beban Umum Perawatan Prasarana KAI"/>
    <n v="271400000"/>
    <n v="203550000"/>
    <n v="2958000"/>
    <n v="44456500"/>
    <n v="47414500"/>
    <n v="156135500"/>
    <n v="67850000"/>
    <x v="3"/>
    <x v="1"/>
  </r>
  <r>
    <s v="4233200000 Perjalanan Dinas BebanUmum Perawatan Prasarana KAI"/>
    <n v="213320000"/>
    <n v="159990000"/>
    <n v="0"/>
    <n v="46805500"/>
    <n v="46805500"/>
    <n v="113184500"/>
    <n v="53330000"/>
    <x v="3"/>
    <x v="1"/>
  </r>
  <r>
    <s v="4233400000 ATK Beban Umum Perawatan Prasarana KAI"/>
    <n v="24000000"/>
    <n v="24000000"/>
    <n v="0"/>
    <n v="7199500"/>
    <n v="7199500"/>
    <n v="16800500"/>
    <n v="0"/>
    <x v="3"/>
    <x v="1"/>
  </r>
  <r>
    <s v="4242000000 Beban Penyusutan AT Bangunan Kantor"/>
    <n v="0"/>
    <n v="0"/>
    <n v="0"/>
    <n v="77266957"/>
    <n v="77266957"/>
    <n v="-77266957"/>
    <n v="0"/>
    <x v="3"/>
    <x v="6"/>
  </r>
  <r>
    <s v="4272100010 Gaji &amp;Tunjangan PegawaiPerawatan Prasarana Unit JJ"/>
    <n v="9949094083"/>
    <n v="9949094083"/>
    <n v="0"/>
    <n v="2314260206"/>
    <n v="2314260206"/>
    <n v="7634833877"/>
    <n v="0"/>
    <x v="3"/>
    <x v="6"/>
  </r>
  <r>
    <s v="4272200010 Iuran Pensiun Pegawai Perawatan Prasarana Unit JJ/"/>
    <n v="386565402"/>
    <n v="386565402"/>
    <n v="0"/>
    <n v="96065267"/>
    <n v="96065267"/>
    <n v="290500135"/>
    <n v="0"/>
    <x v="3"/>
    <x v="6"/>
  </r>
  <r>
    <s v="4272400000 Lembur dan Perangsang Peg PrwtnPrsrna unit JJ/Sntl"/>
    <n v="9769849891"/>
    <n v="9769849891"/>
    <n v="0"/>
    <n v="2008940404"/>
    <n v="2008940404"/>
    <n v="7760909487"/>
    <n v="0"/>
    <x v="3"/>
    <x v="6"/>
  </r>
  <r>
    <s v="4272500000 PakaianDinas PegPrwtn PrasaranaUnit JJ/sntl/BY Pra"/>
    <n v="57758822"/>
    <n v="57758822"/>
    <n v="0"/>
    <n v="0"/>
    <n v="0"/>
    <n v="57758822"/>
    <n v="0"/>
    <x v="3"/>
    <x v="6"/>
  </r>
  <r>
    <s v="4273100010 Gaji &amp;Tunjangan Pegawai Renwas JJ/Sintel LAA"/>
    <n v="1408512003"/>
    <n v="1408512003"/>
    <n v="0"/>
    <n v="236571590"/>
    <n v="236571590"/>
    <n v="1171940413"/>
    <n v="0"/>
    <x v="3"/>
    <x v="6"/>
  </r>
  <r>
    <s v="4273200010 Iuran Pensiun Pegawai Renwas JJ/Sintel LAA"/>
    <n v="38319389"/>
    <n v="38319389"/>
    <n v="0"/>
    <n v="6469062"/>
    <n v="6469062"/>
    <n v="31850327"/>
    <n v="0"/>
    <x v="3"/>
    <x v="6"/>
  </r>
  <r>
    <s v="4273400000 Lembur dan Perangsang Pegawai Renwas JJ/Sintel LAA"/>
    <n v="1330317539"/>
    <n v="1330317539"/>
    <n v="0"/>
    <n v="280488989"/>
    <n v="280488989"/>
    <n v="1049828550"/>
    <n v="0"/>
    <x v="3"/>
    <x v="6"/>
  </r>
  <r>
    <s v="4273500000 Pakaian Dinas Pegawai Renwas JJ/Sintel LAA"/>
    <n v="3850588"/>
    <n v="3850588"/>
    <n v="0"/>
    <n v="0"/>
    <n v="0"/>
    <n v="3850588"/>
    <n v="0"/>
    <x v="3"/>
    <x v="6"/>
  </r>
  <r>
    <s v="5400000000 Penyusutan AT Lainnya (Fasilitas Umum)"/>
    <n v="0"/>
    <n v="0"/>
    <n v="0"/>
    <n v="36550000"/>
    <n v="36550000"/>
    <n v="-36550000"/>
    <n v="0"/>
    <x v="3"/>
    <x v="6"/>
  </r>
  <r>
    <s v="22022000 Sintelis"/>
    <n v="51137179717"/>
    <n v="50726099717"/>
    <n v="16754436741"/>
    <n v="6421214806"/>
    <n v="23175651547"/>
    <n v="27550448170"/>
    <n v="411080000"/>
    <x v="3"/>
    <x v="7"/>
  </r>
  <r>
    <s v="1182000000 Persediaan Prasarana Perkeretaapian dan Umum"/>
    <n v="11383511000"/>
    <n v="11383511000"/>
    <n v="9763165316"/>
    <n v="0"/>
    <n v="9763165316"/>
    <n v="1620345684"/>
    <n v="0"/>
    <x v="4"/>
    <x v="0"/>
  </r>
  <r>
    <s v="4221422010 Peralatan Luar Sinyal Elektrik BMN"/>
    <n v="3998040540"/>
    <n v="3998040540"/>
    <n v="865634917"/>
    <n v="6986400"/>
    <n v="872621317"/>
    <n v="3125419223"/>
    <n v="0"/>
    <x v="4"/>
    <x v="0"/>
  </r>
  <r>
    <s v="4221424010 Peralatan Luar Sinyal Mekanik BMN"/>
    <n v="0"/>
    <n v="0"/>
    <n v="0"/>
    <n v="0"/>
    <n v="0"/>
    <n v="0"/>
    <n v="0"/>
    <x v="4"/>
    <x v="0"/>
  </r>
  <r>
    <s v="4221425010 Pengamanan Perlintasan Sebidang BMN"/>
    <n v="499675000"/>
    <n v="499675000"/>
    <n v="106240051"/>
    <n v="0"/>
    <n v="106240051"/>
    <n v="393434949"/>
    <n v="0"/>
    <x v="4"/>
    <x v="0"/>
  </r>
  <r>
    <s v="4221426010 Pesawat Telepon BMN"/>
    <n v="870437000"/>
    <n v="870437000"/>
    <n v="72346470"/>
    <n v="8315000"/>
    <n v="80661470"/>
    <n v="789775530"/>
    <n v="0"/>
    <x v="4"/>
    <x v="0"/>
  </r>
  <r>
    <s v="4221427010 Transmisi Komunikasi BMN"/>
    <n v="393763000"/>
    <n v="393763000"/>
    <n v="0"/>
    <n v="10224916"/>
    <n v="10224916"/>
    <n v="383538084"/>
    <n v="0"/>
    <x v="4"/>
    <x v="0"/>
  </r>
  <r>
    <s v="4221428010 Peralatan Pendukung Sintel BMN"/>
    <n v="1702406000"/>
    <n v="1702406000"/>
    <n v="288060277"/>
    <n v="106580059"/>
    <n v="394640336"/>
    <n v="1307765664"/>
    <n v="0"/>
    <x v="4"/>
    <x v="0"/>
  </r>
  <r>
    <s v="4221428011 Bangunan Sintel BMN"/>
    <n v="463360000"/>
    <n v="463360000"/>
    <n v="22153380"/>
    <n v="0"/>
    <n v="22153380"/>
    <n v="441206620"/>
    <n v="0"/>
    <x v="4"/>
    <x v="0"/>
  </r>
  <r>
    <s v="4221428012 Sistem Proteksi Sintel BMN"/>
    <n v="996956000"/>
    <n v="996956000"/>
    <n v="0"/>
    <n v="0"/>
    <n v="0"/>
    <n v="996956000"/>
    <n v="0"/>
    <x v="4"/>
    <x v="0"/>
  </r>
  <r>
    <s v="4221428013 Tanda Semboyan Marka Sintel BMN"/>
    <n v="317990000"/>
    <n v="317990000"/>
    <n v="3857000"/>
    <n v="0"/>
    <n v="3857000"/>
    <n v="314133000"/>
    <n v="0"/>
    <x v="4"/>
    <x v="0"/>
  </r>
  <r>
    <s v="4221428014 Catu Daya Sintel BMN"/>
    <n v="2427860000"/>
    <n v="2427860000"/>
    <n v="48285000"/>
    <n v="0"/>
    <n v="48285000"/>
    <n v="2379575000"/>
    <n v="0"/>
    <x v="4"/>
    <x v="0"/>
  </r>
  <r>
    <s v="4222423110 Bangunan Sintel KAI"/>
    <n v="500000000"/>
    <n v="500000000"/>
    <n v="38082500"/>
    <n v="8775138"/>
    <n v="46857638"/>
    <n v="453142362"/>
    <n v="0"/>
    <x v="4"/>
    <x v="2"/>
  </r>
  <r>
    <s v="4222424010 Peralatan Luar Sinyal Elektrik KAI"/>
    <n v="78898000"/>
    <n v="78898000"/>
    <n v="0"/>
    <n v="0"/>
    <n v="0"/>
    <n v="78898000"/>
    <n v="0"/>
    <x v="4"/>
    <x v="2"/>
  </r>
  <r>
    <s v="4222470010 Alat Kerja Sintel KAI"/>
    <n v="867942000"/>
    <n v="867942000"/>
    <n v="0"/>
    <n v="0"/>
    <n v="0"/>
    <n v="867942000"/>
    <n v="0"/>
    <x v="4"/>
    <x v="2"/>
  </r>
  <r>
    <s v="4222600000 Peralatan Khusus Prasarana KAI"/>
    <n v="250000000"/>
    <n v="187500000"/>
    <n v="0"/>
    <n v="0"/>
    <n v="0"/>
    <n v="187500000"/>
    <n v="62500000"/>
    <x v="4"/>
    <x v="3"/>
  </r>
  <r>
    <s v="4222800000 Beban BBM Mekanik Prasarana"/>
    <n v="90090000"/>
    <n v="90090000"/>
    <n v="11205000"/>
    <n v="0"/>
    <n v="11205000"/>
    <n v="78885000"/>
    <n v="0"/>
    <x v="4"/>
    <x v="8"/>
  </r>
  <r>
    <s v="4231140000 Komunikasi Radio &amp; Telekomunikasi"/>
    <n v="132300000"/>
    <n v="132300000"/>
    <n v="0"/>
    <n v="0"/>
    <n v="0"/>
    <n v="132300000"/>
    <n v="0"/>
    <x v="4"/>
    <x v="5"/>
  </r>
  <r>
    <s v="4232130000 LAT Beban Umum Pengoperasian Prasarana (IO)"/>
    <n v="2369000000"/>
    <n v="2369000000"/>
    <n v="0"/>
    <n v="493648655"/>
    <n v="493648655"/>
    <n v="1875351345"/>
    <n v="0"/>
    <x v="4"/>
    <x v="5"/>
  </r>
  <r>
    <s v="4233100000 Rapat&amp;Akomodasi Beban Umum Perawatan Prasarana KAI"/>
    <n v="180000000"/>
    <n v="135000000"/>
    <n v="10000000"/>
    <n v="10000000"/>
    <n v="20000000"/>
    <n v="115000000"/>
    <n v="45000000"/>
    <x v="4"/>
    <x v="1"/>
  </r>
  <r>
    <s v="4233150010 Kerumahtanggaan Beban Umum Perawatan Prasarana KAI"/>
    <n v="545000000"/>
    <n v="408750000"/>
    <n v="64994809"/>
    <n v="88041635"/>
    <n v="153036444"/>
    <n v="255713556"/>
    <n v="136250000"/>
    <x v="4"/>
    <x v="1"/>
  </r>
  <r>
    <s v="4233151710 Kerumahtanggaan UMDT Beban Umum Perawatan Pras KAI"/>
    <n v="87000000"/>
    <n v="87000000"/>
    <n v="0"/>
    <n v="14461500"/>
    <n v="14461500"/>
    <n v="72538500"/>
    <n v="0"/>
    <x v="4"/>
    <x v="1"/>
  </r>
  <r>
    <s v="4233160010 Inventaris Beban Umum Perawatan Prasarana KAI"/>
    <n v="586200000"/>
    <n v="439650000"/>
    <n v="59608983"/>
    <n v="49712900"/>
    <n v="109321883"/>
    <n v="330328117"/>
    <n v="146550000"/>
    <x v="4"/>
    <x v="1"/>
  </r>
  <r>
    <s v="4233180010 Beban Umum Pengiriman Prasarana KAI"/>
    <n v="20000000"/>
    <n v="15000000"/>
    <n v="0"/>
    <n v="3000000"/>
    <n v="3000000"/>
    <n v="12000000"/>
    <n v="5000000"/>
    <x v="4"/>
    <x v="1"/>
  </r>
  <r>
    <s v="4233200000 Perjalanan Dinas BebanUmum Perawatan Prasarana KAI"/>
    <n v="216402000"/>
    <n v="162301500"/>
    <n v="0"/>
    <n v="38859250"/>
    <n v="38859250"/>
    <n v="123442250"/>
    <n v="54100500"/>
    <x v="4"/>
    <x v="1"/>
  </r>
  <r>
    <s v="4233400000 ATK Beban Umum Perawatan Prasarana KAI"/>
    <n v="48000000"/>
    <n v="48000000"/>
    <n v="6889220"/>
    <n v="0"/>
    <n v="6889220"/>
    <n v="41110780"/>
    <n v="0"/>
    <x v="4"/>
    <x v="1"/>
  </r>
  <r>
    <s v="4272100010 Gaji &amp;Tunjangan PegawaiPerawatan Prasarana Unit JJ"/>
    <n v="7504723378"/>
    <n v="7504723378"/>
    <n v="0"/>
    <n v="1710228641"/>
    <n v="1710228641"/>
    <n v="5794494737"/>
    <n v="0"/>
    <x v="4"/>
    <x v="6"/>
  </r>
  <r>
    <s v="4272200010 Iuran Pensiun Pegawai Perawatan Prasarana Unit JJ/"/>
    <n v="226336070"/>
    <n v="226336070"/>
    <n v="0"/>
    <n v="56592114"/>
    <n v="56592114"/>
    <n v="169743956"/>
    <n v="0"/>
    <x v="4"/>
    <x v="6"/>
  </r>
  <r>
    <s v="4272400000 Lembur dan Perangsang Peg PrwtnPrsrna unit JJ/Sntl"/>
    <n v="7328638500"/>
    <n v="7328638500"/>
    <n v="0"/>
    <n v="1429658758"/>
    <n v="1429658758"/>
    <n v="5898979742"/>
    <n v="0"/>
    <x v="4"/>
    <x v="6"/>
  </r>
  <r>
    <s v="4272500000 PakaianDinas PegPrwtn PrasaranaUnit JJ/sntl/BY Pra"/>
    <n v="42356469"/>
    <n v="42356469"/>
    <n v="0"/>
    <n v="0"/>
    <n v="0"/>
    <n v="42356469"/>
    <n v="0"/>
    <x v="4"/>
    <x v="6"/>
  </r>
  <r>
    <s v="4273100010 Gaji &amp;Tunjangan Pegawai Renwas JJ/Sintel LAA"/>
    <n v="1286019333"/>
    <n v="1286019333"/>
    <n v="0"/>
    <n v="237901689"/>
    <n v="237901689"/>
    <n v="1048117644"/>
    <n v="0"/>
    <x v="4"/>
    <x v="6"/>
  </r>
  <r>
    <s v="4273200010 Iuran Pensiun Pegawai Renwas JJ/Sintel LAA"/>
    <n v="36818740"/>
    <n v="36818740"/>
    <n v="0"/>
    <n v="8131422"/>
    <n v="8131422"/>
    <n v="28687318"/>
    <n v="0"/>
    <x v="4"/>
    <x v="6"/>
  </r>
  <r>
    <s v="4273400000 Lembur dan Perangsang Pegawai Renwas JJ/Sintel LAA"/>
    <n v="1371419909"/>
    <n v="1371419909"/>
    <n v="0"/>
    <n v="292871192"/>
    <n v="292871192"/>
    <n v="1078548717"/>
    <n v="0"/>
    <x v="4"/>
    <x v="6"/>
  </r>
  <r>
    <s v="4273500000 Pakaian Dinas Pegawai Renwas JJ/Sintel LAA"/>
    <n v="3850588"/>
    <n v="3850588"/>
    <n v="0"/>
    <n v="0"/>
    <n v="0"/>
    <n v="3850588"/>
    <n v="0"/>
    <x v="4"/>
    <x v="6"/>
  </r>
  <r>
    <s v="23022000 Sintelis"/>
    <n v="46824993527"/>
    <n v="46375593027"/>
    <n v="11360522923"/>
    <n v="4573989269"/>
    <n v="15934512192"/>
    <n v="30441080835"/>
    <n v="449400500"/>
    <x v="4"/>
    <x v="7"/>
  </r>
  <r>
    <s v="1182000000 Persediaan Prasarana Perkeretaapian dan Umum"/>
    <n v="7317456560"/>
    <n v="7317456560"/>
    <n v="6239069420"/>
    <n v="0"/>
    <n v="6239069420"/>
    <n v="1078387140"/>
    <n v="0"/>
    <x v="5"/>
    <x v="0"/>
  </r>
  <r>
    <s v="4123210010 Gaji &amp;Tunjangan Pegawai Perawatan Sarana"/>
    <n v="65407631"/>
    <n v="65407631"/>
    <n v="0"/>
    <n v="0"/>
    <n v="0"/>
    <n v="65407631"/>
    <n v="0"/>
    <x v="5"/>
    <x v="6"/>
  </r>
  <r>
    <s v="4123240000 Lembur dan Perangsang Pegawai Perawatan Sarana"/>
    <n v="125267590"/>
    <n v="125267590"/>
    <n v="0"/>
    <n v="0"/>
    <n v="0"/>
    <n v="125267590"/>
    <n v="0"/>
    <x v="5"/>
    <x v="6"/>
  </r>
  <r>
    <s v="4123250000 Pakaian Dinas Pegawai Perawatan Sarana"/>
    <n v="550084"/>
    <n v="550084"/>
    <n v="0"/>
    <n v="0"/>
    <n v="0"/>
    <n v="550084"/>
    <n v="0"/>
    <x v="5"/>
    <x v="6"/>
  </r>
  <r>
    <s v="4221422010 Peralatan Luar Sinyal Elektrik BMN"/>
    <n v="3030122000"/>
    <n v="3030122000"/>
    <n v="461381691"/>
    <n v="0"/>
    <n v="461381691"/>
    <n v="2568740309"/>
    <n v="0"/>
    <x v="5"/>
    <x v="0"/>
  </r>
  <r>
    <s v="4221423010 Peralatan Dalam Sinyal Mekanik BMN"/>
    <n v="450000000"/>
    <n v="450000000"/>
    <n v="0"/>
    <n v="0"/>
    <n v="0"/>
    <n v="450000000"/>
    <n v="0"/>
    <x v="5"/>
    <x v="0"/>
  </r>
  <r>
    <s v="4221424010 Peralatan Luar Sinyal Mekanik BMN"/>
    <n v="455000000"/>
    <n v="455000000"/>
    <n v="5081445"/>
    <n v="0"/>
    <n v="5081445"/>
    <n v="449918555"/>
    <n v="0"/>
    <x v="5"/>
    <x v="0"/>
  </r>
  <r>
    <s v="4221425010 Pengamanan Perlintasan Sebidang BMN"/>
    <n v="469000000"/>
    <n v="469000000"/>
    <n v="44160000"/>
    <n v="5475000"/>
    <n v="49635000"/>
    <n v="419365000"/>
    <n v="0"/>
    <x v="5"/>
    <x v="0"/>
  </r>
  <r>
    <s v="4221426010 Pesawat Telepon BMN"/>
    <n v="400000000"/>
    <n v="400000000"/>
    <n v="51500000"/>
    <n v="0"/>
    <n v="51500000"/>
    <n v="348500000"/>
    <n v="0"/>
    <x v="5"/>
    <x v="0"/>
  </r>
  <r>
    <s v="4221427010 Transmisi Komunikasi BMN"/>
    <n v="609000000"/>
    <n v="609000000"/>
    <n v="88477869"/>
    <n v="46885000"/>
    <n v="135362869"/>
    <n v="473637131"/>
    <n v="0"/>
    <x v="5"/>
    <x v="0"/>
  </r>
  <r>
    <s v="4221428010 Peralatan Pendukung Sintel BMN"/>
    <n v="1862650000"/>
    <n v="1862650000"/>
    <n v="735987201"/>
    <n v="75332346"/>
    <n v="811319547"/>
    <n v="1051330453"/>
    <n v="0"/>
    <x v="5"/>
    <x v="0"/>
  </r>
  <r>
    <s v="4221428011 Bangunan Sintel BMN"/>
    <n v="281000000"/>
    <n v="281000000"/>
    <n v="30944688"/>
    <n v="0"/>
    <n v="30944688"/>
    <n v="250055312"/>
    <n v="0"/>
    <x v="5"/>
    <x v="0"/>
  </r>
  <r>
    <s v="4221428012 Sistem Proteksi Sintel BMN"/>
    <n v="950000000"/>
    <n v="950000000"/>
    <n v="490000000"/>
    <n v="0"/>
    <n v="490000000"/>
    <n v="460000000"/>
    <n v="0"/>
    <x v="5"/>
    <x v="0"/>
  </r>
  <r>
    <s v="4221428013 Tanda Semboyan Marka Sintel BMN"/>
    <n v="50000000"/>
    <n v="50000000"/>
    <n v="4883000"/>
    <n v="0"/>
    <n v="4883000"/>
    <n v="45117000"/>
    <n v="0"/>
    <x v="5"/>
    <x v="0"/>
  </r>
  <r>
    <s v="4221428014 Catu Daya Sintel BMN"/>
    <n v="1491275000"/>
    <n v="1491275000"/>
    <n v="1090050000"/>
    <n v="69795000"/>
    <n v="1159845000"/>
    <n v="331430000"/>
    <n v="0"/>
    <x v="5"/>
    <x v="0"/>
  </r>
  <r>
    <s v="4222422110 Peralatan Pendukung Sintel KAI"/>
    <n v="40000000"/>
    <n v="40000000"/>
    <n v="6475000"/>
    <n v="0"/>
    <n v="6475000"/>
    <n v="33525000"/>
    <n v="0"/>
    <x v="5"/>
    <x v="2"/>
  </r>
  <r>
    <s v="4222424010 Peralatan Luar Sinyal Elektrik KAI"/>
    <n v="100000000"/>
    <n v="100000000"/>
    <n v="0"/>
    <n v="0"/>
    <n v="0"/>
    <n v="100000000"/>
    <n v="0"/>
    <x v="5"/>
    <x v="2"/>
  </r>
  <r>
    <s v="4222470010 Alat Kerja Sintel KAI"/>
    <n v="509000000"/>
    <n v="509000000"/>
    <n v="18232600"/>
    <n v="0"/>
    <n v="18232600"/>
    <n v="490767400"/>
    <n v="0"/>
    <x v="5"/>
    <x v="2"/>
  </r>
  <r>
    <s v="4222600000 Peralatan Khusus Prasarana KAI"/>
    <n v="150000000"/>
    <n v="112500000"/>
    <n v="0"/>
    <n v="41856000"/>
    <n v="41856000"/>
    <n v="70644000"/>
    <n v="37500000"/>
    <x v="5"/>
    <x v="3"/>
  </r>
  <r>
    <s v="4222800000 Beban BBM Mekanik Prasarana"/>
    <n v="320100000"/>
    <n v="320100000"/>
    <n v="0"/>
    <n v="71775000"/>
    <n v="71775000"/>
    <n v="248325000"/>
    <n v="0"/>
    <x v="5"/>
    <x v="8"/>
  </r>
  <r>
    <s v="4232130000 LAT Beban Umum Pengoperasian Prasarana (IO)"/>
    <n v="2570000000"/>
    <n v="2570000000"/>
    <n v="0"/>
    <n v="569677542"/>
    <n v="569677542"/>
    <n v="2000322458"/>
    <n v="0"/>
    <x v="5"/>
    <x v="5"/>
  </r>
  <r>
    <s v="4233100000 Rapat&amp;Akomodasi Beban Umum Perawatan Prasarana KAI"/>
    <n v="130000000"/>
    <n v="97500000"/>
    <n v="6800000"/>
    <n v="32418811"/>
    <n v="39218811"/>
    <n v="58281189"/>
    <n v="32500000"/>
    <x v="5"/>
    <x v="1"/>
  </r>
  <r>
    <s v="4233150010 Kerumahtanggaan Beban Umum Perawatan Prasarana KAI"/>
    <n v="514046000"/>
    <n v="385534500"/>
    <n v="45159000"/>
    <n v="51029500"/>
    <n v="96188500"/>
    <n v="289346000"/>
    <n v="128511500"/>
    <x v="5"/>
    <x v="1"/>
  </r>
  <r>
    <s v="4233151710 Kerumahtanggaan UMDT Beban Umum Perawatan Pras KAI"/>
    <n v="105000000"/>
    <n v="105000000"/>
    <n v="0"/>
    <n v="17500000"/>
    <n v="17500000"/>
    <n v="87500000"/>
    <n v="0"/>
    <x v="5"/>
    <x v="1"/>
  </r>
  <r>
    <s v="4233160010 Inventaris Beban Umum Perawatan Prasarana KAI"/>
    <n v="450000000"/>
    <n v="337500000"/>
    <n v="23878000"/>
    <n v="13689000"/>
    <n v="37567000"/>
    <n v="299933000"/>
    <n v="112500000"/>
    <x v="5"/>
    <x v="1"/>
  </r>
  <r>
    <s v="4233180010 Beban Umum Pengiriman Prasarana KAI"/>
    <n v="165000000"/>
    <n v="123750000"/>
    <n v="0"/>
    <n v="0"/>
    <n v="0"/>
    <n v="123750000"/>
    <n v="41250000"/>
    <x v="5"/>
    <x v="1"/>
  </r>
  <r>
    <s v="4233200000 Perjalanan Dinas BebanUmum Perawatan Prasarana KAI"/>
    <n v="252000000"/>
    <n v="189000000"/>
    <n v="0"/>
    <n v="70813000"/>
    <n v="70813000"/>
    <n v="118187000"/>
    <n v="63000000"/>
    <x v="5"/>
    <x v="1"/>
  </r>
  <r>
    <s v="4233300000 LAT Beban Umum Perawatan Prasarana KAI"/>
    <n v="18000000"/>
    <n v="18000000"/>
    <n v="2490000"/>
    <n v="2012160"/>
    <n v="4502160"/>
    <n v="13497840"/>
    <n v="0"/>
    <x v="5"/>
    <x v="1"/>
  </r>
  <r>
    <s v="4233400000 ATK Beban Umum Perawatan Prasarana KAI"/>
    <n v="50000000"/>
    <n v="50000000"/>
    <n v="0"/>
    <n v="12431950"/>
    <n v="12431950"/>
    <n v="37568050"/>
    <n v="0"/>
    <x v="5"/>
    <x v="1"/>
  </r>
  <r>
    <s v="4272100010 Gaji &amp;Tunjangan PegawaiPerawatan Prasarana Unit JJ"/>
    <n v="9823162126"/>
    <n v="9823162126"/>
    <n v="0"/>
    <n v="2269059757"/>
    <n v="2269059757"/>
    <n v="7554102369"/>
    <n v="0"/>
    <x v="5"/>
    <x v="6"/>
  </r>
  <r>
    <s v="4272200010 Iuran Pensiun Pegawai Perawatan Prasarana Unit JJ/"/>
    <n v="253256971"/>
    <n v="253256971"/>
    <n v="0"/>
    <n v="60405247"/>
    <n v="60405247"/>
    <n v="192851724"/>
    <n v="0"/>
    <x v="5"/>
    <x v="6"/>
  </r>
  <r>
    <s v="4272400000 Lembur dan Perangsang Peg PrwtnPrsrna unit JJ/Sntl"/>
    <n v="9245675372"/>
    <n v="9245675372"/>
    <n v="0"/>
    <n v="1977131319"/>
    <n v="1977131319"/>
    <n v="7268544053"/>
    <n v="0"/>
    <x v="5"/>
    <x v="6"/>
  </r>
  <r>
    <s v="4272500000 PakaianDinas PegPrwtn PrasaranaUnit JJ/sntl/BY Pra"/>
    <n v="53358150"/>
    <n v="53358150"/>
    <n v="0"/>
    <n v="0"/>
    <n v="0"/>
    <n v="53358150"/>
    <n v="0"/>
    <x v="5"/>
    <x v="6"/>
  </r>
  <r>
    <s v="4273100010 Gaji &amp;Tunjangan Pegawai Renwas JJ/Sintel LAA"/>
    <n v="711662069"/>
    <n v="711662069"/>
    <n v="0"/>
    <n v="239696718"/>
    <n v="239696718"/>
    <n v="471965351"/>
    <n v="0"/>
    <x v="5"/>
    <x v="6"/>
  </r>
  <r>
    <s v="4273200010 Iuran Pensiun Pegawai Renwas JJ/Sintel LAA"/>
    <n v="24702462"/>
    <n v="24702462"/>
    <n v="0"/>
    <n v="9608289"/>
    <n v="9608289"/>
    <n v="15094173"/>
    <n v="0"/>
    <x v="5"/>
    <x v="6"/>
  </r>
  <r>
    <s v="4273400000 Lembur dan Perangsang Pegawai Renwas JJ/Sintel LAA"/>
    <n v="825165933"/>
    <n v="825165933"/>
    <n v="0"/>
    <n v="272541584"/>
    <n v="272541584"/>
    <n v="552624349"/>
    <n v="0"/>
    <x v="5"/>
    <x v="6"/>
  </r>
  <r>
    <s v="4273500000 Pakaian Dinas Pegawai Renwas JJ/Sintel LAA"/>
    <n v="2750420"/>
    <n v="2750420"/>
    <n v="0"/>
    <n v="0"/>
    <n v="0"/>
    <n v="2750420"/>
    <n v="0"/>
    <x v="5"/>
    <x v="6"/>
  </r>
  <r>
    <s v="24022000 Sintelis"/>
    <n v="43869608368"/>
    <n v="43454346868"/>
    <n v="9344569914"/>
    <n v="5909133223"/>
    <n v="15253703137"/>
    <n v="28200643731"/>
    <n v="415261500"/>
    <x v="5"/>
    <x v="7"/>
  </r>
  <r>
    <s v="1182000000 Persediaan Prasarana Perkeretaapian dan Umum"/>
    <n v="12264606000"/>
    <n v="12264606000"/>
    <n v="9573167730"/>
    <n v="36030000"/>
    <n v="9609197730"/>
    <n v="2655408270"/>
    <n v="0"/>
    <x v="6"/>
    <x v="0"/>
  </r>
  <r>
    <s v="4221422010 Peralatan Luar Sinyal Elektrik BMN"/>
    <n v="1126306000"/>
    <n v="1126306000"/>
    <n v="617301007"/>
    <n v="0"/>
    <n v="617301007"/>
    <n v="509004993"/>
    <n v="0"/>
    <x v="6"/>
    <x v="0"/>
  </r>
  <r>
    <s v="4221423010 Peralatan Dalam Sinyal Mekanik BMN"/>
    <n v="100000000"/>
    <n v="100000000"/>
    <n v="0"/>
    <n v="0"/>
    <n v="0"/>
    <n v="100000000"/>
    <n v="0"/>
    <x v="6"/>
    <x v="0"/>
  </r>
  <r>
    <s v="4221424010 Peralatan Luar Sinyal Mekanik BMN"/>
    <n v="495000000"/>
    <n v="495000000"/>
    <n v="29117120"/>
    <n v="0"/>
    <n v="29117120"/>
    <n v="465882880"/>
    <n v="0"/>
    <x v="6"/>
    <x v="0"/>
  </r>
  <r>
    <s v="4221425010 Pengamanan Perlintasan Sebidang BMN"/>
    <n v="200000000"/>
    <n v="200000000"/>
    <n v="0"/>
    <n v="0"/>
    <n v="0"/>
    <n v="200000000"/>
    <n v="0"/>
    <x v="6"/>
    <x v="0"/>
  </r>
  <r>
    <s v="4221427010 Transmisi Komunikasi BMN"/>
    <n v="1310391000"/>
    <n v="1310391000"/>
    <n v="62324038"/>
    <n v="100383550"/>
    <n v="162707588"/>
    <n v="1147683412"/>
    <n v="0"/>
    <x v="6"/>
    <x v="0"/>
  </r>
  <r>
    <s v="4221428010 Peralatan Pendukung Sintel BMN"/>
    <n v="1380000000"/>
    <n v="1380000000"/>
    <n v="341396016"/>
    <n v="201042000"/>
    <n v="542438016"/>
    <n v="837561984"/>
    <n v="0"/>
    <x v="6"/>
    <x v="0"/>
  </r>
  <r>
    <s v="4221428011 Bangunan Sintel BMN"/>
    <n v="350000000"/>
    <n v="350000000"/>
    <n v="0"/>
    <n v="0"/>
    <n v="0"/>
    <n v="350000000"/>
    <n v="0"/>
    <x v="6"/>
    <x v="0"/>
  </r>
  <r>
    <s v="4221428012 Sistem Proteksi Sintel BMN"/>
    <n v="497000000"/>
    <n v="497000000"/>
    <n v="496659494"/>
    <n v="0"/>
    <n v="496659494"/>
    <n v="340506"/>
    <n v="0"/>
    <x v="6"/>
    <x v="0"/>
  </r>
  <r>
    <s v="4221428013 Tanda Semboyan Marka Sintel BMN"/>
    <n v="100000000"/>
    <n v="100000000"/>
    <n v="6718000"/>
    <n v="0"/>
    <n v="6718000"/>
    <n v="93282000"/>
    <n v="0"/>
    <x v="6"/>
    <x v="0"/>
  </r>
  <r>
    <s v="4221428014 Catu Daya Sintel BMN"/>
    <n v="2264065000"/>
    <n v="2264065000"/>
    <n v="1986680000"/>
    <n v="0"/>
    <n v="1986680000"/>
    <n v="277385000"/>
    <n v="0"/>
    <x v="6"/>
    <x v="0"/>
  </r>
  <r>
    <s v="4222424010 Peralatan Luar Sinyal Elektrik KAI"/>
    <n v="30000000"/>
    <n v="30000000"/>
    <n v="0"/>
    <n v="0"/>
    <n v="0"/>
    <n v="30000000"/>
    <n v="0"/>
    <x v="6"/>
    <x v="2"/>
  </r>
  <r>
    <s v="4222470010 Alat Kerja Sintel KAI"/>
    <n v="1155000000"/>
    <n v="1155000000"/>
    <n v="495830000"/>
    <n v="0"/>
    <n v="495830000"/>
    <n v="659170000"/>
    <n v="0"/>
    <x v="6"/>
    <x v="2"/>
  </r>
  <r>
    <s v="4222600000 Peralatan Khusus Prasarana KAI"/>
    <n v="1040000000"/>
    <n v="780000000"/>
    <n v="0"/>
    <n v="0"/>
    <n v="0"/>
    <n v="780000000"/>
    <n v="260000000"/>
    <x v="6"/>
    <x v="3"/>
  </r>
  <r>
    <s v="4222800000 Beban BBM Mekanik Prasarana"/>
    <n v="250000000"/>
    <n v="250000000"/>
    <n v="0"/>
    <n v="32848750"/>
    <n v="32848750"/>
    <n v="217151250"/>
    <n v="0"/>
    <x v="6"/>
    <x v="8"/>
  </r>
  <r>
    <s v="4232130000 LAT Beban Umum Pengoperasian Prasarana (IO)"/>
    <n v="3063576000"/>
    <n v="3063576000"/>
    <n v="0"/>
    <n v="573387303"/>
    <n v="573387303"/>
    <n v="2490188697"/>
    <n v="0"/>
    <x v="6"/>
    <x v="5"/>
  </r>
  <r>
    <s v="4233100000 Rapat&amp;Akomodasi Beban Umum Perawatan Prasarana KAI"/>
    <n v="146883400"/>
    <n v="110162550"/>
    <n v="15291000"/>
    <n v="9960000"/>
    <n v="25251000"/>
    <n v="84911550"/>
    <n v="36720850"/>
    <x v="6"/>
    <x v="1"/>
  </r>
  <r>
    <s v="4233150010 Kerumahtanggaan Beban Umum Perawatan Prasarana KAI"/>
    <n v="472318000"/>
    <n v="354238500"/>
    <n v="40399000"/>
    <n v="65317900"/>
    <n v="105716900"/>
    <n v="248521600"/>
    <n v="118079500"/>
    <x v="6"/>
    <x v="1"/>
  </r>
  <r>
    <s v="4233151710 Kerumahtanggaan UMDT Beban Umum Perawatan Pras KAI"/>
    <n v="99000000"/>
    <n v="99000000"/>
    <n v="0"/>
    <n v="16500000"/>
    <n v="16500000"/>
    <n v="82500000"/>
    <n v="0"/>
    <x v="6"/>
    <x v="1"/>
  </r>
  <r>
    <s v="4233160010 Inventaris Beban Umum Perawatan Prasarana KAI"/>
    <n v="775000000"/>
    <n v="732016185"/>
    <n v="654645750"/>
    <n v="72295180"/>
    <n v="726940930"/>
    <n v="5075255"/>
    <n v="42983815"/>
    <x v="6"/>
    <x v="1"/>
  </r>
  <r>
    <s v="4233200000 Perjalanan Dinas BebanUmum Perawatan Prasarana KAI"/>
    <n v="269712000"/>
    <n v="202284000"/>
    <n v="0"/>
    <n v="50796750"/>
    <n v="50796750"/>
    <n v="151487250"/>
    <n v="67428000"/>
    <x v="6"/>
    <x v="1"/>
  </r>
  <r>
    <s v="4233400000 ATK Beban Umum Perawatan Prasarana KAI"/>
    <n v="60000000"/>
    <n v="60000000"/>
    <n v="14997987"/>
    <n v="0"/>
    <n v="14997987"/>
    <n v="45002013"/>
    <n v="0"/>
    <x v="6"/>
    <x v="1"/>
  </r>
  <r>
    <s v="4272100010 Gaji &amp;Tunjangan PegawaiPerawatan Prasarana Unit JJ"/>
    <n v="9825956170"/>
    <n v="9825956170"/>
    <n v="0"/>
    <n v="2291142206"/>
    <n v="2291142206"/>
    <n v="7534813964"/>
    <n v="0"/>
    <x v="6"/>
    <x v="6"/>
  </r>
  <r>
    <s v="4272200010 Iuran Pensiun Pegawai Perawatan Prasarana Unit JJ/"/>
    <n v="469848578"/>
    <n v="469848578"/>
    <n v="0"/>
    <n v="122341192"/>
    <n v="122341192"/>
    <n v="347507386"/>
    <n v="0"/>
    <x v="6"/>
    <x v="6"/>
  </r>
  <r>
    <s v="4272400000 Lembur dan Perangsang Peg PrwtnPrsrna unit JJ/Sntl"/>
    <n v="9512105917"/>
    <n v="9512105917"/>
    <n v="0"/>
    <n v="1970237348"/>
    <n v="1970237348"/>
    <n v="7541868569"/>
    <n v="0"/>
    <x v="6"/>
    <x v="6"/>
  </r>
  <r>
    <s v="4272500000 PakaianDinas PegPrwtn PrasaranaUnit JJ/sntl/BY Pra"/>
    <n v="52257981"/>
    <n v="52257981"/>
    <n v="0"/>
    <n v="0"/>
    <n v="0"/>
    <n v="52257981"/>
    <n v="0"/>
    <x v="6"/>
    <x v="6"/>
  </r>
  <r>
    <s v="4273100010 Gaji &amp;Tunjangan Pegawai Renwas JJ/Sintel LAA"/>
    <n v="994942561"/>
    <n v="994942561"/>
    <n v="0"/>
    <n v="235546012"/>
    <n v="235546012"/>
    <n v="759396549"/>
    <n v="0"/>
    <x v="6"/>
    <x v="6"/>
  </r>
  <r>
    <s v="4273200010 Iuran Pensiun Pegawai Renwas JJ/Sintel LAA"/>
    <n v="33538359"/>
    <n v="33538359"/>
    <n v="0"/>
    <n v="10318511"/>
    <n v="10318511"/>
    <n v="23219848"/>
    <n v="0"/>
    <x v="6"/>
    <x v="6"/>
  </r>
  <r>
    <s v="4273400000 Lembur dan Perangsang Pegawai Renwas JJ/Sintel LAA"/>
    <n v="1099727334"/>
    <n v="1099727334"/>
    <n v="0"/>
    <n v="279539232"/>
    <n v="279539232"/>
    <n v="820188102"/>
    <n v="0"/>
    <x v="6"/>
    <x v="6"/>
  </r>
  <r>
    <s v="4273500000 Pakaian Dinas Pegawai Renwas JJ/Sintel LAA"/>
    <n v="2750420"/>
    <n v="2750420"/>
    <n v="0"/>
    <n v="0"/>
    <n v="0"/>
    <n v="2750420"/>
    <n v="0"/>
    <x v="6"/>
    <x v="6"/>
  </r>
  <r>
    <s v="25022000 Sintelis"/>
    <n v="49439984720"/>
    <n v="48914772555"/>
    <n v="14334527142"/>
    <n v="6067685934"/>
    <n v="20402213076"/>
    <n v="28512559479"/>
    <n v="525212165"/>
    <x v="6"/>
    <x v="7"/>
  </r>
  <r>
    <s v="1182000000 Persediaan Prasarana Perkeretaapian dan Umum"/>
    <n v="5695069150"/>
    <n v="5695069150"/>
    <n v="3653645019"/>
    <n v="0"/>
    <n v="3653645019"/>
    <n v="2041424131"/>
    <n v="0"/>
    <x v="7"/>
    <x v="0"/>
  </r>
  <r>
    <s v="4221422010 Peralatan Luar Sinyal Elektrik BMN"/>
    <n v="1540000000"/>
    <n v="1540000000"/>
    <n v="731199517"/>
    <n v="0"/>
    <n v="731199517"/>
    <n v="808800483"/>
    <n v="0"/>
    <x v="7"/>
    <x v="0"/>
  </r>
  <r>
    <s v="4221423010 Peralatan Dalam Sinyal Mekanik BMN"/>
    <n v="358342000"/>
    <n v="358342000"/>
    <n v="0"/>
    <n v="0"/>
    <n v="0"/>
    <n v="358342000"/>
    <n v="0"/>
    <x v="7"/>
    <x v="0"/>
  </r>
  <r>
    <s v="4221424010 Peralatan Luar Sinyal Mekanik BMN"/>
    <n v="150000000"/>
    <n v="150000000"/>
    <n v="0"/>
    <n v="0"/>
    <n v="0"/>
    <n v="150000000"/>
    <n v="0"/>
    <x v="7"/>
    <x v="0"/>
  </r>
  <r>
    <s v="4221425010 Pengamanan Perlintasan Sebidang BMN"/>
    <n v="875000000"/>
    <n v="875000000"/>
    <n v="197050000"/>
    <n v="6817000"/>
    <n v="203867000"/>
    <n v="671133000"/>
    <n v="0"/>
    <x v="7"/>
    <x v="0"/>
  </r>
  <r>
    <s v="4221426010 Pesawat Telepon BMN"/>
    <n v="3269982000"/>
    <n v="3269982000"/>
    <n v="197080000"/>
    <n v="99830000"/>
    <n v="296910000"/>
    <n v="2973072000"/>
    <n v="0"/>
    <x v="7"/>
    <x v="0"/>
  </r>
  <r>
    <s v="4221427010 Transmisi Komunikasi BMN"/>
    <n v="491133000"/>
    <n v="491133000"/>
    <n v="0"/>
    <n v="98325000"/>
    <n v="98325000"/>
    <n v="392808000"/>
    <n v="0"/>
    <x v="7"/>
    <x v="0"/>
  </r>
  <r>
    <s v="4221428010 Peralatan Pendukung Sintel BMN"/>
    <n v="1700000000"/>
    <n v="1700000000"/>
    <n v="309489160"/>
    <n v="74800000"/>
    <n v="384289160"/>
    <n v="1315710840"/>
    <n v="0"/>
    <x v="7"/>
    <x v="0"/>
  </r>
  <r>
    <s v="4221428011 Bangunan Sintel BMN"/>
    <n v="400000000"/>
    <n v="400000000"/>
    <n v="0"/>
    <n v="0"/>
    <n v="0"/>
    <n v="400000000"/>
    <n v="0"/>
    <x v="7"/>
    <x v="0"/>
  </r>
  <r>
    <s v="4221428012 Sistem Proteksi Sintel BMN"/>
    <n v="1240000000"/>
    <n v="1240000000"/>
    <n v="49633664"/>
    <n v="0"/>
    <n v="49633664"/>
    <n v="1190366336"/>
    <n v="0"/>
    <x v="7"/>
    <x v="0"/>
  </r>
  <r>
    <s v="4221428013 Tanda Semboyan Marka Sintel BMN"/>
    <n v="150000000"/>
    <n v="150000000"/>
    <n v="0"/>
    <n v="0"/>
    <n v="0"/>
    <n v="150000000"/>
    <n v="0"/>
    <x v="7"/>
    <x v="0"/>
  </r>
  <r>
    <s v="4221428014 Catu Daya Sintel BMN"/>
    <n v="2668302662"/>
    <n v="2668302662"/>
    <n v="2426540000"/>
    <n v="0"/>
    <n v="2426540000"/>
    <n v="241762662"/>
    <n v="0"/>
    <x v="7"/>
    <x v="0"/>
  </r>
  <r>
    <s v="4221521010 Catu Daya LAA BMN"/>
    <n v="547536000"/>
    <n v="547536000"/>
    <n v="0"/>
    <n v="0"/>
    <n v="0"/>
    <n v="547536000"/>
    <n v="0"/>
    <x v="7"/>
    <x v="0"/>
  </r>
  <r>
    <s v="4221522010 Tranmisi Tenaga LAA BMN"/>
    <n v="5267324000"/>
    <n v="5267324000"/>
    <n v="3682715131"/>
    <n v="125320040"/>
    <n v="3808035171"/>
    <n v="1459288829"/>
    <n v="0"/>
    <x v="7"/>
    <x v="0"/>
  </r>
  <r>
    <s v="4221524010 Tanda Semboyan LAA BMN"/>
    <n v="1151000000"/>
    <n v="1151000000"/>
    <n v="316539281"/>
    <n v="0"/>
    <n v="316539281"/>
    <n v="834460719"/>
    <n v="0"/>
    <x v="7"/>
    <x v="0"/>
  </r>
  <r>
    <s v="4221526010 Sistim Proteksi LAA BMN"/>
    <n v="775000000"/>
    <n v="775000000"/>
    <n v="0"/>
    <n v="49450000"/>
    <n v="49450000"/>
    <n v="725550000"/>
    <n v="0"/>
    <x v="7"/>
    <x v="0"/>
  </r>
  <r>
    <s v="4221527010 Pendukung LAA BMN"/>
    <n v="2260000000"/>
    <n v="2260000000"/>
    <n v="447600900"/>
    <n v="0"/>
    <n v="447600900"/>
    <n v="1812399100"/>
    <n v="0"/>
    <x v="7"/>
    <x v="0"/>
  </r>
  <r>
    <s v="4222424010 Peralatan Luar Sinyal Elektrik KAI"/>
    <n v="250000000"/>
    <n v="250000000"/>
    <n v="0"/>
    <n v="0"/>
    <n v="0"/>
    <n v="250000000"/>
    <n v="0"/>
    <x v="7"/>
    <x v="2"/>
  </r>
  <r>
    <s v="4222470010 Alat Kerja Sintel KAI"/>
    <n v="750000000"/>
    <n v="750000000"/>
    <n v="8959000"/>
    <n v="36500000"/>
    <n v="45459000"/>
    <n v="704541000"/>
    <n v="0"/>
    <x v="7"/>
    <x v="2"/>
  </r>
  <r>
    <s v="4222528010 Alat Kerja pendukung perawatan KAI"/>
    <n v="1242000000"/>
    <n v="1242000000"/>
    <n v="0"/>
    <n v="0"/>
    <n v="0"/>
    <n v="1242000000"/>
    <n v="0"/>
    <x v="7"/>
    <x v="2"/>
  </r>
  <r>
    <s v="4222600000 Peralatan Khusus Prasarana KAI"/>
    <n v="200000000"/>
    <n v="150000000"/>
    <n v="0"/>
    <n v="0"/>
    <n v="0"/>
    <n v="150000000"/>
    <n v="50000000"/>
    <x v="7"/>
    <x v="3"/>
  </r>
  <r>
    <s v="4222800000 Beban BBM Mekanik Prasarana"/>
    <n v="346377600"/>
    <n v="346377600"/>
    <n v="1160000"/>
    <n v="62100000"/>
    <n v="63260000"/>
    <n v="283117600"/>
    <n v="0"/>
    <x v="7"/>
    <x v="8"/>
  </r>
  <r>
    <s v="4232130000 LAT Beban Umum Pengoperasian Prasarana (IO)"/>
    <n v="1952349292"/>
    <n v="1952349292"/>
    <n v="0"/>
    <n v="465736545"/>
    <n v="465736545"/>
    <n v="1486612747"/>
    <n v="0"/>
    <x v="7"/>
    <x v="5"/>
  </r>
  <r>
    <s v="4233100000 Rapat&amp;Akomodasi Beban Umum Perawatan Prasarana KAI"/>
    <n v="82737800"/>
    <n v="62053350"/>
    <n v="19717137"/>
    <n v="9188377"/>
    <n v="28905514"/>
    <n v="33147836"/>
    <n v="20684450"/>
    <x v="7"/>
    <x v="1"/>
  </r>
  <r>
    <s v="4233150010 Kerumahtanggaan Beban Umum Perawatan Prasarana KAI"/>
    <n v="627208851"/>
    <n v="470406638"/>
    <n v="345730000"/>
    <n v="78837733"/>
    <n v="424567733"/>
    <n v="45838905"/>
    <n v="156802213"/>
    <x v="7"/>
    <x v="1"/>
  </r>
  <r>
    <s v="4233151710 Kerumahtanggaan UMDT Beban Umum Perawatan Pras KAI"/>
    <n v="151800000"/>
    <n v="151800000"/>
    <n v="0"/>
    <n v="20461500"/>
    <n v="20461500"/>
    <n v="131338500"/>
    <n v="0"/>
    <x v="7"/>
    <x v="1"/>
  </r>
  <r>
    <s v="4233160010 Inventaris Beban Umum Perawatan Prasarana KAI"/>
    <n v="942936000"/>
    <n v="707202000"/>
    <n v="59146500"/>
    <n v="0"/>
    <n v="59146500"/>
    <n v="648055500"/>
    <n v="235734000"/>
    <x v="7"/>
    <x v="1"/>
  </r>
  <r>
    <s v="4233200000 Perjalanan Dinas BebanUmum Perawatan Prasarana KAI"/>
    <n v="271299000"/>
    <n v="203474250"/>
    <n v="0"/>
    <n v="59174750"/>
    <n v="59174750"/>
    <n v="144299500"/>
    <n v="67824750"/>
    <x v="7"/>
    <x v="1"/>
  </r>
  <r>
    <s v="4233300000 LAT Beban Umum Perawatan Prasarana KAI"/>
    <n v="181144082"/>
    <n v="181144082"/>
    <n v="5683583"/>
    <n v="19555332"/>
    <n v="25238915"/>
    <n v="155905167"/>
    <n v="0"/>
    <x v="7"/>
    <x v="1"/>
  </r>
  <r>
    <s v="4233400000 ATK Beban Umum Perawatan Prasarana KAI"/>
    <n v="46497000"/>
    <n v="46497000"/>
    <n v="0"/>
    <n v="13582000"/>
    <n v="13582000"/>
    <n v="32915000"/>
    <n v="0"/>
    <x v="7"/>
    <x v="1"/>
  </r>
  <r>
    <s v="4242000000 Beban Penyusutan AT Bangunan Kantor"/>
    <n v="0"/>
    <n v="0"/>
    <n v="0"/>
    <n v="18235895"/>
    <n v="18235895"/>
    <n v="-18235895"/>
    <n v="0"/>
    <x v="7"/>
    <x v="6"/>
  </r>
  <r>
    <s v="4272100010 Gaji &amp;Tunjangan PegawaiPerawatan Prasarana Unit JJ"/>
    <n v="12622618927"/>
    <n v="12622618927"/>
    <n v="0"/>
    <n v="2910916196"/>
    <n v="2910916196"/>
    <n v="9711702731"/>
    <n v="0"/>
    <x v="7"/>
    <x v="6"/>
  </r>
  <r>
    <s v="4272200010 Iuran Pensiun Pegawai Perawatan Prasarana Unit JJ/"/>
    <n v="195048292"/>
    <n v="195048292"/>
    <n v="0"/>
    <n v="45377546"/>
    <n v="45377546"/>
    <n v="149670746"/>
    <n v="0"/>
    <x v="7"/>
    <x v="6"/>
  </r>
  <r>
    <s v="4272400000 Lembur dan Perangsang Peg PrwtnPrsrna unit JJ/Sntl"/>
    <n v="12911717415"/>
    <n v="12911717415"/>
    <n v="0"/>
    <n v="2626140520"/>
    <n v="2626140520"/>
    <n v="10285576895"/>
    <n v="0"/>
    <x v="7"/>
    <x v="6"/>
  </r>
  <r>
    <s v="4272500000 PakaianDinas PegPrwtn PrasaranaUnit JJ/sntl/BY Pra"/>
    <n v="74261342"/>
    <n v="74261342"/>
    <n v="0"/>
    <n v="0"/>
    <n v="0"/>
    <n v="74261342"/>
    <n v="0"/>
    <x v="7"/>
    <x v="6"/>
  </r>
  <r>
    <s v="4273100010 Gaji &amp;Tunjangan Pegawai Renwas JJ/Sintel LAA"/>
    <n v="1260610655"/>
    <n v="1260610655"/>
    <n v="0"/>
    <n v="263350400"/>
    <n v="263350400"/>
    <n v="997260255"/>
    <n v="0"/>
    <x v="7"/>
    <x v="6"/>
  </r>
  <r>
    <s v="4273200010 Iuran Pensiun Pegawai Renwas JJ/Sintel LAA"/>
    <n v="27455801"/>
    <n v="27455801"/>
    <n v="0"/>
    <n v="6704803"/>
    <n v="6704803"/>
    <n v="20750998"/>
    <n v="0"/>
    <x v="7"/>
    <x v="6"/>
  </r>
  <r>
    <s v="4273400000 Lembur dan Perangsang Pegawai Renwas JJ/Sintel LAA"/>
    <n v="1560328837"/>
    <n v="1560328837"/>
    <n v="0"/>
    <n v="335001848"/>
    <n v="335001848"/>
    <n v="1225326989"/>
    <n v="0"/>
    <x v="7"/>
    <x v="6"/>
  </r>
  <r>
    <s v="4273500000 Pakaian Dinas Pegawai Renwas JJ/Sintel LAA"/>
    <n v="2750420"/>
    <n v="2750420"/>
    <n v="0"/>
    <n v="0"/>
    <n v="0"/>
    <n v="2750420"/>
    <n v="0"/>
    <x v="7"/>
    <x v="6"/>
  </r>
  <r>
    <s v="26022000 Sintelis"/>
    <n v="64237830126"/>
    <n v="63706784713"/>
    <n v="12451888892"/>
    <n v="7425405485"/>
    <n v="19877294377"/>
    <n v="43829490336"/>
    <n v="531045413"/>
    <x v="7"/>
    <x v="7"/>
  </r>
  <r>
    <s v="1182000000 Persediaan Prasarana Perkeretaapian dan Umum"/>
    <n v="3628073000"/>
    <n v="3628073000"/>
    <n v="3299963760"/>
    <n v="0"/>
    <n v="3299963760"/>
    <n v="328109240"/>
    <n v="0"/>
    <x v="8"/>
    <x v="0"/>
  </r>
  <r>
    <s v="4221422010 Peralatan Luar Sinyal Elektrik BMN"/>
    <n v="128850000"/>
    <n v="128850000"/>
    <n v="0"/>
    <n v="16650000"/>
    <n v="16650000"/>
    <n v="112200000"/>
    <n v="0"/>
    <x v="8"/>
    <x v="0"/>
  </r>
  <r>
    <s v="4221423010 Peralatan Dalam Sinyal Mekanik BMN"/>
    <n v="488774000"/>
    <n v="488774000"/>
    <n v="472749437"/>
    <n v="0"/>
    <n v="472749437"/>
    <n v="16024563"/>
    <n v="0"/>
    <x v="8"/>
    <x v="0"/>
  </r>
  <r>
    <s v="4221424010 Peralatan Luar Sinyal Mekanik BMN"/>
    <n v="498000000"/>
    <n v="498000000"/>
    <n v="487985800"/>
    <n v="0"/>
    <n v="487985800"/>
    <n v="10014200"/>
    <n v="0"/>
    <x v="8"/>
    <x v="0"/>
  </r>
  <r>
    <s v="4221425010 Pengamanan Perlintasan Sebidang BMN"/>
    <n v="298750000"/>
    <n v="298750000"/>
    <n v="35247626"/>
    <n v="0"/>
    <n v="35247626"/>
    <n v="263502374"/>
    <n v="0"/>
    <x v="8"/>
    <x v="0"/>
  </r>
  <r>
    <s v="4221426010 Pesawat Telepon BMN"/>
    <n v="193000000"/>
    <n v="193000000"/>
    <n v="0"/>
    <n v="0"/>
    <n v="0"/>
    <n v="193000000"/>
    <n v="0"/>
    <x v="8"/>
    <x v="0"/>
  </r>
  <r>
    <s v="4221427010 Transmisi Komunikasi BMN"/>
    <n v="1222108000"/>
    <n v="1222108000"/>
    <n v="884313681"/>
    <n v="93397015"/>
    <n v="977710696"/>
    <n v="244397304"/>
    <n v="0"/>
    <x v="8"/>
    <x v="0"/>
  </r>
  <r>
    <s v="4221428010 Peralatan Pendukung Sintel BMN"/>
    <n v="534300000"/>
    <n v="534300000"/>
    <n v="31132500"/>
    <n v="143332828"/>
    <n v="174465328"/>
    <n v="359834672"/>
    <n v="0"/>
    <x v="8"/>
    <x v="0"/>
  </r>
  <r>
    <s v="4221428011 Bangunan Sintel BMN"/>
    <n v="145000000"/>
    <n v="145000000"/>
    <n v="30259835"/>
    <n v="0"/>
    <n v="30259835"/>
    <n v="114740165"/>
    <n v="0"/>
    <x v="8"/>
    <x v="0"/>
  </r>
  <r>
    <s v="4221428012 Sistem Proteksi Sintel BMN"/>
    <n v="174000000"/>
    <n v="174000000"/>
    <n v="0"/>
    <n v="0"/>
    <n v="0"/>
    <n v="174000000"/>
    <n v="0"/>
    <x v="8"/>
    <x v="0"/>
  </r>
  <r>
    <s v="4221428013 Tanda Semboyan Marka Sintel BMN"/>
    <n v="49800000"/>
    <n v="49800000"/>
    <n v="0"/>
    <n v="0"/>
    <n v="0"/>
    <n v="49800000"/>
    <n v="0"/>
    <x v="8"/>
    <x v="0"/>
  </r>
  <r>
    <s v="4221428014 Catu Daya Sintel BMN"/>
    <n v="1882400000"/>
    <n v="1882400000"/>
    <n v="1658705000"/>
    <n v="0"/>
    <n v="1658705000"/>
    <n v="223695000"/>
    <n v="0"/>
    <x v="8"/>
    <x v="0"/>
  </r>
  <r>
    <s v="4222423110 Bangunan Sintel KAI"/>
    <n v="300000000"/>
    <n v="300000000"/>
    <n v="0"/>
    <n v="1944000"/>
    <n v="1944000"/>
    <n v="298056000"/>
    <n v="0"/>
    <x v="8"/>
    <x v="2"/>
  </r>
  <r>
    <s v="4222424010 Peralatan Luar Sinyal Elektrik KAI"/>
    <n v="15000000"/>
    <n v="15000000"/>
    <n v="0"/>
    <n v="0"/>
    <n v="0"/>
    <n v="15000000"/>
    <n v="0"/>
    <x v="8"/>
    <x v="2"/>
  </r>
  <r>
    <s v="4222470010 Alat Kerja Sintel KAI"/>
    <n v="463000000"/>
    <n v="463000000"/>
    <n v="0"/>
    <n v="0"/>
    <n v="0"/>
    <n v="463000000"/>
    <n v="0"/>
    <x v="8"/>
    <x v="2"/>
  </r>
  <r>
    <s v="4222600000 Peralatan Khusus Prasarana KAI"/>
    <n v="100000000"/>
    <n v="75000000"/>
    <n v="0"/>
    <n v="2159300"/>
    <n v="2159300"/>
    <n v="72840700"/>
    <n v="25000000"/>
    <x v="8"/>
    <x v="3"/>
  </r>
  <r>
    <s v="4222800000 Beban BBM Mekanik Prasarana"/>
    <n v="111310000"/>
    <n v="111310000"/>
    <n v="0"/>
    <n v="21262500"/>
    <n v="21262500"/>
    <n v="90047500"/>
    <n v="0"/>
    <x v="8"/>
    <x v="8"/>
  </r>
  <r>
    <s v="4232130000 LAT Beban Umum Pengoperasian Prasarana (IO)"/>
    <n v="2310000000"/>
    <n v="2310000000"/>
    <n v="0"/>
    <n v="407799162"/>
    <n v="407799162"/>
    <n v="1902200838"/>
    <n v="0"/>
    <x v="8"/>
    <x v="5"/>
  </r>
  <r>
    <s v="4233100000 Rapat&amp;Akomodasi Beban Umum Perawatan Prasarana KAI"/>
    <n v="86152000"/>
    <n v="64614000"/>
    <n v="0"/>
    <n v="13214001"/>
    <n v="13214001"/>
    <n v="51399999"/>
    <n v="21538000"/>
    <x v="8"/>
    <x v="1"/>
  </r>
  <r>
    <s v="4233150010 Kerumahtanggaan Beban Umum Perawatan Prasarana KAI"/>
    <n v="110006000"/>
    <n v="82504500"/>
    <n v="36154000"/>
    <n v="13891000"/>
    <n v="50045000"/>
    <n v="32459500"/>
    <n v="27501500"/>
    <x v="8"/>
    <x v="1"/>
  </r>
  <r>
    <s v="4233151710 Kerumahtanggaan UMDT Beban Umum Perawatan Pras KAI"/>
    <n v="96000000"/>
    <n v="96000000"/>
    <n v="0"/>
    <n v="13500000"/>
    <n v="13500000"/>
    <n v="82500000"/>
    <n v="0"/>
    <x v="8"/>
    <x v="1"/>
  </r>
  <r>
    <s v="4233160010 Inventaris Beban Umum Perawatan Prasarana KAI"/>
    <n v="514400000"/>
    <n v="385800000"/>
    <n v="0"/>
    <n v="37922635"/>
    <n v="37922635"/>
    <n v="347877365"/>
    <n v="128600000"/>
    <x v="8"/>
    <x v="1"/>
  </r>
  <r>
    <s v="4233200000 Perjalanan Dinas BebanUmum Perawatan Prasarana KAI"/>
    <n v="230000000"/>
    <n v="172500000"/>
    <n v="0"/>
    <n v="39065500"/>
    <n v="39065500"/>
    <n v="133434500"/>
    <n v="57500000"/>
    <x v="8"/>
    <x v="1"/>
  </r>
  <r>
    <s v="4233400000 ATK Beban Umum Perawatan Prasarana KAI"/>
    <n v="40300000"/>
    <n v="40300000"/>
    <n v="9982500"/>
    <n v="0"/>
    <n v="9982500"/>
    <n v="30317500"/>
    <n v="0"/>
    <x v="8"/>
    <x v="1"/>
  </r>
  <r>
    <s v="4272100010 Gaji &amp;Tunjangan PegawaiPerawatan Prasarana Unit JJ"/>
    <n v="7053792265"/>
    <n v="7053792265"/>
    <n v="0"/>
    <n v="1571286488"/>
    <n v="1571286488"/>
    <n v="5482505777"/>
    <n v="0"/>
    <x v="8"/>
    <x v="6"/>
  </r>
  <r>
    <s v="4272200010 Iuran Pensiun Pegawai Perawatan Prasarana Unit JJ/"/>
    <n v="250901909"/>
    <n v="250901909"/>
    <n v="0"/>
    <n v="62202165"/>
    <n v="62202165"/>
    <n v="188699744"/>
    <n v="0"/>
    <x v="8"/>
    <x v="6"/>
  </r>
  <r>
    <s v="4272400000 Lembur dan Perangsang Peg PrwtnPrsrna unit JJ/Sntl"/>
    <n v="7015042421"/>
    <n v="7015042421"/>
    <n v="0"/>
    <n v="1460859297"/>
    <n v="1460859297"/>
    <n v="5554183124"/>
    <n v="0"/>
    <x v="8"/>
    <x v="6"/>
  </r>
  <r>
    <s v="4272500000 PakaianDinas PegPrwtn PrasaranaUnit JJ/sntl/BY Pra"/>
    <n v="36855629"/>
    <n v="36855629"/>
    <n v="0"/>
    <n v="0"/>
    <n v="0"/>
    <n v="36855629"/>
    <n v="0"/>
    <x v="8"/>
    <x v="6"/>
  </r>
  <r>
    <s v="4273100010 Gaji &amp;Tunjangan Pegawai Renwas JJ/Sintel LAA"/>
    <n v="1231212066"/>
    <n v="1231212066"/>
    <n v="0"/>
    <n v="265864980"/>
    <n v="265864980"/>
    <n v="965347086"/>
    <n v="0"/>
    <x v="8"/>
    <x v="6"/>
  </r>
  <r>
    <s v="4273200010 Iuran Pensiun Pegawai Renwas JJ/Sintel LAA"/>
    <n v="53436119"/>
    <n v="53436119"/>
    <n v="0"/>
    <n v="16027429"/>
    <n v="16027429"/>
    <n v="37408690"/>
    <n v="0"/>
    <x v="8"/>
    <x v="6"/>
  </r>
  <r>
    <s v="4273400000 Lembur dan Perangsang Pegawai Renwas JJ/Sintel LAA"/>
    <n v="1449712379"/>
    <n v="1449712379"/>
    <n v="0"/>
    <n v="296580473"/>
    <n v="296580473"/>
    <n v="1153131906"/>
    <n v="0"/>
    <x v="8"/>
    <x v="6"/>
  </r>
  <r>
    <s v="4273500000 Pakaian Dinas Pegawai Renwas JJ/Sintel LAA"/>
    <n v="4400672"/>
    <n v="4400672"/>
    <n v="0"/>
    <n v="0"/>
    <n v="0"/>
    <n v="4400672"/>
    <n v="0"/>
    <x v="8"/>
    <x v="6"/>
  </r>
  <r>
    <s v="27022000 Sintelis"/>
    <n v="30714576460"/>
    <n v="30454436960"/>
    <n v="6946494139"/>
    <n v="4476958773"/>
    <n v="11423452912"/>
    <n v="19030984048"/>
    <n v="260139500"/>
    <x v="8"/>
    <x v="7"/>
  </r>
  <r>
    <s v="1182000000 Persediaan Prasarana Perkeretaapian dan Umum"/>
    <n v="13755471000"/>
    <n v="13755471000"/>
    <n v="13000512555"/>
    <n v="704812500"/>
    <n v="13705325055"/>
    <n v="50145945"/>
    <n v="0"/>
    <x v="9"/>
    <x v="0"/>
  </r>
  <r>
    <s v="4221422010 Peralatan Luar Sinyal Elektrik BMN"/>
    <n v="2948978291"/>
    <n v="2948978291"/>
    <n v="2788546174"/>
    <n v="48872950"/>
    <n v="2837419124"/>
    <n v="111559167"/>
    <n v="0"/>
    <x v="9"/>
    <x v="0"/>
  </r>
  <r>
    <s v="4221423010 Peralatan Dalam Sinyal Mekanik BMN"/>
    <n v="447807006"/>
    <n v="447807006"/>
    <n v="0"/>
    <n v="0"/>
    <n v="0"/>
    <n v="447807006"/>
    <n v="0"/>
    <x v="9"/>
    <x v="0"/>
  </r>
  <r>
    <s v="4221424010 Peralatan Luar Sinyal Mekanik BMN"/>
    <n v="1880742104"/>
    <n v="1880742104"/>
    <n v="1372331214"/>
    <n v="11250900"/>
    <n v="1383582114"/>
    <n v="497159990"/>
    <n v="0"/>
    <x v="9"/>
    <x v="0"/>
  </r>
  <r>
    <s v="4221425010 Pengamanan Perlintasan Sebidang BMN"/>
    <n v="213056448"/>
    <n v="213056448"/>
    <n v="33060600"/>
    <n v="0"/>
    <n v="33060600"/>
    <n v="179995848"/>
    <n v="0"/>
    <x v="9"/>
    <x v="0"/>
  </r>
  <r>
    <s v="4221426010 Pesawat Telepon BMN"/>
    <n v="687000000"/>
    <n v="687000000"/>
    <n v="0"/>
    <n v="141841100"/>
    <n v="141841100"/>
    <n v="545158900"/>
    <n v="0"/>
    <x v="9"/>
    <x v="0"/>
  </r>
  <r>
    <s v="4221427010 Transmisi Komunikasi BMN"/>
    <n v="2791999194"/>
    <n v="2791999194"/>
    <n v="562101045"/>
    <n v="136757380"/>
    <n v="698858425"/>
    <n v="2093140769"/>
    <n v="0"/>
    <x v="9"/>
    <x v="0"/>
  </r>
  <r>
    <s v="4221428010 Peralatan Pendukung Sintel BMN"/>
    <n v="1660344000"/>
    <n v="1660344000"/>
    <n v="370874500"/>
    <n v="291015788"/>
    <n v="661890288"/>
    <n v="998453712"/>
    <n v="0"/>
    <x v="9"/>
    <x v="0"/>
  </r>
  <r>
    <s v="4221428011 Bangunan Sintel BMN"/>
    <n v="327155000"/>
    <n v="327155000"/>
    <n v="67275600"/>
    <n v="0"/>
    <n v="67275600"/>
    <n v="259879400"/>
    <n v="0"/>
    <x v="9"/>
    <x v="0"/>
  </r>
  <r>
    <s v="4221428012 Sistem Proteksi Sintel BMN"/>
    <n v="831375509"/>
    <n v="831375509"/>
    <n v="345662595"/>
    <n v="0"/>
    <n v="345662595"/>
    <n v="485712914"/>
    <n v="0"/>
    <x v="9"/>
    <x v="0"/>
  </r>
  <r>
    <s v="4221428014 Catu Daya Sintel BMN"/>
    <n v="1039505000"/>
    <n v="1039505000"/>
    <n v="648860000"/>
    <n v="370560000"/>
    <n v="1019420000"/>
    <n v="20085000"/>
    <n v="0"/>
    <x v="9"/>
    <x v="0"/>
  </r>
  <r>
    <s v="4222424010 Peralatan Luar Sinyal Elektrik KAI"/>
    <n v="600000000"/>
    <n v="600000000"/>
    <n v="0"/>
    <n v="0"/>
    <n v="0"/>
    <n v="600000000"/>
    <n v="0"/>
    <x v="9"/>
    <x v="2"/>
  </r>
  <r>
    <s v="4222470010 Alat Kerja Sintel KAI"/>
    <n v="1000000000"/>
    <n v="1000000000"/>
    <n v="0"/>
    <n v="0"/>
    <n v="0"/>
    <n v="1000000000"/>
    <n v="0"/>
    <x v="9"/>
    <x v="2"/>
  </r>
  <r>
    <s v="4222600000 Peralatan Khusus Prasarana KAI"/>
    <n v="200000000"/>
    <n v="150000000"/>
    <n v="0"/>
    <n v="0"/>
    <n v="0"/>
    <n v="150000000"/>
    <n v="50000000"/>
    <x v="9"/>
    <x v="3"/>
  </r>
  <r>
    <s v="4222800000 Beban BBM Mekanik Prasarana"/>
    <n v="141550000"/>
    <n v="141550000"/>
    <n v="0"/>
    <n v="28052000"/>
    <n v="28052000"/>
    <n v="113498000"/>
    <n v="0"/>
    <x v="9"/>
    <x v="8"/>
  </r>
  <r>
    <s v="4232130000 LAT Beban Umum Pengoperasian Prasarana (IO)"/>
    <n v="2911760000"/>
    <n v="2911760000"/>
    <n v="456770"/>
    <n v="600310622"/>
    <n v="600767392"/>
    <n v="2310992608"/>
    <n v="0"/>
    <x v="9"/>
    <x v="5"/>
  </r>
  <r>
    <s v="4233100000 Rapat&amp;Akomodasi Beban Umum Perawatan Prasarana KAI"/>
    <n v="180000000"/>
    <n v="135000000"/>
    <n v="23940000"/>
    <n v="13464500"/>
    <n v="37404500"/>
    <n v="97595500"/>
    <n v="45000000"/>
    <x v="9"/>
    <x v="1"/>
  </r>
  <r>
    <s v="4233150010 Kerumahtanggaan Beban Umum Perawatan Prasarana KAI"/>
    <n v="761439700"/>
    <n v="571079775"/>
    <n v="21171800"/>
    <n v="60451850"/>
    <n v="81623650"/>
    <n v="489456125"/>
    <n v="190359925"/>
    <x v="9"/>
    <x v="1"/>
  </r>
  <r>
    <s v="4233151710 Kerumahtanggaan UMDT Beban Umum Perawatan Pras KAI"/>
    <n v="99900000"/>
    <n v="99900000"/>
    <n v="0"/>
    <n v="18500000"/>
    <n v="18500000"/>
    <n v="81400000"/>
    <n v="0"/>
    <x v="9"/>
    <x v="1"/>
  </r>
  <r>
    <s v="4233160010 Inventaris Beban Umum Perawatan Prasarana KAI"/>
    <n v="616500000"/>
    <n v="462375000"/>
    <n v="16504900"/>
    <n v="3022770"/>
    <n v="19527670"/>
    <n v="442847330"/>
    <n v="154125000"/>
    <x v="9"/>
    <x v="1"/>
  </r>
  <r>
    <s v="4233200000 Perjalanan Dinas BebanUmum Perawatan Prasarana KAI"/>
    <n v="347400000"/>
    <n v="260550000"/>
    <n v="0"/>
    <n v="52841500"/>
    <n v="52841500"/>
    <n v="207708500"/>
    <n v="86850000"/>
    <x v="9"/>
    <x v="1"/>
  </r>
  <r>
    <s v="4233300000 LAT Beban Umum Perawatan Prasarana KAI"/>
    <n v="6000000"/>
    <n v="6000000"/>
    <n v="384315"/>
    <n v="0"/>
    <n v="384315"/>
    <n v="5615685"/>
    <n v="0"/>
    <x v="9"/>
    <x v="1"/>
  </r>
  <r>
    <s v="4233400000 ATK Beban Umum Perawatan Prasarana KAI"/>
    <n v="56157000"/>
    <n v="56157000"/>
    <n v="0"/>
    <n v="15178108"/>
    <n v="15178108"/>
    <n v="40978892"/>
    <n v="0"/>
    <x v="9"/>
    <x v="1"/>
  </r>
  <r>
    <s v="4272100010 Gaji &amp;Tunjangan PegawaiPerawatan Prasarana Unit JJ"/>
    <n v="10714916013"/>
    <n v="10714916013"/>
    <n v="0"/>
    <n v="2418475680"/>
    <n v="2418475680"/>
    <n v="8296440333"/>
    <n v="0"/>
    <x v="9"/>
    <x v="6"/>
  </r>
  <r>
    <s v="4272200010 Iuran Pensiun Pegawai Perawatan Prasarana Unit JJ/"/>
    <n v="275820432"/>
    <n v="275820432"/>
    <n v="0"/>
    <n v="67826565"/>
    <n v="67826565"/>
    <n v="207993867"/>
    <n v="0"/>
    <x v="9"/>
    <x v="6"/>
  </r>
  <r>
    <s v="4272400000 Lembur dan Perangsang Peg PrwtnPrsrna unit JJ/Sntl"/>
    <n v="10532164202"/>
    <n v="10532164202"/>
    <n v="0"/>
    <n v="2166137804"/>
    <n v="2166137804"/>
    <n v="8366026398"/>
    <n v="0"/>
    <x v="9"/>
    <x v="6"/>
  </r>
  <r>
    <s v="4272500000 PakaianDinas PegPrwtn PrasaranaUnit JJ/sntl/BY Pra"/>
    <n v="59959158"/>
    <n v="59959158"/>
    <n v="0"/>
    <n v="0"/>
    <n v="0"/>
    <n v="59959158"/>
    <n v="0"/>
    <x v="9"/>
    <x v="6"/>
  </r>
  <r>
    <s v="4273100010 Gaji &amp;Tunjangan Pegawai Renwas JJ/Sintel LAA"/>
    <n v="1291594645"/>
    <n v="1291594645"/>
    <n v="0"/>
    <n v="264207424"/>
    <n v="264207424"/>
    <n v="1027387221"/>
    <n v="0"/>
    <x v="9"/>
    <x v="6"/>
  </r>
  <r>
    <s v="4273200010 Iuran Pensiun Pegawai Renwas JJ/Sintel LAA"/>
    <n v="47410746"/>
    <n v="47410746"/>
    <n v="0"/>
    <n v="11690406"/>
    <n v="11690406"/>
    <n v="35720340"/>
    <n v="0"/>
    <x v="9"/>
    <x v="6"/>
  </r>
  <r>
    <s v="4273400000 Lembur dan Perangsang Pegawai Renwas JJ/Sintel LAA"/>
    <n v="1523018104"/>
    <n v="1523018104"/>
    <n v="0"/>
    <n v="316534045"/>
    <n v="316534045"/>
    <n v="1206484059"/>
    <n v="0"/>
    <x v="9"/>
    <x v="6"/>
  </r>
  <r>
    <s v="4273500000 Pakaian Dinas Pegawai Renwas JJ/Sintel LAA"/>
    <n v="4400672"/>
    <n v="4400672"/>
    <n v="0"/>
    <n v="0"/>
    <n v="0"/>
    <n v="4400672"/>
    <n v="0"/>
    <x v="9"/>
    <x v="6"/>
  </r>
  <r>
    <s v="28022000 Sintelis"/>
    <n v="57953424224"/>
    <n v="57427089299"/>
    <n v="19251682068"/>
    <n v="7741803892"/>
    <n v="26993485960"/>
    <n v="30433603339"/>
    <n v="526334925"/>
    <x v="9"/>
    <x v="7"/>
  </r>
  <r>
    <s v="1182000000 Persediaan Prasarana Perkeretaapian dan Umum"/>
    <n v="3291324000"/>
    <n v="3291324000"/>
    <n v="461205000"/>
    <n v="0"/>
    <n v="461205000"/>
    <n v="2830119000"/>
    <n v="0"/>
    <x v="10"/>
    <x v="0"/>
  </r>
  <r>
    <s v="4221423010 Peralatan Dalam Sinyal Mekanik BMN"/>
    <n v="1891862000"/>
    <n v="1891862000"/>
    <n v="0"/>
    <n v="0"/>
    <n v="0"/>
    <n v="1891862000"/>
    <n v="0"/>
    <x v="10"/>
    <x v="0"/>
  </r>
  <r>
    <s v="4221424010 Peralatan Luar Sinyal Mekanik BMN"/>
    <n v="2244807000"/>
    <n v="2244807000"/>
    <n v="137918578"/>
    <n v="137784161"/>
    <n v="275702739"/>
    <n v="1969104261"/>
    <n v="0"/>
    <x v="10"/>
    <x v="0"/>
  </r>
  <r>
    <s v="4221425010 Pengamanan Perlintasan Sebidang BMN"/>
    <n v="149777000"/>
    <n v="149777000"/>
    <n v="3421001"/>
    <n v="0"/>
    <n v="3421001"/>
    <n v="146355999"/>
    <n v="0"/>
    <x v="10"/>
    <x v="0"/>
  </r>
  <r>
    <s v="4221426010 Pesawat Telepon BMN"/>
    <n v="33248000"/>
    <n v="33248000"/>
    <n v="0"/>
    <n v="16623760"/>
    <n v="16623760"/>
    <n v="16624240"/>
    <n v="0"/>
    <x v="10"/>
    <x v="0"/>
  </r>
  <r>
    <s v="4221427010 Transmisi Komunikasi BMN"/>
    <n v="1044737000"/>
    <n v="1044737000"/>
    <n v="81692227"/>
    <n v="111815443"/>
    <n v="193507670"/>
    <n v="851229330"/>
    <n v="0"/>
    <x v="10"/>
    <x v="0"/>
  </r>
  <r>
    <s v="4221428010 Peralatan Pendukung Sintel BMN"/>
    <n v="1400000000"/>
    <n v="1400000000"/>
    <n v="20715500"/>
    <n v="152012550"/>
    <n v="172728050"/>
    <n v="1227271950"/>
    <n v="0"/>
    <x v="10"/>
    <x v="0"/>
  </r>
  <r>
    <s v="4221428011 Bangunan Sintel BMN"/>
    <n v="290550000"/>
    <n v="290550000"/>
    <n v="0"/>
    <n v="0"/>
    <n v="0"/>
    <n v="290550000"/>
    <n v="0"/>
    <x v="10"/>
    <x v="0"/>
  </r>
  <r>
    <s v="4221428012 Sistem Proteksi Sintel BMN"/>
    <n v="306429000"/>
    <n v="306429000"/>
    <n v="0"/>
    <n v="0"/>
    <n v="0"/>
    <n v="306429000"/>
    <n v="0"/>
    <x v="10"/>
    <x v="0"/>
  </r>
  <r>
    <s v="4221428014 Catu Daya Sintel BMN"/>
    <n v="470200000"/>
    <n v="470200000"/>
    <n v="0"/>
    <n v="3229600"/>
    <n v="3229600"/>
    <n v="466970400"/>
    <n v="0"/>
    <x v="10"/>
    <x v="0"/>
  </r>
  <r>
    <s v="4222470010 Alat Kerja Sintel KAI"/>
    <n v="200000000"/>
    <n v="200000000"/>
    <n v="0"/>
    <n v="0"/>
    <n v="0"/>
    <n v="200000000"/>
    <n v="0"/>
    <x v="10"/>
    <x v="2"/>
  </r>
  <r>
    <s v="4222600000 Peralatan Khusus Prasarana KAI"/>
    <n v="110000000"/>
    <n v="82500000"/>
    <n v="11000000"/>
    <n v="0"/>
    <n v="11000000"/>
    <n v="71500000"/>
    <n v="27500000"/>
    <x v="10"/>
    <x v="3"/>
  </r>
  <r>
    <s v="4222800000 Beban BBM Mekanik Prasarana"/>
    <n v="99980000"/>
    <n v="99980000"/>
    <n v="19823200"/>
    <n v="0"/>
    <n v="19823200"/>
    <n v="80156800"/>
    <n v="0"/>
    <x v="10"/>
    <x v="8"/>
  </r>
  <r>
    <s v="4232130000 LAT Beban Umum Pengoperasian Prasarana (IO)"/>
    <n v="411080000"/>
    <n v="411080000"/>
    <n v="41598790"/>
    <n v="100820038"/>
    <n v="142418828"/>
    <n v="268661172"/>
    <n v="0"/>
    <x v="10"/>
    <x v="5"/>
  </r>
  <r>
    <s v="4233100000 Rapat&amp;Akomodasi Beban Umum Perawatan Prasarana KAI"/>
    <n v="160000000"/>
    <n v="120000000"/>
    <n v="22960000"/>
    <n v="13487000"/>
    <n v="36447000"/>
    <n v="83553000"/>
    <n v="40000000"/>
    <x v="10"/>
    <x v="1"/>
  </r>
  <r>
    <s v="4233150010 Kerumahtanggaan Beban Umum Perawatan Prasarana KAI"/>
    <n v="400000000"/>
    <n v="300000000"/>
    <n v="72324000"/>
    <n v="84658462"/>
    <n v="156982462"/>
    <n v="143017538"/>
    <n v="100000000"/>
    <x v="10"/>
    <x v="1"/>
  </r>
  <r>
    <s v="4233151710 Kerumahtanggaan UMDT Beban Umum Perawatan Pras KAI"/>
    <n v="66000000"/>
    <n v="66000000"/>
    <n v="6600000"/>
    <n v="11000000"/>
    <n v="17600000"/>
    <n v="48400000"/>
    <n v="0"/>
    <x v="10"/>
    <x v="1"/>
  </r>
  <r>
    <s v="4233160010 Inventaris Beban Umum Perawatan Prasarana KAI"/>
    <n v="90000000"/>
    <n v="67500000"/>
    <n v="9000000"/>
    <n v="4415000"/>
    <n v="13415000"/>
    <n v="54085000"/>
    <n v="22500000"/>
    <x v="10"/>
    <x v="1"/>
  </r>
  <r>
    <s v="4233200000 Perjalanan Dinas BebanUmum Perawatan Prasarana KAI"/>
    <n v="170700000"/>
    <n v="128025000"/>
    <n v="17070000"/>
    <n v="41510000"/>
    <n v="58580000"/>
    <n v="69445000"/>
    <n v="42675000"/>
    <x v="10"/>
    <x v="1"/>
  </r>
  <r>
    <s v="4233400000 ATK Beban Umum Perawatan Prasarana KAI"/>
    <n v="24000000"/>
    <n v="24000000"/>
    <n v="2400000"/>
    <n v="6736950"/>
    <n v="9136950"/>
    <n v="14863050"/>
    <n v="0"/>
    <x v="10"/>
    <x v="1"/>
  </r>
  <r>
    <s v="4242000000 Beban Penyusutan AT Bangunan Kantor"/>
    <n v="0"/>
    <n v="0"/>
    <n v="0"/>
    <n v="23414336"/>
    <n v="23414336"/>
    <n v="-23414336"/>
    <n v="0"/>
    <x v="10"/>
    <x v="6"/>
  </r>
  <r>
    <s v="4272100010 Gaji &amp;Tunjangan PegawaiPerawatan Prasarana Unit JJ"/>
    <n v="4539806918"/>
    <n v="4539806918"/>
    <n v="0"/>
    <n v="1047785781"/>
    <n v="1047785781"/>
    <n v="3492021137"/>
    <n v="0"/>
    <x v="10"/>
    <x v="6"/>
  </r>
  <r>
    <s v="4272200010 Iuran Pensiun Pegawai Perawatan Prasarana Unit JJ/"/>
    <n v="83054569"/>
    <n v="83054569"/>
    <n v="0"/>
    <n v="20555724"/>
    <n v="20555724"/>
    <n v="62498845"/>
    <n v="0"/>
    <x v="10"/>
    <x v="6"/>
  </r>
  <r>
    <s v="4272400000 Lembur dan Perangsang Peg PrwtnPrsrna unit JJ/Sntl"/>
    <n v="4669639602"/>
    <n v="4669639602"/>
    <n v="0"/>
    <n v="943638853"/>
    <n v="943638853"/>
    <n v="3726000749"/>
    <n v="0"/>
    <x v="10"/>
    <x v="6"/>
  </r>
  <r>
    <s v="4272500000 PakaianDinas PegPrwtn PrasaranaUnit JJ/sntl/BY Pra"/>
    <n v="25853949"/>
    <n v="25853949"/>
    <n v="0"/>
    <n v="0"/>
    <n v="0"/>
    <n v="25853949"/>
    <n v="0"/>
    <x v="10"/>
    <x v="6"/>
  </r>
  <r>
    <s v="4273100010 Gaji &amp;Tunjangan Pegawai Renwas JJ/Sintel LAA"/>
    <n v="795113433"/>
    <n v="795113433"/>
    <n v="0"/>
    <n v="164230446"/>
    <n v="164230446"/>
    <n v="630882987"/>
    <n v="0"/>
    <x v="10"/>
    <x v="6"/>
  </r>
  <r>
    <s v="4273200010 Iuran Pensiun Pegawai Renwas JJ/Sintel LAA"/>
    <n v="37493935"/>
    <n v="37493935"/>
    <n v="0"/>
    <n v="5932486"/>
    <n v="5932486"/>
    <n v="31561449"/>
    <n v="0"/>
    <x v="10"/>
    <x v="6"/>
  </r>
  <r>
    <s v="4273400000 Lembur dan Perangsang Pegawai Renwas JJ/Sintel LAA"/>
    <n v="960233849"/>
    <n v="960233849"/>
    <n v="0"/>
    <n v="209840019"/>
    <n v="209840019"/>
    <n v="750393830"/>
    <n v="0"/>
    <x v="10"/>
    <x v="6"/>
  </r>
  <r>
    <s v="4273500000 Pakaian Dinas Pegawai Renwas JJ/Sintel LAA"/>
    <n v="2200336"/>
    <n v="2200336"/>
    <n v="0"/>
    <n v="0"/>
    <n v="0"/>
    <n v="2200336"/>
    <n v="0"/>
    <x v="10"/>
    <x v="6"/>
  </r>
  <r>
    <s v="29022000 Sintelis"/>
    <n v="23968090591"/>
    <n v="23735415591"/>
    <n v="907728296"/>
    <n v="3099490609"/>
    <n v="4007218905"/>
    <n v="19728196686"/>
    <n v="232675000"/>
    <x v="10"/>
    <x v="7"/>
  </r>
  <r>
    <s v="1182000000 Persediaan Prasarana Perkeretaapian dan Umum"/>
    <n v="3435027000"/>
    <n v="3435027000"/>
    <n v="0"/>
    <n v="0"/>
    <n v="0"/>
    <n v="3435027000"/>
    <n v="0"/>
    <x v="11"/>
    <x v="0"/>
  </r>
  <r>
    <s v="4221422010 Peralatan Luar Sinyal Elektrik BMN"/>
    <n v="0"/>
    <n v="0"/>
    <n v="0"/>
    <n v="0"/>
    <n v="0"/>
    <n v="0"/>
    <n v="0"/>
    <x v="11"/>
    <x v="0"/>
  </r>
  <r>
    <s v="4221423010 Peralatan Dalam Sinyal Mekanik BMN"/>
    <n v="467372000"/>
    <n v="467372000"/>
    <n v="0"/>
    <n v="0"/>
    <n v="0"/>
    <n v="467372000"/>
    <n v="0"/>
    <x v="11"/>
    <x v="0"/>
  </r>
  <r>
    <s v="4221424010 Peralatan Luar Sinyal Mekanik BMN"/>
    <n v="890568000"/>
    <n v="890568000"/>
    <n v="348277308"/>
    <n v="49809212"/>
    <n v="398086520"/>
    <n v="492481480"/>
    <n v="0"/>
    <x v="11"/>
    <x v="0"/>
  </r>
  <r>
    <s v="4221425010 Pengamanan Perlintasan Sebidang BMN"/>
    <n v="157212000"/>
    <n v="157212000"/>
    <n v="69308015"/>
    <n v="0"/>
    <n v="69308015"/>
    <n v="87903985"/>
    <n v="0"/>
    <x v="11"/>
    <x v="0"/>
  </r>
  <r>
    <s v="4221426010 Pesawat Telepon BMN"/>
    <n v="450000000"/>
    <n v="450000000"/>
    <n v="0"/>
    <n v="0"/>
    <n v="0"/>
    <n v="450000000"/>
    <n v="0"/>
    <x v="11"/>
    <x v="0"/>
  </r>
  <r>
    <s v="4221427010 Transmisi Komunikasi BMN"/>
    <n v="500000000"/>
    <n v="500000000"/>
    <n v="49811800"/>
    <n v="0"/>
    <n v="49811800"/>
    <n v="450188200"/>
    <n v="0"/>
    <x v="11"/>
    <x v="0"/>
  </r>
  <r>
    <s v="4221428010 Peralatan Pendukung Sintel BMN"/>
    <n v="690000000"/>
    <n v="690000000"/>
    <n v="152359150"/>
    <n v="98940700"/>
    <n v="251299850"/>
    <n v="438700150"/>
    <n v="0"/>
    <x v="11"/>
    <x v="0"/>
  </r>
  <r>
    <s v="4221428011 Bangunan Sintel BMN"/>
    <n v="198700000"/>
    <n v="198700000"/>
    <n v="91627175"/>
    <n v="0"/>
    <n v="91627175"/>
    <n v="107072825"/>
    <n v="0"/>
    <x v="11"/>
    <x v="0"/>
  </r>
  <r>
    <s v="4221428012 Sistem Proteksi Sintel BMN"/>
    <n v="455131000"/>
    <n v="455131000"/>
    <n v="0"/>
    <n v="0"/>
    <n v="0"/>
    <n v="455131000"/>
    <n v="0"/>
    <x v="11"/>
    <x v="0"/>
  </r>
  <r>
    <s v="4221428013 Tanda Semboyan Marka Sintel BMN"/>
    <n v="50000000"/>
    <n v="50000000"/>
    <n v="0"/>
    <n v="0"/>
    <n v="0"/>
    <n v="50000000"/>
    <n v="0"/>
    <x v="11"/>
    <x v="0"/>
  </r>
  <r>
    <s v="4221428014 Catu Daya Sintel BMN"/>
    <n v="1443560000"/>
    <n v="1443560000"/>
    <n v="0"/>
    <n v="0"/>
    <n v="0"/>
    <n v="1443560000"/>
    <n v="0"/>
    <x v="11"/>
    <x v="0"/>
  </r>
  <r>
    <s v="4222422110 Peralatan Pendukung Sintel KAI"/>
    <n v="500000000"/>
    <n v="500000000"/>
    <n v="0"/>
    <n v="0"/>
    <n v="0"/>
    <n v="500000000"/>
    <n v="0"/>
    <x v="11"/>
    <x v="2"/>
  </r>
  <r>
    <s v="4222470010 Alat Kerja Sintel KAI"/>
    <n v="250000000"/>
    <n v="250000000"/>
    <n v="0"/>
    <n v="0"/>
    <n v="0"/>
    <n v="250000000"/>
    <n v="0"/>
    <x v="11"/>
    <x v="2"/>
  </r>
  <r>
    <s v="4222600000 Peralatan Khusus Prasarana KAI"/>
    <n v="250000000"/>
    <n v="187500000"/>
    <n v="0"/>
    <n v="0"/>
    <n v="0"/>
    <n v="187500000"/>
    <n v="62500000"/>
    <x v="11"/>
    <x v="3"/>
  </r>
  <r>
    <s v="4222800000 Beban BBM Mekanik Prasarana"/>
    <n v="316800000"/>
    <n v="316800000"/>
    <n v="52208150"/>
    <n v="0"/>
    <n v="52208150"/>
    <n v="264591850"/>
    <n v="0"/>
    <x v="11"/>
    <x v="8"/>
  </r>
  <r>
    <s v="4232130000 LAT Beban Umum Pengoperasian Prasarana (IO)"/>
    <n v="2230000000"/>
    <n v="2230000000"/>
    <n v="19000000"/>
    <n v="329979818"/>
    <n v="348979818"/>
    <n v="1881020182"/>
    <n v="0"/>
    <x v="11"/>
    <x v="5"/>
  </r>
  <r>
    <s v="4233100000 Rapat&amp;Akomodasi Beban Umum Perawatan Prasarana KAI"/>
    <n v="193600000"/>
    <n v="145200000"/>
    <n v="26076000"/>
    <n v="0"/>
    <n v="26076000"/>
    <n v="119124000"/>
    <n v="48400000"/>
    <x v="11"/>
    <x v="1"/>
  </r>
  <r>
    <s v="4233150010 Kerumahtanggaan Beban Umum Perawatan Prasarana KAI"/>
    <n v="593631000"/>
    <n v="445223250"/>
    <n v="121017450"/>
    <n v="67914000"/>
    <n v="188931450"/>
    <n v="256291800"/>
    <n v="148407750"/>
    <x v="11"/>
    <x v="1"/>
  </r>
  <r>
    <s v="4233151710 Kerumahtanggaan UMDT Beban Umum Perawatan Pras KAI"/>
    <n v="105000000"/>
    <n v="105000000"/>
    <n v="0"/>
    <n v="16500000"/>
    <n v="16500000"/>
    <n v="88500000"/>
    <n v="0"/>
    <x v="11"/>
    <x v="1"/>
  </r>
  <r>
    <s v="4233160010 Inventaris Beban Umum Perawatan Prasarana KAI"/>
    <n v="386000000"/>
    <n v="289500000"/>
    <n v="2609000"/>
    <n v="0"/>
    <n v="2609000"/>
    <n v="286891000"/>
    <n v="96500000"/>
    <x v="11"/>
    <x v="1"/>
  </r>
  <r>
    <s v="4233200000 Perjalanan Dinas BebanUmum Perawatan Prasarana KAI"/>
    <n v="468000000"/>
    <n v="351000000"/>
    <n v="0"/>
    <n v="83351362"/>
    <n v="83351362"/>
    <n v="267648638"/>
    <n v="117000000"/>
    <x v="11"/>
    <x v="1"/>
  </r>
  <r>
    <s v="4233300000 LAT Beban Umum Perawatan Prasarana KAI"/>
    <n v="6000000"/>
    <n v="6000000"/>
    <n v="0"/>
    <n v="315000"/>
    <n v="315000"/>
    <n v="5685000"/>
    <n v="0"/>
    <x v="11"/>
    <x v="1"/>
  </r>
  <r>
    <s v="4233400000 ATK Beban Umum Perawatan Prasarana KAI"/>
    <n v="40000000"/>
    <n v="40000000"/>
    <n v="0"/>
    <n v="0"/>
    <n v="0"/>
    <n v="40000000"/>
    <n v="0"/>
    <x v="11"/>
    <x v="1"/>
  </r>
  <r>
    <s v="4241000000 Beban Penyusutan AT Prasarana Perkeretaapian"/>
    <n v="0"/>
    <n v="0"/>
    <n v="0"/>
    <n v="100141179"/>
    <n v="100141179"/>
    <n v="-100141179"/>
    <n v="0"/>
    <x v="11"/>
    <x v="6"/>
  </r>
  <r>
    <s v="4272100010 Gaji &amp;Tunjangan PegawaiPerawatan Prasarana Unit JJ"/>
    <n v="8641345711"/>
    <n v="8641345711"/>
    <n v="0"/>
    <n v="1992338497"/>
    <n v="1992338497"/>
    <n v="6649007214"/>
    <n v="0"/>
    <x v="11"/>
    <x v="6"/>
  </r>
  <r>
    <s v="4272200010 Iuran Pensiun Pegawai Perawatan Prasarana Unit JJ/"/>
    <n v="50824079"/>
    <n v="50824079"/>
    <n v="0"/>
    <n v="12779016"/>
    <n v="12779016"/>
    <n v="38045063"/>
    <n v="0"/>
    <x v="11"/>
    <x v="6"/>
  </r>
  <r>
    <s v="4272400000 Lembur dan Perangsang Peg PrwtnPrsrna unit JJ/Sntl"/>
    <n v="9379568492"/>
    <n v="9379568492"/>
    <n v="0"/>
    <n v="1789267267"/>
    <n v="1789267267"/>
    <n v="7590301225"/>
    <n v="0"/>
    <x v="11"/>
    <x v="6"/>
  </r>
  <r>
    <s v="4272500000 PakaianDinas PegPrwtn PrasaranaUnit JJ/sntl/BY Pra"/>
    <n v="51157813"/>
    <n v="51157813"/>
    <n v="0"/>
    <n v="0"/>
    <n v="0"/>
    <n v="51157813"/>
    <n v="0"/>
    <x v="11"/>
    <x v="6"/>
  </r>
  <r>
    <s v="4273100010 Gaji &amp;Tunjangan Pegawai Renwas JJ/Sintel LAA"/>
    <n v="904489646"/>
    <n v="904489646"/>
    <n v="0"/>
    <n v="180780045"/>
    <n v="180780045"/>
    <n v="723709601"/>
    <n v="0"/>
    <x v="11"/>
    <x v="6"/>
  </r>
  <r>
    <s v="4273200010 Iuran Pensiun Pegawai Renwas JJ/Sintel LAA"/>
    <n v="22796596"/>
    <n v="22796596"/>
    <n v="0"/>
    <n v="5696307"/>
    <n v="5696307"/>
    <n v="17100289"/>
    <n v="0"/>
    <x v="11"/>
    <x v="6"/>
  </r>
  <r>
    <s v="4273400000 Lembur dan Perangsang Pegawai Renwas JJ/Sintel LAA"/>
    <n v="1105883447"/>
    <n v="1105883447"/>
    <n v="0"/>
    <n v="235630735"/>
    <n v="235630735"/>
    <n v="870252712"/>
    <n v="0"/>
    <x v="11"/>
    <x v="6"/>
  </r>
  <r>
    <s v="4273500000 Pakaian Dinas Pegawai Renwas JJ/Sintel LAA"/>
    <n v="2200336"/>
    <n v="2200336"/>
    <n v="0"/>
    <n v="0"/>
    <n v="0"/>
    <n v="2200336"/>
    <n v="0"/>
    <x v="11"/>
    <x v="6"/>
  </r>
  <r>
    <s v="31022000 Sintelis"/>
    <n v="34234867120"/>
    <n v="33762059370"/>
    <n v="932294048"/>
    <n v="4963443138"/>
    <n v="5895737186"/>
    <n v="27866322184"/>
    <n v="472807750"/>
    <x v="11"/>
    <x v="7"/>
  </r>
  <r>
    <s v="1182000000 Persediaan Prasarana Perkeretaapian dan Umum"/>
    <n v="873740000"/>
    <n v="873740000"/>
    <n v="404360000"/>
    <n v="35605052"/>
    <n v="439965052"/>
    <n v="433774948"/>
    <n v="0"/>
    <x v="12"/>
    <x v="0"/>
  </r>
  <r>
    <s v="4112222200 Bbn Penystn Srana Perkeretaapian Fasilitas Dipo-By"/>
    <m/>
    <m/>
    <m/>
    <m/>
    <m/>
    <m/>
    <m/>
    <x v="12"/>
    <x v="6"/>
  </r>
  <r>
    <s v="4221221100 Perawatan Rel BMN"/>
    <m/>
    <m/>
    <m/>
    <m/>
    <m/>
    <m/>
    <m/>
    <x v="12"/>
    <x v="6"/>
  </r>
  <r>
    <s v="4221222200 Perawatan Wesel BMN"/>
    <m/>
    <m/>
    <m/>
    <m/>
    <m/>
    <m/>
    <m/>
    <x v="12"/>
    <x v="6"/>
  </r>
  <r>
    <s v="4221223300 Bbn Jasa Penambahan Balas BMN"/>
    <m/>
    <m/>
    <m/>
    <m/>
    <m/>
    <m/>
    <m/>
    <x v="12"/>
    <x v="6"/>
  </r>
  <r>
    <s v="4221224400 Pemasangan Bantalan BMN"/>
    <m/>
    <m/>
    <m/>
    <m/>
    <m/>
    <m/>
    <m/>
    <x v="12"/>
    <x v="6"/>
  </r>
  <r>
    <s v="4221225500 Perawatan Balas BMN"/>
    <m/>
    <m/>
    <m/>
    <m/>
    <m/>
    <m/>
    <m/>
    <x v="12"/>
    <x v="6"/>
  </r>
  <r>
    <s v="4221226000 Pemecokan BMN"/>
    <m/>
    <m/>
    <m/>
    <m/>
    <m/>
    <m/>
    <m/>
    <x v="12"/>
    <x v="6"/>
  </r>
  <r>
    <s v="4221226006 Perlintasan BMN"/>
    <m/>
    <m/>
    <m/>
    <m/>
    <m/>
    <m/>
    <m/>
    <x v="12"/>
    <x v="6"/>
  </r>
  <r>
    <s v="4221226008 Geometri BMN"/>
    <m/>
    <m/>
    <m/>
    <m/>
    <m/>
    <m/>
    <m/>
    <x v="12"/>
    <x v="6"/>
  </r>
  <r>
    <s v="4221226010 Perbaikan Periodik BMN"/>
    <m/>
    <m/>
    <m/>
    <m/>
    <m/>
    <m/>
    <m/>
    <x v="12"/>
    <x v="6"/>
  </r>
  <r>
    <s v="4221321010 Perawatan Baja Jembatan Kelas 1 BMN"/>
    <m/>
    <m/>
    <m/>
    <m/>
    <m/>
    <m/>
    <m/>
    <x v="12"/>
    <x v="6"/>
  </r>
  <r>
    <s v="4221322010 Perawatan Cat Jembatan Kelas 1 BMN"/>
    <m/>
    <m/>
    <m/>
    <m/>
    <m/>
    <m/>
    <m/>
    <x v="12"/>
    <x v="6"/>
  </r>
  <r>
    <s v="4221323010 Perawatan Batu Jembatan Kelas 1 BMN"/>
    <m/>
    <m/>
    <m/>
    <m/>
    <m/>
    <m/>
    <m/>
    <x v="12"/>
    <x v="6"/>
  </r>
  <r>
    <s v="4221325010 Perawatan Cat Jembatan Kelas 2 BMN"/>
    <m/>
    <m/>
    <m/>
    <m/>
    <m/>
    <m/>
    <m/>
    <x v="12"/>
    <x v="6"/>
  </r>
  <r>
    <s v="4221325013 Perawatan Batu Jembatan Kelas 3 BMN"/>
    <m/>
    <m/>
    <m/>
    <m/>
    <m/>
    <m/>
    <m/>
    <x v="12"/>
    <x v="6"/>
  </r>
  <r>
    <s v="4221325014 Perawatan Beton Jembatan Kelas 3 BMN"/>
    <m/>
    <m/>
    <m/>
    <m/>
    <m/>
    <m/>
    <m/>
    <x v="12"/>
    <x v="6"/>
  </r>
  <r>
    <s v="4221424010 Peralatan Luar Sinyal Mekanik BMN"/>
    <n v="474786000"/>
    <n v="474786000"/>
    <n v="0"/>
    <n v="0"/>
    <n v="0"/>
    <n v="474786000"/>
    <n v="0"/>
    <x v="12"/>
    <x v="0"/>
  </r>
  <r>
    <s v="4221425010 Pengamanan Perlintasan Sebidang BMN"/>
    <n v="208424730"/>
    <n v="208424730"/>
    <n v="0"/>
    <n v="0"/>
    <n v="0"/>
    <n v="208424730"/>
    <n v="0"/>
    <x v="12"/>
    <x v="0"/>
  </r>
  <r>
    <s v="4221427010 Transmisi Komunikasi BMN"/>
    <n v="20000000"/>
    <n v="20000000"/>
    <n v="13970000"/>
    <n v="0"/>
    <n v="13970000"/>
    <n v="6030000"/>
    <n v="0"/>
    <x v="12"/>
    <x v="0"/>
  </r>
  <r>
    <s v="4221428010 Peralatan Pendukung Sintel BMN"/>
    <n v="220000000"/>
    <n v="220000000"/>
    <n v="0"/>
    <n v="29896778"/>
    <n v="29896778"/>
    <n v="190103222"/>
    <n v="0"/>
    <x v="12"/>
    <x v="0"/>
  </r>
  <r>
    <s v="4221428014 Catu Daya Sintel BMN"/>
    <n v="75000000"/>
    <n v="75000000"/>
    <n v="0"/>
    <n v="0"/>
    <n v="0"/>
    <n v="75000000"/>
    <n v="0"/>
    <x v="12"/>
    <x v="0"/>
  </r>
  <r>
    <s v="4221600000 Peralatan Khusus Prasarana Pemerintah"/>
    <m/>
    <m/>
    <m/>
    <m/>
    <m/>
    <m/>
    <m/>
    <x v="12"/>
    <x v="9"/>
  </r>
  <r>
    <s v="4222222200 Perawatan Wesel KAI"/>
    <m/>
    <m/>
    <m/>
    <m/>
    <m/>
    <m/>
    <m/>
    <x v="12"/>
    <x v="6"/>
  </r>
  <r>
    <s v="4222600000 Peralatan Khusus Prasarana KAI"/>
    <n v="60000000"/>
    <n v="45000000"/>
    <n v="9000000"/>
    <n v="0"/>
    <n v="9000000"/>
    <n v="36000000"/>
    <n v="15000000"/>
    <x v="12"/>
    <x v="3"/>
  </r>
  <r>
    <s v="4222800000 Beban BBM Mekanik Prasarana"/>
    <n v="45150000"/>
    <n v="45150000"/>
    <n v="6423200"/>
    <n v="6119400"/>
    <n v="12542600"/>
    <n v="32607400"/>
    <n v="0"/>
    <x v="12"/>
    <x v="8"/>
  </r>
  <r>
    <s v="4231110000 Rapat&amp;Akomodasi BbnUmum Prwtn Prasarana Pemerintah"/>
    <m/>
    <m/>
    <m/>
    <m/>
    <m/>
    <m/>
    <m/>
    <x v="12"/>
    <x v="4"/>
  </r>
  <r>
    <s v="4231120000 PerjlDinas BebanUmum PerawatanPrasarana Pemerintah"/>
    <m/>
    <m/>
    <m/>
    <m/>
    <m/>
    <m/>
    <m/>
    <x v="12"/>
    <x v="4"/>
  </r>
  <r>
    <s v="4231130000 LAT Beban Umum Perawatan Prasarana Pemerintah"/>
    <m/>
    <m/>
    <m/>
    <m/>
    <m/>
    <m/>
    <m/>
    <x v="12"/>
    <x v="4"/>
  </r>
  <r>
    <s v="4231140010 ATK Beban Umum Perawatan Prasarana Pemerintah"/>
    <m/>
    <m/>
    <m/>
    <m/>
    <m/>
    <m/>
    <m/>
    <x v="12"/>
    <x v="4"/>
  </r>
  <r>
    <s v="4231150010 Krt Beban Umum Perawatan Prasarana Pemerintah"/>
    <m/>
    <m/>
    <m/>
    <m/>
    <m/>
    <m/>
    <m/>
    <x v="12"/>
    <x v="4"/>
  </r>
  <r>
    <s v="4231151710 Kerumahtanggaan UMDT Beban Umum Perawatan Pras BMN"/>
    <m/>
    <m/>
    <m/>
    <m/>
    <m/>
    <m/>
    <m/>
    <x v="12"/>
    <x v="4"/>
  </r>
  <r>
    <s v="4231160010 Inventaris BebanUmum PerawatanPrasarana Pemerintah"/>
    <m/>
    <m/>
    <m/>
    <m/>
    <m/>
    <m/>
    <m/>
    <x v="12"/>
    <x v="4"/>
  </r>
  <r>
    <s v="4231180010 Pengiriman Prasarana BMN"/>
    <m/>
    <m/>
    <m/>
    <m/>
    <m/>
    <m/>
    <m/>
    <x v="12"/>
    <x v="4"/>
  </r>
  <r>
    <s v="4232152310 Tenaga PJL Alih Daya"/>
    <m/>
    <m/>
    <m/>
    <m/>
    <m/>
    <m/>
    <m/>
    <x v="12"/>
    <x v="6"/>
  </r>
  <r>
    <s v="4233100000 Rapat&amp;Akomodasi Beban Umum Perawatan Prasarana KAI"/>
    <n v="6000000"/>
    <n v="4500000"/>
    <n v="0"/>
    <n v="0"/>
    <n v="0"/>
    <n v="4500000"/>
    <n v="1500000"/>
    <x v="12"/>
    <x v="1"/>
  </r>
  <r>
    <s v="4233150010 Kerumahtanggaan Beban Umum Perawatan Prasarana KAI"/>
    <n v="41000000"/>
    <n v="30750000"/>
    <n v="1997700"/>
    <n v="998400"/>
    <n v="2996100"/>
    <n v="27753900"/>
    <n v="10250000"/>
    <x v="12"/>
    <x v="1"/>
  </r>
  <r>
    <s v="4233151710 Kerumahtanggaan UMDT Beban Umum Perawatan Pras KAI"/>
    <n v="12000000"/>
    <n v="12000000"/>
    <n v="0"/>
    <n v="0"/>
    <n v="0"/>
    <n v="12000000"/>
    <n v="0"/>
    <x v="12"/>
    <x v="1"/>
  </r>
  <r>
    <s v="4233160010 Inventaris Beban Umum Perawatan Prasarana KAI"/>
    <n v="171000000"/>
    <n v="128250000"/>
    <n v="5880000"/>
    <n v="0"/>
    <n v="5880000"/>
    <n v="122370000"/>
    <n v="42750000"/>
    <x v="12"/>
    <x v="1"/>
  </r>
  <r>
    <s v="4233200000 Perjalanan Dinas BebanUmum Perawatan Prasarana KAI"/>
    <n v="130000000"/>
    <n v="97500000"/>
    <n v="0"/>
    <n v="8431250"/>
    <n v="8431250"/>
    <n v="89068750"/>
    <n v="32500000"/>
    <x v="12"/>
    <x v="1"/>
  </r>
  <r>
    <s v="4233300000 LAT Beban Umum Perawatan Prasarana KAI"/>
    <n v="6660000"/>
    <n v="6660000"/>
    <n v="1665000"/>
    <n v="0"/>
    <n v="1665000"/>
    <n v="4995000"/>
    <n v="0"/>
    <x v="12"/>
    <x v="1"/>
  </r>
  <r>
    <s v="4233400000 ATK Beban Umum Perawatan Prasarana KAI"/>
    <n v="6000000"/>
    <n v="6000000"/>
    <n v="0"/>
    <n v="0"/>
    <n v="0"/>
    <n v="6000000"/>
    <n v="0"/>
    <x v="12"/>
    <x v="1"/>
  </r>
  <r>
    <s v="4241000000 Beban Penyusutan AT Prasarana Perkeretaapian"/>
    <m/>
    <m/>
    <m/>
    <m/>
    <m/>
    <m/>
    <m/>
    <x v="12"/>
    <x v="6"/>
  </r>
  <r>
    <s v="4242000000 Beban Penyusutan AT Bangunan Kantor"/>
    <m/>
    <m/>
    <m/>
    <m/>
    <m/>
    <m/>
    <m/>
    <x v="12"/>
    <x v="6"/>
  </r>
  <r>
    <s v="4271100010 Gaji &amp;Tunjangan Pegawai Operasi Prasarana"/>
    <m/>
    <m/>
    <m/>
    <m/>
    <m/>
    <m/>
    <m/>
    <x v="12"/>
    <x v="6"/>
  </r>
  <r>
    <s v="4271400000 Lembur dan Perangsang Pegawai Operasi Prasarana"/>
    <m/>
    <m/>
    <m/>
    <m/>
    <m/>
    <m/>
    <m/>
    <x v="12"/>
    <x v="6"/>
  </r>
  <r>
    <s v="4271500000 Pakaian Dinas Pegawai Operasi Prasarana"/>
    <m/>
    <m/>
    <m/>
    <m/>
    <m/>
    <m/>
    <m/>
    <x v="12"/>
    <x v="6"/>
  </r>
  <r>
    <s v="4272100010 Gaji &amp;Tunjangan PegawaiPerawatan Prasarana Unit JJ"/>
    <m/>
    <m/>
    <m/>
    <m/>
    <m/>
    <m/>
    <m/>
    <x v="12"/>
    <x v="6"/>
  </r>
  <r>
    <s v="4272200010 Iuran Pensiun Pegawai Perawatan Prasarana Unit JJ/"/>
    <m/>
    <m/>
    <m/>
    <m/>
    <m/>
    <m/>
    <m/>
    <x v="12"/>
    <x v="6"/>
  </r>
  <r>
    <s v="4272400000 Lembur dan Perangsang Peg PrwtnPrsrna unit JJ/Sntl"/>
    <m/>
    <m/>
    <m/>
    <m/>
    <m/>
    <m/>
    <m/>
    <x v="12"/>
    <x v="6"/>
  </r>
  <r>
    <s v="4272500000 PakaianDinas PegPrwtn PrasaranaUnit JJ/sntl/BY Pra"/>
    <m/>
    <m/>
    <m/>
    <m/>
    <m/>
    <m/>
    <m/>
    <x v="12"/>
    <x v="6"/>
  </r>
  <r>
    <s v="4273100010 Gaji &amp;Tunjangan Pegawai Renwas JJ/Sintel LAA"/>
    <m/>
    <m/>
    <m/>
    <m/>
    <m/>
    <m/>
    <m/>
    <x v="12"/>
    <x v="6"/>
  </r>
  <r>
    <s v="4273400000 Lembur dan Perangsang Pegawai Renwas JJ/Sintel LAA"/>
    <m/>
    <m/>
    <m/>
    <m/>
    <m/>
    <m/>
    <m/>
    <x v="12"/>
    <x v="6"/>
  </r>
  <r>
    <s v="4273500000 Pakaian Dinas Pegawai Renwas JJ/Sintel LAA"/>
    <m/>
    <m/>
    <m/>
    <m/>
    <m/>
    <m/>
    <m/>
    <x v="12"/>
    <x v="6"/>
  </r>
  <r>
    <s v="5400000000 Penyusutan AT Lainnya (Fasilitas Umum)"/>
    <m/>
    <m/>
    <m/>
    <m/>
    <m/>
    <m/>
    <m/>
    <x v="12"/>
    <x v="6"/>
  </r>
  <r>
    <s v="32020100 Prasarana"/>
    <n v="2349760730"/>
    <n v="2247760730"/>
    <n v="443295900"/>
    <n v="81050880"/>
    <n v="524346780"/>
    <n v="1723413950"/>
    <n v="102000000"/>
    <x v="12"/>
    <x v="7"/>
  </r>
  <r>
    <s v="1182000000 Persediaan Prasarana Perkeretaapian dan Umum"/>
    <n v="10505111000"/>
    <n v="10505111000"/>
    <n v="7759691599"/>
    <n v="0"/>
    <n v="7759691599"/>
    <n v="2745419401"/>
    <n v="0"/>
    <x v="13"/>
    <x v="0"/>
  </r>
  <r>
    <s v="4221421010 Peralatan Dalam Sinyal Elektrik BMN"/>
    <n v="0"/>
    <n v="0"/>
    <n v="0"/>
    <n v="0"/>
    <n v="0"/>
    <n v="0"/>
    <n v="0"/>
    <x v="13"/>
    <x v="0"/>
  </r>
  <r>
    <s v="4221422010 Peralatan Luar Sinyal Elektrik BMN"/>
    <n v="0"/>
    <n v="0"/>
    <n v="0"/>
    <n v="0"/>
    <n v="0"/>
    <n v="0"/>
    <n v="0"/>
    <x v="13"/>
    <x v="0"/>
  </r>
  <r>
    <s v="4221426010 Pesawat Telepon BMN"/>
    <n v="0"/>
    <n v="0"/>
    <n v="0"/>
    <n v="0"/>
    <n v="0"/>
    <n v="0"/>
    <n v="0"/>
    <x v="13"/>
    <x v="0"/>
  </r>
  <r>
    <s v="4221427010 Transmisi Komunikasi BMN"/>
    <n v="0"/>
    <n v="0"/>
    <n v="0"/>
    <n v="0"/>
    <n v="0"/>
    <n v="0"/>
    <n v="0"/>
    <x v="13"/>
    <x v="0"/>
  </r>
  <r>
    <s v="4221428010 Peralatan Pendukung Sintel BMN"/>
    <n v="0"/>
    <n v="0"/>
    <n v="0"/>
    <n v="0"/>
    <n v="0"/>
    <n v="0"/>
    <n v="0"/>
    <x v="13"/>
    <x v="0"/>
  </r>
  <r>
    <s v="4221600000 Peralatan Khusus Prasarana Pemerintah"/>
    <n v="0"/>
    <n v="0"/>
    <n v="0"/>
    <n v="0"/>
    <n v="0"/>
    <n v="0"/>
    <n v="0"/>
    <x v="13"/>
    <x v="9"/>
  </r>
  <r>
    <s v="4222421110 Transmisi Komunikasi KAI"/>
    <n v="2312795000"/>
    <n v="2312795000"/>
    <n v="1778331214"/>
    <n v="0"/>
    <n v="1778331214"/>
    <n v="534463786"/>
    <n v="0"/>
    <x v="13"/>
    <x v="2"/>
  </r>
  <r>
    <s v="4222422110 Peralatan Pendukung Sintel KAI"/>
    <n v="4989900000"/>
    <n v="4989900000"/>
    <n v="805366889"/>
    <n v="333634248"/>
    <n v="1139001137"/>
    <n v="3850898863"/>
    <n v="0"/>
    <x v="13"/>
    <x v="2"/>
  </r>
  <r>
    <s v="4222423010 Peralatan Dalam Sinyal Elektrik KAI"/>
    <n v="0"/>
    <n v="0"/>
    <n v="0"/>
    <n v="0"/>
    <n v="0"/>
    <n v="0"/>
    <n v="0"/>
    <x v="13"/>
    <x v="2"/>
  </r>
  <r>
    <s v="4222423110 Bangunan Sintel KAI"/>
    <n v="1680000000"/>
    <n v="1680000000"/>
    <n v="353557050"/>
    <n v="0"/>
    <n v="353557050"/>
    <n v="1326442950"/>
    <n v="0"/>
    <x v="13"/>
    <x v="2"/>
  </r>
  <r>
    <s v="4222424010 Peralatan Luar Sinyal Elektrik KAI"/>
    <n v="492066000"/>
    <n v="492066000"/>
    <n v="31501365"/>
    <n v="7785500"/>
    <n v="39286865"/>
    <n v="452779135"/>
    <n v="0"/>
    <x v="13"/>
    <x v="2"/>
  </r>
  <r>
    <s v="4222424110 Sistem Proteksi Sintel KAI"/>
    <n v="624500000"/>
    <n v="624500000"/>
    <n v="0"/>
    <n v="0"/>
    <n v="0"/>
    <n v="624500000"/>
    <n v="0"/>
    <x v="13"/>
    <x v="2"/>
  </r>
  <r>
    <s v="4222425010 Peralatan Dalam Sinyal Mekanik KAI"/>
    <n v="700000000"/>
    <n v="700000000"/>
    <n v="0"/>
    <n v="0"/>
    <n v="0"/>
    <n v="700000000"/>
    <n v="0"/>
    <x v="13"/>
    <x v="2"/>
  </r>
  <r>
    <s v="4222425110 Tanda Semboyan Marka Sintel KAI"/>
    <n v="0"/>
    <n v="0"/>
    <n v="0"/>
    <n v="0"/>
    <n v="0"/>
    <n v="0"/>
    <n v="0"/>
    <x v="13"/>
    <x v="2"/>
  </r>
  <r>
    <s v="4222426010 Peralatan Luar Sinyal Mekanik KAI"/>
    <n v="745000000"/>
    <n v="745000000"/>
    <n v="26235280"/>
    <n v="32460000"/>
    <n v="58695280"/>
    <n v="686304720"/>
    <n v="0"/>
    <x v="13"/>
    <x v="2"/>
  </r>
  <r>
    <s v="4222426110 Catu Daya Sintel KAI"/>
    <n v="4029356000"/>
    <n v="4029356000"/>
    <n v="2411599000"/>
    <n v="29795000"/>
    <n v="2441394000"/>
    <n v="1587962000"/>
    <n v="0"/>
    <x v="13"/>
    <x v="2"/>
  </r>
  <r>
    <s v="4222427010 Pengamanan Perlintasan Sebidang KAI"/>
    <n v="297500000"/>
    <n v="297500000"/>
    <n v="0"/>
    <n v="0"/>
    <n v="0"/>
    <n v="297500000"/>
    <n v="0"/>
    <x v="13"/>
    <x v="2"/>
  </r>
  <r>
    <s v="4222428010 Pesawat Telepon KAI"/>
    <n v="266250000"/>
    <n v="266250000"/>
    <n v="0"/>
    <n v="40800000"/>
    <n v="40800000"/>
    <n v="225450000"/>
    <n v="0"/>
    <x v="13"/>
    <x v="2"/>
  </r>
  <r>
    <s v="4222470010 Alat Kerja Sintel KAI"/>
    <n v="1350000000"/>
    <n v="1350000000"/>
    <n v="0"/>
    <n v="0"/>
    <n v="0"/>
    <n v="1350000000"/>
    <n v="0"/>
    <x v="13"/>
    <x v="2"/>
  </r>
  <r>
    <s v="4222600000 Peralatan Khusus Prasarana KAI"/>
    <n v="100000000"/>
    <n v="75000000"/>
    <n v="0"/>
    <n v="12720000"/>
    <n v="12720000"/>
    <n v="62280000"/>
    <n v="25000000"/>
    <x v="13"/>
    <x v="3"/>
  </r>
  <r>
    <s v="4222800000 Beban BBM Mekanik Prasarana"/>
    <n v="1016150000"/>
    <n v="1016150000"/>
    <n v="34825000"/>
    <n v="128340000"/>
    <n v="163165000"/>
    <n v="852985000"/>
    <n v="0"/>
    <x v="13"/>
    <x v="8"/>
  </r>
  <r>
    <s v="4232130000 LAT Beban Umum Pengoperasian Prasarana (IO)"/>
    <n v="2560000000"/>
    <n v="2560000000"/>
    <n v="21384033"/>
    <n v="608048070"/>
    <n v="629432103"/>
    <n v="1930567897"/>
    <n v="0"/>
    <x v="13"/>
    <x v="5"/>
  </r>
  <r>
    <s v="4233100000 Rapat&amp;Akomodasi Beban Umum Perawatan Prasarana KAI"/>
    <n v="891173000"/>
    <n v="668379750"/>
    <n v="29693828"/>
    <n v="22370000"/>
    <n v="52063828"/>
    <n v="616315922"/>
    <n v="222793250"/>
    <x v="13"/>
    <x v="1"/>
  </r>
  <r>
    <s v="4233150010 Kerumahtanggaan Beban Umum Perawatan Prasarana KAI"/>
    <n v="1160455000"/>
    <n v="870341250"/>
    <n v="95838170"/>
    <n v="176941260"/>
    <n v="272779430"/>
    <n v="597561820"/>
    <n v="290113750"/>
    <x v="13"/>
    <x v="1"/>
  </r>
  <r>
    <s v="4233151710 Kerumahtanggaan UMDT Beban Umum Perawatan Pras KAI"/>
    <n v="93000000"/>
    <n v="93000000"/>
    <n v="0"/>
    <n v="14500000"/>
    <n v="14500000"/>
    <n v="78500000"/>
    <n v="0"/>
    <x v="13"/>
    <x v="1"/>
  </r>
  <r>
    <s v="4233160010 Inventaris Beban Umum Perawatan Prasarana KAI"/>
    <n v="562923000"/>
    <n v="422192250"/>
    <n v="19366000"/>
    <n v="12640000"/>
    <n v="32006000"/>
    <n v="390186250"/>
    <n v="140730750"/>
    <x v="13"/>
    <x v="1"/>
  </r>
  <r>
    <s v="4233200000 Perjalanan Dinas BebanUmum Perawatan Prasarana KAI"/>
    <n v="688578000"/>
    <n v="516433500"/>
    <n v="35082547"/>
    <n v="78343130"/>
    <n v="113425677"/>
    <n v="403007823"/>
    <n v="172144500"/>
    <x v="13"/>
    <x v="1"/>
  </r>
  <r>
    <s v="4233300000 LAT Beban Umum Perawatan Prasarana KAI"/>
    <n v="36180000"/>
    <n v="36180000"/>
    <n v="1720000"/>
    <n v="5342537"/>
    <n v="7062537"/>
    <n v="29117463"/>
    <n v="0"/>
    <x v="13"/>
    <x v="1"/>
  </r>
  <r>
    <s v="4233400000 ATK Beban Umum Perawatan Prasarana KAI"/>
    <n v="61741000"/>
    <n v="61741000"/>
    <n v="38255444"/>
    <n v="0"/>
    <n v="38255444"/>
    <n v="23485556"/>
    <n v="0"/>
    <x v="13"/>
    <x v="1"/>
  </r>
  <r>
    <s v="4241000000 Beban Penyusutan AT Prasarana Perkeretaapian"/>
    <n v="0"/>
    <n v="0"/>
    <n v="0"/>
    <n v="84819308"/>
    <n v="84819308"/>
    <n v="-84819308"/>
    <n v="0"/>
    <x v="13"/>
    <x v="6"/>
  </r>
  <r>
    <s v="4242000000 Beban Penyusutan AT Bangunan Kantor"/>
    <n v="0"/>
    <n v="0"/>
    <n v="0"/>
    <n v="60889862"/>
    <n v="60889862"/>
    <n v="-60889862"/>
    <n v="0"/>
    <x v="13"/>
    <x v="6"/>
  </r>
  <r>
    <s v="4271400000 Lembur dan Perangsang Pegawai Operasi Prasarana"/>
    <n v="0"/>
    <n v="0"/>
    <n v="0"/>
    <n v="51753310"/>
    <n v="51753310"/>
    <n v="-51753310"/>
    <n v="0"/>
    <x v="13"/>
    <x v="6"/>
  </r>
  <r>
    <s v="4272100010 Gaji &amp;Tunjangan PegawaiPerawatan Prasarana Unit JJ"/>
    <n v="12164281897"/>
    <n v="12164281897"/>
    <n v="0"/>
    <n v="2922834741"/>
    <n v="2922834741"/>
    <n v="9241447156"/>
    <n v="0"/>
    <x v="13"/>
    <x v="6"/>
  </r>
  <r>
    <s v="4272200010 Iuran Pensiun Pegawai Perawatan Prasarana Unit JJ/"/>
    <n v="111508199"/>
    <n v="111508199"/>
    <n v="0"/>
    <n v="27648179"/>
    <n v="27648179"/>
    <n v="83860020"/>
    <n v="0"/>
    <x v="13"/>
    <x v="6"/>
  </r>
  <r>
    <s v="4272400000 Lembur dan Perangsang Peg PrwtnPrsrna unit JJ/Sntl"/>
    <n v="10801404197"/>
    <n v="10801404197"/>
    <n v="0"/>
    <n v="2318575185"/>
    <n v="2318575185"/>
    <n v="8482829012"/>
    <n v="0"/>
    <x v="13"/>
    <x v="6"/>
  </r>
  <r>
    <s v="4272500000 PakaianDinas PegPrwtn PrasaranaUnit JJ/sntl/BY Pra"/>
    <n v="68210418"/>
    <n v="68210418"/>
    <n v="0"/>
    <n v="0"/>
    <n v="0"/>
    <n v="68210418"/>
    <n v="0"/>
    <x v="13"/>
    <x v="6"/>
  </r>
  <r>
    <s v="4273100010 Gaji &amp;Tunjangan Pegawai Renwas JJ/Sintel LAA"/>
    <n v="1452685239"/>
    <n v="1452685239"/>
    <n v="0"/>
    <n v="267807212"/>
    <n v="267807212"/>
    <n v="1184878027"/>
    <n v="0"/>
    <x v="13"/>
    <x v="6"/>
  </r>
  <r>
    <s v="4273200010 Iuran Pensiun Pegawai Renwas JJ/Sintel LAA"/>
    <n v="35165398"/>
    <n v="35165398"/>
    <n v="0"/>
    <n v="6614162"/>
    <n v="6614162"/>
    <n v="28551236"/>
    <n v="0"/>
    <x v="13"/>
    <x v="6"/>
  </r>
  <r>
    <s v="4273400000 Lembur dan Perangsang Pegawai Renwas JJ/Sintel LAA"/>
    <n v="1698748501"/>
    <n v="1698748501"/>
    <n v="0"/>
    <n v="335927564"/>
    <n v="335927564"/>
    <n v="1362820937"/>
    <n v="0"/>
    <x v="13"/>
    <x v="6"/>
  </r>
  <r>
    <s v="4273500000 Pakaian Dinas Pegawai Renwas JJ/Sintel LAA"/>
    <n v="3850588"/>
    <n v="3850588"/>
    <n v="0"/>
    <n v="0"/>
    <n v="0"/>
    <n v="3850588"/>
    <n v="0"/>
    <x v="13"/>
    <x v="6"/>
  </r>
  <r>
    <s v="5400000000 Penyusutan AT Lainnya (Fasilitas Umum)"/>
    <n v="0"/>
    <n v="0"/>
    <n v="0"/>
    <n v="137977076"/>
    <n v="137977076"/>
    <n v="-137977076"/>
    <n v="0"/>
    <x v="13"/>
    <x v="6"/>
  </r>
  <r>
    <s v="34022000 Sintelis Divre III Palembang"/>
    <n v="61498532437"/>
    <n v="60647750187"/>
    <n v="13442447419"/>
    <n v="7718566344"/>
    <n v="21161013763"/>
    <n v="39486736424"/>
    <n v="850782250"/>
    <x v="13"/>
    <x v="7"/>
  </r>
  <r>
    <s v="1182000000 Persediaan Prasarana Perkeretaapian dan Umum"/>
    <n v="5574698000"/>
    <n v="5574698000"/>
    <n v="5028819865"/>
    <n v="429658000"/>
    <n v="5458477865"/>
    <n v="116220135"/>
    <n v="0"/>
    <x v="14"/>
    <x v="0"/>
  </r>
  <r>
    <s v="4221422010 Peralatan Luar Sinyal Elektrik BMN"/>
    <n v="1521000000"/>
    <n v="1521000000"/>
    <n v="1467022165"/>
    <n v="3328300"/>
    <n v="1470350465"/>
    <n v="50649535"/>
    <n v="0"/>
    <x v="14"/>
    <x v="0"/>
  </r>
  <r>
    <s v="4221423010 Peralatan Dalam Sinyal Mekanik BMN"/>
    <n v="1694175000"/>
    <n v="1694175000"/>
    <n v="1694174158"/>
    <n v="0"/>
    <n v="1694174158"/>
    <n v="842"/>
    <n v="0"/>
    <x v="14"/>
    <x v="0"/>
  </r>
  <r>
    <s v="4221424010 Peralatan Luar Sinyal Mekanik BMN"/>
    <n v="2639000000"/>
    <n v="2639000000"/>
    <n v="1406680059"/>
    <n v="163173610"/>
    <n v="1569853669"/>
    <n v="1069146331"/>
    <n v="0"/>
    <x v="14"/>
    <x v="0"/>
  </r>
  <r>
    <s v="4221425010 Pengamanan Perlintasan Sebidang BMN"/>
    <n v="150000000"/>
    <n v="150000000"/>
    <n v="0"/>
    <n v="8000000"/>
    <n v="8000000"/>
    <n v="142000000"/>
    <n v="0"/>
    <x v="14"/>
    <x v="0"/>
  </r>
  <r>
    <s v="4221426010 Pesawat Telepon BMN"/>
    <n v="2721193000"/>
    <n v="2721193000"/>
    <n v="2295653707"/>
    <n v="0"/>
    <n v="2295653707"/>
    <n v="425539293"/>
    <n v="0"/>
    <x v="14"/>
    <x v="0"/>
  </r>
  <r>
    <s v="4221427010 Transmisi Komunikasi BMN"/>
    <n v="9794675000"/>
    <n v="9794675000"/>
    <n v="8772973347"/>
    <n v="3607897"/>
    <n v="8776581244"/>
    <n v="1018093756"/>
    <n v="0"/>
    <x v="14"/>
    <x v="0"/>
  </r>
  <r>
    <s v="4221428010 Peralatan Pendukung Sintel BMN"/>
    <n v="2114698000"/>
    <n v="2114698000"/>
    <n v="15837220"/>
    <n v="162049240"/>
    <n v="177886460"/>
    <n v="1936811540"/>
    <n v="0"/>
    <x v="14"/>
    <x v="0"/>
  </r>
  <r>
    <s v="4221428011 Bangunan Sintel BMN"/>
    <n v="1450000000"/>
    <n v="1450000000"/>
    <n v="0"/>
    <n v="0"/>
    <n v="0"/>
    <n v="1450000000"/>
    <n v="0"/>
    <x v="14"/>
    <x v="0"/>
  </r>
  <r>
    <s v="4221428012 Sistem Proteksi Sintel BMN"/>
    <n v="0"/>
    <n v="0"/>
    <n v="0"/>
    <n v="0"/>
    <n v="0"/>
    <n v="0"/>
    <n v="0"/>
    <x v="14"/>
    <x v="0"/>
  </r>
  <r>
    <s v="4221428014 Catu Daya Sintel BMN"/>
    <n v="915811000"/>
    <n v="915811000"/>
    <n v="749478125"/>
    <n v="0"/>
    <n v="749478125"/>
    <n v="166332875"/>
    <n v="0"/>
    <x v="14"/>
    <x v="0"/>
  </r>
  <r>
    <s v="4221429011 Beban Pemakaian Alat Kerja pendukung perawatan BMN"/>
    <n v="1750000000"/>
    <n v="1750000000"/>
    <n v="957373034"/>
    <n v="0"/>
    <n v="957373034"/>
    <n v="792626966"/>
    <n v="0"/>
    <x v="14"/>
    <x v="0"/>
  </r>
  <r>
    <s v="4222424010 Peralatan Luar Sinyal Elektrik KAI"/>
    <n v="300000000"/>
    <n v="300000000"/>
    <n v="4951687"/>
    <n v="0"/>
    <n v="4951687"/>
    <n v="295048313"/>
    <n v="0"/>
    <x v="14"/>
    <x v="2"/>
  </r>
  <r>
    <s v="4222600000 Peralatan Khusus Prasarana KAI"/>
    <n v="645000000"/>
    <n v="483750000"/>
    <n v="100000000"/>
    <n v="83170000"/>
    <n v="183170000"/>
    <n v="300580000"/>
    <n v="161250000"/>
    <x v="14"/>
    <x v="3"/>
  </r>
  <r>
    <s v="4222800000 Beban BBM Mekanik Prasarana"/>
    <n v="285978663"/>
    <n v="285978663"/>
    <n v="39385000"/>
    <n v="32200000"/>
    <n v="71585000"/>
    <n v="214393663"/>
    <n v="0"/>
    <x v="14"/>
    <x v="8"/>
  </r>
  <r>
    <s v="4232130000 LAT Beban Umum Pengoperasian Prasarana (IO)"/>
    <n v="1539315000"/>
    <n v="1539315000"/>
    <n v="6649654"/>
    <n v="331100876"/>
    <n v="337750530"/>
    <n v="1201564470"/>
    <n v="0"/>
    <x v="14"/>
    <x v="5"/>
  </r>
  <r>
    <s v="4233100000 Rapat&amp;Akomodasi Beban Umum Perawatan Prasarana KAI"/>
    <n v="550000000"/>
    <n v="412500000"/>
    <n v="42352800"/>
    <n v="12632800"/>
    <n v="54985600"/>
    <n v="357514400"/>
    <n v="137500000"/>
    <x v="14"/>
    <x v="1"/>
  </r>
  <r>
    <s v="4233150010 Kerumahtanggaan Beban Umum Perawatan Prasarana KAI"/>
    <n v="710500000"/>
    <n v="532875000"/>
    <n v="33794590"/>
    <n v="49382229"/>
    <n v="83176819"/>
    <n v="449698181"/>
    <n v="177625000"/>
    <x v="14"/>
    <x v="1"/>
  </r>
  <r>
    <s v="4233151710 Kerumahtanggaan UMDT Beban Umum Perawatan Pras KAI"/>
    <n v="95700000"/>
    <n v="95700000"/>
    <n v="0"/>
    <n v="13500000"/>
    <n v="13500000"/>
    <n v="82200000"/>
    <n v="0"/>
    <x v="14"/>
    <x v="1"/>
  </r>
  <r>
    <s v="4233160010 Inventaris Beban Umum Perawatan Prasarana KAI"/>
    <n v="527665000"/>
    <n v="395748750"/>
    <n v="0"/>
    <n v="0"/>
    <n v="0"/>
    <n v="395748750"/>
    <n v="131916250"/>
    <x v="14"/>
    <x v="1"/>
  </r>
  <r>
    <s v="4233200000 Perjalanan Dinas BebanUmum Perawatan Prasarana KAI"/>
    <n v="449070000"/>
    <n v="336802500"/>
    <n v="0"/>
    <n v="82551250"/>
    <n v="82551250"/>
    <n v="254251250"/>
    <n v="112267500"/>
    <x v="14"/>
    <x v="1"/>
  </r>
  <r>
    <s v="4233400000 ATK Beban Umum Perawatan Prasarana KAI"/>
    <n v="68288000"/>
    <n v="68288000"/>
    <n v="0"/>
    <n v="0"/>
    <n v="0"/>
    <n v="68288000"/>
    <n v="0"/>
    <x v="14"/>
    <x v="1"/>
  </r>
  <r>
    <s v="4242000000 Beban Penyusutan AT Bangunan Kantor"/>
    <n v="0"/>
    <n v="0"/>
    <n v="0"/>
    <n v="5592872"/>
    <n v="5592872"/>
    <n v="-5592872"/>
    <n v="0"/>
    <x v="14"/>
    <x v="6"/>
  </r>
  <r>
    <s v="4272100010 Gaji &amp;Tunjangan PegawaiPerawatan Prasarana Unit JJ"/>
    <n v="10688916866"/>
    <n v="10688916866"/>
    <n v="0"/>
    <n v="2588207013"/>
    <n v="2588207013"/>
    <n v="8100709853"/>
    <n v="0"/>
    <x v="14"/>
    <x v="6"/>
  </r>
  <r>
    <s v="4272200010 Iuran Pensiun Pegawai Perawatan Prasarana Unit JJ/"/>
    <n v="106116051"/>
    <n v="106116051"/>
    <n v="0"/>
    <n v="26153313"/>
    <n v="26153313"/>
    <n v="79962738"/>
    <n v="0"/>
    <x v="14"/>
    <x v="6"/>
  </r>
  <r>
    <s v="4272400000 Lembur dan Perangsang Peg PrwtnPrsrna unit JJ/Sntl"/>
    <n v="9218326343"/>
    <n v="9218326343"/>
    <n v="0"/>
    <n v="1953953182"/>
    <n v="1953953182"/>
    <n v="7264373161"/>
    <n v="0"/>
    <x v="14"/>
    <x v="6"/>
  </r>
  <r>
    <s v="4272500000 PakaianDinas PegPrwtn PrasaranaUnit JJ/sntl/BY Pra"/>
    <n v="58858990"/>
    <n v="58858990"/>
    <n v="0"/>
    <n v="0"/>
    <n v="0"/>
    <n v="58858990"/>
    <n v="0"/>
    <x v="14"/>
    <x v="6"/>
  </r>
  <r>
    <s v="4273100010 Gaji &amp;Tunjangan Pegawai Renwas JJ/Sintel LAA"/>
    <n v="1422805953"/>
    <n v="1422805953"/>
    <n v="0"/>
    <n v="314751631"/>
    <n v="314751631"/>
    <n v="1108054322"/>
    <n v="0"/>
    <x v="14"/>
    <x v="6"/>
  </r>
  <r>
    <s v="4273200010 Iuran Pensiun Pegawai Renwas JJ/Sintel LAA"/>
    <n v="13916758"/>
    <n v="13916758"/>
    <n v="0"/>
    <n v="3389817"/>
    <n v="3389817"/>
    <n v="10526941"/>
    <n v="0"/>
    <x v="14"/>
    <x v="6"/>
  </r>
  <r>
    <s v="4273400000 Lembur dan Perangsang Pegawai Renwas JJ/Sintel LAA"/>
    <n v="1559682761"/>
    <n v="1559682761"/>
    <n v="0"/>
    <n v="380920312"/>
    <n v="380920312"/>
    <n v="1178762449"/>
    <n v="0"/>
    <x v="14"/>
    <x v="6"/>
  </r>
  <r>
    <s v="4273500000 Pakaian Dinas Pegawai Renwas JJ/Sintel LAA"/>
    <n v="3850588"/>
    <n v="3850588"/>
    <n v="0"/>
    <n v="0"/>
    <n v="0"/>
    <n v="3850588"/>
    <n v="0"/>
    <x v="14"/>
    <x v="6"/>
  </r>
  <r>
    <s v="35022000 Sintelis Divre IV Tanjungkarang"/>
    <n v="58569240973"/>
    <n v="57848682223"/>
    <n v="22615145411"/>
    <n v="6647322342"/>
    <n v="29262467753"/>
    <n v="28586214470"/>
    <n v="720558750"/>
    <x v="14"/>
    <x v="7"/>
  </r>
  <r>
    <m/>
    <m/>
    <m/>
    <m/>
    <m/>
    <m/>
    <m/>
    <m/>
    <x v="15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1">
  <r>
    <s v="Jan"/>
    <x v="0"/>
    <x v="0"/>
    <n v="100000000"/>
    <n v="84845467162"/>
    <n v="50000000"/>
    <n v="0"/>
  </r>
  <r>
    <s v="Feb"/>
    <x v="0"/>
    <x v="0"/>
    <n v="23567624816"/>
    <n v="59570632314"/>
    <n v="50000000"/>
    <n v="0"/>
  </r>
  <r>
    <s v="Mar"/>
    <x v="0"/>
    <x v="0"/>
    <n v="227166881580"/>
    <n v="144879653762"/>
    <n v="34189485820"/>
    <n v="48109844280"/>
  </r>
  <r>
    <s v="Apr"/>
    <x v="0"/>
    <x v="0"/>
    <n v="59269584722"/>
    <s v=""/>
    <n v="150000000"/>
    <s v=""/>
  </r>
  <r>
    <s v="Mei"/>
    <x v="0"/>
    <x v="0"/>
    <n v="2449082158"/>
    <s v=""/>
    <n v="270862500"/>
    <s v=""/>
  </r>
  <r>
    <s v="Jun"/>
    <x v="0"/>
    <x v="0"/>
    <n v="4232140778"/>
    <s v=""/>
    <n v="1144232361"/>
    <s v=""/>
  </r>
  <r>
    <s v="Jul"/>
    <x v="0"/>
    <x v="0"/>
    <n v="150000000"/>
    <s v=""/>
    <n v="12808685000"/>
    <s v=""/>
  </r>
  <r>
    <s v="Agt"/>
    <x v="0"/>
    <x v="0"/>
    <n v="150000000"/>
    <s v=""/>
    <n v="30371398896"/>
    <s v=""/>
  </r>
  <r>
    <s v="Sep"/>
    <x v="0"/>
    <x v="0"/>
    <n v="150000000"/>
    <s v=""/>
    <n v="32919933000"/>
    <s v=""/>
  </r>
  <r>
    <s v="Okt"/>
    <x v="0"/>
    <x v="0"/>
    <n v="150000000"/>
    <s v=""/>
    <n v="61587805112"/>
    <s v=""/>
  </r>
  <r>
    <s v="Nov"/>
    <x v="0"/>
    <x v="0"/>
    <n v="122077000"/>
    <s v=""/>
    <n v="35148562865"/>
    <s v=""/>
  </r>
  <r>
    <s v="Des"/>
    <x v="0"/>
    <x v="0"/>
    <n v="55000000"/>
    <s v=""/>
    <n v="108871425778"/>
    <s v=""/>
  </r>
  <r>
    <s v="Jan"/>
    <x v="0"/>
    <x v="1"/>
    <n v="0"/>
    <n v="0"/>
    <n v="0"/>
    <n v="0"/>
  </r>
  <r>
    <s v="Feb"/>
    <x v="0"/>
    <x v="1"/>
    <n v="0"/>
    <n v="0"/>
    <n v="0"/>
    <n v="0"/>
  </r>
  <r>
    <s v="Mar"/>
    <x v="0"/>
    <x v="1"/>
    <n v="0"/>
    <n v="0"/>
    <n v="0"/>
    <n v="0"/>
  </r>
  <r>
    <s v="Apr"/>
    <x v="0"/>
    <x v="1"/>
    <n v="0"/>
    <s v=""/>
    <n v="0"/>
    <s v=""/>
  </r>
  <r>
    <s v="Mei"/>
    <x v="0"/>
    <x v="1"/>
    <n v="0"/>
    <s v=""/>
    <n v="0"/>
    <s v=""/>
  </r>
  <r>
    <s v="Jun"/>
    <x v="0"/>
    <x v="1"/>
    <n v="0"/>
    <s v=""/>
    <n v="0"/>
    <s v=""/>
  </r>
  <r>
    <s v="Jul"/>
    <x v="0"/>
    <x v="1"/>
    <n v="0"/>
    <s v=""/>
    <n v="0"/>
    <s v=""/>
  </r>
  <r>
    <s v="Agt"/>
    <x v="0"/>
    <x v="1"/>
    <n v="0"/>
    <s v=""/>
    <n v="0"/>
    <s v=""/>
  </r>
  <r>
    <s v="Sep"/>
    <x v="0"/>
    <x v="1"/>
    <n v="0"/>
    <s v=""/>
    <n v="0"/>
    <s v=""/>
  </r>
  <r>
    <s v="Okt"/>
    <x v="0"/>
    <x v="1"/>
    <n v="0"/>
    <s v=""/>
    <n v="0"/>
    <s v=""/>
  </r>
  <r>
    <s v="Nov"/>
    <x v="0"/>
    <x v="1"/>
    <n v="0"/>
    <s v=""/>
    <n v="0"/>
    <s v=""/>
  </r>
  <r>
    <s v="Des"/>
    <x v="0"/>
    <x v="1"/>
    <n v="0"/>
    <s v=""/>
    <n v="0"/>
    <s v=""/>
  </r>
  <r>
    <s v="Jan"/>
    <x v="0"/>
    <x v="2"/>
    <n v="0"/>
    <n v="0"/>
    <n v="0"/>
    <n v="0"/>
  </r>
  <r>
    <s v="Feb"/>
    <x v="0"/>
    <x v="2"/>
    <n v="0"/>
    <n v="0"/>
    <n v="0"/>
    <n v="0"/>
  </r>
  <r>
    <s v="Mar"/>
    <x v="0"/>
    <x v="2"/>
    <n v="0"/>
    <n v="0"/>
    <n v="0"/>
    <n v="0"/>
  </r>
  <r>
    <s v="Apr"/>
    <x v="0"/>
    <x v="2"/>
    <n v="0"/>
    <s v=""/>
    <n v="0"/>
    <s v=""/>
  </r>
  <r>
    <s v="Mei"/>
    <x v="0"/>
    <x v="2"/>
    <n v="0"/>
    <s v=""/>
    <n v="0"/>
    <s v=""/>
  </r>
  <r>
    <s v="Jun"/>
    <x v="0"/>
    <x v="2"/>
    <n v="0"/>
    <s v=""/>
    <n v="0"/>
    <s v=""/>
  </r>
  <r>
    <s v="Jul"/>
    <x v="0"/>
    <x v="2"/>
    <n v="0"/>
    <s v=""/>
    <n v="0"/>
    <s v=""/>
  </r>
  <r>
    <s v="Agt"/>
    <x v="0"/>
    <x v="2"/>
    <n v="0"/>
    <s v=""/>
    <n v="0"/>
    <s v=""/>
  </r>
  <r>
    <s v="Sep"/>
    <x v="0"/>
    <x v="2"/>
    <n v="0"/>
    <s v=""/>
    <n v="0"/>
    <s v=""/>
  </r>
  <r>
    <s v="Okt"/>
    <x v="0"/>
    <x v="2"/>
    <n v="0"/>
    <s v=""/>
    <n v="0"/>
    <s v=""/>
  </r>
  <r>
    <s v="Nov"/>
    <x v="0"/>
    <x v="2"/>
    <n v="0"/>
    <s v=""/>
    <n v="0"/>
    <s v=""/>
  </r>
  <r>
    <s v="Des"/>
    <x v="0"/>
    <x v="2"/>
    <n v="0"/>
    <s v=""/>
    <n v="0"/>
    <s v=""/>
  </r>
  <r>
    <s v="Jan"/>
    <x v="0"/>
    <x v="3"/>
    <n v="0"/>
    <n v="0"/>
    <n v="0"/>
    <n v="0"/>
  </r>
  <r>
    <s v="Feb"/>
    <x v="0"/>
    <x v="3"/>
    <n v="0"/>
    <n v="0"/>
    <n v="0"/>
    <n v="0"/>
  </r>
  <r>
    <s v="Mar"/>
    <x v="0"/>
    <x v="3"/>
    <n v="0"/>
    <n v="42457000"/>
    <n v="0"/>
    <n v="0"/>
  </r>
  <r>
    <s v="Apr"/>
    <x v="0"/>
    <x v="3"/>
    <n v="0"/>
    <s v=""/>
    <n v="0"/>
    <s v=""/>
  </r>
  <r>
    <s v="Mei"/>
    <x v="0"/>
    <x v="3"/>
    <n v="0"/>
    <s v=""/>
    <n v="0"/>
    <s v=""/>
  </r>
  <r>
    <s v="Jun"/>
    <x v="0"/>
    <x v="3"/>
    <n v="1600000000"/>
    <s v=""/>
    <n v="0"/>
    <s v=""/>
  </r>
  <r>
    <s v="Jul"/>
    <x v="0"/>
    <x v="3"/>
    <n v="0"/>
    <s v=""/>
    <n v="0"/>
    <s v=""/>
  </r>
  <r>
    <s v="Agt"/>
    <x v="0"/>
    <x v="3"/>
    <n v="0"/>
    <s v=""/>
    <n v="1600000000"/>
    <s v=""/>
  </r>
  <r>
    <s v="Sep"/>
    <x v="0"/>
    <x v="3"/>
    <n v="0"/>
    <s v=""/>
    <n v="0"/>
    <s v=""/>
  </r>
  <r>
    <s v="Okt"/>
    <x v="0"/>
    <x v="3"/>
    <n v="0"/>
    <s v=""/>
    <n v="0"/>
    <s v=""/>
  </r>
  <r>
    <s v="Nov"/>
    <x v="0"/>
    <x v="3"/>
    <n v="0"/>
    <s v=""/>
    <n v="0"/>
    <s v=""/>
  </r>
  <r>
    <s v="Des"/>
    <x v="0"/>
    <x v="3"/>
    <n v="0"/>
    <s v=""/>
    <n v="0"/>
    <s v=""/>
  </r>
  <r>
    <s v="Jan"/>
    <x v="0"/>
    <x v="4"/>
    <n v="0"/>
    <n v="0"/>
    <n v="0"/>
    <n v="0"/>
  </r>
  <r>
    <s v="Feb"/>
    <x v="0"/>
    <x v="4"/>
    <n v="0"/>
    <n v="20986164"/>
    <n v="0"/>
    <n v="0"/>
  </r>
  <r>
    <s v="Mar"/>
    <x v="0"/>
    <x v="4"/>
    <n v="0"/>
    <n v="0"/>
    <n v="0"/>
    <n v="0"/>
  </r>
  <r>
    <s v="Apr"/>
    <x v="0"/>
    <x v="4"/>
    <n v="0"/>
    <s v=""/>
    <n v="0"/>
    <s v=""/>
  </r>
  <r>
    <s v="Mei"/>
    <x v="0"/>
    <x v="4"/>
    <n v="500000000"/>
    <s v=""/>
    <n v="0"/>
    <s v=""/>
  </r>
  <r>
    <s v="Jun"/>
    <x v="0"/>
    <x v="4"/>
    <n v="0"/>
    <s v=""/>
    <n v="0"/>
    <s v=""/>
  </r>
  <r>
    <s v="Jul"/>
    <x v="0"/>
    <x v="4"/>
    <n v="0"/>
    <s v=""/>
    <n v="500000000"/>
    <s v=""/>
  </r>
  <r>
    <s v="Agt"/>
    <x v="0"/>
    <x v="4"/>
    <n v="0"/>
    <s v=""/>
    <n v="0"/>
    <s v=""/>
  </r>
  <r>
    <s v="Sep"/>
    <x v="0"/>
    <x v="4"/>
    <n v="0"/>
    <s v=""/>
    <n v="0"/>
    <s v=""/>
  </r>
  <r>
    <s v="Okt"/>
    <x v="0"/>
    <x v="4"/>
    <n v="0"/>
    <s v=""/>
    <n v="0"/>
    <s v=""/>
  </r>
  <r>
    <s v="Nov"/>
    <x v="0"/>
    <x v="4"/>
    <n v="0"/>
    <s v=""/>
    <n v="0"/>
    <s v=""/>
  </r>
  <r>
    <s v="Des"/>
    <x v="0"/>
    <x v="4"/>
    <n v="0"/>
    <s v=""/>
    <n v="0"/>
    <s v=""/>
  </r>
  <r>
    <s v="Jan"/>
    <x v="0"/>
    <x v="5"/>
    <n v="163000000"/>
    <n v="186171889"/>
    <n v="113000000"/>
    <n v="121841700"/>
  </r>
  <r>
    <s v="Feb"/>
    <x v="0"/>
    <x v="5"/>
    <n v="243000000"/>
    <n v="171284525"/>
    <n v="243000000"/>
    <n v="143833500"/>
  </r>
  <r>
    <s v="Mar"/>
    <x v="0"/>
    <x v="5"/>
    <n v="443000000"/>
    <n v="61678750"/>
    <n v="243000000"/>
    <n v="62518750"/>
  </r>
  <r>
    <s v="Apr"/>
    <x v="0"/>
    <x v="5"/>
    <n v="2493000000"/>
    <s v=""/>
    <n v="1243000000"/>
    <s v=""/>
  </r>
  <r>
    <s v="Mei"/>
    <x v="0"/>
    <x v="5"/>
    <n v="593000000"/>
    <s v=""/>
    <n v="2093000000"/>
    <s v=""/>
  </r>
  <r>
    <s v="Jun"/>
    <x v="0"/>
    <x v="5"/>
    <n v="1513000000"/>
    <s v=""/>
    <n v="1043000000"/>
    <s v=""/>
  </r>
  <r>
    <s v="Jul"/>
    <x v="0"/>
    <x v="5"/>
    <n v="943000000"/>
    <s v=""/>
    <n v="963000000"/>
    <s v=""/>
  </r>
  <r>
    <s v="Agt"/>
    <x v="0"/>
    <x v="5"/>
    <n v="543000000"/>
    <s v=""/>
    <n v="443000000"/>
    <s v=""/>
  </r>
  <r>
    <s v="Sep"/>
    <x v="0"/>
    <x v="5"/>
    <n v="293000000"/>
    <s v=""/>
    <n v="493000000"/>
    <s v=""/>
  </r>
  <r>
    <s v="Okt"/>
    <x v="0"/>
    <x v="5"/>
    <n v="413000000"/>
    <s v=""/>
    <n v="663000000"/>
    <s v=""/>
  </r>
  <r>
    <s v="Nov"/>
    <x v="0"/>
    <x v="5"/>
    <n v="193000000"/>
    <s v=""/>
    <n v="293000000"/>
    <s v=""/>
  </r>
  <r>
    <s v="Des"/>
    <x v="0"/>
    <x v="5"/>
    <n v="113000000"/>
    <s v=""/>
    <n v="113000000"/>
    <s v=""/>
  </r>
  <r>
    <s v="Jan"/>
    <x v="0"/>
    <x v="6"/>
    <n v="310000000"/>
    <n v="275097724"/>
    <n v="310000000"/>
    <n v="275097724"/>
  </r>
  <r>
    <s v="Feb"/>
    <x v="0"/>
    <x v="6"/>
    <n v="310000000"/>
    <n v="626594334"/>
    <n v="310000000"/>
    <n v="626594334"/>
  </r>
  <r>
    <s v="Mar"/>
    <x v="0"/>
    <x v="6"/>
    <n v="310000000"/>
    <n v="66225547"/>
    <n v="310000000"/>
    <n v="66225547"/>
  </r>
  <r>
    <s v="Apr"/>
    <x v="0"/>
    <x v="6"/>
    <n v="420000000"/>
    <s v=""/>
    <n v="420000000"/>
    <s v=""/>
  </r>
  <r>
    <s v="Mei"/>
    <x v="0"/>
    <x v="6"/>
    <n v="420000000"/>
    <s v=""/>
    <n v="420000000"/>
    <s v=""/>
  </r>
  <r>
    <s v="Jun"/>
    <x v="0"/>
    <x v="6"/>
    <n v="420000000"/>
    <s v=""/>
    <n v="420000000"/>
    <s v=""/>
  </r>
  <r>
    <s v="Jul"/>
    <x v="0"/>
    <x v="6"/>
    <n v="420000000"/>
    <s v=""/>
    <n v="420000000"/>
    <s v=""/>
  </r>
  <r>
    <s v="Agt"/>
    <x v="0"/>
    <x v="6"/>
    <n v="370000000"/>
    <s v=""/>
    <n v="370000000"/>
    <s v=""/>
  </r>
  <r>
    <s v="Sep"/>
    <x v="0"/>
    <x v="6"/>
    <n v="400000000"/>
    <s v=""/>
    <n v="400000000"/>
    <s v=""/>
  </r>
  <r>
    <s v="Okt"/>
    <x v="0"/>
    <x v="6"/>
    <n v="400000000"/>
    <s v=""/>
    <n v="400000000"/>
    <s v=""/>
  </r>
  <r>
    <s v="Nov"/>
    <x v="0"/>
    <x v="6"/>
    <n v="400000000"/>
    <s v=""/>
    <n v="400000000"/>
    <s v=""/>
  </r>
  <r>
    <s v="Des"/>
    <x v="0"/>
    <x v="6"/>
    <n v="320000000"/>
    <s v=""/>
    <n v="320000000"/>
    <s v=""/>
  </r>
  <r>
    <s v="Jan"/>
    <x v="1"/>
    <x v="0"/>
    <n v="4665461000"/>
    <n v="6757574628"/>
    <n v="0"/>
    <n v="0"/>
  </r>
  <r>
    <s v="Feb"/>
    <x v="1"/>
    <x v="0"/>
    <n v="11366334000"/>
    <n v="10678407138"/>
    <n v="25000000"/>
    <n v="0"/>
  </r>
  <r>
    <s v="Mar"/>
    <x v="1"/>
    <x v="0"/>
    <n v="2740514000"/>
    <n v="3830357281"/>
    <n v="190000000"/>
    <n v="704063152"/>
  </r>
  <r>
    <s v="Apr"/>
    <x v="1"/>
    <x v="0"/>
    <n v="6894664000"/>
    <s v=""/>
    <n v="395000000"/>
    <s v=""/>
  </r>
  <r>
    <s v="Mei"/>
    <x v="1"/>
    <x v="0"/>
    <n v="8472689000"/>
    <s v=""/>
    <n v="265000000"/>
    <s v=""/>
  </r>
  <r>
    <s v="Jun"/>
    <x v="1"/>
    <x v="0"/>
    <n v="4435000000"/>
    <s v=""/>
    <n v="522951000"/>
    <s v=""/>
  </r>
  <r>
    <s v="Jul"/>
    <x v="1"/>
    <x v="0"/>
    <n v="4737908000"/>
    <s v=""/>
    <n v="715000000"/>
    <s v=""/>
  </r>
  <r>
    <s v="Agt"/>
    <x v="1"/>
    <x v="0"/>
    <n v="3937205000"/>
    <s v=""/>
    <n v="3151788000"/>
    <s v=""/>
  </r>
  <r>
    <s v="Sep"/>
    <x v="1"/>
    <x v="0"/>
    <n v="2045000000"/>
    <s v=""/>
    <n v="2748727000"/>
    <s v=""/>
  </r>
  <r>
    <s v="Okt"/>
    <x v="1"/>
    <x v="0"/>
    <n v="315000000"/>
    <s v=""/>
    <n v="5334544000"/>
    <s v=""/>
  </r>
  <r>
    <s v="Nov"/>
    <x v="1"/>
    <x v="0"/>
    <n v="520000000"/>
    <s v=""/>
    <n v="17620156000"/>
    <s v=""/>
  </r>
  <r>
    <s v="Des"/>
    <x v="1"/>
    <x v="0"/>
    <n v="125000000"/>
    <s v=""/>
    <n v="19286609000"/>
    <s v=""/>
  </r>
  <r>
    <s v="Jan"/>
    <x v="1"/>
    <x v="1"/>
    <n v="35000000"/>
    <n v="34500000"/>
    <n v="0"/>
    <n v="0"/>
  </r>
  <r>
    <s v="Feb"/>
    <x v="1"/>
    <x v="1"/>
    <n v="635000000"/>
    <n v="113020000"/>
    <n v="35000000"/>
    <n v="34500000"/>
  </r>
  <r>
    <s v="Mar"/>
    <x v="1"/>
    <x v="1"/>
    <n v="85000000"/>
    <n v="383400000"/>
    <n v="135000000"/>
    <n v="34500000"/>
  </r>
  <r>
    <s v="Apr"/>
    <x v="1"/>
    <x v="1"/>
    <n v="1635000000"/>
    <s v=""/>
    <n v="85000000"/>
    <s v=""/>
  </r>
  <r>
    <s v="Mei"/>
    <x v="1"/>
    <x v="1"/>
    <n v="335000000"/>
    <s v=""/>
    <n v="185000000"/>
    <s v=""/>
  </r>
  <r>
    <s v="Jun"/>
    <x v="1"/>
    <x v="1"/>
    <n v="685000000"/>
    <s v=""/>
    <n v="85000000"/>
    <s v=""/>
  </r>
  <r>
    <s v="Jul"/>
    <x v="1"/>
    <x v="1"/>
    <n v="885000000"/>
    <s v=""/>
    <n v="685000000"/>
    <s v=""/>
  </r>
  <r>
    <s v="Agt"/>
    <x v="1"/>
    <x v="1"/>
    <n v="685000000"/>
    <s v=""/>
    <n v="1285000000"/>
    <s v=""/>
  </r>
  <r>
    <s v="Sep"/>
    <x v="1"/>
    <x v="1"/>
    <n v="535000000"/>
    <s v=""/>
    <n v="185000000"/>
    <s v=""/>
  </r>
  <r>
    <s v="Okt"/>
    <x v="1"/>
    <x v="1"/>
    <n v="635000000"/>
    <s v=""/>
    <n v="585000000"/>
    <s v=""/>
  </r>
  <r>
    <s v="Nov"/>
    <x v="1"/>
    <x v="1"/>
    <n v="85000000"/>
    <s v=""/>
    <n v="985000000"/>
    <s v=""/>
  </r>
  <r>
    <s v="Des"/>
    <x v="1"/>
    <x v="1"/>
    <n v="135000000"/>
    <s v=""/>
    <n v="2120000000"/>
    <s v=""/>
  </r>
  <r>
    <s v="Jan"/>
    <x v="1"/>
    <x v="2"/>
    <n v="15017750"/>
    <n v="0"/>
    <n v="0"/>
    <n v="0"/>
  </r>
  <r>
    <s v="Feb"/>
    <x v="1"/>
    <x v="2"/>
    <n v="15017750"/>
    <n v="0"/>
    <n v="15017750"/>
    <n v="0"/>
  </r>
  <r>
    <s v="Mar"/>
    <x v="1"/>
    <x v="2"/>
    <n v="15017750"/>
    <n v="28710000"/>
    <n v="15017750"/>
    <n v="0"/>
  </r>
  <r>
    <s v="Apr"/>
    <x v="1"/>
    <x v="2"/>
    <n v="15017750"/>
    <s v=""/>
    <n v="15017750"/>
    <s v=""/>
  </r>
  <r>
    <s v="Mei"/>
    <x v="1"/>
    <x v="2"/>
    <n v="15017750"/>
    <s v=""/>
    <n v="15017750"/>
    <s v=""/>
  </r>
  <r>
    <s v="Jun"/>
    <x v="1"/>
    <x v="2"/>
    <n v="15017750"/>
    <s v=""/>
    <n v="15017750"/>
    <s v=""/>
  </r>
  <r>
    <s v="Jul"/>
    <x v="1"/>
    <x v="2"/>
    <n v="15017750"/>
    <s v=""/>
    <n v="15017750"/>
    <s v=""/>
  </r>
  <r>
    <s v="Agt"/>
    <x v="1"/>
    <x v="2"/>
    <n v="15017750"/>
    <s v=""/>
    <n v="15017750"/>
    <s v=""/>
  </r>
  <r>
    <s v="Sep"/>
    <x v="1"/>
    <x v="2"/>
    <n v="15017750"/>
    <s v=""/>
    <n v="15017750"/>
    <s v=""/>
  </r>
  <r>
    <s v="Okt"/>
    <x v="1"/>
    <x v="2"/>
    <n v="15017750"/>
    <s v=""/>
    <n v="15017750"/>
    <s v=""/>
  </r>
  <r>
    <s v="Nov"/>
    <x v="1"/>
    <x v="2"/>
    <n v="15017750"/>
    <s v=""/>
    <n v="15017750"/>
    <s v=""/>
  </r>
  <r>
    <s v="Des"/>
    <x v="1"/>
    <x v="2"/>
    <n v="14804750"/>
    <s v=""/>
    <n v="29822500"/>
    <s v=""/>
  </r>
  <r>
    <s v="Jan"/>
    <x v="1"/>
    <x v="3"/>
    <n v="0"/>
    <n v="0"/>
    <n v="0"/>
    <n v="0"/>
  </r>
  <r>
    <s v="Feb"/>
    <x v="1"/>
    <x v="3"/>
    <n v="0"/>
    <n v="0"/>
    <n v="0"/>
    <n v="0"/>
  </r>
  <r>
    <s v="Mar"/>
    <x v="1"/>
    <x v="3"/>
    <n v="0"/>
    <n v="0"/>
    <n v="0"/>
    <n v="0"/>
  </r>
  <r>
    <s v="Apr"/>
    <x v="1"/>
    <x v="3"/>
    <n v="0"/>
    <s v=""/>
    <n v="0"/>
    <s v=""/>
  </r>
  <r>
    <s v="Mei"/>
    <x v="1"/>
    <x v="3"/>
    <n v="200000000"/>
    <s v=""/>
    <n v="0"/>
    <s v=""/>
  </r>
  <r>
    <s v="Jun"/>
    <x v="1"/>
    <x v="3"/>
    <n v="0"/>
    <s v=""/>
    <n v="0"/>
    <s v=""/>
  </r>
  <r>
    <s v="Jul"/>
    <x v="1"/>
    <x v="3"/>
    <n v="0"/>
    <s v=""/>
    <n v="0"/>
    <s v=""/>
  </r>
  <r>
    <s v="Agt"/>
    <x v="1"/>
    <x v="3"/>
    <n v="0"/>
    <s v=""/>
    <n v="0"/>
    <s v=""/>
  </r>
  <r>
    <s v="Sep"/>
    <x v="1"/>
    <x v="3"/>
    <n v="0"/>
    <s v=""/>
    <n v="200000000"/>
    <s v=""/>
  </r>
  <r>
    <s v="Okt"/>
    <x v="1"/>
    <x v="3"/>
    <n v="0"/>
    <s v=""/>
    <n v="0"/>
    <s v=""/>
  </r>
  <r>
    <s v="Nov"/>
    <x v="1"/>
    <x v="3"/>
    <n v="200000000"/>
    <s v=""/>
    <n v="0"/>
    <s v=""/>
  </r>
  <r>
    <s v="Des"/>
    <x v="1"/>
    <x v="3"/>
    <n v="0"/>
    <s v=""/>
    <n v="200000000"/>
    <s v=""/>
  </r>
  <r>
    <s v="Jan"/>
    <x v="1"/>
    <x v="4"/>
    <n v="0"/>
    <n v="0"/>
    <n v="0"/>
    <n v="0"/>
  </r>
  <r>
    <s v="Feb"/>
    <x v="1"/>
    <x v="4"/>
    <n v="0"/>
    <n v="0"/>
    <n v="0"/>
    <n v="0"/>
  </r>
  <r>
    <s v="Mar"/>
    <x v="1"/>
    <x v="4"/>
    <n v="0"/>
    <n v="0"/>
    <n v="0"/>
    <n v="0"/>
  </r>
  <r>
    <s v="Apr"/>
    <x v="1"/>
    <x v="4"/>
    <n v="0"/>
    <s v=""/>
    <n v="0"/>
    <s v=""/>
  </r>
  <r>
    <s v="Mei"/>
    <x v="1"/>
    <x v="4"/>
    <n v="0"/>
    <s v=""/>
    <n v="0"/>
    <s v=""/>
  </r>
  <r>
    <s v="Jun"/>
    <x v="1"/>
    <x v="4"/>
    <n v="0"/>
    <s v=""/>
    <n v="0"/>
    <s v=""/>
  </r>
  <r>
    <s v="Jul"/>
    <x v="1"/>
    <x v="4"/>
    <n v="0"/>
    <s v=""/>
    <n v="0"/>
    <s v=""/>
  </r>
  <r>
    <s v="Agt"/>
    <x v="1"/>
    <x v="4"/>
    <n v="0"/>
    <s v=""/>
    <n v="0"/>
    <s v=""/>
  </r>
  <r>
    <s v="Sep"/>
    <x v="1"/>
    <x v="4"/>
    <n v="0"/>
    <s v=""/>
    <n v="0"/>
    <s v=""/>
  </r>
  <r>
    <s v="Okt"/>
    <x v="1"/>
    <x v="4"/>
    <n v="0"/>
    <s v=""/>
    <n v="0"/>
    <s v=""/>
  </r>
  <r>
    <s v="Nov"/>
    <x v="1"/>
    <x v="4"/>
    <n v="0"/>
    <s v=""/>
    <n v="0"/>
    <s v=""/>
  </r>
  <r>
    <s v="Des"/>
    <x v="1"/>
    <x v="4"/>
    <n v="0"/>
    <s v=""/>
    <n v="0"/>
    <s v=""/>
  </r>
  <r>
    <s v="Jan"/>
    <x v="1"/>
    <x v="5"/>
    <n v="78140000"/>
    <n v="99858450"/>
    <n v="52140000"/>
    <n v="27147500"/>
  </r>
  <r>
    <s v="Feb"/>
    <x v="1"/>
    <x v="5"/>
    <n v="128140000"/>
    <n v="70819316"/>
    <n v="78140000"/>
    <n v="86687950"/>
  </r>
  <r>
    <s v="Mar"/>
    <x v="1"/>
    <x v="5"/>
    <n v="123140000"/>
    <n v="421373245"/>
    <n v="88140000"/>
    <n v="94035325"/>
  </r>
  <r>
    <s v="Apr"/>
    <x v="1"/>
    <x v="5"/>
    <n v="503140000"/>
    <s v=""/>
    <n v="123140000"/>
    <s v=""/>
  </r>
  <r>
    <s v="Mei"/>
    <x v="1"/>
    <x v="5"/>
    <n v="315120000"/>
    <s v=""/>
    <n v="178140000"/>
    <s v=""/>
  </r>
  <r>
    <s v="Jun"/>
    <x v="1"/>
    <x v="5"/>
    <n v="88140000"/>
    <s v=""/>
    <n v="480120000"/>
    <s v=""/>
  </r>
  <r>
    <s v="Jul"/>
    <x v="1"/>
    <x v="5"/>
    <n v="88140000"/>
    <s v=""/>
    <n v="88140000"/>
    <s v=""/>
  </r>
  <r>
    <s v="Agt"/>
    <x v="1"/>
    <x v="5"/>
    <n v="401140000"/>
    <s v=""/>
    <n v="328140000"/>
    <s v=""/>
  </r>
  <r>
    <s v="Sep"/>
    <x v="1"/>
    <x v="5"/>
    <n v="483946000"/>
    <s v=""/>
    <n v="161140000"/>
    <s v=""/>
  </r>
  <r>
    <s v="Okt"/>
    <x v="1"/>
    <x v="5"/>
    <n v="124060000"/>
    <s v=""/>
    <n v="116560000"/>
    <s v=""/>
  </r>
  <r>
    <s v="Nov"/>
    <x v="1"/>
    <x v="5"/>
    <n v="125640000"/>
    <s v=""/>
    <n v="295640000"/>
    <s v=""/>
  </r>
  <r>
    <s v="Des"/>
    <x v="1"/>
    <x v="5"/>
    <n v="102260000"/>
    <s v=""/>
    <n v="571566000"/>
    <s v=""/>
  </r>
  <r>
    <s v="Jan"/>
    <x v="1"/>
    <x v="6"/>
    <n v="291666000"/>
    <n v="243961748"/>
    <n v="291666000"/>
    <n v="243961748"/>
  </r>
  <r>
    <s v="Feb"/>
    <x v="1"/>
    <x v="6"/>
    <n v="291666000"/>
    <n v="222698232"/>
    <n v="291666000"/>
    <n v="222698232"/>
  </r>
  <r>
    <s v="Mar"/>
    <x v="1"/>
    <x v="6"/>
    <n v="291666000"/>
    <n v="208609967"/>
    <n v="291666000"/>
    <n v="208609967"/>
  </r>
  <r>
    <s v="Apr"/>
    <x v="1"/>
    <x v="6"/>
    <n v="291666000"/>
    <s v=""/>
    <n v="291666000"/>
    <s v=""/>
  </r>
  <r>
    <s v="Mei"/>
    <x v="1"/>
    <x v="6"/>
    <n v="291666000"/>
    <s v=""/>
    <n v="291666000"/>
    <s v=""/>
  </r>
  <r>
    <s v="Jun"/>
    <x v="1"/>
    <x v="6"/>
    <n v="291666000"/>
    <s v=""/>
    <n v="291666000"/>
    <s v=""/>
  </r>
  <r>
    <s v="Jul"/>
    <x v="1"/>
    <x v="6"/>
    <n v="291666000"/>
    <s v=""/>
    <n v="291666000"/>
    <s v=""/>
  </r>
  <r>
    <s v="Agt"/>
    <x v="1"/>
    <x v="6"/>
    <n v="291666000"/>
    <s v=""/>
    <n v="291666000"/>
    <s v=""/>
  </r>
  <r>
    <s v="Sep"/>
    <x v="1"/>
    <x v="6"/>
    <n v="291666000"/>
    <s v=""/>
    <n v="291666000"/>
    <s v=""/>
  </r>
  <r>
    <s v="Okt"/>
    <x v="1"/>
    <x v="6"/>
    <n v="291666000"/>
    <s v=""/>
    <n v="291666000"/>
    <s v=""/>
  </r>
  <r>
    <s v="Nov"/>
    <x v="1"/>
    <x v="6"/>
    <n v="291666000"/>
    <s v=""/>
    <n v="291666000"/>
    <s v=""/>
  </r>
  <r>
    <s v="Des"/>
    <x v="1"/>
    <x v="6"/>
    <n v="291674000"/>
    <s v=""/>
    <n v="291674000"/>
    <s v=""/>
  </r>
  <r>
    <s v="Jan"/>
    <x v="2"/>
    <x v="0"/>
    <n v="24114094667"/>
    <n v="450857274"/>
    <n v="0"/>
    <n v="0"/>
  </r>
  <r>
    <s v="Feb"/>
    <x v="2"/>
    <x v="0"/>
    <n v="3125397667"/>
    <n v="25211824009"/>
    <n v="194371000"/>
    <n v="457037427"/>
  </r>
  <r>
    <s v="Mar"/>
    <x v="2"/>
    <x v="0"/>
    <n v="353351000"/>
    <n v="2640927066"/>
    <n v="194371000"/>
    <n v="9175653217"/>
  </r>
  <r>
    <s v="Apr"/>
    <x v="2"/>
    <x v="0"/>
    <n v="1333955667"/>
    <s v=""/>
    <n v="694781000"/>
    <s v=""/>
  </r>
  <r>
    <s v="Mei"/>
    <x v="2"/>
    <x v="0"/>
    <n v="2268107667"/>
    <s v=""/>
    <n v="1386632000"/>
    <s v=""/>
  </r>
  <r>
    <s v="Jun"/>
    <x v="2"/>
    <x v="0"/>
    <n v="2362976667"/>
    <s v=""/>
    <n v="908992000"/>
    <s v=""/>
  </r>
  <r>
    <s v="Jul"/>
    <x v="2"/>
    <x v="0"/>
    <n v="2424464667"/>
    <s v=""/>
    <n v="2563018000"/>
    <s v=""/>
  </r>
  <r>
    <s v="Agt"/>
    <x v="2"/>
    <x v="0"/>
    <n v="2517762667"/>
    <s v=""/>
    <n v="1841049000"/>
    <s v=""/>
  </r>
  <r>
    <s v="Sep"/>
    <x v="2"/>
    <x v="0"/>
    <n v="1885646667"/>
    <s v=""/>
    <n v="1189324000"/>
    <s v=""/>
  </r>
  <r>
    <s v="Okt"/>
    <x v="2"/>
    <x v="0"/>
    <n v="1076401667"/>
    <s v=""/>
    <n v="6212854000"/>
    <s v=""/>
  </r>
  <r>
    <s v="Nov"/>
    <x v="2"/>
    <x v="0"/>
    <n v="293350667"/>
    <s v=""/>
    <n v="13410728000"/>
    <s v=""/>
  </r>
  <r>
    <s v="Des"/>
    <x v="2"/>
    <x v="0"/>
    <n v="194370667"/>
    <s v=""/>
    <n v="13353760000"/>
    <s v=""/>
  </r>
  <r>
    <s v="Jan"/>
    <x v="2"/>
    <x v="1"/>
    <n v="0"/>
    <n v="7366373"/>
    <n v="0"/>
    <n v="0"/>
  </r>
  <r>
    <s v="Feb"/>
    <x v="2"/>
    <x v="1"/>
    <n v="69155000"/>
    <n v="108905600"/>
    <n v="0"/>
    <n v="7366373"/>
  </r>
  <r>
    <s v="Mar"/>
    <x v="2"/>
    <x v="1"/>
    <n v="76585000"/>
    <n v="486628000"/>
    <n v="69155000"/>
    <n v="97569100"/>
  </r>
  <r>
    <s v="Apr"/>
    <x v="2"/>
    <x v="1"/>
    <n v="478750000"/>
    <s v=""/>
    <n v="76585000"/>
    <s v=""/>
  </r>
  <r>
    <s v="Mei"/>
    <x v="2"/>
    <x v="1"/>
    <n v="331409000"/>
    <s v=""/>
    <n v="78750000"/>
    <s v=""/>
  </r>
  <r>
    <s v="Jun"/>
    <x v="2"/>
    <x v="1"/>
    <n v="425832000"/>
    <s v=""/>
    <n v="331409000"/>
    <s v=""/>
  </r>
  <r>
    <s v="Jul"/>
    <x v="2"/>
    <x v="1"/>
    <n v="720000000"/>
    <s v=""/>
    <n v="645000000"/>
    <s v=""/>
  </r>
  <r>
    <s v="Agt"/>
    <x v="2"/>
    <x v="1"/>
    <n v="980337000"/>
    <s v=""/>
    <n v="470000000"/>
    <s v=""/>
  </r>
  <r>
    <s v="Sep"/>
    <x v="2"/>
    <x v="1"/>
    <n v="30000000"/>
    <s v=""/>
    <n v="569582000"/>
    <s v=""/>
  </r>
  <r>
    <s v="Okt"/>
    <x v="2"/>
    <x v="1"/>
    <n v="30000000"/>
    <s v=""/>
    <n v="280000000"/>
    <s v=""/>
  </r>
  <r>
    <s v="Nov"/>
    <x v="2"/>
    <x v="1"/>
    <n v="30000000"/>
    <s v=""/>
    <n v="621587000"/>
    <s v=""/>
  </r>
  <r>
    <s v="Des"/>
    <x v="2"/>
    <x v="1"/>
    <n v="0"/>
    <s v=""/>
    <n v="30000000"/>
    <s v=""/>
  </r>
  <r>
    <s v="Jan"/>
    <x v="2"/>
    <x v="2"/>
    <n v="0"/>
    <n v="0"/>
    <n v="0"/>
    <n v="0"/>
  </r>
  <r>
    <s v="Feb"/>
    <x v="2"/>
    <x v="2"/>
    <n v="0"/>
    <n v="0"/>
    <n v="0"/>
    <n v="0"/>
  </r>
  <r>
    <s v="Mar"/>
    <x v="2"/>
    <x v="2"/>
    <n v="0"/>
    <n v="0"/>
    <n v="0"/>
    <n v="0"/>
  </r>
  <r>
    <s v="Apr"/>
    <x v="2"/>
    <x v="2"/>
    <n v="0"/>
    <s v=""/>
    <n v="0"/>
    <s v=""/>
  </r>
  <r>
    <s v="Mei"/>
    <x v="2"/>
    <x v="2"/>
    <n v="0"/>
    <s v=""/>
    <n v="0"/>
    <s v=""/>
  </r>
  <r>
    <s v="Jun"/>
    <x v="2"/>
    <x v="2"/>
    <n v="0"/>
    <s v=""/>
    <n v="0"/>
    <s v=""/>
  </r>
  <r>
    <s v="Jul"/>
    <x v="2"/>
    <x v="2"/>
    <n v="0"/>
    <s v=""/>
    <n v="0"/>
    <s v=""/>
  </r>
  <r>
    <s v="Agt"/>
    <x v="2"/>
    <x v="2"/>
    <n v="0"/>
    <s v=""/>
    <n v="0"/>
    <s v=""/>
  </r>
  <r>
    <s v="Sep"/>
    <x v="2"/>
    <x v="2"/>
    <n v="0"/>
    <s v=""/>
    <n v="0"/>
    <s v=""/>
  </r>
  <r>
    <s v="Okt"/>
    <x v="2"/>
    <x v="2"/>
    <n v="0"/>
    <s v=""/>
    <n v="0"/>
    <s v=""/>
  </r>
  <r>
    <s v="Nov"/>
    <x v="2"/>
    <x v="2"/>
    <n v="0"/>
    <s v=""/>
    <n v="0"/>
    <s v=""/>
  </r>
  <r>
    <s v="Des"/>
    <x v="2"/>
    <x v="2"/>
    <n v="0"/>
    <s v=""/>
    <n v="0"/>
    <s v=""/>
  </r>
  <r>
    <s v="Jan"/>
    <x v="2"/>
    <x v="3"/>
    <n v="0"/>
    <n v="24488000"/>
    <n v="0"/>
    <n v="0"/>
  </r>
  <r>
    <s v="Feb"/>
    <x v="2"/>
    <x v="3"/>
    <n v="0"/>
    <n v="0"/>
    <n v="0"/>
    <n v="24488000"/>
  </r>
  <r>
    <s v="Mar"/>
    <x v="2"/>
    <x v="3"/>
    <n v="50000000"/>
    <n v="41976000"/>
    <n v="0"/>
    <n v="0"/>
  </r>
  <r>
    <s v="Apr"/>
    <x v="2"/>
    <x v="3"/>
    <n v="0"/>
    <s v=""/>
    <n v="50000000"/>
    <s v=""/>
  </r>
  <r>
    <s v="Mei"/>
    <x v="2"/>
    <x v="3"/>
    <n v="50000000"/>
    <s v=""/>
    <n v="0"/>
    <s v=""/>
  </r>
  <r>
    <s v="Jun"/>
    <x v="2"/>
    <x v="3"/>
    <n v="0"/>
    <s v=""/>
    <n v="50000000"/>
    <s v=""/>
  </r>
  <r>
    <s v="Jul"/>
    <x v="2"/>
    <x v="3"/>
    <n v="0"/>
    <s v=""/>
    <n v="0"/>
    <s v=""/>
  </r>
  <r>
    <s v="Agt"/>
    <x v="2"/>
    <x v="3"/>
    <n v="100000000"/>
    <s v=""/>
    <n v="0"/>
    <s v=""/>
  </r>
  <r>
    <s v="Sep"/>
    <x v="2"/>
    <x v="3"/>
    <n v="0"/>
    <s v=""/>
    <n v="100000000"/>
    <s v=""/>
  </r>
  <r>
    <s v="Okt"/>
    <x v="2"/>
    <x v="3"/>
    <n v="0"/>
    <s v=""/>
    <n v="0"/>
    <s v=""/>
  </r>
  <r>
    <s v="Nov"/>
    <x v="2"/>
    <x v="3"/>
    <n v="0"/>
    <s v=""/>
    <n v="0"/>
    <s v=""/>
  </r>
  <r>
    <s v="Des"/>
    <x v="2"/>
    <x v="3"/>
    <n v="0"/>
    <s v=""/>
    <n v="0"/>
    <s v=""/>
  </r>
  <r>
    <s v="Jan"/>
    <x v="2"/>
    <x v="4"/>
    <n v="0"/>
    <n v="0"/>
    <n v="0"/>
    <n v="0"/>
  </r>
  <r>
    <s v="Feb"/>
    <x v="2"/>
    <x v="4"/>
    <n v="0"/>
    <n v="0"/>
    <n v="0"/>
    <n v="0"/>
  </r>
  <r>
    <s v="Mar"/>
    <x v="2"/>
    <x v="4"/>
    <n v="0"/>
    <n v="0"/>
    <n v="0"/>
    <n v="0"/>
  </r>
  <r>
    <s v="Apr"/>
    <x v="2"/>
    <x v="4"/>
    <n v="0"/>
    <s v=""/>
    <n v="0"/>
    <s v=""/>
  </r>
  <r>
    <s v="Mei"/>
    <x v="2"/>
    <x v="4"/>
    <n v="0"/>
    <s v=""/>
    <n v="0"/>
    <s v=""/>
  </r>
  <r>
    <s v="Jun"/>
    <x v="2"/>
    <x v="4"/>
    <n v="0"/>
    <s v=""/>
    <n v="0"/>
    <s v=""/>
  </r>
  <r>
    <s v="Jul"/>
    <x v="2"/>
    <x v="4"/>
    <n v="0"/>
    <s v=""/>
    <n v="0"/>
    <s v=""/>
  </r>
  <r>
    <s v="Agt"/>
    <x v="2"/>
    <x v="4"/>
    <n v="0"/>
    <s v=""/>
    <n v="0"/>
    <s v=""/>
  </r>
  <r>
    <s v="Sep"/>
    <x v="2"/>
    <x v="4"/>
    <n v="0"/>
    <s v=""/>
    <n v="0"/>
    <s v=""/>
  </r>
  <r>
    <s v="Okt"/>
    <x v="2"/>
    <x v="4"/>
    <n v="0"/>
    <s v=""/>
    <n v="0"/>
    <s v=""/>
  </r>
  <r>
    <s v="Nov"/>
    <x v="2"/>
    <x v="4"/>
    <n v="0"/>
    <s v=""/>
    <n v="0"/>
    <s v=""/>
  </r>
  <r>
    <s v="Des"/>
    <x v="2"/>
    <x v="4"/>
    <n v="0"/>
    <s v=""/>
    <n v="0"/>
    <s v=""/>
  </r>
  <r>
    <s v="Jan"/>
    <x v="2"/>
    <x v="5"/>
    <n v="129134000"/>
    <n v="109818500"/>
    <n v="0"/>
    <n v="52871500"/>
  </r>
  <r>
    <s v="Feb"/>
    <x v="2"/>
    <x v="5"/>
    <n v="129134000"/>
    <n v="37750500"/>
    <n v="129134000"/>
    <n v="64950500"/>
  </r>
  <r>
    <s v="Mar"/>
    <x v="2"/>
    <x v="5"/>
    <n v="353894000"/>
    <n v="88409350"/>
    <n v="129134000"/>
    <n v="40384850"/>
  </r>
  <r>
    <s v="Apr"/>
    <x v="2"/>
    <x v="5"/>
    <n v="129134000"/>
    <s v=""/>
    <n v="353894000"/>
    <s v=""/>
  </r>
  <r>
    <s v="Mei"/>
    <x v="2"/>
    <x v="5"/>
    <n v="129134000"/>
    <s v=""/>
    <n v="129134000"/>
    <s v=""/>
  </r>
  <r>
    <s v="Jun"/>
    <x v="2"/>
    <x v="5"/>
    <n v="139135000"/>
    <s v=""/>
    <n v="129134000"/>
    <s v=""/>
  </r>
  <r>
    <s v="Jul"/>
    <x v="2"/>
    <x v="5"/>
    <n v="353897000"/>
    <s v=""/>
    <n v="139135000"/>
    <s v=""/>
  </r>
  <r>
    <s v="Agt"/>
    <x v="2"/>
    <x v="5"/>
    <n v="129137000"/>
    <s v=""/>
    <n v="353897000"/>
    <s v=""/>
  </r>
  <r>
    <s v="Sep"/>
    <x v="2"/>
    <x v="5"/>
    <n v="129137000"/>
    <s v=""/>
    <n v="129137000"/>
    <s v=""/>
  </r>
  <r>
    <s v="Okt"/>
    <x v="2"/>
    <x v="5"/>
    <n v="129137000"/>
    <s v=""/>
    <n v="129137000"/>
    <s v=""/>
  </r>
  <r>
    <s v="Nov"/>
    <x v="2"/>
    <x v="5"/>
    <n v="169497000"/>
    <s v=""/>
    <n v="129137000"/>
    <s v=""/>
  </r>
  <r>
    <s v="Des"/>
    <x v="2"/>
    <x v="5"/>
    <n v="11500000"/>
    <s v=""/>
    <n v="180997000"/>
    <s v=""/>
  </r>
  <r>
    <s v="Jan"/>
    <x v="2"/>
    <x v="6"/>
    <n v="0"/>
    <n v="0"/>
    <n v="0"/>
    <n v="0"/>
  </r>
  <r>
    <s v="Feb"/>
    <x v="2"/>
    <x v="6"/>
    <n v="0"/>
    <n v="0"/>
    <n v="0"/>
    <n v="0"/>
  </r>
  <r>
    <s v="Mar"/>
    <x v="2"/>
    <x v="6"/>
    <n v="0"/>
    <n v="0"/>
    <n v="0"/>
    <n v="0"/>
  </r>
  <r>
    <s v="Apr"/>
    <x v="2"/>
    <x v="6"/>
    <n v="0"/>
    <s v=""/>
    <n v="0"/>
    <s v=""/>
  </r>
  <r>
    <s v="Mei"/>
    <x v="2"/>
    <x v="6"/>
    <n v="0"/>
    <s v=""/>
    <n v="0"/>
    <s v=""/>
  </r>
  <r>
    <s v="Jun"/>
    <x v="2"/>
    <x v="6"/>
    <n v="0"/>
    <s v=""/>
    <n v="0"/>
    <s v=""/>
  </r>
  <r>
    <s v="Jul"/>
    <x v="2"/>
    <x v="6"/>
    <n v="0"/>
    <s v=""/>
    <n v="0"/>
    <s v=""/>
  </r>
  <r>
    <s v="Agt"/>
    <x v="2"/>
    <x v="6"/>
    <n v="0"/>
    <s v=""/>
    <n v="0"/>
    <s v=""/>
  </r>
  <r>
    <s v="Sep"/>
    <x v="2"/>
    <x v="6"/>
    <n v="0"/>
    <s v=""/>
    <n v="0"/>
    <s v=""/>
  </r>
  <r>
    <s v="Okt"/>
    <x v="2"/>
    <x v="6"/>
    <n v="0"/>
    <s v=""/>
    <n v="0"/>
    <s v=""/>
  </r>
  <r>
    <s v="Nov"/>
    <x v="2"/>
    <x v="6"/>
    <n v="0"/>
    <s v=""/>
    <n v="0"/>
    <s v=""/>
  </r>
  <r>
    <s v="Des"/>
    <x v="2"/>
    <x v="6"/>
    <n v="0"/>
    <s v=""/>
    <n v="0"/>
    <s v=""/>
  </r>
  <r>
    <s v="Jan"/>
    <x v="3"/>
    <x v="0"/>
    <n v="355000000"/>
    <n v="1724237268"/>
    <n v="0"/>
    <n v="0"/>
  </r>
  <r>
    <s v="Feb"/>
    <x v="3"/>
    <x v="0"/>
    <n v="979388000"/>
    <n v="3188732296"/>
    <n v="355000000"/>
    <n v="147536656"/>
  </r>
  <r>
    <s v="Mar"/>
    <x v="3"/>
    <x v="0"/>
    <n v="14105523000"/>
    <n v="11360541597"/>
    <n v="0"/>
    <n v="551901548"/>
  </r>
  <r>
    <s v="Apr"/>
    <x v="3"/>
    <x v="0"/>
    <n v="1907791000"/>
    <s v=""/>
    <n v="0"/>
    <s v=""/>
  </r>
  <r>
    <s v="Mei"/>
    <x v="3"/>
    <x v="0"/>
    <n v="2474359000"/>
    <s v=""/>
    <n v="1458625000"/>
    <s v=""/>
  </r>
  <r>
    <s v="Jun"/>
    <x v="3"/>
    <x v="0"/>
    <n v="2010656000"/>
    <s v=""/>
    <n v="474426000"/>
    <s v=""/>
  </r>
  <r>
    <s v="Jul"/>
    <x v="3"/>
    <x v="0"/>
    <n v="355000000"/>
    <s v=""/>
    <n v="2282791000"/>
    <s v=""/>
  </r>
  <r>
    <s v="Agt"/>
    <x v="3"/>
    <x v="0"/>
    <n v="0"/>
    <s v=""/>
    <n v="2102679000"/>
    <s v=""/>
  </r>
  <r>
    <s v="Sep"/>
    <x v="3"/>
    <x v="0"/>
    <n v="0"/>
    <s v=""/>
    <n v="2157269000"/>
    <s v=""/>
  </r>
  <r>
    <s v="Okt"/>
    <x v="3"/>
    <x v="0"/>
    <n v="355000000"/>
    <s v=""/>
    <n v="4830505000"/>
    <s v=""/>
  </r>
  <r>
    <s v="Nov"/>
    <x v="3"/>
    <x v="0"/>
    <n v="0"/>
    <s v=""/>
    <n v="8881422000"/>
    <s v=""/>
  </r>
  <r>
    <s v="Des"/>
    <x v="3"/>
    <x v="0"/>
    <n v="0"/>
    <s v=""/>
    <n v="0"/>
    <s v=""/>
  </r>
  <r>
    <s v="Jan"/>
    <x v="3"/>
    <x v="1"/>
    <n v="0"/>
    <n v="0"/>
    <n v="0"/>
    <n v="0"/>
  </r>
  <r>
    <s v="Feb"/>
    <x v="3"/>
    <x v="1"/>
    <n v="0"/>
    <n v="0"/>
    <n v="0"/>
    <n v="0"/>
  </r>
  <r>
    <s v="Mar"/>
    <x v="3"/>
    <x v="1"/>
    <n v="0"/>
    <n v="631983784"/>
    <n v="0"/>
    <n v="0"/>
  </r>
  <r>
    <s v="Apr"/>
    <x v="3"/>
    <x v="1"/>
    <n v="1150000000"/>
    <s v=""/>
    <n v="0"/>
    <s v=""/>
  </r>
  <r>
    <s v="Mei"/>
    <x v="3"/>
    <x v="1"/>
    <n v="0"/>
    <s v=""/>
    <n v="0"/>
    <s v=""/>
  </r>
  <r>
    <s v="Jun"/>
    <x v="3"/>
    <x v="1"/>
    <n v="0"/>
    <s v=""/>
    <n v="700000000"/>
    <s v=""/>
  </r>
  <r>
    <s v="Jul"/>
    <x v="3"/>
    <x v="1"/>
    <n v="0"/>
    <s v=""/>
    <n v="0"/>
    <s v=""/>
  </r>
  <r>
    <s v="Agt"/>
    <x v="3"/>
    <x v="1"/>
    <n v="354000000"/>
    <s v=""/>
    <n v="450000000"/>
    <s v=""/>
  </r>
  <r>
    <s v="Sep"/>
    <x v="3"/>
    <x v="1"/>
    <n v="0"/>
    <s v=""/>
    <n v="0"/>
    <s v=""/>
  </r>
  <r>
    <s v="Okt"/>
    <x v="3"/>
    <x v="1"/>
    <n v="0"/>
    <s v=""/>
    <n v="354000000"/>
    <s v=""/>
  </r>
  <r>
    <s v="Nov"/>
    <x v="3"/>
    <x v="1"/>
    <n v="0"/>
    <s v=""/>
    <n v="0"/>
    <s v=""/>
  </r>
  <r>
    <s v="Des"/>
    <x v="3"/>
    <x v="1"/>
    <n v="0"/>
    <s v=""/>
    <n v="0"/>
    <s v=""/>
  </r>
  <r>
    <s v="Jan"/>
    <x v="3"/>
    <x v="2"/>
    <n v="29718750"/>
    <n v="0"/>
    <n v="0"/>
    <n v="0"/>
  </r>
  <r>
    <s v="Feb"/>
    <x v="3"/>
    <x v="2"/>
    <n v="0"/>
    <n v="15775000"/>
    <n v="29718750"/>
    <n v="0"/>
  </r>
  <r>
    <s v="Mar"/>
    <x v="3"/>
    <x v="2"/>
    <n v="0"/>
    <n v="0"/>
    <n v="0"/>
    <n v="7520000"/>
  </r>
  <r>
    <s v="Apr"/>
    <x v="3"/>
    <x v="2"/>
    <n v="29718750"/>
    <s v=""/>
    <n v="0"/>
    <s v=""/>
  </r>
  <r>
    <s v="Mei"/>
    <x v="3"/>
    <x v="2"/>
    <n v="0"/>
    <s v=""/>
    <n v="29718750"/>
    <s v=""/>
  </r>
  <r>
    <s v="Jun"/>
    <x v="3"/>
    <x v="2"/>
    <n v="0"/>
    <s v=""/>
    <n v="0"/>
    <s v=""/>
  </r>
  <r>
    <s v="Jul"/>
    <x v="3"/>
    <x v="2"/>
    <n v="29718750"/>
    <s v=""/>
    <n v="0"/>
    <s v=""/>
  </r>
  <r>
    <s v="Agt"/>
    <x v="3"/>
    <x v="2"/>
    <n v="0"/>
    <s v=""/>
    <n v="29718750"/>
    <s v=""/>
  </r>
  <r>
    <s v="Sep"/>
    <x v="3"/>
    <x v="2"/>
    <n v="0"/>
    <s v=""/>
    <n v="0"/>
    <s v=""/>
  </r>
  <r>
    <s v="Okt"/>
    <x v="3"/>
    <x v="2"/>
    <n v="29718750"/>
    <s v=""/>
    <n v="0"/>
    <s v=""/>
  </r>
  <r>
    <s v="Nov"/>
    <x v="3"/>
    <x v="2"/>
    <n v="0"/>
    <s v=""/>
    <n v="29718750"/>
    <s v=""/>
  </r>
  <r>
    <s v="Des"/>
    <x v="3"/>
    <x v="2"/>
    <n v="0"/>
    <s v=""/>
    <n v="0"/>
    <s v=""/>
  </r>
  <r>
    <s v="Jan"/>
    <x v="3"/>
    <x v="3"/>
    <n v="0"/>
    <n v="0"/>
    <n v="0"/>
    <n v="0"/>
  </r>
  <r>
    <s v="Feb"/>
    <x v="3"/>
    <x v="3"/>
    <n v="0"/>
    <n v="0"/>
    <n v="0"/>
    <n v="0"/>
  </r>
  <r>
    <s v="Mar"/>
    <x v="3"/>
    <x v="3"/>
    <n v="0"/>
    <n v="497734500"/>
    <n v="0"/>
    <n v="0"/>
  </r>
  <r>
    <s v="Apr"/>
    <x v="3"/>
    <x v="3"/>
    <n v="0"/>
    <s v=""/>
    <n v="0"/>
    <s v=""/>
  </r>
  <r>
    <s v="Mei"/>
    <x v="3"/>
    <x v="3"/>
    <n v="705000000"/>
    <s v=""/>
    <n v="0"/>
    <s v=""/>
  </r>
  <r>
    <s v="Jun"/>
    <x v="3"/>
    <x v="3"/>
    <n v="0"/>
    <s v=""/>
    <n v="0"/>
    <s v=""/>
  </r>
  <r>
    <s v="Jul"/>
    <x v="3"/>
    <x v="3"/>
    <n v="0"/>
    <s v=""/>
    <n v="0"/>
    <s v=""/>
  </r>
  <r>
    <s v="Agt"/>
    <x v="3"/>
    <x v="3"/>
    <n v="0"/>
    <s v=""/>
    <n v="705000000"/>
    <s v=""/>
  </r>
  <r>
    <s v="Sep"/>
    <x v="3"/>
    <x v="3"/>
    <n v="0"/>
    <s v=""/>
    <n v="0"/>
    <s v=""/>
  </r>
  <r>
    <s v="Okt"/>
    <x v="3"/>
    <x v="3"/>
    <n v="0"/>
    <s v=""/>
    <n v="0"/>
    <s v=""/>
  </r>
  <r>
    <s v="Nov"/>
    <x v="3"/>
    <x v="3"/>
    <n v="0"/>
    <s v=""/>
    <n v="0"/>
    <s v=""/>
  </r>
  <r>
    <s v="Des"/>
    <x v="3"/>
    <x v="3"/>
    <n v="0"/>
    <s v=""/>
    <n v="0"/>
    <s v=""/>
  </r>
  <r>
    <s v="Jan"/>
    <x v="3"/>
    <x v="4"/>
    <n v="0"/>
    <n v="0"/>
    <m/>
    <n v="0"/>
  </r>
  <r>
    <s v="Feb"/>
    <x v="3"/>
    <x v="4"/>
    <n v="0"/>
    <n v="0"/>
    <m/>
    <n v="0"/>
  </r>
  <r>
    <s v="Mar"/>
    <x v="3"/>
    <x v="4"/>
    <n v="0"/>
    <n v="0"/>
    <m/>
    <n v="0"/>
  </r>
  <r>
    <s v="Apr"/>
    <x v="3"/>
    <x v="4"/>
    <n v="0"/>
    <s v=""/>
    <m/>
    <s v=""/>
  </r>
  <r>
    <s v="Mei"/>
    <x v="3"/>
    <x v="4"/>
    <n v="0"/>
    <s v=""/>
    <m/>
    <s v=""/>
  </r>
  <r>
    <s v="Jun"/>
    <x v="3"/>
    <x v="4"/>
    <n v="0"/>
    <s v=""/>
    <m/>
    <s v=""/>
  </r>
  <r>
    <s v="Jul"/>
    <x v="3"/>
    <x v="4"/>
    <n v="0"/>
    <s v=""/>
    <m/>
    <s v=""/>
  </r>
  <r>
    <s v="Agt"/>
    <x v="3"/>
    <x v="4"/>
    <n v="0"/>
    <s v=""/>
    <m/>
    <s v=""/>
  </r>
  <r>
    <s v="Sep"/>
    <x v="3"/>
    <x v="4"/>
    <n v="0"/>
    <s v=""/>
    <m/>
    <s v=""/>
  </r>
  <r>
    <s v="Okt"/>
    <x v="3"/>
    <x v="4"/>
    <n v="0"/>
    <s v=""/>
    <m/>
    <s v=""/>
  </r>
  <r>
    <s v="Nov"/>
    <x v="3"/>
    <x v="4"/>
    <n v="0"/>
    <s v=""/>
    <m/>
    <s v=""/>
  </r>
  <r>
    <s v="Des"/>
    <x v="3"/>
    <x v="4"/>
    <n v="0"/>
    <s v=""/>
    <m/>
    <s v=""/>
  </r>
  <r>
    <s v="Jan"/>
    <x v="3"/>
    <x v="5"/>
    <n v="98435000"/>
    <n v="112428554"/>
    <n v="98435000"/>
    <n v="19564700"/>
  </r>
  <r>
    <s v="Feb"/>
    <x v="3"/>
    <x v="5"/>
    <n v="60854000"/>
    <n v="44348055"/>
    <n v="60854000"/>
    <n v="112098409"/>
  </r>
  <r>
    <s v="Mar"/>
    <x v="3"/>
    <x v="5"/>
    <n v="74364000"/>
    <n v="69082780"/>
    <n v="74364000"/>
    <n v="51805780"/>
  </r>
  <r>
    <s v="Apr"/>
    <x v="3"/>
    <x v="5"/>
    <n v="67364000"/>
    <s v=""/>
    <n v="67364000"/>
    <s v=""/>
  </r>
  <r>
    <s v="Mei"/>
    <x v="3"/>
    <x v="5"/>
    <n v="70354000"/>
    <s v=""/>
    <n v="70354000"/>
    <s v=""/>
  </r>
  <r>
    <s v="Jun"/>
    <x v="3"/>
    <x v="5"/>
    <n v="278064000"/>
    <s v=""/>
    <n v="278064000"/>
    <s v=""/>
  </r>
  <r>
    <s v="Jul"/>
    <x v="3"/>
    <x v="5"/>
    <n v="117864000"/>
    <s v=""/>
    <n v="117864000"/>
    <s v=""/>
  </r>
  <r>
    <s v="Agt"/>
    <x v="3"/>
    <x v="5"/>
    <n v="58994000"/>
    <s v=""/>
    <n v="58994000"/>
    <s v=""/>
  </r>
  <r>
    <s v="Sep"/>
    <x v="3"/>
    <x v="5"/>
    <n v="125004000"/>
    <s v=""/>
    <n v="125004000"/>
    <s v=""/>
  </r>
  <r>
    <s v="Okt"/>
    <x v="3"/>
    <x v="5"/>
    <n v="53004000"/>
    <s v=""/>
    <n v="53004000"/>
    <s v=""/>
  </r>
  <r>
    <s v="Nov"/>
    <x v="3"/>
    <x v="5"/>
    <n v="83004000"/>
    <s v=""/>
    <n v="83004000"/>
    <s v=""/>
  </r>
  <r>
    <s v="Des"/>
    <x v="3"/>
    <x v="5"/>
    <n v="75015000"/>
    <s v=""/>
    <n v="75015000"/>
    <s v=""/>
  </r>
  <r>
    <s v="Jan"/>
    <x v="3"/>
    <x v="6"/>
    <n v="188333000"/>
    <n v="166384517"/>
    <n v="188333000"/>
    <n v="166384517"/>
  </r>
  <r>
    <s v="Feb"/>
    <x v="3"/>
    <x v="6"/>
    <n v="188333000"/>
    <n v="158708365"/>
    <n v="188333000"/>
    <n v="158708365"/>
  </r>
  <r>
    <s v="Mar"/>
    <x v="3"/>
    <x v="6"/>
    <n v="188333000"/>
    <n v="149082356"/>
    <n v="188333000"/>
    <n v="149082356"/>
  </r>
  <r>
    <s v="Apr"/>
    <x v="3"/>
    <x v="6"/>
    <n v="188333000"/>
    <s v=""/>
    <n v="188333000"/>
    <s v=""/>
  </r>
  <r>
    <s v="Mei"/>
    <x v="3"/>
    <x v="6"/>
    <n v="188333000"/>
    <s v=""/>
    <n v="188333000"/>
    <s v=""/>
  </r>
  <r>
    <s v="Jun"/>
    <x v="3"/>
    <x v="6"/>
    <n v="188333000"/>
    <s v=""/>
    <n v="188333000"/>
    <s v=""/>
  </r>
  <r>
    <s v="Jul"/>
    <x v="3"/>
    <x v="6"/>
    <n v="188333000"/>
    <s v=""/>
    <n v="188333000"/>
    <s v=""/>
  </r>
  <r>
    <s v="Agt"/>
    <x v="3"/>
    <x v="6"/>
    <n v="188333000"/>
    <s v=""/>
    <n v="188333000"/>
    <s v=""/>
  </r>
  <r>
    <s v="Sep"/>
    <x v="3"/>
    <x v="6"/>
    <n v="188333000"/>
    <s v=""/>
    <n v="188333000"/>
    <s v=""/>
  </r>
  <r>
    <s v="Okt"/>
    <x v="3"/>
    <x v="6"/>
    <n v="188333000"/>
    <s v=""/>
    <n v="188333000"/>
    <s v=""/>
  </r>
  <r>
    <s v="Nov"/>
    <x v="3"/>
    <x v="6"/>
    <n v="188333000"/>
    <s v=""/>
    <n v="188333000"/>
    <s v=""/>
  </r>
  <r>
    <s v="Des"/>
    <x v="3"/>
    <x v="6"/>
    <n v="188337000"/>
    <s v=""/>
    <n v="188337000"/>
    <s v=""/>
  </r>
  <r>
    <s v="Jan"/>
    <x v="4"/>
    <x v="0"/>
    <n v="0"/>
    <n v="620219118"/>
    <n v="0"/>
    <n v="0"/>
  </r>
  <r>
    <s v="Feb"/>
    <x v="4"/>
    <x v="0"/>
    <n v="0"/>
    <n v="882186785"/>
    <n v="0"/>
    <n v="28044916"/>
  </r>
  <r>
    <s v="Mar"/>
    <x v="4"/>
    <x v="0"/>
    <n v="12183513000"/>
    <n v="9799442883"/>
    <n v="495000000"/>
    <n v="104061459"/>
  </r>
  <r>
    <s v="Apr"/>
    <x v="4"/>
    <x v="0"/>
    <n v="3290973000"/>
    <s v=""/>
    <n v="335000000"/>
    <s v=""/>
  </r>
  <r>
    <s v="Mei"/>
    <x v="4"/>
    <x v="0"/>
    <n v="4196830000"/>
    <s v=""/>
    <n v="450000000"/>
    <s v=""/>
  </r>
  <r>
    <s v="Jun"/>
    <x v="4"/>
    <x v="0"/>
    <n v="421169000"/>
    <s v=""/>
    <n v="851266000"/>
    <s v=""/>
  </r>
  <r>
    <s v="Jul"/>
    <x v="4"/>
    <x v="0"/>
    <n v="102990000"/>
    <s v=""/>
    <n v="845041000"/>
    <s v=""/>
  </r>
  <r>
    <s v="Agt"/>
    <x v="4"/>
    <x v="0"/>
    <n v="350000000"/>
    <s v=""/>
    <n v="544675000"/>
    <s v=""/>
  </r>
  <r>
    <s v="Sep"/>
    <x v="4"/>
    <x v="0"/>
    <n v="130000000"/>
    <s v=""/>
    <n v="12919483000"/>
    <s v=""/>
  </r>
  <r>
    <s v="Okt"/>
    <x v="4"/>
    <x v="0"/>
    <n v="0"/>
    <s v=""/>
    <n v="2295330000"/>
    <s v=""/>
  </r>
  <r>
    <s v="Nov"/>
    <x v="4"/>
    <x v="0"/>
    <n v="0"/>
    <s v=""/>
    <n v="1939680000"/>
    <s v=""/>
  </r>
  <r>
    <s v="Des"/>
    <x v="4"/>
    <x v="0"/>
    <n v="130000000"/>
    <s v=""/>
    <n v="130000000"/>
    <s v=""/>
  </r>
  <r>
    <s v="Jan"/>
    <x v="4"/>
    <x v="1"/>
    <n v="0"/>
    <n v="0"/>
    <n v="0"/>
    <n v="0"/>
  </r>
  <r>
    <s v="Feb"/>
    <x v="4"/>
    <x v="1"/>
    <n v="0"/>
    <n v="28227453"/>
    <n v="0"/>
    <n v="0"/>
  </r>
  <r>
    <s v="Mar"/>
    <x v="4"/>
    <x v="1"/>
    <n v="0"/>
    <n v="18630185"/>
    <n v="0"/>
    <n v="8775138"/>
  </r>
  <r>
    <s v="Apr"/>
    <x v="4"/>
    <x v="1"/>
    <n v="128898000"/>
    <s v=""/>
    <n v="128898000"/>
    <s v=""/>
  </r>
  <r>
    <s v="Mei"/>
    <x v="4"/>
    <x v="1"/>
    <n v="532377000"/>
    <s v=""/>
    <n v="50000000"/>
    <s v=""/>
  </r>
  <r>
    <s v="Jun"/>
    <x v="4"/>
    <x v="1"/>
    <n v="435565000"/>
    <s v=""/>
    <n v="50000000"/>
    <s v=""/>
  </r>
  <r>
    <s v="Jul"/>
    <x v="4"/>
    <x v="1"/>
    <n v="50000000"/>
    <s v=""/>
    <n v="50000000"/>
    <s v=""/>
  </r>
  <r>
    <s v="Agt"/>
    <x v="4"/>
    <x v="1"/>
    <n v="50000000"/>
    <s v=""/>
    <n v="532377000"/>
    <s v=""/>
  </r>
  <r>
    <s v="Sep"/>
    <x v="4"/>
    <x v="1"/>
    <n v="50000000"/>
    <s v=""/>
    <n v="435565000"/>
    <s v=""/>
  </r>
  <r>
    <s v="Okt"/>
    <x v="4"/>
    <x v="1"/>
    <n v="100000000"/>
    <s v=""/>
    <n v="100000000"/>
    <s v=""/>
  </r>
  <r>
    <s v="Nov"/>
    <x v="4"/>
    <x v="1"/>
    <n v="100000000"/>
    <s v=""/>
    <n v="100000000"/>
    <s v=""/>
  </r>
  <r>
    <s v="Des"/>
    <x v="4"/>
    <x v="1"/>
    <n v="0"/>
    <s v=""/>
    <n v="0"/>
    <s v=""/>
  </r>
  <r>
    <s v="Jan"/>
    <x v="4"/>
    <x v="2"/>
    <n v="0"/>
    <n v="0"/>
    <n v="0"/>
    <n v="0"/>
  </r>
  <r>
    <s v="Feb"/>
    <x v="4"/>
    <x v="2"/>
    <n v="30030000"/>
    <n v="11205000"/>
    <n v="30030000"/>
    <n v="0"/>
  </r>
  <r>
    <s v="Mar"/>
    <x v="4"/>
    <x v="2"/>
    <n v="0"/>
    <n v="0"/>
    <n v="0"/>
    <n v="0"/>
  </r>
  <r>
    <s v="Apr"/>
    <x v="4"/>
    <x v="2"/>
    <n v="0"/>
    <s v=""/>
    <n v="0"/>
    <s v=""/>
  </r>
  <r>
    <s v="Mei"/>
    <x v="4"/>
    <x v="2"/>
    <n v="0"/>
    <s v=""/>
    <n v="0"/>
    <s v=""/>
  </r>
  <r>
    <s v="Jun"/>
    <x v="4"/>
    <x v="2"/>
    <n v="30030000"/>
    <s v=""/>
    <n v="30030000"/>
    <s v=""/>
  </r>
  <r>
    <s v="Jul"/>
    <x v="4"/>
    <x v="2"/>
    <n v="0"/>
    <s v=""/>
    <n v="0"/>
    <s v=""/>
  </r>
  <r>
    <s v="Agt"/>
    <x v="4"/>
    <x v="2"/>
    <n v="0"/>
    <s v=""/>
    <n v="0"/>
    <s v=""/>
  </r>
  <r>
    <s v="Sep"/>
    <x v="4"/>
    <x v="2"/>
    <n v="0"/>
    <s v=""/>
    <n v="0"/>
    <s v=""/>
  </r>
  <r>
    <s v="Okt"/>
    <x v="4"/>
    <x v="2"/>
    <n v="0"/>
    <s v=""/>
    <n v="0"/>
    <s v=""/>
  </r>
  <r>
    <s v="Nov"/>
    <x v="4"/>
    <x v="2"/>
    <n v="30030000"/>
    <s v=""/>
    <n v="30030000"/>
    <s v=""/>
  </r>
  <r>
    <s v="Des"/>
    <x v="4"/>
    <x v="2"/>
    <n v="0"/>
    <s v=""/>
    <n v="0"/>
    <s v=""/>
  </r>
  <r>
    <s v="Jan"/>
    <x v="4"/>
    <x v="3"/>
    <n v="0"/>
    <n v="0"/>
    <n v="0"/>
    <n v="0"/>
  </r>
  <r>
    <s v="Feb"/>
    <x v="4"/>
    <x v="3"/>
    <n v="0"/>
    <n v="0"/>
    <n v="0"/>
    <n v="0"/>
  </r>
  <r>
    <s v="Mar"/>
    <x v="4"/>
    <x v="3"/>
    <n v="0"/>
    <n v="0"/>
    <n v="0"/>
    <n v="0"/>
  </r>
  <r>
    <s v="Apr"/>
    <x v="4"/>
    <x v="3"/>
    <n v="0"/>
    <s v=""/>
    <n v="0"/>
    <s v=""/>
  </r>
  <r>
    <s v="Mei"/>
    <x v="4"/>
    <x v="3"/>
    <n v="60000000"/>
    <s v=""/>
    <n v="60000000"/>
    <s v=""/>
  </r>
  <r>
    <s v="Jun"/>
    <x v="4"/>
    <x v="3"/>
    <n v="30000000"/>
    <s v=""/>
    <n v="30000000"/>
    <s v=""/>
  </r>
  <r>
    <s v="Jul"/>
    <x v="4"/>
    <x v="3"/>
    <n v="160000000"/>
    <s v=""/>
    <n v="0"/>
    <s v=""/>
  </r>
  <r>
    <s v="Agt"/>
    <x v="4"/>
    <x v="3"/>
    <n v="0"/>
    <s v=""/>
    <n v="0"/>
    <s v=""/>
  </r>
  <r>
    <s v="Sep"/>
    <x v="4"/>
    <x v="3"/>
    <n v="0"/>
    <s v=""/>
    <n v="0"/>
    <s v=""/>
  </r>
  <r>
    <s v="Okt"/>
    <x v="4"/>
    <x v="3"/>
    <n v="0"/>
    <s v=""/>
    <n v="160000000"/>
    <s v=""/>
  </r>
  <r>
    <s v="Nov"/>
    <x v="4"/>
    <x v="3"/>
    <n v="0"/>
    <s v=""/>
    <n v="0"/>
    <s v=""/>
  </r>
  <r>
    <s v="Des"/>
    <x v="4"/>
    <x v="3"/>
    <n v="0"/>
    <s v=""/>
    <n v="0"/>
    <s v=""/>
  </r>
  <r>
    <s v="Jan"/>
    <x v="4"/>
    <x v="4"/>
    <n v="0"/>
    <n v="0"/>
    <n v="0"/>
    <n v="0"/>
  </r>
  <r>
    <s v="Feb"/>
    <x v="4"/>
    <x v="4"/>
    <n v="0"/>
    <n v="0"/>
    <n v="0"/>
    <n v="0"/>
  </r>
  <r>
    <s v="Mar"/>
    <x v="4"/>
    <x v="4"/>
    <n v="0"/>
    <n v="0"/>
    <n v="0"/>
    <n v="0"/>
  </r>
  <r>
    <s v="Apr"/>
    <x v="4"/>
    <x v="4"/>
    <n v="0"/>
    <s v=""/>
    <n v="0"/>
    <s v=""/>
  </r>
  <r>
    <s v="Mei"/>
    <x v="4"/>
    <x v="4"/>
    <n v="0"/>
    <s v=""/>
    <n v="0"/>
    <s v=""/>
  </r>
  <r>
    <s v="Jun"/>
    <x v="4"/>
    <x v="4"/>
    <n v="0"/>
    <s v=""/>
    <n v="0"/>
    <s v=""/>
  </r>
  <r>
    <s v="Jul"/>
    <x v="4"/>
    <x v="4"/>
    <n v="0"/>
    <s v=""/>
    <n v="0"/>
    <s v=""/>
  </r>
  <r>
    <s v="Agt"/>
    <x v="4"/>
    <x v="4"/>
    <n v="0"/>
    <s v=""/>
    <n v="0"/>
    <s v=""/>
  </r>
  <r>
    <s v="Sep"/>
    <x v="4"/>
    <x v="4"/>
    <n v="0"/>
    <s v=""/>
    <n v="0"/>
    <s v=""/>
  </r>
  <r>
    <s v="Okt"/>
    <x v="4"/>
    <x v="4"/>
    <n v="0"/>
    <s v=""/>
    <n v="0"/>
    <s v=""/>
  </r>
  <r>
    <s v="Nov"/>
    <x v="4"/>
    <x v="4"/>
    <n v="0"/>
    <s v=""/>
    <n v="0"/>
    <s v=""/>
  </r>
  <r>
    <s v="Des"/>
    <x v="4"/>
    <x v="4"/>
    <n v="0"/>
    <s v=""/>
    <n v="0"/>
    <s v=""/>
  </r>
  <r>
    <s v="Jan"/>
    <x v="4"/>
    <x v="5"/>
    <n v="50834000"/>
    <n v="107373135"/>
    <n v="50834000"/>
    <n v="29120235"/>
  </r>
  <r>
    <s v="Feb"/>
    <x v="4"/>
    <x v="5"/>
    <n v="70834000"/>
    <n v="132788748"/>
    <n v="70834000"/>
    <n v="60489500"/>
  </r>
  <r>
    <s v="Mar"/>
    <x v="4"/>
    <x v="5"/>
    <n v="302184000"/>
    <n v="105406414"/>
    <n v="302184000"/>
    <n v="114465550"/>
  </r>
  <r>
    <s v="Apr"/>
    <x v="4"/>
    <x v="5"/>
    <n v="313833000"/>
    <s v=""/>
    <n v="313833000"/>
    <s v=""/>
  </r>
  <r>
    <s v="Mei"/>
    <x v="4"/>
    <x v="5"/>
    <n v="187833000"/>
    <s v=""/>
    <n v="187833000"/>
    <s v=""/>
  </r>
  <r>
    <s v="Jun"/>
    <x v="4"/>
    <x v="5"/>
    <n v="274383000"/>
    <s v=""/>
    <n v="274383000"/>
    <s v=""/>
  </r>
  <r>
    <s v="Jul"/>
    <x v="4"/>
    <x v="5"/>
    <n v="53833000"/>
    <s v=""/>
    <n v="53833000"/>
    <s v=""/>
  </r>
  <r>
    <s v="Agt"/>
    <x v="4"/>
    <x v="5"/>
    <n v="90833000"/>
    <s v=""/>
    <n v="90833000"/>
    <s v=""/>
  </r>
  <r>
    <s v="Sep"/>
    <x v="4"/>
    <x v="5"/>
    <n v="97183000"/>
    <s v=""/>
    <n v="97183000"/>
    <s v=""/>
  </r>
  <r>
    <s v="Okt"/>
    <x v="4"/>
    <x v="5"/>
    <n v="65834000"/>
    <s v=""/>
    <n v="65834000"/>
    <s v=""/>
  </r>
  <r>
    <s v="Nov"/>
    <x v="4"/>
    <x v="5"/>
    <n v="62834000"/>
    <s v=""/>
    <n v="62834000"/>
    <s v=""/>
  </r>
  <r>
    <s v="Des"/>
    <x v="4"/>
    <x v="5"/>
    <n v="112184000"/>
    <s v=""/>
    <n v="112184000"/>
    <s v=""/>
  </r>
  <r>
    <s v="Jan"/>
    <x v="4"/>
    <x v="6"/>
    <n v="208442000"/>
    <n v="180318716"/>
    <n v="208442000"/>
    <n v="180294464"/>
  </r>
  <r>
    <s v="Feb"/>
    <x v="4"/>
    <x v="6"/>
    <n v="208442000"/>
    <n v="165926590"/>
    <n v="208442000"/>
    <n v="165950842"/>
  </r>
  <r>
    <s v="Mar"/>
    <x v="4"/>
    <x v="6"/>
    <n v="208442000"/>
    <n v="147403349"/>
    <n v="208442000"/>
    <n v="147403349"/>
  </r>
  <r>
    <s v="Apr"/>
    <x v="4"/>
    <x v="6"/>
    <n v="208442000"/>
    <s v=""/>
    <n v="208442000"/>
    <s v=""/>
  </r>
  <r>
    <s v="Mei"/>
    <x v="4"/>
    <x v="6"/>
    <n v="208442000"/>
    <s v=""/>
    <n v="208442000"/>
    <s v=""/>
  </r>
  <r>
    <s v="Jun"/>
    <x v="4"/>
    <x v="6"/>
    <n v="208442000"/>
    <s v=""/>
    <n v="208442000"/>
    <s v=""/>
  </r>
  <r>
    <s v="Jul"/>
    <x v="4"/>
    <x v="6"/>
    <n v="208442000"/>
    <s v=""/>
    <n v="208442000"/>
    <s v=""/>
  </r>
  <r>
    <s v="Agt"/>
    <x v="4"/>
    <x v="6"/>
    <n v="208442000"/>
    <s v=""/>
    <n v="208442000"/>
    <s v=""/>
  </r>
  <r>
    <s v="Sep"/>
    <x v="4"/>
    <x v="6"/>
    <n v="208441000"/>
    <s v=""/>
    <n v="208441000"/>
    <s v=""/>
  </r>
  <r>
    <s v="Okt"/>
    <x v="4"/>
    <x v="6"/>
    <n v="208441000"/>
    <s v=""/>
    <n v="208441000"/>
    <s v=""/>
  </r>
  <r>
    <s v="Nov"/>
    <x v="4"/>
    <x v="6"/>
    <n v="208441000"/>
    <s v=""/>
    <n v="208441000"/>
    <s v=""/>
  </r>
  <r>
    <s v="Des"/>
    <x v="4"/>
    <x v="6"/>
    <n v="208441000"/>
    <s v=""/>
    <n v="208441000"/>
    <s v=""/>
  </r>
  <r>
    <s v="Jan"/>
    <x v="5"/>
    <x v="0"/>
    <n v="100000000"/>
    <n v="656537346"/>
    <n v="0"/>
    <n v="0"/>
  </r>
  <r>
    <s v="Feb"/>
    <x v="5"/>
    <x v="0"/>
    <n v="235000000"/>
    <n v="683351141"/>
    <n v="185000000"/>
    <n v="93332500"/>
  </r>
  <r>
    <s v="Mar"/>
    <x v="5"/>
    <x v="0"/>
    <n v="9354173000"/>
    <n v="8099134173"/>
    <n v="500000000"/>
    <n v="104154846"/>
  </r>
  <r>
    <s v="Apr"/>
    <x v="5"/>
    <x v="0"/>
    <n v="459550000"/>
    <s v=""/>
    <n v="521650000"/>
    <s v=""/>
  </r>
  <r>
    <s v="Mei"/>
    <x v="5"/>
    <x v="0"/>
    <n v="4070366975"/>
    <s v=""/>
    <n v="190000000"/>
    <s v=""/>
  </r>
  <r>
    <s v="Jun"/>
    <x v="5"/>
    <x v="0"/>
    <n v="1051500000"/>
    <s v=""/>
    <n v="419000000"/>
    <s v=""/>
  </r>
  <r>
    <s v="Jul"/>
    <x v="5"/>
    <x v="0"/>
    <n v="925000000"/>
    <s v=""/>
    <n v="1383295000"/>
    <s v=""/>
  </r>
  <r>
    <s v="Agt"/>
    <x v="5"/>
    <x v="0"/>
    <n v="391246320"/>
    <s v=""/>
    <n v="882913000"/>
    <s v=""/>
  </r>
  <r>
    <s v="Sep"/>
    <x v="5"/>
    <x v="0"/>
    <n v="447666665.99999994"/>
    <s v=""/>
    <n v="3610437000"/>
    <s v=""/>
  </r>
  <r>
    <s v="Okt"/>
    <x v="5"/>
    <x v="0"/>
    <n v="197666660"/>
    <s v=""/>
    <n v="943622000"/>
    <s v=""/>
  </r>
  <r>
    <s v="Nov"/>
    <x v="5"/>
    <x v="0"/>
    <n v="66666660"/>
    <s v=""/>
    <n v="4123624560"/>
    <s v=""/>
  </r>
  <r>
    <s v="Des"/>
    <x v="5"/>
    <x v="0"/>
    <n v="66666660"/>
    <s v=""/>
    <n v="4605962307"/>
    <s v=""/>
  </r>
  <r>
    <s v="Jan"/>
    <x v="5"/>
    <x v="1"/>
    <n v="0"/>
    <n v="0"/>
    <n v="0"/>
    <n v="0"/>
  </r>
  <r>
    <s v="Feb"/>
    <x v="5"/>
    <x v="1"/>
    <n v="10000000"/>
    <n v="0"/>
    <n v="0"/>
    <n v="0"/>
  </r>
  <r>
    <s v="Mar"/>
    <x v="5"/>
    <x v="1"/>
    <n v="0"/>
    <n v="24707600"/>
    <n v="10000000"/>
    <n v="0"/>
  </r>
  <r>
    <s v="Apr"/>
    <x v="5"/>
    <x v="1"/>
    <n v="0"/>
    <s v=""/>
    <n v="0"/>
    <s v=""/>
  </r>
  <r>
    <s v="Mei"/>
    <x v="5"/>
    <x v="1"/>
    <n v="10000000"/>
    <s v=""/>
    <n v="0"/>
    <s v=""/>
  </r>
  <r>
    <s v="Jun"/>
    <x v="5"/>
    <x v="1"/>
    <n v="50000000"/>
    <s v=""/>
    <n v="10000000"/>
    <s v=""/>
  </r>
  <r>
    <s v="Jul"/>
    <x v="5"/>
    <x v="1"/>
    <n v="509000000"/>
    <s v=""/>
    <n v="50000000"/>
    <s v=""/>
  </r>
  <r>
    <s v="Agt"/>
    <x v="5"/>
    <x v="1"/>
    <n v="10000000"/>
    <s v=""/>
    <n v="0"/>
    <s v=""/>
  </r>
  <r>
    <s v="Sep"/>
    <x v="5"/>
    <x v="1"/>
    <n v="50000000"/>
    <s v=""/>
    <n v="10000000"/>
    <s v=""/>
  </r>
  <r>
    <s v="Okt"/>
    <x v="5"/>
    <x v="1"/>
    <n v="0"/>
    <s v=""/>
    <n v="50000000"/>
    <s v=""/>
  </r>
  <r>
    <s v="Nov"/>
    <x v="5"/>
    <x v="1"/>
    <n v="10000000"/>
    <s v=""/>
    <n v="0"/>
    <s v=""/>
  </r>
  <r>
    <s v="Des"/>
    <x v="5"/>
    <x v="1"/>
    <n v="0"/>
    <s v=""/>
    <n v="519000000"/>
    <s v=""/>
  </r>
  <r>
    <s v="Jan"/>
    <x v="5"/>
    <x v="2"/>
    <n v="0"/>
    <n v="0"/>
    <n v="0"/>
    <n v="0"/>
  </r>
  <r>
    <s v="Feb"/>
    <x v="5"/>
    <x v="2"/>
    <n v="80025000"/>
    <n v="71775000"/>
    <n v="0"/>
    <n v="0"/>
  </r>
  <r>
    <s v="Mar"/>
    <x v="5"/>
    <x v="2"/>
    <n v="0"/>
    <n v="0"/>
    <n v="80025000"/>
    <n v="71775000"/>
  </r>
  <r>
    <s v="Apr"/>
    <x v="5"/>
    <x v="2"/>
    <n v="0"/>
    <s v=""/>
    <n v="0"/>
    <s v=""/>
  </r>
  <r>
    <s v="Mei"/>
    <x v="5"/>
    <x v="2"/>
    <n v="80025000"/>
    <s v=""/>
    <n v="0"/>
    <s v=""/>
  </r>
  <r>
    <s v="Jun"/>
    <x v="5"/>
    <x v="2"/>
    <n v="0"/>
    <s v=""/>
    <n v="80025000"/>
    <s v=""/>
  </r>
  <r>
    <s v="Jul"/>
    <x v="5"/>
    <x v="2"/>
    <n v="0"/>
    <s v=""/>
    <n v="0"/>
    <s v=""/>
  </r>
  <r>
    <s v="Agt"/>
    <x v="5"/>
    <x v="2"/>
    <n v="80025000"/>
    <s v=""/>
    <n v="0"/>
    <s v=""/>
  </r>
  <r>
    <s v="Sep"/>
    <x v="5"/>
    <x v="2"/>
    <n v="0"/>
    <s v=""/>
    <n v="80025000"/>
    <s v=""/>
  </r>
  <r>
    <s v="Okt"/>
    <x v="5"/>
    <x v="2"/>
    <n v="0"/>
    <s v=""/>
    <n v="0"/>
    <s v=""/>
  </r>
  <r>
    <s v="Nov"/>
    <x v="5"/>
    <x v="2"/>
    <n v="80025000"/>
    <s v=""/>
    <n v="0"/>
    <s v=""/>
  </r>
  <r>
    <s v="Des"/>
    <x v="5"/>
    <x v="2"/>
    <n v="0"/>
    <s v=""/>
    <n v="80025000"/>
    <s v=""/>
  </r>
  <r>
    <s v="Jan"/>
    <x v="5"/>
    <x v="3"/>
    <n v="0"/>
    <n v="46460160"/>
    <n v="0"/>
    <n v="0"/>
  </r>
  <r>
    <s v="Feb"/>
    <x v="5"/>
    <x v="3"/>
    <n v="50000000"/>
    <n v="0"/>
    <n v="0"/>
    <n v="0"/>
  </r>
  <r>
    <s v="Mar"/>
    <x v="5"/>
    <x v="3"/>
    <n v="0"/>
    <n v="-4604160"/>
    <n v="50000000"/>
    <n v="41856000"/>
  </r>
  <r>
    <s v="Apr"/>
    <x v="5"/>
    <x v="3"/>
    <n v="0"/>
    <s v=""/>
    <n v="0"/>
    <s v=""/>
  </r>
  <r>
    <s v="Mei"/>
    <x v="5"/>
    <x v="3"/>
    <n v="0"/>
    <s v=""/>
    <n v="0"/>
    <s v=""/>
  </r>
  <r>
    <s v="Jun"/>
    <x v="5"/>
    <x v="3"/>
    <n v="0"/>
    <s v=""/>
    <n v="0"/>
    <s v=""/>
  </r>
  <r>
    <s v="Jul"/>
    <x v="5"/>
    <x v="3"/>
    <n v="50000000"/>
    <s v=""/>
    <n v="0"/>
    <s v=""/>
  </r>
  <r>
    <s v="Agt"/>
    <x v="5"/>
    <x v="3"/>
    <n v="0"/>
    <s v=""/>
    <n v="50000000"/>
    <s v=""/>
  </r>
  <r>
    <s v="Sep"/>
    <x v="5"/>
    <x v="3"/>
    <n v="0"/>
    <s v=""/>
    <n v="0"/>
    <s v=""/>
  </r>
  <r>
    <s v="Okt"/>
    <x v="5"/>
    <x v="3"/>
    <n v="50000000"/>
    <s v=""/>
    <n v="0"/>
    <s v=""/>
  </r>
  <r>
    <s v="Nov"/>
    <x v="5"/>
    <x v="3"/>
    <n v="0"/>
    <s v=""/>
    <n v="50000000"/>
    <s v=""/>
  </r>
  <r>
    <s v="Des"/>
    <x v="5"/>
    <x v="3"/>
    <n v="0"/>
    <s v=""/>
    <n v="0"/>
    <s v=""/>
  </r>
  <r>
    <s v="Jan"/>
    <x v="5"/>
    <x v="4"/>
    <n v="0"/>
    <n v="0"/>
    <n v="0"/>
    <n v="0"/>
  </r>
  <r>
    <s v="Feb"/>
    <x v="5"/>
    <x v="4"/>
    <n v="0"/>
    <n v="0"/>
    <n v="0"/>
    <n v="0"/>
  </r>
  <r>
    <s v="Mar"/>
    <x v="5"/>
    <x v="4"/>
    <n v="0"/>
    <n v="0"/>
    <n v="0"/>
    <n v="0"/>
  </r>
  <r>
    <s v="Apr"/>
    <x v="5"/>
    <x v="4"/>
    <n v="0"/>
    <s v=""/>
    <n v="0"/>
    <s v=""/>
  </r>
  <r>
    <s v="Mei"/>
    <x v="5"/>
    <x v="4"/>
    <n v="0"/>
    <s v=""/>
    <n v="0"/>
    <s v=""/>
  </r>
  <r>
    <s v="Jun"/>
    <x v="5"/>
    <x v="4"/>
    <n v="0"/>
    <s v=""/>
    <n v="0"/>
    <s v=""/>
  </r>
  <r>
    <s v="Jul"/>
    <x v="5"/>
    <x v="4"/>
    <n v="0"/>
    <s v=""/>
    <n v="0"/>
    <s v=""/>
  </r>
  <r>
    <s v="Agt"/>
    <x v="5"/>
    <x v="4"/>
    <n v="0"/>
    <s v=""/>
    <n v="0"/>
    <s v=""/>
  </r>
  <r>
    <s v="Sep"/>
    <x v="5"/>
    <x v="4"/>
    <n v="0"/>
    <s v=""/>
    <n v="0"/>
    <s v=""/>
  </r>
  <r>
    <s v="Okt"/>
    <x v="5"/>
    <x v="4"/>
    <n v="0"/>
    <s v=""/>
    <n v="0"/>
    <s v=""/>
  </r>
  <r>
    <s v="Nov"/>
    <x v="5"/>
    <x v="4"/>
    <n v="0"/>
    <s v=""/>
    <n v="0"/>
    <s v=""/>
  </r>
  <r>
    <s v="Des"/>
    <x v="5"/>
    <x v="4"/>
    <n v="0"/>
    <s v=""/>
    <n v="0"/>
    <s v=""/>
  </r>
  <r>
    <s v="Jan"/>
    <x v="5"/>
    <x v="5"/>
    <n v="142200000"/>
    <n v="125678941"/>
    <n v="8750000"/>
    <n v="17499750"/>
  </r>
  <r>
    <s v="Feb"/>
    <x v="5"/>
    <x v="5"/>
    <n v="268250000"/>
    <n v="82708000"/>
    <n v="142200000"/>
    <n v="92994741"/>
  </r>
  <r>
    <s v="Mar"/>
    <x v="5"/>
    <x v="5"/>
    <n v="143250000"/>
    <n v="69834480"/>
    <n v="268250000"/>
    <n v="89399930"/>
  </r>
  <r>
    <s v="Apr"/>
    <x v="5"/>
    <x v="5"/>
    <n v="319346000"/>
    <s v=""/>
    <n v="143250000"/>
    <s v=""/>
  </r>
  <r>
    <s v="Mei"/>
    <x v="5"/>
    <x v="5"/>
    <n v="58250000"/>
    <s v=""/>
    <n v="319346000"/>
    <s v=""/>
  </r>
  <r>
    <s v="Jun"/>
    <x v="5"/>
    <x v="5"/>
    <n v="108250000"/>
    <s v=""/>
    <n v="58250000"/>
    <s v=""/>
  </r>
  <r>
    <s v="Jul"/>
    <x v="5"/>
    <x v="5"/>
    <n v="313250000"/>
    <s v=""/>
    <n v="108250000"/>
    <s v=""/>
  </r>
  <r>
    <s v="Agt"/>
    <x v="5"/>
    <x v="5"/>
    <n v="98250000"/>
    <s v=""/>
    <n v="313250000"/>
    <s v=""/>
  </r>
  <r>
    <s v="Sep"/>
    <x v="5"/>
    <x v="5"/>
    <n v="58250000"/>
    <s v=""/>
    <n v="98250000"/>
    <s v=""/>
  </r>
  <r>
    <s v="Okt"/>
    <x v="5"/>
    <x v="5"/>
    <n v="58250000"/>
    <s v=""/>
    <n v="58250000"/>
    <s v=""/>
  </r>
  <r>
    <s v="Nov"/>
    <x v="5"/>
    <x v="5"/>
    <n v="58250000"/>
    <s v=""/>
    <n v="58250000"/>
    <s v=""/>
  </r>
  <r>
    <s v="Des"/>
    <x v="5"/>
    <x v="5"/>
    <n v="58250000"/>
    <s v=""/>
    <n v="107750000"/>
    <s v=""/>
  </r>
  <r>
    <s v="Jan"/>
    <x v="5"/>
    <x v="6"/>
    <n v="214166666.66666666"/>
    <n v="201478069"/>
    <n v="214166666.66666666"/>
    <n v="201478069"/>
  </r>
  <r>
    <s v="Feb"/>
    <x v="5"/>
    <x v="6"/>
    <n v="214166666.66666666"/>
    <n v="193379527"/>
    <n v="214166666.66666666"/>
    <n v="193379527"/>
  </r>
  <r>
    <s v="Mar"/>
    <x v="5"/>
    <x v="6"/>
    <n v="214166666.66666666"/>
    <n v="174819946"/>
    <n v="214166666.66666666"/>
    <n v="174819946"/>
  </r>
  <r>
    <s v="Apr"/>
    <x v="5"/>
    <x v="6"/>
    <n v="214166666.66666666"/>
    <s v=""/>
    <n v="214166666.66666666"/>
    <s v=""/>
  </r>
  <r>
    <s v="Mei"/>
    <x v="5"/>
    <x v="6"/>
    <n v="214166666.66666666"/>
    <s v=""/>
    <n v="214166666.66666666"/>
    <s v=""/>
  </r>
  <r>
    <s v="Jun"/>
    <x v="5"/>
    <x v="6"/>
    <n v="214166666.66666666"/>
    <s v=""/>
    <n v="214166666.66666666"/>
    <s v=""/>
  </r>
  <r>
    <s v="Jul"/>
    <x v="5"/>
    <x v="6"/>
    <n v="214166666.66666666"/>
    <s v=""/>
    <n v="214166666.66666666"/>
    <s v=""/>
  </r>
  <r>
    <s v="Agt"/>
    <x v="5"/>
    <x v="6"/>
    <n v="214166666.66666666"/>
    <s v=""/>
    <n v="214166666.66666666"/>
    <s v=""/>
  </r>
  <r>
    <s v="Sep"/>
    <x v="5"/>
    <x v="6"/>
    <n v="214166666.66666666"/>
    <s v=""/>
    <n v="214166666.66666666"/>
    <s v=""/>
  </r>
  <r>
    <s v="Okt"/>
    <x v="5"/>
    <x v="6"/>
    <n v="214166666.66666666"/>
    <s v=""/>
    <n v="214166666.66666666"/>
    <s v=""/>
  </r>
  <r>
    <s v="Nov"/>
    <x v="5"/>
    <x v="6"/>
    <n v="214166666.66666666"/>
    <s v=""/>
    <n v="214166666.66666666"/>
    <s v=""/>
  </r>
  <r>
    <s v="Des"/>
    <x v="5"/>
    <x v="6"/>
    <n v="214166666.66666666"/>
    <s v=""/>
    <n v="214166666.66666666"/>
    <s v=""/>
  </r>
  <r>
    <s v="Jan"/>
    <x v="6"/>
    <x v="0"/>
    <n v="90000000"/>
    <n v="218226790"/>
    <n v="0"/>
    <n v="0"/>
  </r>
  <r>
    <s v="Feb"/>
    <x v="6"/>
    <x v="0"/>
    <n v="2756633000"/>
    <n v="2975215110"/>
    <n v="90000000"/>
    <n v="258244550"/>
  </r>
  <r>
    <s v="Mar"/>
    <x v="6"/>
    <x v="0"/>
    <n v="10272212000"/>
    <n v="10257377055"/>
    <n v="66667000"/>
    <n v="79211000"/>
  </r>
  <r>
    <s v="Apr"/>
    <x v="6"/>
    <x v="0"/>
    <n v="1843977000"/>
    <s v=""/>
    <n v="687000000"/>
    <s v=""/>
  </r>
  <r>
    <s v="Mei"/>
    <x v="6"/>
    <x v="0"/>
    <n v="635000000"/>
    <s v=""/>
    <n v="1127667000"/>
    <s v=""/>
  </r>
  <r>
    <s v="Jun"/>
    <x v="6"/>
    <x v="0"/>
    <n v="1030408000"/>
    <s v=""/>
    <n v="2050710000"/>
    <s v=""/>
  </r>
  <r>
    <s v="Jul"/>
    <x v="6"/>
    <x v="0"/>
    <n v="621650000"/>
    <s v=""/>
    <n v="3754636000"/>
    <s v=""/>
  </r>
  <r>
    <s v="Agt"/>
    <x v="6"/>
    <x v="0"/>
    <n v="2136262000"/>
    <s v=""/>
    <n v="1016136000"/>
    <s v=""/>
  </r>
  <r>
    <s v="Sep"/>
    <x v="6"/>
    <x v="0"/>
    <n v="275000000"/>
    <s v=""/>
    <n v="3410123000"/>
    <s v=""/>
  </r>
  <r>
    <s v="Okt"/>
    <x v="6"/>
    <x v="0"/>
    <n v="134561000"/>
    <s v=""/>
    <n v="1952489000"/>
    <s v=""/>
  </r>
  <r>
    <s v="Nov"/>
    <x v="6"/>
    <x v="0"/>
    <n v="224998000"/>
    <s v=""/>
    <n v="5640275000"/>
    <s v=""/>
  </r>
  <r>
    <s v="Des"/>
    <x v="6"/>
    <x v="0"/>
    <n v="66667000"/>
    <s v=""/>
    <n v="291665000"/>
    <s v=""/>
  </r>
  <r>
    <s v="Jan"/>
    <x v="6"/>
    <x v="1"/>
    <n v="0"/>
    <n v="0"/>
    <n v="0"/>
    <n v="0"/>
  </r>
  <r>
    <s v="Feb"/>
    <x v="6"/>
    <x v="1"/>
    <n v="0"/>
    <n v="0"/>
    <n v="0"/>
    <n v="0"/>
  </r>
  <r>
    <s v="Mar"/>
    <x v="6"/>
    <x v="1"/>
    <n v="0"/>
    <n v="495830000"/>
    <n v="0"/>
    <n v="0"/>
  </r>
  <r>
    <s v="Apr"/>
    <x v="6"/>
    <x v="1"/>
    <n v="0"/>
    <s v=""/>
    <n v="0"/>
    <s v=""/>
  </r>
  <r>
    <s v="Mei"/>
    <x v="6"/>
    <x v="1"/>
    <n v="1155000000"/>
    <s v=""/>
    <n v="0"/>
    <s v=""/>
  </r>
  <r>
    <s v="Jun"/>
    <x v="6"/>
    <x v="1"/>
    <n v="30000000"/>
    <s v=""/>
    <n v="0"/>
    <s v=""/>
  </r>
  <r>
    <s v="Jul"/>
    <x v="6"/>
    <x v="1"/>
    <n v="0"/>
    <s v=""/>
    <n v="30000000"/>
    <s v=""/>
  </r>
  <r>
    <s v="Agt"/>
    <x v="6"/>
    <x v="1"/>
    <n v="0"/>
    <s v=""/>
    <n v="1155000000"/>
    <s v=""/>
  </r>
  <r>
    <s v="Sep"/>
    <x v="6"/>
    <x v="1"/>
    <n v="0"/>
    <s v=""/>
    <n v="0"/>
    <s v=""/>
  </r>
  <r>
    <s v="Okt"/>
    <x v="6"/>
    <x v="1"/>
    <n v="0"/>
    <s v=""/>
    <n v="0"/>
    <s v=""/>
  </r>
  <r>
    <s v="Nov"/>
    <x v="6"/>
    <x v="1"/>
    <n v="0"/>
    <s v=""/>
    <n v="0"/>
    <s v=""/>
  </r>
  <r>
    <s v="Des"/>
    <x v="6"/>
    <x v="1"/>
    <n v="0"/>
    <s v=""/>
    <n v="0"/>
    <s v=""/>
  </r>
  <r>
    <s v="Jan"/>
    <x v="6"/>
    <x v="2"/>
    <n v="0"/>
    <n v="0"/>
    <n v="0"/>
    <n v="0"/>
  </r>
  <r>
    <s v="Feb"/>
    <x v="6"/>
    <x v="2"/>
    <n v="50000000"/>
    <n v="32848750"/>
    <n v="0"/>
    <n v="0"/>
  </r>
  <r>
    <s v="Mar"/>
    <x v="6"/>
    <x v="2"/>
    <n v="0"/>
    <n v="0"/>
    <n v="50000000"/>
    <n v="32848750"/>
  </r>
  <r>
    <s v="Apr"/>
    <x v="6"/>
    <x v="2"/>
    <n v="0"/>
    <s v=""/>
    <n v="0"/>
    <s v=""/>
  </r>
  <r>
    <s v="Mei"/>
    <x v="6"/>
    <x v="2"/>
    <n v="50000000"/>
    <s v=""/>
    <n v="0"/>
    <s v=""/>
  </r>
  <r>
    <s v="Jun"/>
    <x v="6"/>
    <x v="2"/>
    <n v="0"/>
    <s v=""/>
    <n v="50000000"/>
    <s v=""/>
  </r>
  <r>
    <s v="Jul"/>
    <x v="6"/>
    <x v="2"/>
    <n v="0"/>
    <s v=""/>
    <n v="0"/>
    <s v=""/>
  </r>
  <r>
    <s v="Agt"/>
    <x v="6"/>
    <x v="2"/>
    <n v="50000000"/>
    <s v=""/>
    <n v="0"/>
    <s v=""/>
  </r>
  <r>
    <s v="Sep"/>
    <x v="6"/>
    <x v="2"/>
    <n v="0"/>
    <s v=""/>
    <n v="50000000"/>
    <s v=""/>
  </r>
  <r>
    <s v="Okt"/>
    <x v="6"/>
    <x v="2"/>
    <n v="50000000"/>
    <s v=""/>
    <n v="0"/>
    <s v=""/>
  </r>
  <r>
    <s v="Nov"/>
    <x v="6"/>
    <x v="2"/>
    <n v="0"/>
    <s v=""/>
    <n v="50000000"/>
    <s v=""/>
  </r>
  <r>
    <s v="Des"/>
    <x v="6"/>
    <x v="2"/>
    <n v="50000000"/>
    <s v=""/>
    <n v="50000000"/>
    <s v=""/>
  </r>
  <r>
    <s v="Jan"/>
    <x v="6"/>
    <x v="3"/>
    <n v="0"/>
    <n v="0"/>
    <n v="0"/>
    <n v="0"/>
  </r>
  <r>
    <s v="Feb"/>
    <x v="6"/>
    <x v="3"/>
    <n v="0"/>
    <n v="0"/>
    <n v="0"/>
    <n v="0"/>
  </r>
  <r>
    <s v="Mar"/>
    <x v="6"/>
    <x v="3"/>
    <n v="200000000"/>
    <n v="0"/>
    <n v="0"/>
    <n v="0"/>
  </r>
  <r>
    <s v="Apr"/>
    <x v="6"/>
    <x v="3"/>
    <n v="0"/>
    <s v=""/>
    <n v="0"/>
    <s v=""/>
  </r>
  <r>
    <s v="Mei"/>
    <x v="6"/>
    <x v="3"/>
    <n v="340000000"/>
    <s v=""/>
    <n v="200000000"/>
    <s v=""/>
  </r>
  <r>
    <s v="Jun"/>
    <x v="6"/>
    <x v="3"/>
    <n v="0"/>
    <s v=""/>
    <n v="0"/>
    <s v=""/>
  </r>
  <r>
    <s v="Jul"/>
    <x v="6"/>
    <x v="3"/>
    <n v="0"/>
    <s v=""/>
    <n v="340000000"/>
    <s v=""/>
  </r>
  <r>
    <s v="Agt"/>
    <x v="6"/>
    <x v="3"/>
    <n v="500000000"/>
    <s v=""/>
    <n v="0"/>
    <s v=""/>
  </r>
  <r>
    <s v="Sep"/>
    <x v="6"/>
    <x v="3"/>
    <n v="0"/>
    <s v=""/>
    <n v="0"/>
    <s v=""/>
  </r>
  <r>
    <s v="Okt"/>
    <x v="6"/>
    <x v="3"/>
    <n v="0"/>
    <s v=""/>
    <n v="500000000"/>
    <s v=""/>
  </r>
  <r>
    <s v="Nov"/>
    <x v="6"/>
    <x v="3"/>
    <n v="0"/>
    <s v=""/>
    <n v="0"/>
    <s v=""/>
  </r>
  <r>
    <s v="Des"/>
    <x v="6"/>
    <x v="3"/>
    <n v="0"/>
    <s v=""/>
    <n v="0"/>
    <s v=""/>
  </r>
  <r>
    <s v="Jan"/>
    <x v="6"/>
    <x v="4"/>
    <n v="0"/>
    <n v="0"/>
    <n v="0"/>
    <n v="0"/>
  </r>
  <r>
    <s v="Feb"/>
    <x v="6"/>
    <x v="4"/>
    <n v="0"/>
    <n v="0"/>
    <n v="0"/>
    <n v="0"/>
  </r>
  <r>
    <s v="Mar"/>
    <x v="6"/>
    <x v="4"/>
    <n v="0"/>
    <n v="0"/>
    <n v="0"/>
    <n v="0"/>
  </r>
  <r>
    <s v="Apr"/>
    <x v="6"/>
    <x v="4"/>
    <n v="0"/>
    <s v=""/>
    <n v="0"/>
    <s v=""/>
  </r>
  <r>
    <s v="Mei"/>
    <x v="6"/>
    <x v="4"/>
    <n v="0"/>
    <s v=""/>
    <n v="0"/>
    <s v=""/>
  </r>
  <r>
    <s v="Jun"/>
    <x v="6"/>
    <x v="4"/>
    <n v="0"/>
    <s v=""/>
    <n v="0"/>
    <s v=""/>
  </r>
  <r>
    <s v="Jul"/>
    <x v="6"/>
    <x v="4"/>
    <n v="0"/>
    <s v=""/>
    <n v="0"/>
    <s v=""/>
  </r>
  <r>
    <s v="Agt"/>
    <x v="6"/>
    <x v="4"/>
    <n v="0"/>
    <s v=""/>
    <n v="0"/>
    <s v=""/>
  </r>
  <r>
    <s v="Sep"/>
    <x v="6"/>
    <x v="4"/>
    <n v="0"/>
    <s v=""/>
    <n v="0"/>
    <s v=""/>
  </r>
  <r>
    <s v="Okt"/>
    <x v="6"/>
    <x v="4"/>
    <n v="0"/>
    <s v=""/>
    <n v="0"/>
    <s v=""/>
  </r>
  <r>
    <s v="Nov"/>
    <x v="6"/>
    <x v="4"/>
    <n v="0"/>
    <s v=""/>
    <n v="0"/>
    <s v=""/>
  </r>
  <r>
    <s v="Des"/>
    <x v="6"/>
    <x v="4"/>
    <n v="0"/>
    <s v=""/>
    <n v="0"/>
    <s v=""/>
  </r>
  <r>
    <s v="Jan"/>
    <x v="6"/>
    <x v="5"/>
    <n v="62259333.333333336"/>
    <n v="106646150"/>
    <n v="0"/>
    <n v="19578750"/>
  </r>
  <r>
    <s v="Feb"/>
    <x v="6"/>
    <x v="5"/>
    <n v="81686766.666666657"/>
    <n v="124319935"/>
    <n v="62259333.333333328"/>
    <n v="94911900"/>
  </r>
  <r>
    <s v="Mar"/>
    <x v="6"/>
    <x v="5"/>
    <n v="89759333.333333343"/>
    <n v="709237482"/>
    <n v="81686766.666666597"/>
    <n v="100379180"/>
  </r>
  <r>
    <s v="Apr"/>
    <x v="6"/>
    <x v="5"/>
    <n v="64603433.333333336"/>
    <s v=""/>
    <n v="89759333.333333328"/>
    <s v=""/>
  </r>
  <r>
    <s v="Mei"/>
    <x v="6"/>
    <x v="5"/>
    <n v="301686766.66666669"/>
    <s v=""/>
    <n v="784603433.33333337"/>
    <s v=""/>
  </r>
  <r>
    <s v="Jun"/>
    <x v="6"/>
    <x v="5"/>
    <n v="599917433.33333337"/>
    <s v=""/>
    <n v="81686766.666666597"/>
    <s v=""/>
  </r>
  <r>
    <s v="Jul"/>
    <x v="6"/>
    <x v="5"/>
    <n v="64603433.333333336"/>
    <s v=""/>
    <n v="99917433.333333299"/>
    <s v=""/>
  </r>
  <r>
    <s v="Agt"/>
    <x v="6"/>
    <x v="5"/>
    <n v="81686766.666666657"/>
    <s v=""/>
    <n v="64603433.333333299"/>
    <s v=""/>
  </r>
  <r>
    <s v="Sep"/>
    <x v="6"/>
    <x v="5"/>
    <n v="233835433.33333334"/>
    <s v=""/>
    <n v="81686766.666666597"/>
    <s v=""/>
  </r>
  <r>
    <s v="Okt"/>
    <x v="6"/>
    <x v="5"/>
    <n v="64603433.333333336"/>
    <s v=""/>
    <n v="233835433.33333328"/>
    <s v=""/>
  </r>
  <r>
    <s v="Nov"/>
    <x v="6"/>
    <x v="5"/>
    <n v="78353433.333333328"/>
    <s v=""/>
    <n v="64603433.333333299"/>
    <s v=""/>
  </r>
  <r>
    <s v="Des"/>
    <x v="6"/>
    <x v="5"/>
    <n v="99917433.333333328"/>
    <s v=""/>
    <n v="178270866.66666669"/>
    <s v=""/>
  </r>
  <r>
    <s v="Jan"/>
    <x v="6"/>
    <x v="6"/>
    <n v="255298000"/>
    <n v="199624421"/>
    <n v="255298000"/>
    <n v="199624421"/>
  </r>
  <r>
    <s v="Feb"/>
    <x v="6"/>
    <x v="6"/>
    <n v="255298000"/>
    <n v="197235478"/>
    <n v="255298000"/>
    <n v="197235478"/>
  </r>
  <r>
    <s v="Mar"/>
    <x v="6"/>
    <x v="6"/>
    <n v="255298000"/>
    <n v="176527404"/>
    <n v="255298000"/>
    <n v="176527404"/>
  </r>
  <r>
    <s v="Apr"/>
    <x v="6"/>
    <x v="6"/>
    <n v="255298000"/>
    <s v=""/>
    <n v="255298000"/>
    <s v=""/>
  </r>
  <r>
    <s v="Mei"/>
    <x v="6"/>
    <x v="6"/>
    <n v="255298000"/>
    <s v=""/>
    <n v="255298000"/>
    <s v=""/>
  </r>
  <r>
    <s v="Jun"/>
    <x v="6"/>
    <x v="6"/>
    <n v="255298000"/>
    <s v=""/>
    <n v="255298000"/>
    <s v=""/>
  </r>
  <r>
    <s v="Jul"/>
    <x v="6"/>
    <x v="6"/>
    <n v="255298000"/>
    <s v=""/>
    <n v="255298000"/>
    <s v=""/>
  </r>
  <r>
    <s v="Agt"/>
    <x v="6"/>
    <x v="6"/>
    <n v="255298000"/>
    <s v=""/>
    <n v="255298000"/>
    <s v=""/>
  </r>
  <r>
    <s v="Sep"/>
    <x v="6"/>
    <x v="6"/>
    <n v="255298000"/>
    <s v=""/>
    <n v="255298000"/>
    <s v=""/>
  </r>
  <r>
    <s v="Okt"/>
    <x v="6"/>
    <x v="6"/>
    <n v="255298000"/>
    <s v=""/>
    <n v="255298000"/>
    <s v=""/>
  </r>
  <r>
    <s v="Nov"/>
    <x v="6"/>
    <x v="6"/>
    <n v="255298000"/>
    <s v=""/>
    <n v="255298000"/>
    <s v=""/>
  </r>
  <r>
    <s v="Des"/>
    <x v="6"/>
    <x v="6"/>
    <n v="255298000"/>
    <s v=""/>
    <n v="255298000"/>
    <s v=""/>
  </r>
  <r>
    <s v="Jan"/>
    <x v="7"/>
    <x v="0"/>
    <n v="0"/>
    <n v="31467000"/>
    <n v="0"/>
    <n v="0"/>
  </r>
  <r>
    <s v="Feb"/>
    <x v="7"/>
    <x v="0"/>
    <n v="0"/>
    <n v="4701283132"/>
    <n v="0"/>
    <n v="24650000"/>
  </r>
  <r>
    <s v="Mar"/>
    <x v="7"/>
    <x v="0"/>
    <n v="1399586000"/>
    <n v="7733284580"/>
    <n v="1199586000"/>
    <n v="429892040"/>
  </r>
  <r>
    <s v="Apr"/>
    <x v="7"/>
    <x v="0"/>
    <n v="5262021000"/>
    <s v=""/>
    <n v="2256407000"/>
    <s v=""/>
  </r>
  <r>
    <s v="Mei"/>
    <x v="7"/>
    <x v="0"/>
    <n v="6315352000"/>
    <s v=""/>
    <n v="2554922000"/>
    <s v=""/>
  </r>
  <r>
    <s v="Jun"/>
    <x v="7"/>
    <x v="0"/>
    <n v="3401417000"/>
    <s v=""/>
    <n v="3401417000"/>
    <s v=""/>
  </r>
  <r>
    <s v="Jul"/>
    <x v="7"/>
    <x v="0"/>
    <n v="3315327000"/>
    <s v=""/>
    <n v="4549327000"/>
    <s v=""/>
  </r>
  <r>
    <s v="Agt"/>
    <x v="7"/>
    <x v="0"/>
    <n v="3890302000"/>
    <s v=""/>
    <n v="5420302000"/>
    <s v=""/>
  </r>
  <r>
    <s v="Sep"/>
    <x v="7"/>
    <x v="0"/>
    <n v="3131133000"/>
    <s v=""/>
    <n v="4606747000"/>
    <s v=""/>
  </r>
  <r>
    <s v="Okt"/>
    <x v="7"/>
    <x v="0"/>
    <n v="1448551000"/>
    <s v=""/>
    <n v="3974981000"/>
    <s v=""/>
  </r>
  <r>
    <s v="Nov"/>
    <x v="7"/>
    <x v="0"/>
    <n v="375000000"/>
    <s v=""/>
    <n v="375000000"/>
    <s v=""/>
  </r>
  <r>
    <s v="Des"/>
    <x v="7"/>
    <x v="0"/>
    <n v="0"/>
    <s v=""/>
    <n v="200000000"/>
    <s v=""/>
  </r>
  <r>
    <s v="Jan"/>
    <x v="7"/>
    <x v="1"/>
    <n v="0"/>
    <n v="36500000"/>
    <n v="0"/>
    <n v="0"/>
  </r>
  <r>
    <s v="Feb"/>
    <x v="7"/>
    <x v="1"/>
    <n v="0"/>
    <n v="0"/>
    <n v="0"/>
    <n v="36500000"/>
  </r>
  <r>
    <s v="Mar"/>
    <x v="7"/>
    <x v="1"/>
    <n v="0"/>
    <n v="8959000"/>
    <n v="0"/>
    <n v="0"/>
  </r>
  <r>
    <s v="Apr"/>
    <x v="7"/>
    <x v="1"/>
    <n v="300000000"/>
    <s v=""/>
    <n v="300000000"/>
    <s v=""/>
  </r>
  <r>
    <s v="Mei"/>
    <x v="7"/>
    <x v="1"/>
    <n v="772000000"/>
    <s v=""/>
    <n v="772000000"/>
    <s v=""/>
  </r>
  <r>
    <s v="Jun"/>
    <x v="7"/>
    <x v="1"/>
    <n v="360000000"/>
    <s v=""/>
    <n v="360000000"/>
    <s v=""/>
  </r>
  <r>
    <s v="Jul"/>
    <x v="7"/>
    <x v="1"/>
    <n v="360000000"/>
    <s v=""/>
    <n v="360000000"/>
    <s v=""/>
  </r>
  <r>
    <s v="Agt"/>
    <x v="7"/>
    <x v="1"/>
    <n v="450000000"/>
    <s v=""/>
    <n v="450000000"/>
    <s v=""/>
  </r>
  <r>
    <s v="Sep"/>
    <x v="7"/>
    <x v="1"/>
    <n v="0"/>
    <s v=""/>
    <n v="0"/>
    <s v=""/>
  </r>
  <r>
    <s v="Okt"/>
    <x v="7"/>
    <x v="1"/>
    <n v="0"/>
    <s v=""/>
    <n v="0"/>
    <s v=""/>
  </r>
  <r>
    <s v="Nov"/>
    <x v="7"/>
    <x v="1"/>
    <n v="0"/>
    <s v=""/>
    <n v="0"/>
    <s v=""/>
  </r>
  <r>
    <s v="Des"/>
    <x v="7"/>
    <x v="1"/>
    <n v="0"/>
    <s v=""/>
    <n v="0"/>
    <s v=""/>
  </r>
  <r>
    <s v="Jan"/>
    <x v="7"/>
    <x v="2"/>
    <n v="0"/>
    <n v="62100000"/>
    <n v="0"/>
    <n v="0"/>
  </r>
  <r>
    <s v="Feb"/>
    <x v="7"/>
    <x v="2"/>
    <n v="0"/>
    <n v="0"/>
    <n v="0"/>
    <n v="62100000"/>
  </r>
  <r>
    <s v="Mar"/>
    <x v="7"/>
    <x v="2"/>
    <n v="86594000"/>
    <n v="1160000"/>
    <n v="86594000"/>
    <n v="0"/>
  </r>
  <r>
    <s v="Apr"/>
    <x v="7"/>
    <x v="2"/>
    <n v="0"/>
    <s v=""/>
    <n v="0"/>
    <s v=""/>
  </r>
  <r>
    <s v="Mei"/>
    <x v="7"/>
    <x v="2"/>
    <n v="86594000"/>
    <s v=""/>
    <n v="86594000"/>
    <s v=""/>
  </r>
  <r>
    <s v="Jun"/>
    <x v="7"/>
    <x v="2"/>
    <n v="0"/>
    <s v=""/>
    <n v="0"/>
    <s v=""/>
  </r>
  <r>
    <s v="Jul"/>
    <x v="7"/>
    <x v="2"/>
    <n v="86594000"/>
    <s v=""/>
    <n v="86594000"/>
    <s v=""/>
  </r>
  <r>
    <s v="Agt"/>
    <x v="7"/>
    <x v="2"/>
    <n v="0"/>
    <s v=""/>
    <n v="0"/>
    <s v=""/>
  </r>
  <r>
    <s v="Sep"/>
    <x v="7"/>
    <x v="2"/>
    <n v="86596000"/>
    <s v=""/>
    <n v="86596000"/>
    <s v=""/>
  </r>
  <r>
    <s v="Okt"/>
    <x v="7"/>
    <x v="2"/>
    <n v="0"/>
    <s v=""/>
    <n v="0"/>
    <s v=""/>
  </r>
  <r>
    <s v="Nov"/>
    <x v="7"/>
    <x v="2"/>
    <n v="0"/>
    <s v=""/>
    <n v="0"/>
    <s v=""/>
  </r>
  <r>
    <s v="Des"/>
    <x v="7"/>
    <x v="2"/>
    <n v="0"/>
    <s v=""/>
    <n v="0"/>
    <s v=""/>
  </r>
  <r>
    <s v="Jan"/>
    <x v="7"/>
    <x v="3"/>
    <n v="0"/>
    <n v="0"/>
    <n v="0"/>
    <n v="0"/>
  </r>
  <r>
    <s v="Feb"/>
    <x v="7"/>
    <x v="3"/>
    <n v="0"/>
    <n v="0"/>
    <n v="0"/>
    <n v="0"/>
  </r>
  <r>
    <s v="Mar"/>
    <x v="7"/>
    <x v="3"/>
    <n v="0"/>
    <n v="0"/>
    <n v="0"/>
    <n v="0"/>
  </r>
  <r>
    <s v="Apr"/>
    <x v="7"/>
    <x v="3"/>
    <n v="50000000"/>
    <s v=""/>
    <n v="50000000"/>
    <s v=""/>
  </r>
  <r>
    <s v="Mei"/>
    <x v="7"/>
    <x v="3"/>
    <n v="0"/>
    <s v=""/>
    <n v="0"/>
    <s v=""/>
  </r>
  <r>
    <s v="Jun"/>
    <x v="7"/>
    <x v="3"/>
    <n v="50000000"/>
    <s v=""/>
    <n v="50000000"/>
    <s v=""/>
  </r>
  <r>
    <s v="Jul"/>
    <x v="7"/>
    <x v="3"/>
    <n v="0"/>
    <s v=""/>
    <n v="0"/>
    <s v=""/>
  </r>
  <r>
    <s v="Agt"/>
    <x v="7"/>
    <x v="3"/>
    <n v="50000000"/>
    <s v=""/>
    <n v="50000000"/>
    <s v=""/>
  </r>
  <r>
    <s v="Sep"/>
    <x v="7"/>
    <x v="3"/>
    <n v="0"/>
    <s v=""/>
    <n v="0"/>
    <s v=""/>
  </r>
  <r>
    <s v="Okt"/>
    <x v="7"/>
    <x v="3"/>
    <n v="50000000"/>
    <s v=""/>
    <n v="50000000"/>
    <s v=""/>
  </r>
  <r>
    <s v="Nov"/>
    <x v="7"/>
    <x v="3"/>
    <n v="0"/>
    <s v=""/>
    <n v="0"/>
    <s v=""/>
  </r>
  <r>
    <s v="Des"/>
    <x v="7"/>
    <x v="3"/>
    <n v="0"/>
    <s v=""/>
    <n v="0"/>
    <s v=""/>
  </r>
  <r>
    <s v="Jan"/>
    <x v="7"/>
    <x v="4"/>
    <n v="0"/>
    <n v="0"/>
    <n v="0"/>
    <n v="0"/>
  </r>
  <r>
    <s v="Feb"/>
    <x v="7"/>
    <x v="4"/>
    <n v="0"/>
    <n v="0"/>
    <n v="0"/>
    <n v="0"/>
  </r>
  <r>
    <s v="Mar"/>
    <x v="7"/>
    <x v="4"/>
    <n v="0"/>
    <n v="0"/>
    <n v="0"/>
    <n v="0"/>
  </r>
  <r>
    <s v="Apr"/>
    <x v="7"/>
    <x v="4"/>
    <n v="0"/>
    <s v=""/>
    <n v="0"/>
    <s v=""/>
  </r>
  <r>
    <s v="Mei"/>
    <x v="7"/>
    <x v="4"/>
    <n v="0"/>
    <s v=""/>
    <n v="0"/>
    <s v=""/>
  </r>
  <r>
    <s v="Jun"/>
    <x v="7"/>
    <x v="4"/>
    <n v="0"/>
    <s v=""/>
    <n v="0"/>
    <s v=""/>
  </r>
  <r>
    <s v="Jul"/>
    <x v="7"/>
    <x v="4"/>
    <n v="0"/>
    <s v=""/>
    <n v="0"/>
    <s v=""/>
  </r>
  <r>
    <s v="Agt"/>
    <x v="7"/>
    <x v="4"/>
    <n v="0"/>
    <s v=""/>
    <n v="0"/>
    <s v=""/>
  </r>
  <r>
    <s v="Sep"/>
    <x v="7"/>
    <x v="4"/>
    <n v="0"/>
    <s v=""/>
    <n v="0"/>
    <s v=""/>
  </r>
  <r>
    <s v="Okt"/>
    <x v="7"/>
    <x v="4"/>
    <n v="0"/>
    <s v=""/>
    <n v="0"/>
    <s v=""/>
  </r>
  <r>
    <s v="Nov"/>
    <x v="7"/>
    <x v="4"/>
    <n v="0"/>
    <s v=""/>
    <n v="0"/>
    <s v=""/>
  </r>
  <r>
    <s v="Des"/>
    <x v="7"/>
    <x v="4"/>
    <n v="0"/>
    <s v=""/>
    <n v="0"/>
    <s v=""/>
  </r>
  <r>
    <s v="Jan"/>
    <x v="7"/>
    <x v="5"/>
    <n v="103716000"/>
    <n v="120480816"/>
    <n v="103716000"/>
    <n v="16907009"/>
  </r>
  <r>
    <s v="Feb"/>
    <x v="7"/>
    <x v="5"/>
    <n v="92092000"/>
    <n v="80820599"/>
    <n v="92092000"/>
    <n v="137491406"/>
  </r>
  <r>
    <s v="Mar"/>
    <x v="7"/>
    <x v="5"/>
    <n v="92092000"/>
    <n v="429775497"/>
    <n v="92092000"/>
    <n v="46401277"/>
  </r>
  <r>
    <s v="Apr"/>
    <x v="7"/>
    <x v="5"/>
    <n v="103716000"/>
    <s v=""/>
    <n v="103716000"/>
    <s v=""/>
  </r>
  <r>
    <s v="Mei"/>
    <x v="7"/>
    <x v="5"/>
    <n v="92092000"/>
    <s v=""/>
    <n v="92092000"/>
    <s v=""/>
  </r>
  <r>
    <s v="Jun"/>
    <x v="7"/>
    <x v="5"/>
    <n v="92092000"/>
    <s v=""/>
    <n v="92092000"/>
    <s v=""/>
  </r>
  <r>
    <s v="Jul"/>
    <x v="7"/>
    <x v="5"/>
    <n v="469238000"/>
    <s v=""/>
    <n v="469238000"/>
    <s v=""/>
  </r>
  <r>
    <s v="Agt"/>
    <x v="7"/>
    <x v="5"/>
    <n v="142092000"/>
    <s v=""/>
    <n v="142092000"/>
    <s v=""/>
  </r>
  <r>
    <s v="Sep"/>
    <x v="7"/>
    <x v="5"/>
    <n v="407092000"/>
    <s v=""/>
    <n v="407092000"/>
    <s v=""/>
  </r>
  <r>
    <s v="Okt"/>
    <x v="7"/>
    <x v="5"/>
    <n v="103717000"/>
    <s v=""/>
    <n v="103717000"/>
    <s v=""/>
  </r>
  <r>
    <s v="Nov"/>
    <x v="7"/>
    <x v="5"/>
    <n v="92092000"/>
    <s v=""/>
    <n v="92092000"/>
    <s v=""/>
  </r>
  <r>
    <s v="Des"/>
    <x v="7"/>
    <x v="5"/>
    <n v="92097000"/>
    <s v=""/>
    <n v="92097000"/>
    <s v=""/>
  </r>
  <r>
    <s v="Jan"/>
    <x v="7"/>
    <x v="6"/>
    <n v="182113333.33333334"/>
    <n v="162001884"/>
    <n v="182113333.33333334"/>
    <n v="162001884"/>
  </r>
  <r>
    <s v="Feb"/>
    <x v="7"/>
    <x v="6"/>
    <n v="182113000"/>
    <n v="158370071"/>
    <n v="182113000"/>
    <n v="158370071"/>
  </r>
  <r>
    <s v="Mar"/>
    <x v="7"/>
    <x v="6"/>
    <n v="182113000"/>
    <n v="145364590"/>
    <n v="182113000"/>
    <n v="145364590"/>
  </r>
  <r>
    <s v="Apr"/>
    <x v="7"/>
    <x v="6"/>
    <n v="182113000"/>
    <s v=""/>
    <n v="182113000"/>
    <s v=""/>
  </r>
  <r>
    <s v="Mei"/>
    <x v="7"/>
    <x v="6"/>
    <n v="182113000"/>
    <s v=""/>
    <n v="182113000"/>
    <s v=""/>
  </r>
  <r>
    <s v="Jun"/>
    <x v="7"/>
    <x v="6"/>
    <n v="182113000"/>
    <s v=""/>
    <n v="182113000"/>
    <s v=""/>
  </r>
  <r>
    <s v="Jul"/>
    <x v="7"/>
    <x v="6"/>
    <n v="182113000"/>
    <s v=""/>
    <n v="182113000"/>
    <s v=""/>
  </r>
  <r>
    <s v="Agt"/>
    <x v="7"/>
    <x v="6"/>
    <n v="182113000"/>
    <s v=""/>
    <n v="182113000"/>
    <s v=""/>
  </r>
  <r>
    <s v="Sep"/>
    <x v="7"/>
    <x v="6"/>
    <n v="182113000"/>
    <s v=""/>
    <n v="182113000"/>
    <s v=""/>
  </r>
  <r>
    <s v="Okt"/>
    <x v="7"/>
    <x v="6"/>
    <n v="182113000"/>
    <s v=""/>
    <n v="182113000"/>
    <s v=""/>
  </r>
  <r>
    <s v="Nov"/>
    <x v="7"/>
    <x v="6"/>
    <n v="182113000"/>
    <s v=""/>
    <n v="182113000"/>
    <s v=""/>
  </r>
  <r>
    <s v="Des"/>
    <x v="7"/>
    <x v="6"/>
    <n v="182117000"/>
    <s v=""/>
    <n v="182117000"/>
    <s v=""/>
  </r>
  <r>
    <s v="Jan"/>
    <x v="8"/>
    <x v="0"/>
    <n v="85000000"/>
    <n v="2021637708"/>
    <n v="0"/>
    <n v="0"/>
  </r>
  <r>
    <s v="Feb"/>
    <x v="8"/>
    <x v="0"/>
    <n v="272450000"/>
    <n v="165605895"/>
    <n v="85000000"/>
    <n v="86559328"/>
  </r>
  <r>
    <s v="Mar"/>
    <x v="8"/>
    <x v="0"/>
    <n v="4416599000"/>
    <n v="4966493879"/>
    <n v="25000000"/>
    <n v="166820515"/>
  </r>
  <r>
    <s v="Apr"/>
    <x v="8"/>
    <x v="0"/>
    <n v="2915231000"/>
    <s v=""/>
    <n v="11100000"/>
    <s v=""/>
  </r>
  <r>
    <s v="Mei"/>
    <x v="8"/>
    <x v="0"/>
    <n v="506375000"/>
    <s v=""/>
    <n v="1489733000"/>
    <s v=""/>
  </r>
  <r>
    <s v="Jun"/>
    <x v="8"/>
    <x v="0"/>
    <n v="483400000"/>
    <s v=""/>
    <n v="753875000"/>
    <s v=""/>
  </r>
  <r>
    <s v="Jul"/>
    <x v="8"/>
    <x v="0"/>
    <n v="314700000"/>
    <s v=""/>
    <n v="2381757000"/>
    <s v=""/>
  </r>
  <r>
    <s v="Agt"/>
    <x v="8"/>
    <x v="0"/>
    <n v="0"/>
    <s v=""/>
    <n v="2406929000"/>
    <s v=""/>
  </r>
  <r>
    <s v="Sep"/>
    <x v="8"/>
    <x v="0"/>
    <n v="149300000"/>
    <s v=""/>
    <n v="1396861000"/>
    <s v=""/>
  </r>
  <r>
    <s v="Okt"/>
    <x v="8"/>
    <x v="0"/>
    <n v="0"/>
    <s v=""/>
    <n v="592800000"/>
    <s v=""/>
  </r>
  <r>
    <s v="Nov"/>
    <x v="8"/>
    <x v="0"/>
    <n v="100000000"/>
    <s v=""/>
    <n v="0"/>
    <s v=""/>
  </r>
  <r>
    <s v="Des"/>
    <x v="8"/>
    <x v="0"/>
    <n v="0"/>
    <s v=""/>
    <n v="100000000"/>
    <s v=""/>
  </r>
  <r>
    <s v="Jan"/>
    <x v="8"/>
    <x v="1"/>
    <n v="0"/>
    <n v="0"/>
    <n v="0"/>
    <n v="0"/>
  </r>
  <r>
    <s v="Feb"/>
    <x v="8"/>
    <x v="1"/>
    <n v="0"/>
    <n v="1944000"/>
    <n v="0"/>
    <n v="0"/>
  </r>
  <r>
    <s v="Mar"/>
    <x v="8"/>
    <x v="1"/>
    <n v="0"/>
    <n v="0"/>
    <n v="0"/>
    <n v="1944000"/>
  </r>
  <r>
    <s v="Apr"/>
    <x v="8"/>
    <x v="1"/>
    <n v="0"/>
    <s v=""/>
    <n v="0"/>
    <s v=""/>
  </r>
  <r>
    <s v="Mei"/>
    <x v="8"/>
    <x v="1"/>
    <n v="613000000"/>
    <s v=""/>
    <n v="0"/>
    <s v=""/>
  </r>
  <r>
    <s v="Jun"/>
    <x v="8"/>
    <x v="1"/>
    <n v="15000000"/>
    <s v=""/>
    <n v="0"/>
    <s v=""/>
  </r>
  <r>
    <s v="Jul"/>
    <x v="8"/>
    <x v="1"/>
    <n v="0"/>
    <s v=""/>
    <n v="15000000"/>
    <s v=""/>
  </r>
  <r>
    <s v="Agt"/>
    <x v="8"/>
    <x v="1"/>
    <n v="150000000"/>
    <s v=""/>
    <n v="613000000"/>
    <s v=""/>
  </r>
  <r>
    <s v="Sep"/>
    <x v="8"/>
    <x v="1"/>
    <n v="0"/>
    <s v=""/>
    <n v="0"/>
    <s v=""/>
  </r>
  <r>
    <s v="Okt"/>
    <x v="8"/>
    <x v="1"/>
    <n v="0"/>
    <s v=""/>
    <n v="0"/>
    <s v=""/>
  </r>
  <r>
    <s v="Nov"/>
    <x v="8"/>
    <x v="1"/>
    <n v="0"/>
    <s v=""/>
    <n v="150000000"/>
    <s v=""/>
  </r>
  <r>
    <s v="Des"/>
    <x v="8"/>
    <x v="1"/>
    <n v="0"/>
    <s v=""/>
    <n v="0"/>
    <s v=""/>
  </r>
  <r>
    <s v="Jan"/>
    <x v="8"/>
    <x v="2"/>
    <n v="0"/>
    <n v="21262500"/>
    <n v="0"/>
    <n v="0"/>
  </r>
  <r>
    <s v="Feb"/>
    <x v="8"/>
    <x v="2"/>
    <n v="0"/>
    <n v="0"/>
    <n v="0"/>
    <n v="0"/>
  </r>
  <r>
    <s v="Mar"/>
    <x v="8"/>
    <x v="2"/>
    <n v="27800000"/>
    <n v="0"/>
    <n v="0"/>
    <n v="21262500"/>
  </r>
  <r>
    <s v="Apr"/>
    <x v="8"/>
    <x v="2"/>
    <n v="12500000"/>
    <s v=""/>
    <n v="27800000"/>
    <s v=""/>
  </r>
  <r>
    <s v="Mei"/>
    <x v="8"/>
    <x v="2"/>
    <n v="0"/>
    <s v=""/>
    <n v="12500000"/>
    <s v=""/>
  </r>
  <r>
    <s v="Jun"/>
    <x v="8"/>
    <x v="2"/>
    <n v="0"/>
    <s v=""/>
    <n v="0"/>
    <s v=""/>
  </r>
  <r>
    <s v="Jul"/>
    <x v="8"/>
    <x v="2"/>
    <n v="0"/>
    <s v=""/>
    <n v="0"/>
    <s v=""/>
  </r>
  <r>
    <s v="Agt"/>
    <x v="8"/>
    <x v="2"/>
    <n v="31010000"/>
    <s v=""/>
    <n v="0"/>
    <s v=""/>
  </r>
  <r>
    <s v="Sep"/>
    <x v="8"/>
    <x v="2"/>
    <n v="0"/>
    <s v=""/>
    <n v="31010000"/>
    <s v=""/>
  </r>
  <r>
    <s v="Okt"/>
    <x v="8"/>
    <x v="2"/>
    <n v="0"/>
    <s v=""/>
    <n v="0"/>
    <s v=""/>
  </r>
  <r>
    <s v="Nov"/>
    <x v="8"/>
    <x v="2"/>
    <n v="40000000"/>
    <s v=""/>
    <n v="0"/>
    <s v=""/>
  </r>
  <r>
    <s v="Des"/>
    <x v="8"/>
    <x v="2"/>
    <n v="0"/>
    <s v=""/>
    <n v="40000000"/>
    <s v=""/>
  </r>
  <r>
    <s v="Jan"/>
    <x v="8"/>
    <x v="3"/>
    <n v="0"/>
    <n v="2159300"/>
    <n v="0"/>
    <n v="2159300"/>
  </r>
  <r>
    <s v="Feb"/>
    <x v="8"/>
    <x v="3"/>
    <n v="0"/>
    <n v="0"/>
    <n v="0"/>
    <n v="0"/>
  </r>
  <r>
    <s v="Mar"/>
    <x v="8"/>
    <x v="3"/>
    <n v="0"/>
    <n v="0"/>
    <n v="0"/>
    <n v="0"/>
  </r>
  <r>
    <s v="Apr"/>
    <x v="8"/>
    <x v="3"/>
    <n v="15000000"/>
    <s v=""/>
    <n v="0"/>
    <s v=""/>
  </r>
  <r>
    <s v="Mei"/>
    <x v="8"/>
    <x v="3"/>
    <n v="40000000"/>
    <s v=""/>
    <n v="0"/>
    <s v=""/>
  </r>
  <r>
    <s v="Jun"/>
    <x v="8"/>
    <x v="3"/>
    <n v="45000000"/>
    <s v=""/>
    <n v="40000000"/>
    <s v=""/>
  </r>
  <r>
    <s v="Jul"/>
    <x v="8"/>
    <x v="3"/>
    <n v="0"/>
    <s v=""/>
    <n v="0"/>
    <s v=""/>
  </r>
  <r>
    <s v="Agt"/>
    <x v="8"/>
    <x v="3"/>
    <n v="0"/>
    <s v=""/>
    <n v="30000000"/>
    <s v=""/>
  </r>
  <r>
    <s v="Sep"/>
    <x v="8"/>
    <x v="3"/>
    <n v="0"/>
    <s v=""/>
    <n v="0"/>
    <s v=""/>
  </r>
  <r>
    <s v="Okt"/>
    <x v="8"/>
    <x v="3"/>
    <n v="0"/>
    <s v=""/>
    <n v="0"/>
    <s v=""/>
  </r>
  <r>
    <s v="Nov"/>
    <x v="8"/>
    <x v="3"/>
    <n v="0"/>
    <s v=""/>
    <n v="30000000"/>
    <s v=""/>
  </r>
  <r>
    <s v="Des"/>
    <x v="8"/>
    <x v="3"/>
    <n v="0"/>
    <s v=""/>
    <n v="0"/>
    <s v=""/>
  </r>
  <r>
    <s v="Jan"/>
    <x v="8"/>
    <x v="4"/>
    <n v="0"/>
    <n v="0"/>
    <n v="0"/>
    <n v="0"/>
  </r>
  <r>
    <s v="Feb"/>
    <x v="8"/>
    <x v="4"/>
    <n v="0"/>
    <n v="0"/>
    <n v="0"/>
    <n v="0"/>
  </r>
  <r>
    <s v="Mar"/>
    <x v="8"/>
    <x v="4"/>
    <n v="0"/>
    <n v="0"/>
    <n v="0"/>
    <n v="0"/>
  </r>
  <r>
    <s v="Apr"/>
    <x v="8"/>
    <x v="4"/>
    <n v="0"/>
    <s v=""/>
    <n v="0"/>
    <s v=""/>
  </r>
  <r>
    <s v="Mei"/>
    <x v="8"/>
    <x v="4"/>
    <n v="0"/>
    <s v=""/>
    <n v="0"/>
    <s v=""/>
  </r>
  <r>
    <s v="Jun"/>
    <x v="8"/>
    <x v="4"/>
    <n v="0"/>
    <s v=""/>
    <n v="0"/>
    <s v=""/>
  </r>
  <r>
    <s v="Jul"/>
    <x v="8"/>
    <x v="4"/>
    <n v="0"/>
    <s v=""/>
    <n v="0"/>
    <s v=""/>
  </r>
  <r>
    <s v="Agt"/>
    <x v="8"/>
    <x v="4"/>
    <n v="0"/>
    <s v=""/>
    <n v="0"/>
    <s v=""/>
  </r>
  <r>
    <s v="Sep"/>
    <x v="8"/>
    <x v="4"/>
    <n v="0"/>
    <s v=""/>
    <n v="0"/>
    <s v=""/>
  </r>
  <r>
    <s v="Okt"/>
    <x v="8"/>
    <x v="4"/>
    <n v="0"/>
    <s v=""/>
    <n v="0"/>
    <s v=""/>
  </r>
  <r>
    <s v="Nov"/>
    <x v="8"/>
    <x v="4"/>
    <n v="0"/>
    <s v=""/>
    <n v="0"/>
    <s v=""/>
  </r>
  <r>
    <s v="Des"/>
    <x v="8"/>
    <x v="4"/>
    <n v="0"/>
    <s v=""/>
    <n v="0"/>
    <s v=""/>
  </r>
  <r>
    <s v="Jan"/>
    <x v="8"/>
    <x v="5"/>
    <n v="33367000"/>
    <n v="69661093"/>
    <n v="33367000"/>
    <n v="13701000"/>
  </r>
  <r>
    <s v="Feb"/>
    <x v="8"/>
    <x v="5"/>
    <n v="41156000"/>
    <n v="43215908"/>
    <n v="41156000"/>
    <n v="32679201"/>
  </r>
  <r>
    <s v="Mar"/>
    <x v="8"/>
    <x v="5"/>
    <n v="177499000"/>
    <n v="50852635"/>
    <n v="42499000"/>
    <n v="71212935"/>
  </r>
  <r>
    <s v="Apr"/>
    <x v="8"/>
    <x v="5"/>
    <n v="110151000"/>
    <s v=""/>
    <n v="110151000"/>
    <s v=""/>
  </r>
  <r>
    <s v="Mei"/>
    <x v="8"/>
    <x v="5"/>
    <n v="111156000"/>
    <s v=""/>
    <n v="111156000"/>
    <s v=""/>
  </r>
  <r>
    <s v="Jun"/>
    <x v="8"/>
    <x v="5"/>
    <n v="277041000"/>
    <s v=""/>
    <n v="277041000"/>
    <s v=""/>
  </r>
  <r>
    <s v="Jul"/>
    <x v="8"/>
    <x v="5"/>
    <n v="100908000"/>
    <s v=""/>
    <n v="100908000"/>
    <s v=""/>
  </r>
  <r>
    <s v="Agt"/>
    <x v="8"/>
    <x v="5"/>
    <n v="45146000"/>
    <s v=""/>
    <n v="180146000"/>
    <s v=""/>
  </r>
  <r>
    <s v="Sep"/>
    <x v="8"/>
    <x v="5"/>
    <n v="121144000"/>
    <s v=""/>
    <n v="34744000"/>
    <s v=""/>
  </r>
  <r>
    <s v="Okt"/>
    <x v="8"/>
    <x v="5"/>
    <n v="62392000"/>
    <s v=""/>
    <n v="62392000"/>
    <s v=""/>
  </r>
  <r>
    <s v="Nov"/>
    <x v="8"/>
    <x v="5"/>
    <n v="101346000"/>
    <s v=""/>
    <n v="101346000"/>
    <s v=""/>
  </r>
  <r>
    <s v="Des"/>
    <x v="8"/>
    <x v="5"/>
    <n v="35552000"/>
    <s v=""/>
    <n v="121952000"/>
    <s v=""/>
  </r>
  <r>
    <s v="Jan"/>
    <x v="8"/>
    <x v="6"/>
    <n v="192500000"/>
    <n v="143058335"/>
    <n v="192500000"/>
    <n v="143058335"/>
  </r>
  <r>
    <s v="Feb"/>
    <x v="8"/>
    <x v="6"/>
    <n v="192500000"/>
    <n v="141087260"/>
    <n v="192500000"/>
    <n v="141087260"/>
  </r>
  <r>
    <s v="Mar"/>
    <x v="8"/>
    <x v="6"/>
    <n v="192500000"/>
    <n v="123653567"/>
    <n v="192500000"/>
    <n v="123653567"/>
  </r>
  <r>
    <s v="Apr"/>
    <x v="8"/>
    <x v="6"/>
    <n v="192500000"/>
    <s v=""/>
    <n v="192500000"/>
    <s v=""/>
  </r>
  <r>
    <s v="Mei"/>
    <x v="8"/>
    <x v="6"/>
    <n v="192500000"/>
    <s v=""/>
    <n v="192500000"/>
    <s v=""/>
  </r>
  <r>
    <s v="Jun"/>
    <x v="8"/>
    <x v="6"/>
    <n v="192500000"/>
    <s v=""/>
    <n v="192500000"/>
    <s v=""/>
  </r>
  <r>
    <s v="Jul"/>
    <x v="8"/>
    <x v="6"/>
    <n v="192500000"/>
    <s v=""/>
    <n v="192500000"/>
    <s v=""/>
  </r>
  <r>
    <s v="Agt"/>
    <x v="8"/>
    <x v="6"/>
    <n v="192500000"/>
    <s v=""/>
    <n v="192500000"/>
    <s v=""/>
  </r>
  <r>
    <s v="Sep"/>
    <x v="8"/>
    <x v="6"/>
    <n v="192500000"/>
    <s v=""/>
    <n v="192500000"/>
    <s v=""/>
  </r>
  <r>
    <s v="Okt"/>
    <x v="8"/>
    <x v="6"/>
    <n v="192500000"/>
    <s v=""/>
    <n v="192500000"/>
    <s v=""/>
  </r>
  <r>
    <s v="Nov"/>
    <x v="8"/>
    <x v="6"/>
    <n v="192500000"/>
    <s v=""/>
    <n v="192500000"/>
    <s v=""/>
  </r>
  <r>
    <s v="Des"/>
    <x v="8"/>
    <x v="6"/>
    <n v="192500000"/>
    <s v=""/>
    <n v="192500000"/>
    <s v=""/>
  </r>
  <r>
    <s v="Jan"/>
    <x v="9"/>
    <x v="0"/>
    <n v="138362000"/>
    <n v="2817500752"/>
    <n v="138362000"/>
    <n v="0"/>
  </r>
  <r>
    <s v="Feb"/>
    <x v="9"/>
    <x v="0"/>
    <n v="138362000"/>
    <n v="14723328892"/>
    <n v="138362000"/>
    <n v="426154218"/>
  </r>
  <r>
    <s v="Mar"/>
    <x v="9"/>
    <x v="0"/>
    <n v="15317250000"/>
    <n v="3353505257"/>
    <n v="138362000"/>
    <n v="1278956400"/>
  </r>
  <r>
    <s v="Apr"/>
    <x v="9"/>
    <x v="0"/>
    <n v="515005000"/>
    <s v=""/>
    <n v="138362000"/>
    <s v=""/>
  </r>
  <r>
    <s v="Mei"/>
    <x v="9"/>
    <x v="0"/>
    <n v="1979048000"/>
    <s v=""/>
    <n v="1790524000"/>
    <s v=""/>
  </r>
  <r>
    <s v="Jun"/>
    <x v="9"/>
    <x v="0"/>
    <n v="4818772000"/>
    <s v=""/>
    <n v="1231565000"/>
    <s v=""/>
  </r>
  <r>
    <s v="Jul"/>
    <x v="9"/>
    <x v="0"/>
    <n v="138362000"/>
    <s v=""/>
    <n v="542174000"/>
    <s v=""/>
  </r>
  <r>
    <s v="Agt"/>
    <x v="9"/>
    <x v="0"/>
    <n v="2657670000"/>
    <s v=""/>
    <n v="1575236000"/>
    <s v=""/>
  </r>
  <r>
    <s v="Sep"/>
    <x v="9"/>
    <x v="0"/>
    <n v="465517000"/>
    <s v=""/>
    <n v="1365573000"/>
    <s v=""/>
  </r>
  <r>
    <s v="Okt"/>
    <x v="9"/>
    <x v="0"/>
    <n v="138362000"/>
    <s v=""/>
    <n v="13779904000"/>
    <s v=""/>
  </r>
  <r>
    <s v="Nov"/>
    <x v="9"/>
    <x v="0"/>
    <n v="138362000"/>
    <s v=""/>
    <n v="3087340000"/>
    <s v=""/>
  </r>
  <r>
    <s v="Des"/>
    <x v="9"/>
    <x v="0"/>
    <n v="138362000"/>
    <s v=""/>
    <n v="2657670000"/>
    <s v=""/>
  </r>
  <r>
    <s v="Jan"/>
    <x v="9"/>
    <x v="1"/>
    <n v="0"/>
    <n v="0"/>
    <n v="0"/>
    <n v="0"/>
  </r>
  <r>
    <s v="Feb"/>
    <x v="9"/>
    <x v="1"/>
    <n v="0"/>
    <n v="0"/>
    <n v="0"/>
    <n v="0"/>
  </r>
  <r>
    <s v="Mar"/>
    <x v="9"/>
    <x v="1"/>
    <n v="200000000"/>
    <n v="0"/>
    <n v="200000000"/>
    <n v="0"/>
  </r>
  <r>
    <s v="Apr"/>
    <x v="9"/>
    <x v="1"/>
    <n v="500000000"/>
    <s v=""/>
    <n v="500000000"/>
    <s v=""/>
  </r>
  <r>
    <s v="Mei"/>
    <x v="9"/>
    <x v="1"/>
    <n v="0"/>
    <s v=""/>
    <n v="0"/>
    <s v=""/>
  </r>
  <r>
    <s v="Jun"/>
    <x v="9"/>
    <x v="1"/>
    <n v="0"/>
    <s v=""/>
    <n v="0"/>
    <s v=""/>
  </r>
  <r>
    <s v="Jul"/>
    <x v="9"/>
    <x v="1"/>
    <n v="200000000"/>
    <s v=""/>
    <n v="200000000"/>
    <s v=""/>
  </r>
  <r>
    <s v="Agt"/>
    <x v="9"/>
    <x v="1"/>
    <n v="0"/>
    <s v=""/>
    <n v="0"/>
    <s v=""/>
  </r>
  <r>
    <s v="Sep"/>
    <x v="9"/>
    <x v="1"/>
    <n v="500000000"/>
    <s v=""/>
    <n v="500000000"/>
    <s v=""/>
  </r>
  <r>
    <s v="Okt"/>
    <x v="9"/>
    <x v="1"/>
    <n v="200000000"/>
    <s v=""/>
    <n v="200000000"/>
    <s v=""/>
  </r>
  <r>
    <s v="Nov"/>
    <x v="9"/>
    <x v="1"/>
    <n v="0"/>
    <s v=""/>
    <n v="0"/>
    <s v=""/>
  </r>
  <r>
    <s v="Des"/>
    <x v="9"/>
    <x v="1"/>
    <n v="0"/>
    <s v=""/>
    <n v="0"/>
    <s v=""/>
  </r>
  <r>
    <s v="Jan"/>
    <x v="9"/>
    <x v="2"/>
    <n v="0"/>
    <n v="3970000"/>
    <n v="0"/>
    <n v="0"/>
  </r>
  <r>
    <s v="Feb"/>
    <x v="9"/>
    <x v="2"/>
    <n v="35387500"/>
    <n v="24082000"/>
    <n v="0"/>
    <n v="3970000"/>
  </r>
  <r>
    <s v="Mar"/>
    <x v="9"/>
    <x v="2"/>
    <n v="0"/>
    <n v="0"/>
    <n v="35388000"/>
    <n v="24082000"/>
  </r>
  <r>
    <s v="Apr"/>
    <x v="9"/>
    <x v="2"/>
    <n v="0"/>
    <s v=""/>
    <n v="0"/>
    <s v=""/>
  </r>
  <r>
    <s v="Mei"/>
    <x v="9"/>
    <x v="2"/>
    <n v="35387500"/>
    <s v=""/>
    <n v="0"/>
    <s v=""/>
  </r>
  <r>
    <s v="Jun"/>
    <x v="9"/>
    <x v="2"/>
    <n v="0"/>
    <s v=""/>
    <n v="35388000"/>
    <s v=""/>
  </r>
  <r>
    <s v="Jul"/>
    <x v="9"/>
    <x v="2"/>
    <n v="0"/>
    <s v=""/>
    <n v="0"/>
    <s v=""/>
  </r>
  <r>
    <s v="Agt"/>
    <x v="9"/>
    <x v="2"/>
    <n v="35387500"/>
    <s v=""/>
    <n v="0"/>
    <s v=""/>
  </r>
  <r>
    <s v="Sep"/>
    <x v="9"/>
    <x v="2"/>
    <n v="0"/>
    <s v=""/>
    <n v="35387000"/>
    <s v=""/>
  </r>
  <r>
    <s v="Okt"/>
    <x v="9"/>
    <x v="2"/>
    <n v="0"/>
    <s v=""/>
    <n v="0"/>
    <s v=""/>
  </r>
  <r>
    <s v="Nov"/>
    <x v="9"/>
    <x v="2"/>
    <n v="35387500"/>
    <s v=""/>
    <n v="0"/>
    <s v=""/>
  </r>
  <r>
    <s v="Des"/>
    <x v="9"/>
    <x v="2"/>
    <n v="0"/>
    <s v=""/>
    <n v="35387000"/>
    <s v=""/>
  </r>
  <r>
    <s v="Jan"/>
    <x v="9"/>
    <x v="3"/>
    <n v="0"/>
    <n v="0"/>
    <n v="0"/>
    <n v="0"/>
  </r>
  <r>
    <s v="Feb"/>
    <x v="9"/>
    <x v="3"/>
    <n v="0"/>
    <n v="0"/>
    <n v="0"/>
    <n v="0"/>
  </r>
  <r>
    <s v="Mar"/>
    <x v="9"/>
    <x v="3"/>
    <n v="50000000"/>
    <n v="0"/>
    <n v="50000000"/>
    <n v="0"/>
  </r>
  <r>
    <s v="Apr"/>
    <x v="9"/>
    <x v="3"/>
    <n v="0"/>
    <s v=""/>
    <n v="0"/>
    <s v=""/>
  </r>
  <r>
    <s v="Mei"/>
    <x v="9"/>
    <x v="3"/>
    <n v="0"/>
    <s v=""/>
    <n v="0"/>
    <s v=""/>
  </r>
  <r>
    <s v="Jun"/>
    <x v="9"/>
    <x v="3"/>
    <n v="100000000"/>
    <s v=""/>
    <n v="100000000"/>
    <s v=""/>
  </r>
  <r>
    <s v="Jul"/>
    <x v="9"/>
    <x v="3"/>
    <n v="0"/>
    <s v=""/>
    <n v="0"/>
    <s v=""/>
  </r>
  <r>
    <s v="Agt"/>
    <x v="9"/>
    <x v="3"/>
    <n v="0"/>
    <s v=""/>
    <n v="0"/>
    <s v=""/>
  </r>
  <r>
    <s v="Sep"/>
    <x v="9"/>
    <x v="3"/>
    <n v="50000000"/>
    <s v=""/>
    <n v="50000000"/>
    <s v=""/>
  </r>
  <r>
    <s v="Okt"/>
    <x v="9"/>
    <x v="3"/>
    <n v="0"/>
    <s v=""/>
    <n v="0"/>
    <s v=""/>
  </r>
  <r>
    <s v="Nov"/>
    <x v="9"/>
    <x v="3"/>
    <n v="0"/>
    <s v=""/>
    <n v="0"/>
    <s v=""/>
  </r>
  <r>
    <s v="Des"/>
    <x v="9"/>
    <x v="3"/>
    <n v="0"/>
    <s v=""/>
    <n v="0"/>
    <s v=""/>
  </r>
  <r>
    <s v="Jan"/>
    <x v="9"/>
    <x v="4"/>
    <n v="0"/>
    <n v="0"/>
    <n v="0"/>
    <n v="0"/>
  </r>
  <r>
    <s v="Feb"/>
    <x v="9"/>
    <x v="4"/>
    <n v="0"/>
    <n v="0"/>
    <n v="0"/>
    <n v="0"/>
  </r>
  <r>
    <s v="Mar"/>
    <x v="9"/>
    <x v="4"/>
    <n v="0"/>
    <n v="0"/>
    <n v="0"/>
    <n v="0"/>
  </r>
  <r>
    <s v="Apr"/>
    <x v="9"/>
    <x v="4"/>
    <n v="0"/>
    <s v=""/>
    <n v="0"/>
    <s v=""/>
  </r>
  <r>
    <s v="Mei"/>
    <x v="9"/>
    <x v="4"/>
    <n v="0"/>
    <s v=""/>
    <n v="0"/>
    <s v=""/>
  </r>
  <r>
    <s v="Jun"/>
    <x v="9"/>
    <x v="4"/>
    <n v="0"/>
    <s v=""/>
    <n v="0"/>
    <s v=""/>
  </r>
  <r>
    <s v="Jul"/>
    <x v="9"/>
    <x v="4"/>
    <n v="0"/>
    <s v=""/>
    <n v="0"/>
    <s v=""/>
  </r>
  <r>
    <s v="Agt"/>
    <x v="9"/>
    <x v="4"/>
    <n v="0"/>
    <s v=""/>
    <n v="0"/>
    <s v=""/>
  </r>
  <r>
    <s v="Sep"/>
    <x v="9"/>
    <x v="4"/>
    <n v="0"/>
    <s v=""/>
    <n v="0"/>
    <s v=""/>
  </r>
  <r>
    <s v="Okt"/>
    <x v="9"/>
    <x v="4"/>
    <n v="0"/>
    <s v=""/>
    <n v="0"/>
    <s v=""/>
  </r>
  <r>
    <s v="Nov"/>
    <x v="9"/>
    <x v="4"/>
    <n v="0"/>
    <s v=""/>
    <n v="0"/>
    <s v=""/>
  </r>
  <r>
    <s v="Des"/>
    <x v="9"/>
    <x v="4"/>
    <n v="0"/>
    <s v=""/>
    <n v="0"/>
    <s v=""/>
  </r>
  <r>
    <s v="Jan"/>
    <x v="9"/>
    <x v="5"/>
    <n v="82700000"/>
    <n v="57340750"/>
    <n v="82700000"/>
    <n v="16205500"/>
  </r>
  <r>
    <s v="Feb"/>
    <x v="9"/>
    <x v="5"/>
    <n v="141200000"/>
    <n v="82038470"/>
    <n v="141200000"/>
    <n v="70154750"/>
  </r>
  <r>
    <s v="Mar"/>
    <x v="9"/>
    <x v="5"/>
    <n v="397700000"/>
    <n v="86080523"/>
    <n v="397700000"/>
    <n v="77098478"/>
  </r>
  <r>
    <s v="Apr"/>
    <x v="9"/>
    <x v="5"/>
    <n v="142700000"/>
    <s v=""/>
    <n v="142700000"/>
    <s v=""/>
  </r>
  <r>
    <s v="Mei"/>
    <x v="9"/>
    <x v="5"/>
    <n v="121200000"/>
    <s v=""/>
    <n v="121200000"/>
    <s v=""/>
  </r>
  <r>
    <s v="Jun"/>
    <x v="9"/>
    <x v="5"/>
    <n v="167700000"/>
    <s v=""/>
    <n v="167700000"/>
    <s v=""/>
  </r>
  <r>
    <s v="Jul"/>
    <x v="9"/>
    <x v="5"/>
    <n v="165700000"/>
    <s v=""/>
    <n v="165700000"/>
    <s v=""/>
  </r>
  <r>
    <s v="Agt"/>
    <x v="9"/>
    <x v="5"/>
    <n v="134000000"/>
    <s v=""/>
    <n v="134000000"/>
    <s v=""/>
  </r>
  <r>
    <s v="Sep"/>
    <x v="9"/>
    <x v="5"/>
    <n v="142757000"/>
    <s v=""/>
    <n v="142757000"/>
    <s v=""/>
  </r>
  <r>
    <s v="Okt"/>
    <x v="9"/>
    <x v="5"/>
    <n v="102700000"/>
    <s v=""/>
    <n v="102700000"/>
    <s v=""/>
  </r>
  <r>
    <s v="Nov"/>
    <x v="9"/>
    <x v="5"/>
    <n v="185200000"/>
    <s v=""/>
    <n v="185200000"/>
    <s v=""/>
  </r>
  <r>
    <s v="Des"/>
    <x v="9"/>
    <x v="5"/>
    <n v="77700000"/>
    <s v=""/>
    <n v="77700000"/>
    <s v=""/>
  </r>
  <r>
    <s v="Jan"/>
    <x v="9"/>
    <x v="6"/>
    <n v="242647000"/>
    <n v="209525890"/>
    <n v="242647000"/>
    <n v="203746495"/>
  </r>
  <r>
    <s v="Feb"/>
    <x v="9"/>
    <x v="6"/>
    <n v="242647000"/>
    <n v="202611220"/>
    <n v="242647000"/>
    <n v="207808845"/>
  </r>
  <r>
    <s v="Mar"/>
    <x v="9"/>
    <x v="6"/>
    <n v="242647000"/>
    <n v="188630282"/>
    <n v="242647000"/>
    <n v="188755282"/>
  </r>
  <r>
    <s v="Apr"/>
    <x v="9"/>
    <x v="6"/>
    <n v="242647000"/>
    <s v=""/>
    <n v="242647000"/>
    <s v=""/>
  </r>
  <r>
    <s v="Mei"/>
    <x v="9"/>
    <x v="6"/>
    <n v="242647000"/>
    <s v=""/>
    <n v="242647000"/>
    <s v=""/>
  </r>
  <r>
    <s v="Jun"/>
    <x v="9"/>
    <x v="6"/>
    <n v="242647000"/>
    <s v=""/>
    <n v="242647000"/>
    <s v=""/>
  </r>
  <r>
    <s v="Jul"/>
    <x v="9"/>
    <x v="6"/>
    <n v="242647000"/>
    <s v=""/>
    <n v="242647000"/>
    <s v=""/>
  </r>
  <r>
    <s v="Agt"/>
    <x v="9"/>
    <x v="6"/>
    <n v="242647000"/>
    <s v=""/>
    <n v="242647000"/>
    <s v=""/>
  </r>
  <r>
    <s v="Sep"/>
    <x v="9"/>
    <x v="6"/>
    <n v="242647000"/>
    <s v=""/>
    <n v="242647000"/>
    <s v=""/>
  </r>
  <r>
    <s v="Okt"/>
    <x v="9"/>
    <x v="6"/>
    <n v="242647000"/>
    <s v=""/>
    <n v="242647000"/>
    <s v=""/>
  </r>
  <r>
    <s v="Nov"/>
    <x v="9"/>
    <x v="6"/>
    <n v="242647000"/>
    <s v=""/>
    <n v="242647000"/>
    <s v=""/>
  </r>
  <r>
    <s v="Des"/>
    <x v="9"/>
    <x v="6"/>
    <n v="242647000"/>
    <s v=""/>
    <n v="242647000"/>
    <s v=""/>
  </r>
  <r>
    <s v="Jan"/>
    <x v="10"/>
    <x v="0"/>
    <n v="256149000"/>
    <n v="261345961"/>
    <n v="0"/>
    <n v="0"/>
  </r>
  <r>
    <s v="Feb"/>
    <x v="10"/>
    <x v="0"/>
    <n v="232029000"/>
    <n v="316431833"/>
    <n v="256149000"/>
    <n v="187448104"/>
  </r>
  <r>
    <s v="Mar"/>
    <x v="10"/>
    <x v="0"/>
    <n v="320000000"/>
    <n v="548640026"/>
    <n v="232029000"/>
    <n v="234017410"/>
  </r>
  <r>
    <s v="Apr"/>
    <x v="10"/>
    <x v="0"/>
    <n v="1567132000"/>
    <s v=""/>
    <n v="320000000"/>
    <s v=""/>
  </r>
  <r>
    <s v="Mei"/>
    <x v="10"/>
    <x v="0"/>
    <n v="3199778000"/>
    <s v=""/>
    <n v="346353000"/>
    <s v=""/>
  </r>
  <r>
    <s v="Jun"/>
    <x v="10"/>
    <x v="0"/>
    <n v="1289274000"/>
    <s v=""/>
    <n v="1574794000"/>
    <s v=""/>
  </r>
  <r>
    <s v="Jul"/>
    <x v="10"/>
    <x v="0"/>
    <n v="1665312000"/>
    <s v=""/>
    <n v="1850699000"/>
    <s v=""/>
  </r>
  <r>
    <s v="Agt"/>
    <x v="10"/>
    <x v="0"/>
    <n v="1072588000"/>
    <s v=""/>
    <n v="2404338000"/>
    <s v=""/>
  </r>
  <r>
    <s v="Sep"/>
    <x v="10"/>
    <x v="0"/>
    <n v="1131003000"/>
    <s v=""/>
    <n v="871823000"/>
    <s v=""/>
  </r>
  <r>
    <s v="Okt"/>
    <x v="10"/>
    <x v="0"/>
    <n v="170000000"/>
    <s v=""/>
    <n v="1131003000"/>
    <s v=""/>
  </r>
  <r>
    <s v="Nov"/>
    <x v="10"/>
    <x v="0"/>
    <n v="219669000"/>
    <s v=""/>
    <n v="1916077000"/>
    <s v=""/>
  </r>
  <r>
    <s v="Des"/>
    <x v="10"/>
    <x v="0"/>
    <n v="0"/>
    <s v=""/>
    <n v="219669000"/>
    <s v=""/>
  </r>
  <r>
    <s v="Jan"/>
    <x v="10"/>
    <x v="1"/>
    <n v="0"/>
    <n v="0"/>
    <n v="0"/>
    <n v="0"/>
  </r>
  <r>
    <s v="Feb"/>
    <x v="10"/>
    <x v="1"/>
    <n v="0"/>
    <n v="0"/>
    <n v="0"/>
    <n v="0"/>
  </r>
  <r>
    <s v="Mar"/>
    <x v="10"/>
    <x v="1"/>
    <n v="0"/>
    <n v="0"/>
    <n v="0"/>
    <n v="0"/>
  </r>
  <r>
    <s v="Apr"/>
    <x v="10"/>
    <x v="1"/>
    <n v="0"/>
    <s v=""/>
    <n v="0"/>
    <s v=""/>
  </r>
  <r>
    <s v="Mei"/>
    <x v="10"/>
    <x v="1"/>
    <n v="200000000"/>
    <s v=""/>
    <n v="0"/>
    <s v=""/>
  </r>
  <r>
    <s v="Jun"/>
    <x v="10"/>
    <x v="1"/>
    <n v="0"/>
    <s v=""/>
    <n v="0"/>
    <s v=""/>
  </r>
  <r>
    <s v="Jul"/>
    <x v="10"/>
    <x v="1"/>
    <n v="0"/>
    <s v=""/>
    <n v="200000000"/>
    <s v=""/>
  </r>
  <r>
    <s v="Agt"/>
    <x v="10"/>
    <x v="1"/>
    <n v="0"/>
    <s v=""/>
    <n v="0"/>
    <s v=""/>
  </r>
  <r>
    <s v="Sep"/>
    <x v="10"/>
    <x v="1"/>
    <n v="0"/>
    <s v=""/>
    <n v="0"/>
    <s v=""/>
  </r>
  <r>
    <s v="Okt"/>
    <x v="10"/>
    <x v="1"/>
    <n v="0"/>
    <s v=""/>
    <n v="0"/>
    <s v=""/>
  </r>
  <r>
    <s v="Nov"/>
    <x v="10"/>
    <x v="1"/>
    <n v="0"/>
    <s v=""/>
    <n v="0"/>
    <s v=""/>
  </r>
  <r>
    <s v="Des"/>
    <x v="10"/>
    <x v="1"/>
    <n v="0"/>
    <s v=""/>
    <n v="0"/>
    <s v=""/>
  </r>
  <r>
    <s v="Jan"/>
    <x v="10"/>
    <x v="2"/>
    <n v="0"/>
    <n v="0"/>
    <n v="0"/>
    <n v="0"/>
  </r>
  <r>
    <s v="Feb"/>
    <x v="10"/>
    <x v="2"/>
    <n v="24996000"/>
    <n v="0"/>
    <n v="0"/>
    <n v="0"/>
  </r>
  <r>
    <s v="Mar"/>
    <x v="10"/>
    <x v="2"/>
    <n v="0"/>
    <n v="19823200"/>
    <n v="24996000"/>
    <n v="0"/>
  </r>
  <r>
    <s v="Apr"/>
    <x v="10"/>
    <x v="2"/>
    <n v="0"/>
    <s v=""/>
    <n v="0"/>
    <s v=""/>
  </r>
  <r>
    <s v="Mei"/>
    <x v="10"/>
    <x v="2"/>
    <n v="24994000"/>
    <s v=""/>
    <n v="0"/>
    <s v=""/>
  </r>
  <r>
    <s v="Jun"/>
    <x v="10"/>
    <x v="2"/>
    <n v="0"/>
    <s v=""/>
    <n v="24994000"/>
    <s v=""/>
  </r>
  <r>
    <s v="Jul"/>
    <x v="10"/>
    <x v="2"/>
    <n v="0"/>
    <s v=""/>
    <n v="0"/>
    <s v=""/>
  </r>
  <r>
    <s v="Agt"/>
    <x v="10"/>
    <x v="2"/>
    <n v="24996000"/>
    <s v=""/>
    <n v="0"/>
    <s v=""/>
  </r>
  <r>
    <s v="Sep"/>
    <x v="10"/>
    <x v="2"/>
    <n v="0"/>
    <s v=""/>
    <n v="24996000"/>
    <s v=""/>
  </r>
  <r>
    <s v="Okt"/>
    <x v="10"/>
    <x v="2"/>
    <n v="0"/>
    <s v=""/>
    <n v="0"/>
    <s v=""/>
  </r>
  <r>
    <s v="Nov"/>
    <x v="10"/>
    <x v="2"/>
    <n v="24994000"/>
    <s v=""/>
    <n v="0"/>
    <s v=""/>
  </r>
  <r>
    <s v="Des"/>
    <x v="10"/>
    <x v="2"/>
    <n v="0"/>
    <s v=""/>
    <n v="24994000"/>
    <s v=""/>
  </r>
  <r>
    <s v="Jan"/>
    <x v="10"/>
    <x v="3"/>
    <n v="0"/>
    <n v="0"/>
    <n v="0"/>
    <n v="0"/>
  </r>
  <r>
    <s v="Feb"/>
    <x v="10"/>
    <x v="3"/>
    <n v="0"/>
    <n v="0"/>
    <n v="0"/>
    <n v="0"/>
  </r>
  <r>
    <s v="Mar"/>
    <x v="10"/>
    <x v="3"/>
    <n v="0"/>
    <n v="11000000"/>
    <n v="0"/>
    <n v="0"/>
  </r>
  <r>
    <s v="Apr"/>
    <x v="10"/>
    <x v="3"/>
    <n v="0"/>
    <s v=""/>
    <n v="0"/>
    <s v=""/>
  </r>
  <r>
    <s v="Mei"/>
    <x v="10"/>
    <x v="3"/>
    <n v="0"/>
    <s v=""/>
    <n v="0"/>
    <s v=""/>
  </r>
  <r>
    <s v="Jun"/>
    <x v="10"/>
    <x v="3"/>
    <n v="0"/>
    <s v=""/>
    <n v="0"/>
    <s v=""/>
  </r>
  <r>
    <s v="Jul"/>
    <x v="10"/>
    <x v="3"/>
    <n v="0"/>
    <s v=""/>
    <n v="0"/>
    <s v=""/>
  </r>
  <r>
    <s v="Agt"/>
    <x v="10"/>
    <x v="3"/>
    <n v="110000000"/>
    <s v=""/>
    <n v="0"/>
    <s v=""/>
  </r>
  <r>
    <s v="Sep"/>
    <x v="10"/>
    <x v="3"/>
    <n v="0"/>
    <s v=""/>
    <n v="0"/>
    <s v=""/>
  </r>
  <r>
    <s v="Okt"/>
    <x v="10"/>
    <x v="3"/>
    <n v="0"/>
    <s v=""/>
    <n v="110000000"/>
    <s v=""/>
  </r>
  <r>
    <s v="Nov"/>
    <x v="10"/>
    <x v="3"/>
    <n v="0"/>
    <s v=""/>
    <n v="0"/>
    <s v=""/>
  </r>
  <r>
    <s v="Des"/>
    <x v="10"/>
    <x v="3"/>
    <n v="0"/>
    <s v=""/>
    <n v="0"/>
    <s v=""/>
  </r>
  <r>
    <s v="Jan"/>
    <x v="10"/>
    <x v="4"/>
    <n v="0"/>
    <n v="0"/>
    <n v="0"/>
    <n v="0"/>
  </r>
  <r>
    <s v="Feb"/>
    <x v="10"/>
    <x v="4"/>
    <n v="0"/>
    <n v="0"/>
    <n v="0"/>
    <n v="0"/>
  </r>
  <r>
    <s v="Mar"/>
    <x v="10"/>
    <x v="4"/>
    <n v="0"/>
    <n v="0"/>
    <n v="0"/>
    <n v="0"/>
  </r>
  <r>
    <s v="Apr"/>
    <x v="10"/>
    <x v="4"/>
    <n v="0"/>
    <s v=""/>
    <n v="0"/>
    <s v=""/>
  </r>
  <r>
    <s v="Mei"/>
    <x v="10"/>
    <x v="4"/>
    <n v="0"/>
    <s v=""/>
    <n v="0"/>
    <s v=""/>
  </r>
  <r>
    <s v="Jun"/>
    <x v="10"/>
    <x v="4"/>
    <n v="0"/>
    <s v=""/>
    <n v="0"/>
    <s v=""/>
  </r>
  <r>
    <s v="Jul"/>
    <x v="10"/>
    <x v="4"/>
    <n v="0"/>
    <s v=""/>
    <n v="0"/>
    <s v=""/>
  </r>
  <r>
    <s v="Agt"/>
    <x v="10"/>
    <x v="4"/>
    <n v="0"/>
    <s v=""/>
    <n v="0"/>
    <s v=""/>
  </r>
  <r>
    <s v="Sep"/>
    <x v="10"/>
    <x v="4"/>
    <n v="0"/>
    <s v=""/>
    <n v="0"/>
    <s v=""/>
  </r>
  <r>
    <s v="Okt"/>
    <x v="10"/>
    <x v="4"/>
    <n v="0"/>
    <s v=""/>
    <n v="0"/>
    <s v=""/>
  </r>
  <r>
    <s v="Nov"/>
    <x v="10"/>
    <x v="4"/>
    <n v="0"/>
    <s v=""/>
    <n v="0"/>
    <s v=""/>
  </r>
  <r>
    <s v="Des"/>
    <x v="10"/>
    <x v="4"/>
    <n v="0"/>
    <s v=""/>
    <n v="0"/>
    <s v=""/>
  </r>
  <r>
    <s v="Jan"/>
    <x v="10"/>
    <x v="5"/>
    <n v="65075000"/>
    <n v="66980000"/>
    <n v="65075000"/>
    <n v="33275000"/>
  </r>
  <r>
    <s v="Feb"/>
    <x v="10"/>
    <x v="5"/>
    <n v="32625000"/>
    <n v="131493477"/>
    <n v="32625000"/>
    <n v="44852000"/>
  </r>
  <r>
    <s v="Mar"/>
    <x v="10"/>
    <x v="5"/>
    <n v="27425000"/>
    <n v="93687935"/>
    <n v="27425000"/>
    <n v="83680412"/>
  </r>
  <r>
    <s v="Apr"/>
    <x v="10"/>
    <x v="5"/>
    <n v="253975000"/>
    <s v=""/>
    <n v="253975000"/>
    <s v=""/>
  </r>
  <r>
    <s v="Mei"/>
    <x v="10"/>
    <x v="5"/>
    <n v="23925000"/>
    <s v=""/>
    <n v="23925000"/>
    <s v=""/>
  </r>
  <r>
    <s v="Jun"/>
    <x v="10"/>
    <x v="5"/>
    <n v="35725000"/>
    <s v=""/>
    <n v="35725000"/>
    <s v=""/>
  </r>
  <r>
    <s v="Jul"/>
    <x v="10"/>
    <x v="5"/>
    <n v="64675000"/>
    <s v=""/>
    <n v="64675000"/>
    <s v=""/>
  </r>
  <r>
    <s v="Agt"/>
    <x v="10"/>
    <x v="5"/>
    <n v="172225000"/>
    <s v=""/>
    <n v="32225000"/>
    <s v=""/>
  </r>
  <r>
    <s v="Sep"/>
    <x v="10"/>
    <x v="5"/>
    <n v="152425000"/>
    <s v=""/>
    <n v="152425000"/>
    <s v=""/>
  </r>
  <r>
    <s v="Okt"/>
    <x v="10"/>
    <x v="5"/>
    <n v="72975000"/>
    <s v=""/>
    <n v="212975000"/>
    <s v=""/>
  </r>
  <r>
    <s v="Nov"/>
    <x v="10"/>
    <x v="5"/>
    <n v="23925000"/>
    <s v=""/>
    <n v="23925000"/>
    <s v=""/>
  </r>
  <r>
    <s v="Des"/>
    <x v="10"/>
    <x v="5"/>
    <n v="35725000"/>
    <s v=""/>
    <n v="35725000"/>
    <s v=""/>
  </r>
  <r>
    <s v="Jan"/>
    <x v="10"/>
    <x v="6"/>
    <n v="34257000"/>
    <n v="35093864"/>
    <n v="34257000"/>
    <n v="35093864"/>
  </r>
  <r>
    <s v="Feb"/>
    <x v="10"/>
    <x v="6"/>
    <n v="34256000"/>
    <n v="35802840"/>
    <n v="34256000"/>
    <n v="34478198"/>
  </r>
  <r>
    <s v="Mar"/>
    <x v="10"/>
    <x v="6"/>
    <n v="34257000"/>
    <n v="71522124"/>
    <n v="34257000"/>
    <n v="31247976"/>
  </r>
  <r>
    <s v="Apr"/>
    <x v="10"/>
    <x v="6"/>
    <n v="34256000"/>
    <s v=""/>
    <n v="34256000"/>
    <s v=""/>
  </r>
  <r>
    <s v="Mei"/>
    <x v="10"/>
    <x v="6"/>
    <n v="34257000"/>
    <s v=""/>
    <n v="34257000"/>
    <s v=""/>
  </r>
  <r>
    <s v="Jun"/>
    <x v="10"/>
    <x v="6"/>
    <n v="34257000"/>
    <s v=""/>
    <n v="34257000"/>
    <s v=""/>
  </r>
  <r>
    <s v="Jul"/>
    <x v="10"/>
    <x v="6"/>
    <n v="34257000"/>
    <s v=""/>
    <n v="34257000"/>
    <s v=""/>
  </r>
  <r>
    <s v="Agt"/>
    <x v="10"/>
    <x v="6"/>
    <n v="34256000"/>
    <s v=""/>
    <n v="34256000"/>
    <s v=""/>
  </r>
  <r>
    <s v="Sep"/>
    <x v="10"/>
    <x v="6"/>
    <n v="34257000"/>
    <s v=""/>
    <n v="34257000"/>
    <s v=""/>
  </r>
  <r>
    <s v="Okt"/>
    <x v="10"/>
    <x v="6"/>
    <n v="34256000"/>
    <s v=""/>
    <n v="34256000"/>
    <s v=""/>
  </r>
  <r>
    <s v="Nov"/>
    <x v="10"/>
    <x v="6"/>
    <n v="34257000"/>
    <s v=""/>
    <n v="34257000"/>
    <s v=""/>
  </r>
  <r>
    <s v="Des"/>
    <x v="10"/>
    <x v="6"/>
    <n v="34257000"/>
    <s v=""/>
    <n v="34257000"/>
    <s v=""/>
  </r>
  <r>
    <s v="Jan"/>
    <x v="11"/>
    <x v="0"/>
    <n v="0"/>
    <n v="0"/>
    <n v="0"/>
    <n v="0"/>
  </r>
  <r>
    <s v="Feb"/>
    <x v="11"/>
    <x v="0"/>
    <n v="147500000"/>
    <n v="660310335"/>
    <n v="0"/>
    <n v="0"/>
  </r>
  <r>
    <s v="Mar"/>
    <x v="11"/>
    <x v="0"/>
    <n v="4975166000"/>
    <n v="199823025"/>
    <n v="0"/>
    <n v="148749912"/>
  </r>
  <r>
    <s v="Apr"/>
    <x v="11"/>
    <x v="0"/>
    <n v="1596468000"/>
    <s v=""/>
    <n v="50000000"/>
    <s v=""/>
  </r>
  <r>
    <s v="Mei"/>
    <x v="11"/>
    <x v="0"/>
    <n v="1166224000"/>
    <s v=""/>
    <n v="147500000"/>
    <s v=""/>
  </r>
  <r>
    <s v="Jun"/>
    <x v="11"/>
    <x v="0"/>
    <n v="457212000"/>
    <s v=""/>
    <n v="50000000"/>
    <s v=""/>
  </r>
  <r>
    <s v="Jul"/>
    <x v="11"/>
    <x v="0"/>
    <n v="100000000"/>
    <s v=""/>
    <n v="1663840000"/>
    <s v=""/>
  </r>
  <r>
    <s v="Agt"/>
    <x v="11"/>
    <x v="0"/>
    <n v="147500000"/>
    <s v=""/>
    <n v="2498475000"/>
    <s v=""/>
  </r>
  <r>
    <s v="Sep"/>
    <x v="11"/>
    <x v="0"/>
    <n v="0"/>
    <s v=""/>
    <n v="3932755000"/>
    <s v=""/>
  </r>
  <r>
    <s v="Okt"/>
    <x v="11"/>
    <x v="0"/>
    <n v="147500000"/>
    <s v=""/>
    <n v="247500000"/>
    <s v=""/>
  </r>
  <r>
    <s v="Nov"/>
    <x v="11"/>
    <x v="0"/>
    <n v="0"/>
    <s v=""/>
    <n v="0"/>
    <s v=""/>
  </r>
  <r>
    <s v="Des"/>
    <x v="11"/>
    <x v="0"/>
    <n v="0"/>
    <s v=""/>
    <n v="147500000"/>
    <s v=""/>
  </r>
  <r>
    <s v="Jan"/>
    <x v="11"/>
    <x v="1"/>
    <n v="0"/>
    <n v="0"/>
    <n v="0"/>
    <n v="0"/>
  </r>
  <r>
    <s v="Feb"/>
    <x v="11"/>
    <x v="1"/>
    <n v="0"/>
    <n v="0"/>
    <n v="0"/>
    <n v="0"/>
  </r>
  <r>
    <s v="Mar"/>
    <x v="11"/>
    <x v="1"/>
    <n v="150000000"/>
    <n v="0"/>
    <n v="150000000"/>
    <n v="0"/>
  </r>
  <r>
    <s v="Apr"/>
    <x v="11"/>
    <x v="1"/>
    <n v="250000000"/>
    <s v=""/>
    <n v="250000000"/>
    <s v=""/>
  </r>
  <r>
    <s v="Mei"/>
    <x v="11"/>
    <x v="1"/>
    <n v="0"/>
    <s v=""/>
    <n v="0"/>
    <s v=""/>
  </r>
  <r>
    <s v="Jun"/>
    <x v="11"/>
    <x v="1"/>
    <n v="150000000"/>
    <s v=""/>
    <n v="150000000"/>
    <s v=""/>
  </r>
  <r>
    <s v="Jul"/>
    <x v="11"/>
    <x v="1"/>
    <n v="0"/>
    <s v=""/>
    <n v="0"/>
    <s v=""/>
  </r>
  <r>
    <s v="Agt"/>
    <x v="11"/>
    <x v="1"/>
    <n v="0"/>
    <s v=""/>
    <n v="0"/>
    <s v=""/>
  </r>
  <r>
    <s v="Sep"/>
    <x v="11"/>
    <x v="1"/>
    <n v="200000000"/>
    <s v=""/>
    <n v="200000000"/>
    <s v=""/>
  </r>
  <r>
    <s v="Okt"/>
    <x v="11"/>
    <x v="1"/>
    <n v="0"/>
    <s v=""/>
    <n v="0"/>
    <s v=""/>
  </r>
  <r>
    <s v="Nov"/>
    <x v="11"/>
    <x v="1"/>
    <n v="0"/>
    <s v=""/>
    <n v="0"/>
    <s v=""/>
  </r>
  <r>
    <s v="Des"/>
    <x v="11"/>
    <x v="1"/>
    <n v="0"/>
    <s v=""/>
    <n v="0"/>
    <s v=""/>
  </r>
  <r>
    <s v="Jan"/>
    <x v="11"/>
    <x v="2"/>
    <n v="0"/>
    <n v="0"/>
    <n v="0"/>
    <n v="0"/>
  </r>
  <r>
    <s v="Feb"/>
    <x v="11"/>
    <x v="2"/>
    <n v="79200000"/>
    <n v="37804500"/>
    <n v="79200000"/>
    <n v="0"/>
  </r>
  <r>
    <s v="Mar"/>
    <x v="11"/>
    <x v="2"/>
    <n v="0"/>
    <n v="14403650"/>
    <n v="0"/>
    <n v="0"/>
  </r>
  <r>
    <s v="Apr"/>
    <x v="11"/>
    <x v="2"/>
    <n v="0"/>
    <s v=""/>
    <n v="0"/>
    <s v=""/>
  </r>
  <r>
    <s v="Mei"/>
    <x v="11"/>
    <x v="2"/>
    <n v="79200000"/>
    <s v=""/>
    <n v="79200000"/>
    <s v=""/>
  </r>
  <r>
    <s v="Jun"/>
    <x v="11"/>
    <x v="2"/>
    <n v="0"/>
    <s v=""/>
    <n v="0"/>
    <s v=""/>
  </r>
  <r>
    <s v="Jul"/>
    <x v="11"/>
    <x v="2"/>
    <n v="0"/>
    <s v=""/>
    <n v="0"/>
    <s v=""/>
  </r>
  <r>
    <s v="Agt"/>
    <x v="11"/>
    <x v="2"/>
    <n v="79200000"/>
    <s v=""/>
    <n v="79200000"/>
    <s v=""/>
  </r>
  <r>
    <s v="Sep"/>
    <x v="11"/>
    <x v="2"/>
    <n v="0"/>
    <s v=""/>
    <n v="0"/>
    <s v=""/>
  </r>
  <r>
    <s v="Okt"/>
    <x v="11"/>
    <x v="2"/>
    <n v="0"/>
    <s v=""/>
    <n v="0"/>
    <s v=""/>
  </r>
  <r>
    <s v="Nov"/>
    <x v="11"/>
    <x v="2"/>
    <n v="79200000"/>
    <s v=""/>
    <n v="79200000"/>
    <s v=""/>
  </r>
  <r>
    <s v="Des"/>
    <x v="11"/>
    <x v="2"/>
    <n v="0"/>
    <s v=""/>
    <n v="0"/>
    <s v=""/>
  </r>
  <r>
    <s v="Jan"/>
    <x v="11"/>
    <x v="3"/>
    <n v="0"/>
    <n v="0"/>
    <n v="0"/>
    <n v="0"/>
  </r>
  <r>
    <s v="Feb"/>
    <x v="11"/>
    <x v="3"/>
    <n v="0"/>
    <n v="0"/>
    <n v="0"/>
    <n v="0"/>
  </r>
  <r>
    <s v="Mar"/>
    <x v="11"/>
    <x v="3"/>
    <n v="250000000"/>
    <n v="0"/>
    <n v="250000000"/>
    <n v="0"/>
  </r>
  <r>
    <s v="Apr"/>
    <x v="11"/>
    <x v="3"/>
    <n v="0"/>
    <s v=""/>
    <n v="0"/>
    <s v=""/>
  </r>
  <r>
    <s v="Mei"/>
    <x v="11"/>
    <x v="3"/>
    <n v="0"/>
    <s v=""/>
    <n v="0"/>
    <s v=""/>
  </r>
  <r>
    <s v="Jun"/>
    <x v="11"/>
    <x v="3"/>
    <n v="0"/>
    <s v=""/>
    <n v="0"/>
    <s v=""/>
  </r>
  <r>
    <s v="Jul"/>
    <x v="11"/>
    <x v="3"/>
    <n v="0"/>
    <s v=""/>
    <n v="0"/>
    <s v=""/>
  </r>
  <r>
    <s v="Agt"/>
    <x v="11"/>
    <x v="3"/>
    <n v="0"/>
    <s v=""/>
    <n v="0"/>
    <s v=""/>
  </r>
  <r>
    <s v="Sep"/>
    <x v="11"/>
    <x v="3"/>
    <n v="0"/>
    <s v=""/>
    <n v="0"/>
    <s v=""/>
  </r>
  <r>
    <s v="Okt"/>
    <x v="11"/>
    <x v="3"/>
    <n v="0"/>
    <s v=""/>
    <n v="0"/>
    <s v=""/>
  </r>
  <r>
    <s v="Nov"/>
    <x v="11"/>
    <x v="3"/>
    <n v="0"/>
    <s v=""/>
    <n v="0"/>
    <s v=""/>
  </r>
  <r>
    <s v="Des"/>
    <x v="11"/>
    <x v="3"/>
    <n v="0"/>
    <s v=""/>
    <n v="0"/>
    <s v=""/>
  </r>
  <r>
    <s v="Jan"/>
    <x v="11"/>
    <x v="4"/>
    <n v="0"/>
    <n v="0"/>
    <n v="0"/>
    <n v="0"/>
  </r>
  <r>
    <s v="Feb"/>
    <x v="11"/>
    <x v="4"/>
    <n v="0"/>
    <n v="0"/>
    <n v="0"/>
    <n v="0"/>
  </r>
  <r>
    <s v="Mar"/>
    <x v="11"/>
    <x v="4"/>
    <n v="0"/>
    <n v="0"/>
    <n v="0"/>
    <n v="0"/>
  </r>
  <r>
    <s v="Apr"/>
    <x v="11"/>
    <x v="4"/>
    <n v="0"/>
    <s v=""/>
    <n v="0"/>
    <s v=""/>
  </r>
  <r>
    <s v="Mei"/>
    <x v="11"/>
    <x v="4"/>
    <n v="0"/>
    <s v=""/>
    <n v="0"/>
    <s v=""/>
  </r>
  <r>
    <s v="Jun"/>
    <x v="11"/>
    <x v="4"/>
    <n v="0"/>
    <s v=""/>
    <n v="0"/>
    <s v=""/>
  </r>
  <r>
    <s v="Jul"/>
    <x v="11"/>
    <x v="4"/>
    <n v="0"/>
    <s v=""/>
    <n v="0"/>
    <s v=""/>
  </r>
  <r>
    <s v="Agt"/>
    <x v="11"/>
    <x v="4"/>
    <n v="0"/>
    <s v=""/>
    <n v="0"/>
    <s v=""/>
  </r>
  <r>
    <s v="Sep"/>
    <x v="11"/>
    <x v="4"/>
    <n v="0"/>
    <s v=""/>
    <n v="0"/>
    <s v=""/>
  </r>
  <r>
    <s v="Okt"/>
    <x v="11"/>
    <x v="4"/>
    <n v="0"/>
    <s v=""/>
    <n v="0"/>
    <s v=""/>
  </r>
  <r>
    <s v="Nov"/>
    <x v="11"/>
    <x v="4"/>
    <n v="0"/>
    <s v=""/>
    <n v="0"/>
    <s v=""/>
  </r>
  <r>
    <s v="Des"/>
    <x v="11"/>
    <x v="4"/>
    <n v="0"/>
    <s v=""/>
    <n v="0"/>
    <s v=""/>
  </r>
  <r>
    <s v="Jan"/>
    <x v="11"/>
    <x v="5"/>
    <n v="123852333.33333334"/>
    <n v="73891500"/>
    <n v="123852333.33333334"/>
    <n v="5977500"/>
  </r>
  <r>
    <s v="Feb"/>
    <x v="11"/>
    <x v="5"/>
    <n v="113852333.33333334"/>
    <n v="121455950"/>
    <n v="113852333.33333334"/>
    <n v="91152500"/>
  </r>
  <r>
    <s v="Mar"/>
    <x v="11"/>
    <x v="5"/>
    <n v="113852333.33333334"/>
    <n v="122435362"/>
    <n v="113852333.33333334"/>
    <n v="70950362"/>
  </r>
  <r>
    <s v="Apr"/>
    <x v="11"/>
    <x v="5"/>
    <n v="123852333.33333334"/>
    <s v=""/>
    <n v="123852333.33333334"/>
    <s v=""/>
  </r>
  <r>
    <s v="Mei"/>
    <x v="11"/>
    <x v="5"/>
    <n v="253852333.33333334"/>
    <s v=""/>
    <n v="253852333.33333334"/>
    <s v=""/>
  </r>
  <r>
    <s v="Jun"/>
    <x v="11"/>
    <x v="5"/>
    <n v="113853333.33333334"/>
    <s v=""/>
    <n v="113853333.33333334"/>
    <s v=""/>
  </r>
  <r>
    <s v="Jul"/>
    <x v="11"/>
    <x v="5"/>
    <n v="123852333.33333334"/>
    <s v=""/>
    <n v="123852333.33333334"/>
    <s v=""/>
  </r>
  <r>
    <s v="Agt"/>
    <x v="11"/>
    <x v="5"/>
    <n v="243852333.33333334"/>
    <s v=""/>
    <n v="243852333.33333334"/>
    <s v=""/>
  </r>
  <r>
    <s v="Sep"/>
    <x v="11"/>
    <x v="5"/>
    <n v="113853333.33333334"/>
    <s v=""/>
    <n v="113853333.33333334"/>
    <s v=""/>
  </r>
  <r>
    <s v="Okt"/>
    <x v="11"/>
    <x v="5"/>
    <n v="123852333.33333334"/>
    <s v=""/>
    <n v="123852333.33333334"/>
    <s v=""/>
  </r>
  <r>
    <s v="Nov"/>
    <x v="11"/>
    <x v="5"/>
    <n v="229852333.33333334"/>
    <s v=""/>
    <n v="229852333.33333334"/>
    <s v=""/>
  </r>
  <r>
    <s v="Des"/>
    <x v="11"/>
    <x v="5"/>
    <n v="113853333.33333334"/>
    <s v=""/>
    <n v="113853333.33333334"/>
    <s v=""/>
  </r>
  <r>
    <s v="Jan"/>
    <x v="11"/>
    <x v="6"/>
    <n v="185833333.33333334"/>
    <n v="96928940"/>
    <n v="185833333.33333334"/>
    <n v="96928940"/>
  </r>
  <r>
    <s v="Feb"/>
    <x v="11"/>
    <x v="6"/>
    <n v="185833333.33333334"/>
    <n v="130722605"/>
    <n v="185833333.33333334"/>
    <n v="121222605"/>
  </r>
  <r>
    <s v="Mar"/>
    <x v="11"/>
    <x v="6"/>
    <n v="185833333.33333334"/>
    <n v="121328273"/>
    <n v="185833333.33333334"/>
    <n v="111828273"/>
  </r>
  <r>
    <s v="Apr"/>
    <x v="11"/>
    <x v="6"/>
    <n v="185833333.33333334"/>
    <s v=""/>
    <n v="185833333.33333334"/>
    <s v=""/>
  </r>
  <r>
    <s v="Mei"/>
    <x v="11"/>
    <x v="6"/>
    <n v="185833333.33333334"/>
    <s v=""/>
    <n v="185833333.33333334"/>
    <s v=""/>
  </r>
  <r>
    <s v="Jun"/>
    <x v="11"/>
    <x v="6"/>
    <n v="185833333.33333334"/>
    <s v=""/>
    <n v="185833333.33333334"/>
    <s v=""/>
  </r>
  <r>
    <s v="Jul"/>
    <x v="11"/>
    <x v="6"/>
    <n v="185833333.33333334"/>
    <s v=""/>
    <n v="185833333.33333334"/>
    <s v=""/>
  </r>
  <r>
    <s v="Agt"/>
    <x v="11"/>
    <x v="6"/>
    <n v="185833333.33333334"/>
    <s v=""/>
    <n v="185833333.33333334"/>
    <s v=""/>
  </r>
  <r>
    <s v="Sep"/>
    <x v="11"/>
    <x v="6"/>
    <n v="185833333.33333334"/>
    <s v=""/>
    <n v="185833333.33333334"/>
    <s v=""/>
  </r>
  <r>
    <s v="Okt"/>
    <x v="11"/>
    <x v="6"/>
    <n v="185833333.33333334"/>
    <s v=""/>
    <n v="185833333.33333334"/>
    <s v=""/>
  </r>
  <r>
    <s v="Nov"/>
    <x v="11"/>
    <x v="6"/>
    <n v="185833333.33333334"/>
    <s v=""/>
    <n v="185833333.33333334"/>
    <s v=""/>
  </r>
  <r>
    <s v="Des"/>
    <x v="11"/>
    <x v="6"/>
    <n v="185833333.33333334"/>
    <s v=""/>
    <n v="185833333.33333334"/>
    <s v=""/>
  </r>
  <r>
    <s v="Jan"/>
    <x v="12"/>
    <x v="0"/>
    <n v="20000000"/>
    <n v="114501830"/>
    <n v="0"/>
    <n v="0"/>
  </r>
  <r>
    <s v="Feb"/>
    <x v="12"/>
    <x v="0"/>
    <n v="0"/>
    <n v="13970000"/>
    <n v="20000000"/>
    <n v="0"/>
  </r>
  <r>
    <s v="Mar"/>
    <x v="12"/>
    <x v="0"/>
    <n v="55000000"/>
    <n v="355360000"/>
    <n v="0"/>
    <n v="65501830"/>
  </r>
  <r>
    <s v="Apr"/>
    <x v="12"/>
    <x v="0"/>
    <n v="461300000"/>
    <s v=""/>
    <n v="55000000"/>
    <s v=""/>
  </r>
  <r>
    <s v="Mei"/>
    <x v="12"/>
    <x v="0"/>
    <n v="412440000"/>
    <s v=""/>
    <n v="0"/>
    <s v=""/>
  </r>
  <r>
    <s v="Jun"/>
    <x v="12"/>
    <x v="0"/>
    <n v="130000000"/>
    <s v=""/>
    <n v="0"/>
    <s v=""/>
  </r>
  <r>
    <s v="Jul"/>
    <x v="12"/>
    <x v="0"/>
    <n v="683211000"/>
    <s v=""/>
    <n v="516300000"/>
    <s v=""/>
  </r>
  <r>
    <s v="Agt"/>
    <x v="12"/>
    <x v="0"/>
    <n v="0"/>
    <s v=""/>
    <n v="412440000"/>
    <s v=""/>
  </r>
  <r>
    <s v="Sep"/>
    <x v="12"/>
    <x v="0"/>
    <n v="55000000"/>
    <s v=""/>
    <n v="75000000"/>
    <s v=""/>
  </r>
  <r>
    <s v="Okt"/>
    <x v="12"/>
    <x v="0"/>
    <n v="0"/>
    <s v=""/>
    <n v="55000000"/>
    <s v=""/>
  </r>
  <r>
    <s v="Nov"/>
    <x v="12"/>
    <x v="0"/>
    <n v="0"/>
    <s v=""/>
    <n v="683211000"/>
    <s v=""/>
  </r>
  <r>
    <s v="Des"/>
    <x v="12"/>
    <x v="0"/>
    <n v="55000000"/>
    <s v=""/>
    <n v="55000000"/>
    <s v=""/>
  </r>
  <r>
    <s v="Jan"/>
    <x v="12"/>
    <x v="1"/>
    <n v="0"/>
    <n v="0"/>
    <n v="0"/>
    <n v="0"/>
  </r>
  <r>
    <s v="Feb"/>
    <x v="12"/>
    <x v="1"/>
    <n v="0"/>
    <n v="0"/>
    <n v="0"/>
    <n v="0"/>
  </r>
  <r>
    <s v="Mar"/>
    <x v="12"/>
    <x v="1"/>
    <n v="0"/>
    <n v="0"/>
    <n v="0"/>
    <n v="0"/>
  </r>
  <r>
    <s v="Apr"/>
    <x v="12"/>
    <x v="1"/>
    <n v="0"/>
    <s v=""/>
    <n v="0"/>
    <s v=""/>
  </r>
  <r>
    <s v="Mei"/>
    <x v="12"/>
    <x v="1"/>
    <n v="0"/>
    <s v=""/>
    <n v="0"/>
    <s v=""/>
  </r>
  <r>
    <s v="Jun"/>
    <x v="12"/>
    <x v="1"/>
    <n v="0"/>
    <s v=""/>
    <n v="0"/>
    <s v=""/>
  </r>
  <r>
    <s v="Jul"/>
    <x v="12"/>
    <x v="1"/>
    <n v="0"/>
    <s v=""/>
    <n v="0"/>
    <s v=""/>
  </r>
  <r>
    <s v="Agt"/>
    <x v="12"/>
    <x v="1"/>
    <n v="0"/>
    <s v=""/>
    <n v="0"/>
    <s v=""/>
  </r>
  <r>
    <s v="Sep"/>
    <x v="12"/>
    <x v="1"/>
    <n v="0"/>
    <s v=""/>
    <n v="0"/>
    <s v=""/>
  </r>
  <r>
    <s v="Okt"/>
    <x v="12"/>
    <x v="1"/>
    <n v="0"/>
    <s v=""/>
    <n v="0"/>
    <s v=""/>
  </r>
  <r>
    <s v="Nov"/>
    <x v="12"/>
    <x v="1"/>
    <n v="0"/>
    <s v=""/>
    <n v="0"/>
    <s v=""/>
  </r>
  <r>
    <s v="Des"/>
    <x v="12"/>
    <x v="1"/>
    <n v="0"/>
    <s v=""/>
    <n v="0"/>
    <s v=""/>
  </r>
  <r>
    <s v="Jan"/>
    <x v="12"/>
    <x v="2"/>
    <n v="0"/>
    <n v="6119400"/>
    <n v="11287500"/>
    <n v="0"/>
  </r>
  <r>
    <s v="Feb"/>
    <x v="12"/>
    <x v="2"/>
    <n v="0"/>
    <n v="0"/>
    <n v="0"/>
    <n v="0"/>
  </r>
  <r>
    <s v="Mar"/>
    <x v="12"/>
    <x v="2"/>
    <n v="11287500"/>
    <n v="6423200"/>
    <n v="0"/>
    <n v="6119400"/>
  </r>
  <r>
    <s v="Apr"/>
    <x v="12"/>
    <x v="2"/>
    <n v="0"/>
    <s v=""/>
    <n v="11287500"/>
    <s v=""/>
  </r>
  <r>
    <s v="Mei"/>
    <x v="12"/>
    <x v="2"/>
    <n v="0"/>
    <s v=""/>
    <n v="0"/>
    <s v=""/>
  </r>
  <r>
    <s v="Jun"/>
    <x v="12"/>
    <x v="2"/>
    <n v="11287500"/>
    <s v=""/>
    <n v="0"/>
    <s v=""/>
  </r>
  <r>
    <s v="Jul"/>
    <x v="12"/>
    <x v="2"/>
    <n v="0"/>
    <s v=""/>
    <n v="11287500"/>
    <s v=""/>
  </r>
  <r>
    <s v="Agt"/>
    <x v="12"/>
    <x v="2"/>
    <n v="0"/>
    <s v=""/>
    <n v="0"/>
    <s v=""/>
  </r>
  <r>
    <s v="Sep"/>
    <x v="12"/>
    <x v="2"/>
    <n v="11287500"/>
    <s v=""/>
    <n v="0"/>
    <s v=""/>
  </r>
  <r>
    <s v="Okt"/>
    <x v="12"/>
    <x v="2"/>
    <n v="0"/>
    <s v=""/>
    <n v="11287500"/>
    <s v=""/>
  </r>
  <r>
    <s v="Nov"/>
    <x v="12"/>
    <x v="2"/>
    <n v="0"/>
    <s v=""/>
    <n v="0"/>
    <s v=""/>
  </r>
  <r>
    <s v="Des"/>
    <x v="12"/>
    <x v="2"/>
    <n v="11287500"/>
    <s v=""/>
    <n v="0"/>
    <s v=""/>
  </r>
  <r>
    <s v="Jan"/>
    <x v="12"/>
    <x v="3"/>
    <n v="0"/>
    <n v="0"/>
    <n v="0"/>
    <n v="0"/>
  </r>
  <r>
    <s v="Feb"/>
    <x v="12"/>
    <x v="3"/>
    <n v="15000000"/>
    <n v="9000000"/>
    <n v="0"/>
    <n v="0"/>
  </r>
  <r>
    <s v="Mar"/>
    <x v="12"/>
    <x v="3"/>
    <n v="0"/>
    <n v="0"/>
    <n v="15000000"/>
    <n v="0"/>
  </r>
  <r>
    <s v="Apr"/>
    <x v="12"/>
    <x v="3"/>
    <n v="0"/>
    <s v=""/>
    <n v="0"/>
    <s v=""/>
  </r>
  <r>
    <s v="Mei"/>
    <x v="12"/>
    <x v="3"/>
    <n v="15000000"/>
    <s v=""/>
    <n v="0"/>
    <s v=""/>
  </r>
  <r>
    <s v="Jun"/>
    <x v="12"/>
    <x v="3"/>
    <n v="0"/>
    <s v=""/>
    <n v="15000000"/>
    <s v=""/>
  </r>
  <r>
    <s v="Jul"/>
    <x v="12"/>
    <x v="3"/>
    <n v="0"/>
    <s v=""/>
    <n v="0"/>
    <s v=""/>
  </r>
  <r>
    <s v="Agt"/>
    <x v="12"/>
    <x v="3"/>
    <n v="15000000"/>
    <s v=""/>
    <n v="0"/>
    <s v=""/>
  </r>
  <r>
    <s v="Sep"/>
    <x v="12"/>
    <x v="3"/>
    <n v="0"/>
    <s v=""/>
    <n v="15000000"/>
    <s v=""/>
  </r>
  <r>
    <s v="Okt"/>
    <x v="12"/>
    <x v="3"/>
    <n v="0"/>
    <s v=""/>
    <n v="0"/>
    <s v=""/>
  </r>
  <r>
    <s v="Nov"/>
    <x v="12"/>
    <x v="3"/>
    <n v="15000000"/>
    <s v=""/>
    <n v="0"/>
    <s v=""/>
  </r>
  <r>
    <s v="Des"/>
    <x v="12"/>
    <x v="3"/>
    <n v="0"/>
    <s v=""/>
    <n v="15000000"/>
    <s v=""/>
  </r>
  <r>
    <s v="Jan"/>
    <x v="12"/>
    <x v="4"/>
    <n v="0"/>
    <n v="0"/>
    <n v="0"/>
    <n v="0"/>
  </r>
  <r>
    <s v="Feb"/>
    <x v="12"/>
    <x v="4"/>
    <n v="0"/>
    <n v="0"/>
    <n v="0"/>
    <n v="0"/>
  </r>
  <r>
    <s v="Mar"/>
    <x v="12"/>
    <x v="4"/>
    <n v="0"/>
    <n v="0"/>
    <n v="0"/>
    <n v="0"/>
  </r>
  <r>
    <s v="Apr"/>
    <x v="12"/>
    <x v="4"/>
    <n v="0"/>
    <s v=""/>
    <n v="0"/>
    <s v=""/>
  </r>
  <r>
    <s v="Mei"/>
    <x v="12"/>
    <x v="4"/>
    <n v="0"/>
    <s v=""/>
    <n v="0"/>
    <s v=""/>
  </r>
  <r>
    <s v="Jun"/>
    <x v="12"/>
    <x v="4"/>
    <n v="0"/>
    <s v=""/>
    <n v="0"/>
    <s v=""/>
  </r>
  <r>
    <s v="Jul"/>
    <x v="12"/>
    <x v="4"/>
    <n v="0"/>
    <s v=""/>
    <n v="0"/>
    <s v=""/>
  </r>
  <r>
    <s v="Agt"/>
    <x v="12"/>
    <x v="4"/>
    <n v="0"/>
    <s v=""/>
    <n v="0"/>
    <s v=""/>
  </r>
  <r>
    <s v="Sep"/>
    <x v="12"/>
    <x v="4"/>
    <n v="0"/>
    <s v=""/>
    <n v="0"/>
    <s v=""/>
  </r>
  <r>
    <s v="Okt"/>
    <x v="12"/>
    <x v="4"/>
    <n v="0"/>
    <s v=""/>
    <n v="0"/>
    <s v=""/>
  </r>
  <r>
    <s v="Nov"/>
    <x v="12"/>
    <x v="4"/>
    <n v="0"/>
    <s v=""/>
    <n v="0"/>
    <s v=""/>
  </r>
  <r>
    <s v="Des"/>
    <x v="12"/>
    <x v="4"/>
    <n v="0"/>
    <s v=""/>
    <n v="0"/>
    <s v=""/>
  </r>
  <r>
    <s v="Jan"/>
    <x v="12"/>
    <x v="5"/>
    <n v="11870000"/>
    <n v="3485900"/>
    <n v="11870000"/>
    <n v="2487500"/>
  </r>
  <r>
    <s v="Feb"/>
    <x v="12"/>
    <x v="5"/>
    <n v="17925000"/>
    <n v="3123150"/>
    <n v="16425000"/>
    <n v="3117150"/>
  </r>
  <r>
    <s v="Mar"/>
    <x v="12"/>
    <x v="5"/>
    <n v="14870000"/>
    <n v="12363300"/>
    <n v="16370000"/>
    <n v="3825000"/>
  </r>
  <r>
    <s v="Apr"/>
    <x v="12"/>
    <x v="5"/>
    <n v="11870000"/>
    <s v=""/>
    <n v="11870000"/>
    <s v=""/>
  </r>
  <r>
    <s v="Mei"/>
    <x v="12"/>
    <x v="5"/>
    <n v="85925000"/>
    <s v=""/>
    <n v="16425000"/>
    <s v=""/>
  </r>
  <r>
    <s v="Jun"/>
    <x v="12"/>
    <x v="5"/>
    <n v="85870000"/>
    <s v=""/>
    <n v="101370000"/>
    <s v=""/>
  </r>
  <r>
    <s v="Jul"/>
    <x v="12"/>
    <x v="5"/>
    <n v="66870000"/>
    <s v=""/>
    <n v="65870000"/>
    <s v=""/>
  </r>
  <r>
    <s v="Agt"/>
    <x v="12"/>
    <x v="5"/>
    <n v="17925000"/>
    <s v=""/>
    <n v="71425000"/>
    <s v=""/>
  </r>
  <r>
    <s v="Sep"/>
    <x v="12"/>
    <x v="5"/>
    <n v="14870000"/>
    <s v=""/>
    <n v="16370000"/>
    <s v=""/>
  </r>
  <r>
    <s v="Okt"/>
    <x v="12"/>
    <x v="5"/>
    <n v="11870000"/>
    <s v=""/>
    <n v="11870000"/>
    <s v=""/>
  </r>
  <r>
    <s v="Nov"/>
    <x v="12"/>
    <x v="5"/>
    <n v="17925000"/>
    <s v=""/>
    <n v="16425000"/>
    <s v=""/>
  </r>
  <r>
    <s v="Des"/>
    <x v="12"/>
    <x v="5"/>
    <n v="14870000"/>
    <s v=""/>
    <n v="16370000"/>
    <s v=""/>
  </r>
  <r>
    <s v="Jan"/>
    <x v="12"/>
    <x v="6"/>
    <n v="0"/>
    <n v="0"/>
    <n v="0"/>
    <n v="0"/>
  </r>
  <r>
    <s v="Feb"/>
    <x v="12"/>
    <x v="6"/>
    <n v="0"/>
    <n v="0"/>
    <n v="0"/>
    <n v="0"/>
  </r>
  <r>
    <s v="Mar"/>
    <x v="12"/>
    <x v="6"/>
    <n v="0"/>
    <n v="0"/>
    <n v="0"/>
    <n v="0"/>
  </r>
  <r>
    <s v="Apr"/>
    <x v="12"/>
    <x v="6"/>
    <n v="0"/>
    <s v=""/>
    <n v="0"/>
    <s v=""/>
  </r>
  <r>
    <s v="Mei"/>
    <x v="12"/>
    <x v="6"/>
    <n v="0"/>
    <s v=""/>
    <n v="0"/>
    <s v=""/>
  </r>
  <r>
    <s v="Jun"/>
    <x v="12"/>
    <x v="6"/>
    <n v="0"/>
    <s v=""/>
    <n v="0"/>
    <s v=""/>
  </r>
  <r>
    <s v="Jul"/>
    <x v="12"/>
    <x v="6"/>
    <n v="0"/>
    <s v=""/>
    <n v="0"/>
    <s v=""/>
  </r>
  <r>
    <s v="Agt"/>
    <x v="12"/>
    <x v="6"/>
    <n v="0"/>
    <s v=""/>
    <n v="0"/>
    <s v=""/>
  </r>
  <r>
    <s v="Sep"/>
    <x v="12"/>
    <x v="6"/>
    <n v="0"/>
    <s v=""/>
    <n v="0"/>
    <s v=""/>
  </r>
  <r>
    <s v="Okt"/>
    <x v="12"/>
    <x v="6"/>
    <n v="0"/>
    <s v=""/>
    <n v="0"/>
    <s v=""/>
  </r>
  <r>
    <s v="Nov"/>
    <x v="12"/>
    <x v="6"/>
    <n v="0"/>
    <s v=""/>
    <n v="0"/>
    <s v=""/>
  </r>
  <r>
    <s v="Des"/>
    <x v="12"/>
    <x v="6"/>
    <n v="0"/>
    <s v=""/>
    <n v="0"/>
    <s v=""/>
  </r>
  <r>
    <s v="Jan"/>
    <x v="13"/>
    <x v="0"/>
    <n v="0"/>
    <n v="0"/>
    <n v="0"/>
    <n v="0"/>
  </r>
  <r>
    <s v="Feb"/>
    <x v="13"/>
    <x v="0"/>
    <n v="0"/>
    <n v="0"/>
    <n v="0"/>
    <n v="0"/>
  </r>
  <r>
    <s v="Mar"/>
    <x v="13"/>
    <x v="0"/>
    <n v="0"/>
    <n v="7759691599"/>
    <n v="0"/>
    <n v="0"/>
  </r>
  <r>
    <s v="Apr"/>
    <x v="13"/>
    <x v="0"/>
    <n v="0"/>
    <s v=""/>
    <n v="0"/>
    <s v=""/>
  </r>
  <r>
    <s v="Mei"/>
    <x v="13"/>
    <x v="0"/>
    <n v="0"/>
    <s v=""/>
    <n v="0"/>
    <s v=""/>
  </r>
  <r>
    <s v="Jun"/>
    <x v="13"/>
    <x v="0"/>
    <n v="0"/>
    <s v=""/>
    <n v="0"/>
    <s v=""/>
  </r>
  <r>
    <s v="Jul"/>
    <x v="13"/>
    <x v="0"/>
    <n v="0"/>
    <s v=""/>
    <n v="0"/>
    <s v=""/>
  </r>
  <r>
    <s v="Agt"/>
    <x v="13"/>
    <x v="0"/>
    <n v="0"/>
    <s v=""/>
    <n v="0"/>
    <s v=""/>
  </r>
  <r>
    <s v="Sep"/>
    <x v="13"/>
    <x v="0"/>
    <n v="0"/>
    <s v=""/>
    <n v="0"/>
    <s v=""/>
  </r>
  <r>
    <s v="Okt"/>
    <x v="13"/>
    <x v="0"/>
    <n v="0"/>
    <s v=""/>
    <n v="0"/>
    <s v=""/>
  </r>
  <r>
    <s v="Nov"/>
    <x v="13"/>
    <x v="0"/>
    <n v="0"/>
    <s v=""/>
    <n v="0"/>
    <s v=""/>
  </r>
  <r>
    <s v="Des"/>
    <x v="13"/>
    <x v="0"/>
    <n v="0"/>
    <s v=""/>
    <n v="0"/>
    <s v=""/>
  </r>
  <r>
    <s v="Jan"/>
    <x v="13"/>
    <x v="1"/>
    <n v="781668000"/>
    <n v="4033286500"/>
    <n v="0"/>
    <n v="0"/>
  </r>
  <r>
    <s v="Feb"/>
    <x v="13"/>
    <x v="1"/>
    <n v="660000000"/>
    <n v="4210736952"/>
    <n v="80000000"/>
    <n v="96556000"/>
  </r>
  <r>
    <s v="Mar"/>
    <x v="13"/>
    <x v="1"/>
    <n v="997950000"/>
    <n v="-2392957906"/>
    <n v="90000000"/>
    <n v="347918748"/>
  </r>
  <r>
    <s v="Apr"/>
    <x v="13"/>
    <x v="1"/>
    <n v="12352032000"/>
    <s v=""/>
    <n v="300000000"/>
    <s v=""/>
  </r>
  <r>
    <s v="Mei"/>
    <x v="13"/>
    <x v="1"/>
    <n v="2505262000"/>
    <s v=""/>
    <n v="288400000"/>
    <s v=""/>
  </r>
  <r>
    <s v="Jun"/>
    <x v="13"/>
    <x v="1"/>
    <n v="2623666000"/>
    <s v=""/>
    <n v="1190651000"/>
    <s v=""/>
  </r>
  <r>
    <s v="Jul"/>
    <x v="13"/>
    <x v="1"/>
    <n v="1447500000"/>
    <s v=""/>
    <n v="680000000"/>
    <s v=""/>
  </r>
  <r>
    <s v="Agt"/>
    <x v="13"/>
    <x v="1"/>
    <n v="1655000000"/>
    <s v=""/>
    <n v="3524356000"/>
    <s v=""/>
  </r>
  <r>
    <s v="Sep"/>
    <x v="13"/>
    <x v="1"/>
    <n v="2324500000"/>
    <s v=""/>
    <n v="3769450000"/>
    <s v=""/>
  </r>
  <r>
    <s v="Okt"/>
    <x v="13"/>
    <x v="1"/>
    <n v="2065000000"/>
    <s v=""/>
    <n v="9580221000"/>
    <s v=""/>
  </r>
  <r>
    <s v="Nov"/>
    <x v="13"/>
    <x v="1"/>
    <n v="349900000"/>
    <s v=""/>
    <n v="2624900000"/>
    <s v=""/>
  </r>
  <r>
    <s v="Des"/>
    <x v="13"/>
    <x v="1"/>
    <n v="230000000"/>
    <s v=""/>
    <n v="5864500000"/>
    <s v=""/>
  </r>
  <r>
    <s v="Jan"/>
    <x v="13"/>
    <x v="2"/>
    <n v="0"/>
    <n v="82800000"/>
    <n v="0"/>
    <n v="0"/>
  </r>
  <r>
    <s v="Feb"/>
    <x v="13"/>
    <x v="2"/>
    <n v="254037000"/>
    <n v="45540000"/>
    <n v="0"/>
    <n v="82800000"/>
  </r>
  <r>
    <s v="Mar"/>
    <x v="13"/>
    <x v="2"/>
    <n v="0"/>
    <n v="34825000"/>
    <n v="254037000"/>
    <n v="45540000"/>
  </r>
  <r>
    <s v="Apr"/>
    <x v="13"/>
    <x v="2"/>
    <n v="0"/>
    <s v=""/>
    <n v="0"/>
    <s v=""/>
  </r>
  <r>
    <s v="Mei"/>
    <x v="13"/>
    <x v="2"/>
    <n v="254037000"/>
    <s v=""/>
    <n v="0"/>
    <s v=""/>
  </r>
  <r>
    <s v="Jun"/>
    <x v="13"/>
    <x v="2"/>
    <n v="0"/>
    <s v=""/>
    <n v="254037000"/>
    <s v=""/>
  </r>
  <r>
    <s v="Jul"/>
    <x v="13"/>
    <x v="2"/>
    <n v="0"/>
    <s v=""/>
    <n v="0"/>
    <s v=""/>
  </r>
  <r>
    <s v="Agt"/>
    <x v="13"/>
    <x v="2"/>
    <n v="254037000"/>
    <s v=""/>
    <n v="0"/>
    <s v=""/>
  </r>
  <r>
    <s v="Sep"/>
    <x v="13"/>
    <x v="2"/>
    <n v="0"/>
    <s v=""/>
    <n v="254037000"/>
    <s v=""/>
  </r>
  <r>
    <s v="Okt"/>
    <x v="13"/>
    <x v="2"/>
    <n v="0"/>
    <s v=""/>
    <n v="0"/>
    <s v=""/>
  </r>
  <r>
    <s v="Nov"/>
    <x v="13"/>
    <x v="2"/>
    <n v="254039000"/>
    <s v=""/>
    <n v="0"/>
    <s v=""/>
  </r>
  <r>
    <s v="Des"/>
    <x v="13"/>
    <x v="2"/>
    <n v="0"/>
    <s v=""/>
    <n v="254039000"/>
    <s v=""/>
  </r>
  <r>
    <s v="Jan"/>
    <x v="13"/>
    <x v="3"/>
    <n v="0"/>
    <n v="0"/>
    <n v="0"/>
    <n v="0"/>
  </r>
  <r>
    <s v="Feb"/>
    <x v="13"/>
    <x v="3"/>
    <n v="0"/>
    <n v="12720000"/>
    <n v="0"/>
    <n v="0"/>
  </r>
  <r>
    <s v="Mar"/>
    <x v="13"/>
    <x v="3"/>
    <n v="0"/>
    <n v="0"/>
    <n v="0"/>
    <n v="12720000"/>
  </r>
  <r>
    <s v="Apr"/>
    <x v="13"/>
    <x v="3"/>
    <n v="0"/>
    <s v=""/>
    <n v="0"/>
    <s v=""/>
  </r>
  <r>
    <s v="Mei"/>
    <x v="13"/>
    <x v="3"/>
    <n v="0"/>
    <s v=""/>
    <n v="0"/>
    <s v=""/>
  </r>
  <r>
    <s v="Jun"/>
    <x v="13"/>
    <x v="3"/>
    <n v="0"/>
    <s v=""/>
    <n v="0"/>
    <s v=""/>
  </r>
  <r>
    <s v="Jul"/>
    <x v="13"/>
    <x v="3"/>
    <n v="50000000"/>
    <s v=""/>
    <n v="0"/>
    <s v=""/>
  </r>
  <r>
    <s v="Agt"/>
    <x v="13"/>
    <x v="3"/>
    <n v="0"/>
    <s v=""/>
    <n v="50000000"/>
    <s v=""/>
  </r>
  <r>
    <s v="Sep"/>
    <x v="13"/>
    <x v="3"/>
    <n v="50000000"/>
    <s v=""/>
    <n v="0"/>
    <s v=""/>
  </r>
  <r>
    <s v="Okt"/>
    <x v="13"/>
    <x v="3"/>
    <n v="0"/>
    <s v=""/>
    <n v="50000000"/>
    <s v=""/>
  </r>
  <r>
    <s v="Nov"/>
    <x v="13"/>
    <x v="3"/>
    <n v="0"/>
    <s v=""/>
    <n v="0"/>
    <s v=""/>
  </r>
  <r>
    <s v="Des"/>
    <x v="13"/>
    <x v="3"/>
    <n v="0"/>
    <s v=""/>
    <n v="0"/>
    <s v=""/>
  </r>
  <r>
    <s v="Jan"/>
    <x v="13"/>
    <x v="4"/>
    <n v="0"/>
    <n v="0"/>
    <n v="0"/>
    <n v="0"/>
  </r>
  <r>
    <s v="Feb"/>
    <x v="13"/>
    <x v="4"/>
    <n v="0"/>
    <n v="0"/>
    <n v="0"/>
    <n v="0"/>
  </r>
  <r>
    <s v="Mar"/>
    <x v="13"/>
    <x v="4"/>
    <n v="0"/>
    <n v="0"/>
    <n v="0"/>
    <n v="0"/>
  </r>
  <r>
    <s v="Apr"/>
    <x v="13"/>
    <x v="4"/>
    <n v="0"/>
    <s v=""/>
    <n v="0"/>
    <s v=""/>
  </r>
  <r>
    <s v="Mei"/>
    <x v="13"/>
    <x v="4"/>
    <n v="0"/>
    <s v=""/>
    <n v="0"/>
    <s v=""/>
  </r>
  <r>
    <s v="Jun"/>
    <x v="13"/>
    <x v="4"/>
    <n v="0"/>
    <s v=""/>
    <n v="0"/>
    <s v=""/>
  </r>
  <r>
    <s v="Jul"/>
    <x v="13"/>
    <x v="4"/>
    <n v="0"/>
    <s v=""/>
    <n v="0"/>
    <s v=""/>
  </r>
  <r>
    <s v="Agt"/>
    <x v="13"/>
    <x v="4"/>
    <n v="0"/>
    <s v=""/>
    <n v="0"/>
    <s v=""/>
  </r>
  <r>
    <s v="Sep"/>
    <x v="13"/>
    <x v="4"/>
    <n v="0"/>
    <s v=""/>
    <n v="0"/>
    <s v=""/>
  </r>
  <r>
    <s v="Okt"/>
    <x v="13"/>
    <x v="4"/>
    <n v="0"/>
    <s v=""/>
    <n v="0"/>
    <s v=""/>
  </r>
  <r>
    <s v="Nov"/>
    <x v="13"/>
    <x v="4"/>
    <n v="0"/>
    <s v=""/>
    <n v="0"/>
    <s v=""/>
  </r>
  <r>
    <s v="Des"/>
    <x v="13"/>
    <x v="4"/>
    <n v="0"/>
    <s v=""/>
    <n v="0"/>
    <s v=""/>
  </r>
  <r>
    <s v="Jan"/>
    <x v="13"/>
    <x v="5"/>
    <n v="183078000"/>
    <n v="142025182"/>
    <n v="178078000"/>
    <n v="20219062"/>
  </r>
  <r>
    <s v="Feb"/>
    <x v="13"/>
    <x v="5"/>
    <n v="278078000"/>
    <n v="130923900"/>
    <n v="183078000"/>
    <n v="163539770"/>
  </r>
  <r>
    <s v="Mar"/>
    <x v="13"/>
    <x v="5"/>
    <n v="232846000"/>
    <n v="257143834"/>
    <n v="286078000"/>
    <n v="126378095"/>
  </r>
  <r>
    <s v="Apr"/>
    <x v="13"/>
    <x v="5"/>
    <n v="282233000"/>
    <s v=""/>
    <n v="224846000"/>
    <s v=""/>
  </r>
  <r>
    <s v="Mei"/>
    <x v="13"/>
    <x v="5"/>
    <n v="200078000"/>
    <s v=""/>
    <n v="282233000"/>
    <s v=""/>
  </r>
  <r>
    <s v="Jun"/>
    <x v="13"/>
    <x v="5"/>
    <n v="318078000"/>
    <s v=""/>
    <n v="240078000"/>
    <s v=""/>
  </r>
  <r>
    <s v="Jul"/>
    <x v="13"/>
    <x v="5"/>
    <n v="228078000"/>
    <s v=""/>
    <n v="278078000"/>
    <s v=""/>
  </r>
  <r>
    <s v="Agt"/>
    <x v="13"/>
    <x v="5"/>
    <n v="896057000"/>
    <s v=""/>
    <n v="228078000"/>
    <s v=""/>
  </r>
  <r>
    <s v="Sep"/>
    <x v="13"/>
    <x v="5"/>
    <n v="190078000"/>
    <s v=""/>
    <n v="245078000"/>
    <s v=""/>
  </r>
  <r>
    <s v="Okt"/>
    <x v="13"/>
    <x v="5"/>
    <n v="329274000"/>
    <s v=""/>
    <n v="202533000"/>
    <s v=""/>
  </r>
  <r>
    <s v="Nov"/>
    <x v="13"/>
    <x v="5"/>
    <n v="178088000"/>
    <s v=""/>
    <n v="309829000"/>
    <s v=""/>
  </r>
  <r>
    <s v="Des"/>
    <x v="13"/>
    <x v="5"/>
    <n v="178084000"/>
    <s v=""/>
    <n v="836063000"/>
    <s v=""/>
  </r>
  <r>
    <s v="Jan"/>
    <x v="13"/>
    <x v="6"/>
    <n v="213333000"/>
    <n v="268881303"/>
    <n v="213333000"/>
    <n v="268553262"/>
  </r>
  <r>
    <s v="Feb"/>
    <x v="13"/>
    <x v="6"/>
    <n v="213333000"/>
    <n v="186153806"/>
    <n v="213333000"/>
    <n v="178077441"/>
  </r>
  <r>
    <s v="Mar"/>
    <x v="13"/>
    <x v="6"/>
    <n v="213333000"/>
    <n v="174396994"/>
    <n v="213333000"/>
    <n v="161417367"/>
  </r>
  <r>
    <s v="Apr"/>
    <x v="13"/>
    <x v="6"/>
    <n v="213333000"/>
    <s v=""/>
    <n v="213333000"/>
    <s v=""/>
  </r>
  <r>
    <s v="Mei"/>
    <x v="13"/>
    <x v="6"/>
    <n v="213333000"/>
    <s v=""/>
    <n v="213333000"/>
    <s v=""/>
  </r>
  <r>
    <s v="Jun"/>
    <x v="13"/>
    <x v="6"/>
    <n v="213333000"/>
    <s v=""/>
    <n v="213333000"/>
    <s v=""/>
  </r>
  <r>
    <s v="Jul"/>
    <x v="13"/>
    <x v="6"/>
    <n v="213333000"/>
    <s v=""/>
    <n v="213333000"/>
    <s v=""/>
  </r>
  <r>
    <s v="Agt"/>
    <x v="13"/>
    <x v="6"/>
    <n v="213333000"/>
    <s v=""/>
    <n v="213333000"/>
    <s v=""/>
  </r>
  <r>
    <s v="Sep"/>
    <x v="13"/>
    <x v="6"/>
    <n v="213333000"/>
    <s v=""/>
    <n v="213333000"/>
    <s v=""/>
  </r>
  <r>
    <s v="Okt"/>
    <x v="13"/>
    <x v="6"/>
    <n v="213333000"/>
    <s v=""/>
    <n v="213333000"/>
    <s v=""/>
  </r>
  <r>
    <s v="Nov"/>
    <x v="13"/>
    <x v="6"/>
    <n v="213333000"/>
    <s v=""/>
    <n v="213333000"/>
    <s v=""/>
  </r>
  <r>
    <s v="Des"/>
    <x v="13"/>
    <x v="6"/>
    <n v="213337000"/>
    <s v=""/>
    <n v="213337000"/>
    <s v=""/>
  </r>
  <r>
    <s v="Jan"/>
    <x v="14"/>
    <x v="0"/>
    <n v="100000000"/>
    <n v="9143456586"/>
    <n v="0"/>
    <n v="0"/>
  </r>
  <r>
    <s v="Feb"/>
    <x v="14"/>
    <x v="0"/>
    <n v="720600000"/>
    <n v="477983925"/>
    <n v="100000000"/>
    <n v="166766116"/>
  </r>
  <r>
    <s v="Mar"/>
    <x v="14"/>
    <x v="0"/>
    <n v="12889972000"/>
    <n v="13536388216"/>
    <n v="100000000"/>
    <n v="603050931"/>
  </r>
  <r>
    <s v="Apr"/>
    <x v="14"/>
    <x v="0"/>
    <n v="2342762000"/>
    <s v=""/>
    <n v="400000000"/>
    <s v=""/>
  </r>
  <r>
    <s v="Mei"/>
    <x v="14"/>
    <x v="0"/>
    <n v="4570752000"/>
    <s v=""/>
    <n v="1255838000"/>
    <s v=""/>
  </r>
  <r>
    <s v="Jun"/>
    <x v="14"/>
    <x v="0"/>
    <n v="3338000000"/>
    <s v=""/>
    <n v="2086687000"/>
    <s v=""/>
  </r>
  <r>
    <s v="Jul"/>
    <x v="14"/>
    <x v="0"/>
    <n v="3740485000"/>
    <s v=""/>
    <n v="1503128000"/>
    <s v=""/>
  </r>
  <r>
    <s v="Agt"/>
    <x v="14"/>
    <x v="0"/>
    <n v="957197000"/>
    <s v=""/>
    <n v="463000000"/>
    <s v=""/>
  </r>
  <r>
    <s v="Sep"/>
    <x v="14"/>
    <x v="0"/>
    <n v="700784000"/>
    <s v=""/>
    <n v="5434938000"/>
    <s v=""/>
  </r>
  <r>
    <s v="Okt"/>
    <x v="14"/>
    <x v="0"/>
    <n v="600000000"/>
    <s v=""/>
    <n v="6916826000"/>
    <s v=""/>
  </r>
  <r>
    <s v="Nov"/>
    <x v="14"/>
    <x v="0"/>
    <n v="264698000"/>
    <s v=""/>
    <n v="8663150000"/>
    <s v=""/>
  </r>
  <r>
    <s v="Des"/>
    <x v="14"/>
    <x v="0"/>
    <n v="100000000"/>
    <s v=""/>
    <n v="3401683000"/>
    <s v=""/>
  </r>
  <r>
    <s v="Jan"/>
    <x v="14"/>
    <x v="1"/>
    <n v="0"/>
    <n v="0"/>
    <n v="0"/>
    <n v="0"/>
  </r>
  <r>
    <s v="Feb"/>
    <x v="14"/>
    <x v="1"/>
    <n v="0"/>
    <n v="0"/>
    <n v="0"/>
    <n v="0"/>
  </r>
  <r>
    <s v="Mar"/>
    <x v="14"/>
    <x v="1"/>
    <n v="0"/>
    <n v="4951687"/>
    <n v="0"/>
    <n v="0"/>
  </r>
  <r>
    <s v="Apr"/>
    <x v="14"/>
    <x v="1"/>
    <n v="0"/>
    <s v=""/>
    <n v="0"/>
    <s v=""/>
  </r>
  <r>
    <s v="Mei"/>
    <x v="14"/>
    <x v="1"/>
    <n v="0"/>
    <s v=""/>
    <n v="0"/>
    <s v=""/>
  </r>
  <r>
    <s v="Jun"/>
    <x v="14"/>
    <x v="1"/>
    <n v="0"/>
    <s v=""/>
    <n v="0"/>
    <s v=""/>
  </r>
  <r>
    <s v="Jul"/>
    <x v="14"/>
    <x v="1"/>
    <n v="0"/>
    <s v=""/>
    <n v="0"/>
    <s v=""/>
  </r>
  <r>
    <s v="Agt"/>
    <x v="14"/>
    <x v="1"/>
    <n v="150000000"/>
    <s v=""/>
    <n v="0"/>
    <s v=""/>
  </r>
  <r>
    <s v="Sep"/>
    <x v="14"/>
    <x v="1"/>
    <n v="0"/>
    <s v=""/>
    <n v="0"/>
    <s v=""/>
  </r>
  <r>
    <s v="Okt"/>
    <x v="14"/>
    <x v="1"/>
    <n v="0"/>
    <s v=""/>
    <n v="150000000"/>
    <s v=""/>
  </r>
  <r>
    <s v="Nov"/>
    <x v="14"/>
    <x v="1"/>
    <n v="150000000"/>
    <s v=""/>
    <n v="0"/>
    <s v=""/>
  </r>
  <r>
    <s v="Des"/>
    <x v="14"/>
    <x v="1"/>
    <n v="0"/>
    <s v=""/>
    <n v="150000000"/>
    <s v=""/>
  </r>
  <r>
    <s v="Jan"/>
    <x v="14"/>
    <x v="2"/>
    <n v="0"/>
    <n v="32200000"/>
    <n v="0"/>
    <n v="0"/>
  </r>
  <r>
    <s v="Feb"/>
    <x v="14"/>
    <x v="2"/>
    <n v="0"/>
    <n v="0"/>
    <n v="0"/>
    <n v="32200000"/>
  </r>
  <r>
    <s v="Mar"/>
    <x v="14"/>
    <x v="2"/>
    <n v="28597000"/>
    <n v="39385000"/>
    <n v="23831000"/>
    <n v="0"/>
  </r>
  <r>
    <s v="Apr"/>
    <x v="14"/>
    <x v="2"/>
    <n v="28597000"/>
    <s v=""/>
    <n v="23831000"/>
    <s v=""/>
  </r>
  <r>
    <s v="Mei"/>
    <x v="14"/>
    <x v="2"/>
    <n v="28597000"/>
    <s v=""/>
    <n v="23831000"/>
    <s v=""/>
  </r>
  <r>
    <s v="Jun"/>
    <x v="14"/>
    <x v="2"/>
    <n v="28597000"/>
    <s v=""/>
    <n v="23831000"/>
    <s v=""/>
  </r>
  <r>
    <s v="Jul"/>
    <x v="14"/>
    <x v="2"/>
    <n v="28597000"/>
    <s v=""/>
    <n v="47662000"/>
    <s v=""/>
  </r>
  <r>
    <s v="Agt"/>
    <x v="14"/>
    <x v="2"/>
    <n v="28597000"/>
    <s v=""/>
    <n v="23831000"/>
    <s v=""/>
  </r>
  <r>
    <s v="Sep"/>
    <x v="14"/>
    <x v="2"/>
    <n v="28597000"/>
    <s v=""/>
    <n v="23831000"/>
    <s v=""/>
  </r>
  <r>
    <s v="Okt"/>
    <x v="14"/>
    <x v="2"/>
    <n v="28597000"/>
    <s v=""/>
    <n v="23831000"/>
    <s v=""/>
  </r>
  <r>
    <s v="Nov"/>
    <x v="14"/>
    <x v="2"/>
    <n v="28597000"/>
    <s v=""/>
    <n v="23831000"/>
    <s v=""/>
  </r>
  <r>
    <s v="Des"/>
    <x v="14"/>
    <x v="2"/>
    <n v="28599000"/>
    <s v=""/>
    <n v="47662000"/>
    <s v=""/>
  </r>
  <r>
    <s v="Jan"/>
    <x v="14"/>
    <x v="3"/>
    <n v="0"/>
    <n v="18435000"/>
    <n v="0"/>
    <n v="0"/>
  </r>
  <r>
    <s v="Feb"/>
    <x v="14"/>
    <x v="3"/>
    <n v="0"/>
    <n v="64735000"/>
    <n v="0"/>
    <n v="18435000"/>
  </r>
  <r>
    <s v="Mar"/>
    <x v="14"/>
    <x v="3"/>
    <n v="0"/>
    <n v="100000000"/>
    <n v="0"/>
    <n v="64735000"/>
  </r>
  <r>
    <s v="Apr"/>
    <x v="14"/>
    <x v="3"/>
    <n v="0"/>
    <s v=""/>
    <n v="0"/>
    <s v=""/>
  </r>
  <r>
    <s v="Mei"/>
    <x v="14"/>
    <x v="3"/>
    <n v="130000000"/>
    <s v=""/>
    <n v="0"/>
    <s v=""/>
  </r>
  <r>
    <s v="Jun"/>
    <x v="14"/>
    <x v="3"/>
    <n v="0"/>
    <s v=""/>
    <n v="0"/>
    <s v=""/>
  </r>
  <r>
    <s v="Jul"/>
    <x v="14"/>
    <x v="3"/>
    <n v="0"/>
    <s v=""/>
    <n v="0"/>
    <s v=""/>
  </r>
  <r>
    <s v="Agt"/>
    <x v="14"/>
    <x v="3"/>
    <n v="350000000"/>
    <s v=""/>
    <n v="130000000"/>
    <s v=""/>
  </r>
  <r>
    <s v="Sep"/>
    <x v="14"/>
    <x v="3"/>
    <n v="0"/>
    <s v=""/>
    <n v="0"/>
    <s v=""/>
  </r>
  <r>
    <s v="Okt"/>
    <x v="14"/>
    <x v="3"/>
    <n v="0"/>
    <s v=""/>
    <n v="350000000"/>
    <s v=""/>
  </r>
  <r>
    <s v="Nov"/>
    <x v="14"/>
    <x v="3"/>
    <n v="165000000"/>
    <s v=""/>
    <n v="0"/>
    <s v=""/>
  </r>
  <r>
    <s v="Des"/>
    <x v="14"/>
    <x v="3"/>
    <n v="0"/>
    <s v=""/>
    <n v="165000000"/>
    <s v=""/>
  </r>
  <r>
    <s v="Jan"/>
    <x v="14"/>
    <x v="4"/>
    <n v="0"/>
    <n v="0"/>
    <n v="0"/>
    <n v="0"/>
  </r>
  <r>
    <s v="Feb"/>
    <x v="14"/>
    <x v="4"/>
    <n v="0"/>
    <n v="0"/>
    <n v="0"/>
    <n v="0"/>
  </r>
  <r>
    <s v="Mar"/>
    <x v="14"/>
    <x v="4"/>
    <n v="0"/>
    <n v="0"/>
    <n v="0"/>
    <n v="0"/>
  </r>
  <r>
    <s v="Apr"/>
    <x v="14"/>
    <x v="4"/>
    <n v="0"/>
    <s v=""/>
    <n v="0"/>
    <s v=""/>
  </r>
  <r>
    <s v="Mei"/>
    <x v="14"/>
    <x v="4"/>
    <n v="0"/>
    <s v=""/>
    <n v="0"/>
    <s v=""/>
  </r>
  <r>
    <s v="Jun"/>
    <x v="14"/>
    <x v="4"/>
    <n v="0"/>
    <s v=""/>
    <n v="0"/>
    <s v=""/>
  </r>
  <r>
    <s v="Jul"/>
    <x v="14"/>
    <x v="4"/>
    <n v="0"/>
    <s v=""/>
    <n v="0"/>
    <s v=""/>
  </r>
  <r>
    <s v="Agt"/>
    <x v="14"/>
    <x v="4"/>
    <n v="0"/>
    <s v=""/>
    <n v="0"/>
    <s v=""/>
  </r>
  <r>
    <s v="Sep"/>
    <x v="14"/>
    <x v="4"/>
    <n v="0"/>
    <s v=""/>
    <n v="0"/>
    <s v=""/>
  </r>
  <r>
    <s v="Okt"/>
    <x v="14"/>
    <x v="4"/>
    <n v="0"/>
    <s v=""/>
    <n v="0"/>
    <s v=""/>
  </r>
  <r>
    <s v="Nov"/>
    <x v="14"/>
    <x v="4"/>
    <n v="0"/>
    <s v=""/>
    <n v="0"/>
    <s v=""/>
  </r>
  <r>
    <s v="Des"/>
    <x v="14"/>
    <x v="4"/>
    <n v="0"/>
    <s v=""/>
    <n v="0"/>
    <s v=""/>
  </r>
  <r>
    <s v="Jan"/>
    <x v="14"/>
    <x v="5"/>
    <n v="48354000"/>
    <n v="78887534"/>
    <n v="0"/>
    <n v="17317500"/>
  </r>
  <r>
    <s v="Feb"/>
    <x v="14"/>
    <x v="5"/>
    <n v="98291000"/>
    <n v="37118745"/>
    <n v="49253000"/>
    <n v="97688779"/>
  </r>
  <r>
    <s v="Mar"/>
    <x v="14"/>
    <x v="5"/>
    <n v="145006000"/>
    <n v="118207390"/>
    <n v="117649000"/>
    <n v="43060000"/>
  </r>
  <r>
    <s v="Apr"/>
    <x v="14"/>
    <x v="5"/>
    <n v="118885000"/>
    <s v=""/>
    <n v="157715000"/>
    <s v=""/>
  </r>
  <r>
    <s v="Mei"/>
    <x v="14"/>
    <x v="5"/>
    <n v="119285000"/>
    <s v=""/>
    <n v="110812000"/>
    <s v=""/>
  </r>
  <r>
    <s v="Jun"/>
    <x v="14"/>
    <x v="5"/>
    <n v="76431000"/>
    <s v=""/>
    <n v="147281000"/>
    <s v=""/>
  </r>
  <r>
    <s v="Jul"/>
    <x v="14"/>
    <x v="5"/>
    <n v="70435000"/>
    <s v=""/>
    <n v="92765000"/>
    <s v=""/>
  </r>
  <r>
    <s v="Agt"/>
    <x v="14"/>
    <x v="5"/>
    <n v="153559000"/>
    <s v=""/>
    <n v="80150000"/>
    <s v=""/>
  </r>
  <r>
    <s v="Sep"/>
    <x v="14"/>
    <x v="5"/>
    <n v="515308000"/>
    <s v=""/>
    <n v="122196000"/>
    <s v=""/>
  </r>
  <r>
    <s v="Okt"/>
    <x v="14"/>
    <x v="5"/>
    <n v="213688000"/>
    <s v=""/>
    <n v="470142000"/>
    <s v=""/>
  </r>
  <r>
    <s v="Nov"/>
    <x v="14"/>
    <x v="5"/>
    <n v="518156000"/>
    <s v=""/>
    <n v="179167000"/>
    <s v=""/>
  </r>
  <r>
    <s v="Des"/>
    <x v="14"/>
    <x v="5"/>
    <n v="323825000"/>
    <s v=""/>
    <n v="874093000"/>
    <s v=""/>
  </r>
  <r>
    <s v="Jan"/>
    <x v="14"/>
    <x v="6"/>
    <n v="128276000"/>
    <n v="122102415"/>
    <n v="0"/>
    <n v="116102415"/>
  </r>
  <r>
    <s v="Feb"/>
    <x v="14"/>
    <x v="6"/>
    <n v="128276000"/>
    <n v="108945350"/>
    <n v="128276000"/>
    <n v="114601656"/>
  </r>
  <r>
    <s v="Mar"/>
    <x v="14"/>
    <x v="6"/>
    <n v="128276000"/>
    <n v="106702765"/>
    <n v="128276000"/>
    <n v="100396805"/>
  </r>
  <r>
    <s v="Apr"/>
    <x v="14"/>
    <x v="6"/>
    <n v="128276000"/>
    <s v=""/>
    <n v="128276000"/>
    <s v=""/>
  </r>
  <r>
    <s v="Mei"/>
    <x v="14"/>
    <x v="6"/>
    <n v="128276000"/>
    <s v=""/>
    <n v="128276000"/>
    <s v=""/>
  </r>
  <r>
    <s v="Jun"/>
    <x v="14"/>
    <x v="6"/>
    <n v="128276000"/>
    <s v=""/>
    <n v="128276000"/>
    <s v=""/>
  </r>
  <r>
    <s v="Jul"/>
    <x v="14"/>
    <x v="6"/>
    <n v="128276000"/>
    <s v=""/>
    <n v="128276000"/>
    <s v=""/>
  </r>
  <r>
    <s v="Agt"/>
    <x v="14"/>
    <x v="6"/>
    <n v="128276000"/>
    <s v=""/>
    <n v="128276000"/>
    <s v=""/>
  </r>
  <r>
    <s v="Sep"/>
    <x v="14"/>
    <x v="6"/>
    <n v="128276000"/>
    <s v=""/>
    <n v="128276000"/>
    <s v=""/>
  </r>
  <r>
    <s v="Okt"/>
    <x v="14"/>
    <x v="6"/>
    <n v="128276000"/>
    <s v=""/>
    <n v="128276000"/>
    <s v=""/>
  </r>
  <r>
    <s v="Nov"/>
    <x v="14"/>
    <x v="6"/>
    <n v="128276000"/>
    <s v=""/>
    <n v="128276000"/>
    <s v=""/>
  </r>
  <r>
    <s v="Des"/>
    <x v="14"/>
    <x v="6"/>
    <n v="128279000"/>
    <s v=""/>
    <n v="256555000"/>
    <s v=""/>
  </r>
  <r>
    <m/>
    <x v="15"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923E9-DF74-4016-8B5F-B50FD2D4B2C1}" name="PivotTable1" cacheId="17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>
  <location ref="B2:E123" firstHeaderRow="0" firstDataRow="1" firstDataCol="1"/>
  <pivotFields count="8">
    <pivotField showAll="0"/>
    <pivotField axis="axisRow" showAll="0">
      <items count="1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0"/>
        <item h="1" x="15"/>
        <item t="default"/>
      </items>
    </pivotField>
    <pivotField axis="axisRow" showAll="0">
      <items count="9">
        <item x="2"/>
        <item x="4"/>
        <item x="5"/>
        <item x="6"/>
        <item x="3"/>
        <item x="0"/>
        <item x="1"/>
        <item x="7"/>
        <item t="default"/>
      </items>
    </pivotField>
    <pivotField dataField="1" showAll="0"/>
    <pivotField showAll="0"/>
    <pivotField dataField="1" showAll="0"/>
    <pivotField showAll="0"/>
    <pivotField dataField="1" dragToRow="0" dragToCol="0" dragToPage="0" showAll="0" defaultSubtotal="0"/>
  </pivotFields>
  <rowFields count="2">
    <field x="1"/>
    <field x="2"/>
  </rowFields>
  <rowItems count="12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sumed" fld="3" baseField="0" baseItem="0"/>
    <dataField name="Actual" fld="5" baseField="0" baseItem="0"/>
    <dataField name="Sum of Selisih" fld="7" baseField="0" baseItem="0"/>
  </dataFields>
  <formats count="101">
    <format dxfId="39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8">
      <pivotArea outline="0" collapsedLevelsAreSubtotals="1" fieldPosition="0"/>
    </format>
    <format dxfId="3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95">
      <pivotArea field="1" type="button" dataOnly="0" labelOnly="1" outline="0" axis="axisRow" fieldPosition="0"/>
    </format>
    <format dxfId="394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393">
      <pivotArea field="1" type="button" dataOnly="0" labelOnly="1" outline="0" axis="axisRow" fieldPosition="0"/>
    </format>
    <format dxfId="392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39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9">
      <pivotArea collapsedLevelsAreSubtotals="1" fieldPosition="0">
        <references count="2">
          <reference field="1" count="1" selected="0">
            <x v="8"/>
          </reference>
          <reference field="2" count="2">
            <x v="2"/>
            <x v="3"/>
          </reference>
        </references>
      </pivotArea>
    </format>
    <format dxfId="388">
      <pivotArea dataOnly="0" labelOnly="1" fieldPosition="0">
        <references count="2">
          <reference field="1" count="1" selected="0">
            <x v="8"/>
          </reference>
          <reference field="2" count="2">
            <x v="2"/>
            <x v="3"/>
          </reference>
        </references>
      </pivotArea>
    </format>
    <format dxfId="387">
      <pivotArea collapsedLevelsAreSubtotals="1" fieldPosition="0">
        <references count="2">
          <reference field="1" count="1" selected="0">
            <x v="8"/>
          </reference>
          <reference field="2" count="1">
            <x v="2"/>
          </reference>
        </references>
      </pivotArea>
    </format>
    <format dxfId="386">
      <pivotArea dataOnly="0" labelOnly="1" fieldPosition="0">
        <references count="2">
          <reference field="1" count="1" selected="0">
            <x v="8"/>
          </reference>
          <reference field="2" count="1">
            <x v="2"/>
          </reference>
        </references>
      </pivotArea>
    </format>
    <format dxfId="385">
      <pivotArea collapsedLevelsAreSubtotals="1" fieldPosition="0">
        <references count="2">
          <reference field="1" count="1" selected="0">
            <x v="8"/>
          </reference>
          <reference field="2" count="1">
            <x v="3"/>
          </reference>
        </references>
      </pivotArea>
    </format>
    <format dxfId="384">
      <pivotArea dataOnly="0" labelOnly="1" fieldPosition="0">
        <references count="2">
          <reference field="1" count="1" selected="0">
            <x v="8"/>
          </reference>
          <reference field="2" count="1">
            <x v="3"/>
          </reference>
        </references>
      </pivotArea>
    </format>
    <format dxfId="38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>
            <x v="5"/>
          </reference>
        </references>
      </pivotArea>
    </format>
    <format dxfId="38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6">
            <x v="1"/>
            <x v="2"/>
            <x v="3"/>
            <x v="4"/>
            <x v="5"/>
            <x v="6"/>
          </reference>
        </references>
      </pivotArea>
    </format>
    <format dxfId="38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>
            <x v="5"/>
          </reference>
        </references>
      </pivotArea>
    </format>
    <format dxfId="380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>
            <x v="6"/>
          </reference>
        </references>
      </pivotArea>
    </format>
    <format dxfId="37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>
            <x v="2"/>
          </reference>
        </references>
      </pivotArea>
    </format>
    <format dxfId="37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>
            <x v="3"/>
          </reference>
        </references>
      </pivotArea>
    </format>
    <format dxfId="377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376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>
            <x v="4"/>
          </reference>
        </references>
      </pivotArea>
    </format>
    <format dxfId="37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>
            <x v="5"/>
          </reference>
        </references>
      </pivotArea>
    </format>
    <format dxfId="374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>
            <x v="6"/>
          </reference>
        </references>
      </pivotArea>
    </format>
    <format dxfId="37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37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>
            <x v="4"/>
          </reference>
        </references>
      </pivotArea>
    </format>
    <format dxfId="37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>
            <x v="5"/>
          </reference>
        </references>
      </pivotArea>
    </format>
    <format dxfId="370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>
            <x v="6"/>
          </reference>
        </references>
      </pivotArea>
    </format>
    <format dxfId="36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36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>
            <x v="4"/>
          </reference>
        </references>
      </pivotArea>
    </format>
    <format dxfId="367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>
            <x v="3"/>
          </reference>
        </references>
      </pivotArea>
    </format>
    <format dxfId="366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>
            <x v="0"/>
          </reference>
        </references>
      </pivotArea>
    </format>
    <format dxfId="36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>
            <x v="5"/>
          </reference>
        </references>
      </pivotArea>
    </format>
    <format dxfId="364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>
            <x v="6"/>
          </reference>
        </references>
      </pivotArea>
    </format>
    <format dxfId="36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>
            <x v="2"/>
          </reference>
        </references>
      </pivotArea>
    </format>
    <format dxfId="36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>
            <x v="4"/>
          </reference>
        </references>
      </pivotArea>
    </format>
    <format dxfId="36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360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>
            <x v="0"/>
          </reference>
        </references>
      </pivotArea>
    </format>
    <format dxfId="35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>
            <x v="5"/>
          </reference>
        </references>
      </pivotArea>
    </format>
    <format dxfId="35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>
            <x v="6"/>
          </reference>
        </references>
      </pivotArea>
    </format>
    <format dxfId="357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>
            <x v="2"/>
          </reference>
        </references>
      </pivotArea>
    </format>
    <format dxfId="356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>
            <x v="4"/>
          </reference>
        </references>
      </pivotArea>
    </format>
    <format dxfId="35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>
            <x v="3"/>
          </reference>
        </references>
      </pivotArea>
    </format>
    <format dxfId="354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>
            <x v="0"/>
          </reference>
        </references>
      </pivotArea>
    </format>
    <format dxfId="35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>
            <x v="5"/>
          </reference>
        </references>
      </pivotArea>
    </format>
    <format dxfId="35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>
            <x v="6"/>
          </reference>
        </references>
      </pivotArea>
    </format>
    <format dxfId="35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>
            <x v="2"/>
          </reference>
        </references>
      </pivotArea>
    </format>
    <format dxfId="350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>
            <x v="4"/>
          </reference>
        </references>
      </pivotArea>
    </format>
    <format dxfId="34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>
            <x v="3"/>
          </reference>
        </references>
      </pivotArea>
    </format>
    <format dxfId="34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>
            <x v="0"/>
          </reference>
        </references>
      </pivotArea>
    </format>
    <format dxfId="347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>
            <x v="5"/>
          </reference>
        </references>
      </pivotArea>
    </format>
    <format dxfId="346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>
            <x v="6"/>
          </reference>
        </references>
      </pivotArea>
    </format>
    <format dxfId="34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>
            <x v="2"/>
          </reference>
        </references>
      </pivotArea>
    </format>
    <format dxfId="344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>
            <x v="4"/>
          </reference>
        </references>
      </pivotArea>
    </format>
    <format dxfId="34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>
            <x v="3"/>
          </reference>
        </references>
      </pivotArea>
    </format>
    <format dxfId="34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>
            <x v="0"/>
          </reference>
        </references>
      </pivotArea>
    </format>
    <format dxfId="34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>
            <x v="5"/>
          </reference>
        </references>
      </pivotArea>
    </format>
    <format dxfId="340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>
            <x v="6"/>
          </reference>
        </references>
      </pivotArea>
    </format>
    <format dxfId="33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>
            <x v="2"/>
          </reference>
        </references>
      </pivotArea>
    </format>
    <format dxfId="33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>
            <x v="4"/>
          </reference>
        </references>
      </pivotArea>
    </format>
    <format dxfId="337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>
            <x v="3"/>
          </reference>
        </references>
      </pivotArea>
    </format>
    <format dxfId="336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>
            <x v="0"/>
          </reference>
        </references>
      </pivotArea>
    </format>
    <format dxfId="33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>
            <x v="5"/>
          </reference>
        </references>
      </pivotArea>
    </format>
    <format dxfId="334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>
            <x v="6"/>
          </reference>
        </references>
      </pivotArea>
    </format>
    <format dxfId="33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>
            <x v="2"/>
          </reference>
        </references>
      </pivotArea>
    </format>
    <format dxfId="33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>
            <x v="4"/>
          </reference>
        </references>
      </pivotArea>
    </format>
    <format dxfId="33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>
            <x v="3"/>
          </reference>
        </references>
      </pivotArea>
    </format>
    <format dxfId="330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>
            <x v="0"/>
          </reference>
        </references>
      </pivotArea>
    </format>
    <format dxfId="32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>
            <x v="5"/>
          </reference>
        </references>
      </pivotArea>
    </format>
    <format dxfId="32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>
            <x v="6"/>
          </reference>
        </references>
      </pivotArea>
    </format>
    <format dxfId="327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>
            <x v="2"/>
          </reference>
        </references>
      </pivotArea>
    </format>
    <format dxfId="326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>
            <x v="4"/>
          </reference>
        </references>
      </pivotArea>
    </format>
    <format dxfId="32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>
            <x v="3"/>
          </reference>
        </references>
      </pivotArea>
    </format>
    <format dxfId="324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>
            <x v="0"/>
          </reference>
        </references>
      </pivotArea>
    </format>
    <format dxfId="32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>
            <x v="5"/>
          </reference>
        </references>
      </pivotArea>
    </format>
    <format dxfId="32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>
            <x v="6"/>
          </reference>
        </references>
      </pivotArea>
    </format>
    <format dxfId="32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>
            <x v="2"/>
          </reference>
        </references>
      </pivotArea>
    </format>
    <format dxfId="320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>
            <x v="4"/>
          </reference>
        </references>
      </pivotArea>
    </format>
    <format dxfId="31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>
            <x v="3"/>
          </reference>
        </references>
      </pivotArea>
    </format>
    <format dxfId="31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>
            <x v="0"/>
          </reference>
        </references>
      </pivotArea>
    </format>
    <format dxfId="317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2" count="1">
            <x v="5"/>
          </reference>
        </references>
      </pivotArea>
    </format>
    <format dxfId="316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2" count="1">
            <x v="2"/>
          </reference>
        </references>
      </pivotArea>
    </format>
    <format dxfId="31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2" count="1">
            <x v="4"/>
          </reference>
        </references>
      </pivotArea>
    </format>
    <format dxfId="314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2" count="1">
            <x v="0"/>
          </reference>
        </references>
      </pivotArea>
    </format>
    <format dxfId="31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2" count="1">
            <x v="6"/>
          </reference>
        </references>
      </pivotArea>
    </format>
    <format dxfId="31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2" count="1">
            <x v="2"/>
          </reference>
        </references>
      </pivotArea>
    </format>
    <format dxfId="31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2" count="1">
            <x v="4"/>
          </reference>
        </references>
      </pivotArea>
    </format>
    <format dxfId="310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2" count="1">
            <x v="3"/>
          </reference>
        </references>
      </pivotArea>
    </format>
    <format dxfId="30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2" count="1">
            <x v="0"/>
          </reference>
        </references>
      </pivotArea>
    </format>
    <format dxfId="30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2" count="1">
            <x v="5"/>
          </reference>
        </references>
      </pivotArea>
    </format>
    <format dxfId="307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2" count="1">
            <x v="6"/>
          </reference>
        </references>
      </pivotArea>
    </format>
    <format dxfId="306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2" count="1">
            <x v="2"/>
          </reference>
        </references>
      </pivotArea>
    </format>
    <format dxfId="30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2" count="1">
            <x v="4"/>
          </reference>
        </references>
      </pivotArea>
    </format>
    <format dxfId="304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2" count="1">
            <x v="3"/>
          </reference>
        </references>
      </pivotArea>
    </format>
    <format dxfId="30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2" count="1">
            <x v="0"/>
          </reference>
        </references>
      </pivotArea>
    </format>
    <format dxfId="30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2" count="6">
            <x v="1"/>
            <x v="2"/>
            <x v="3"/>
            <x v="4"/>
            <x v="5"/>
            <x v="6"/>
          </reference>
        </references>
      </pivotArea>
    </format>
    <format dxfId="30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17E61-C840-43E0-8540-9FF05A27D339}" name="PivotTable1" cacheId="13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>
  <location ref="B1:D106" firstHeaderRow="0" firstDataRow="1" firstDataCol="1"/>
  <pivotFields count="10"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17"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0"/>
        <item x="15"/>
        <item t="default"/>
      </items>
    </pivotField>
    <pivotField axis="axisRow" showAll="0">
      <items count="12">
        <item h="1" x="6"/>
        <item x="8"/>
        <item x="4"/>
        <item x="1"/>
        <item x="5"/>
        <item x="9"/>
        <item x="3"/>
        <item x="0"/>
        <item x="2"/>
        <item h="1" x="7"/>
        <item h="1" x="10"/>
        <item t="default"/>
      </items>
    </pivotField>
  </pivotFields>
  <rowFields count="2">
    <field x="8"/>
    <field x="9"/>
  </rowFields>
  <rowItems count="105">
    <i>
      <x/>
    </i>
    <i r="1">
      <x v="3"/>
    </i>
    <i r="1">
      <x v="6"/>
    </i>
    <i r="1">
      <x v="7"/>
    </i>
    <i r="1">
      <x v="8"/>
    </i>
    <i>
      <x v="1"/>
    </i>
    <i r="1">
      <x v="1"/>
    </i>
    <i r="1">
      <x v="3"/>
    </i>
    <i r="1">
      <x v="4"/>
    </i>
    <i r="1">
      <x v="6"/>
    </i>
    <i r="1">
      <x v="7"/>
    </i>
    <i r="1">
      <x v="8"/>
    </i>
    <i>
      <x v="2"/>
    </i>
    <i r="1">
      <x v="1"/>
    </i>
    <i r="1">
      <x v="3"/>
    </i>
    <i r="1">
      <x v="4"/>
    </i>
    <i r="1">
      <x v="6"/>
    </i>
    <i r="1">
      <x v="7"/>
    </i>
    <i r="1">
      <x v="8"/>
    </i>
    <i>
      <x v="3"/>
    </i>
    <i r="1">
      <x v="1"/>
    </i>
    <i r="1">
      <x v="3"/>
    </i>
    <i r="1">
      <x v="4"/>
    </i>
    <i r="1">
      <x v="6"/>
    </i>
    <i r="1">
      <x v="7"/>
    </i>
    <i r="1">
      <x v="8"/>
    </i>
    <i>
      <x v="4"/>
    </i>
    <i r="1">
      <x v="1"/>
    </i>
    <i r="1">
      <x v="3"/>
    </i>
    <i r="1">
      <x v="4"/>
    </i>
    <i r="1">
      <x v="6"/>
    </i>
    <i r="1">
      <x v="7"/>
    </i>
    <i r="1">
      <x v="8"/>
    </i>
    <i>
      <x v="5"/>
    </i>
    <i r="1">
      <x v="1"/>
    </i>
    <i r="1">
      <x v="3"/>
    </i>
    <i r="1">
      <x v="4"/>
    </i>
    <i r="1">
      <x v="6"/>
    </i>
    <i r="1">
      <x v="7"/>
    </i>
    <i r="1">
      <x v="8"/>
    </i>
    <i>
      <x v="6"/>
    </i>
    <i r="1">
      <x v="1"/>
    </i>
    <i r="1">
      <x v="3"/>
    </i>
    <i r="1">
      <x v="4"/>
    </i>
    <i r="1">
      <x v="6"/>
    </i>
    <i r="1">
      <x v="7"/>
    </i>
    <i r="1">
      <x v="8"/>
    </i>
    <i>
      <x v="7"/>
    </i>
    <i r="1">
      <x v="1"/>
    </i>
    <i r="1">
      <x v="3"/>
    </i>
    <i r="1">
      <x v="4"/>
    </i>
    <i r="1">
      <x v="6"/>
    </i>
    <i r="1">
      <x v="7"/>
    </i>
    <i r="1">
      <x v="8"/>
    </i>
    <i>
      <x v="8"/>
    </i>
    <i r="1">
      <x v="1"/>
    </i>
    <i r="1">
      <x v="3"/>
    </i>
    <i r="1">
      <x v="4"/>
    </i>
    <i r="1">
      <x v="6"/>
    </i>
    <i r="1">
      <x v="7"/>
    </i>
    <i r="1">
      <x v="8"/>
    </i>
    <i>
      <x v="9"/>
    </i>
    <i r="1">
      <x v="1"/>
    </i>
    <i r="1">
      <x v="3"/>
    </i>
    <i r="1">
      <x v="4"/>
    </i>
    <i r="1">
      <x v="6"/>
    </i>
    <i r="1">
      <x v="7"/>
    </i>
    <i r="1">
      <x v="8"/>
    </i>
    <i>
      <x v="10"/>
    </i>
    <i r="1">
      <x v="1"/>
    </i>
    <i r="1">
      <x v="3"/>
    </i>
    <i r="1">
      <x v="4"/>
    </i>
    <i r="1">
      <x v="6"/>
    </i>
    <i r="1">
      <x v="7"/>
    </i>
    <i r="1">
      <x v="8"/>
    </i>
    <i>
      <x v="11"/>
    </i>
    <i r="1">
      <x v="1"/>
    </i>
    <i r="1">
      <x v="2"/>
    </i>
    <i r="1">
      <x v="3"/>
    </i>
    <i r="1">
      <x v="5"/>
    </i>
    <i r="1">
      <x v="6"/>
    </i>
    <i r="1">
      <x v="7"/>
    </i>
    <i>
      <x v="12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>
      <x v="13"/>
    </i>
    <i r="1">
      <x v="1"/>
    </i>
    <i r="1">
      <x v="3"/>
    </i>
    <i r="1">
      <x v="4"/>
    </i>
    <i r="1">
      <x v="6"/>
    </i>
    <i r="1">
      <x v="7"/>
    </i>
    <i r="1">
      <x v="8"/>
    </i>
    <i>
      <x v="14"/>
    </i>
    <i r="1">
      <x v="2"/>
    </i>
    <i r="1">
      <x v="3"/>
    </i>
    <i r="1">
      <x v="4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nsumed" fld="5" baseField="0" baseItem="0"/>
    <dataField name="Sum of Actual" fld="4" baseField="0" baseItem="0"/>
  </dataFields>
  <formats count="99">
    <format dxfId="200">
      <pivotArea outline="0" collapsedLevelsAreSubtotals="1" fieldPosition="0"/>
    </format>
    <format dxfId="2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2">
      <pivotArea collapsedLevelsAreSubtotals="1" fieldPosition="0">
        <references count="2">
          <reference field="8" count="1" selected="0">
            <x v="0"/>
          </reference>
          <reference field="9" count="5">
            <x v="3"/>
            <x v="6"/>
            <x v="7"/>
            <x v="8"/>
            <x v="9"/>
          </reference>
        </references>
      </pivotArea>
    </format>
    <format dxfId="203">
      <pivotArea collapsedLevelsAreSubtotals="1" fieldPosition="0">
        <references count="1">
          <reference field="8" count="1">
            <x v="1"/>
          </reference>
        </references>
      </pivotArea>
    </format>
    <format dxfId="204">
      <pivotArea collapsedLevelsAreSubtotals="1" fieldPosition="0">
        <references count="2">
          <reference field="8" count="1" selected="0">
            <x v="1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05">
      <pivotArea collapsedLevelsAreSubtotals="1" fieldPosition="0">
        <references count="1">
          <reference field="8" count="1">
            <x v="2"/>
          </reference>
        </references>
      </pivotArea>
    </format>
    <format dxfId="206">
      <pivotArea collapsedLevelsAreSubtotals="1" fieldPosition="0">
        <references count="2">
          <reference field="8" count="1" selected="0">
            <x v="2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07">
      <pivotArea collapsedLevelsAreSubtotals="1" fieldPosition="0">
        <references count="1">
          <reference field="8" count="1">
            <x v="3"/>
          </reference>
        </references>
      </pivotArea>
    </format>
    <format dxfId="208">
      <pivotArea collapsedLevelsAreSubtotals="1" fieldPosition="0">
        <references count="2">
          <reference field="8" count="1" selected="0">
            <x v="3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09">
      <pivotArea collapsedLevelsAreSubtotals="1" fieldPosition="0">
        <references count="1">
          <reference field="8" count="1">
            <x v="4"/>
          </reference>
        </references>
      </pivotArea>
    </format>
    <format dxfId="210">
      <pivotArea collapsedLevelsAreSubtotals="1" fieldPosition="0">
        <references count="2">
          <reference field="8" count="1" selected="0">
            <x v="4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11">
      <pivotArea collapsedLevelsAreSubtotals="1" fieldPosition="0">
        <references count="1">
          <reference field="8" count="1">
            <x v="5"/>
          </reference>
        </references>
      </pivotArea>
    </format>
    <format dxfId="212">
      <pivotArea collapsedLevelsAreSubtotals="1" fieldPosition="0">
        <references count="2">
          <reference field="8" count="1" selected="0">
            <x v="5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13">
      <pivotArea collapsedLevelsAreSubtotals="1" fieldPosition="0">
        <references count="1">
          <reference field="8" count="1">
            <x v="6"/>
          </reference>
        </references>
      </pivotArea>
    </format>
    <format dxfId="214">
      <pivotArea collapsedLevelsAreSubtotals="1" fieldPosition="0">
        <references count="2">
          <reference field="8" count="1" selected="0">
            <x v="6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15">
      <pivotArea collapsedLevelsAreSubtotals="1" fieldPosition="0">
        <references count="1">
          <reference field="8" count="1">
            <x v="7"/>
          </reference>
        </references>
      </pivotArea>
    </format>
    <format dxfId="216">
      <pivotArea collapsedLevelsAreSubtotals="1" fieldPosition="0">
        <references count="2">
          <reference field="8" count="1" selected="0">
            <x v="7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17">
      <pivotArea collapsedLevelsAreSubtotals="1" fieldPosition="0">
        <references count="1">
          <reference field="8" count="1">
            <x v="8"/>
          </reference>
        </references>
      </pivotArea>
    </format>
    <format dxfId="218">
      <pivotArea collapsedLevelsAreSubtotals="1" fieldPosition="0">
        <references count="2">
          <reference field="8" count="1" selected="0">
            <x v="8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19">
      <pivotArea collapsedLevelsAreSubtotals="1" fieldPosition="0">
        <references count="1">
          <reference field="8" count="1">
            <x v="9"/>
          </reference>
        </references>
      </pivotArea>
    </format>
    <format dxfId="220">
      <pivotArea collapsedLevelsAreSubtotals="1" fieldPosition="0">
        <references count="2">
          <reference field="8" count="1" selected="0">
            <x v="9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21">
      <pivotArea collapsedLevelsAreSubtotals="1" fieldPosition="0">
        <references count="1">
          <reference field="8" count="1">
            <x v="10"/>
          </reference>
        </references>
      </pivotArea>
    </format>
    <format dxfId="222">
      <pivotArea collapsedLevelsAreSubtotals="1" fieldPosition="0">
        <references count="2">
          <reference field="8" count="1" selected="0">
            <x v="10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23">
      <pivotArea collapsedLevelsAreSubtotals="1" fieldPosition="0">
        <references count="1">
          <reference field="8" count="1">
            <x v="11"/>
          </reference>
        </references>
      </pivotArea>
    </format>
    <format dxfId="224">
      <pivotArea collapsedLevelsAreSubtotals="1" fieldPosition="0">
        <references count="2">
          <reference field="8" count="1" selected="0">
            <x v="11"/>
          </reference>
          <reference field="9" count="8">
            <x v="0"/>
            <x v="1"/>
            <x v="2"/>
            <x v="3"/>
            <x v="5"/>
            <x v="6"/>
            <x v="7"/>
            <x v="9"/>
          </reference>
        </references>
      </pivotArea>
    </format>
    <format dxfId="225">
      <pivotArea collapsedLevelsAreSubtotals="1" fieldPosition="0">
        <references count="1">
          <reference field="8" count="1">
            <x v="12"/>
          </reference>
        </references>
      </pivotArea>
    </format>
    <format dxfId="226">
      <pivotArea collapsedLevelsAreSubtotals="1" fieldPosition="0">
        <references count="2">
          <reference field="8" count="1" selected="0">
            <x v="12"/>
          </reference>
          <reference field="9" count="9">
            <x v="0"/>
            <x v="1"/>
            <x v="3"/>
            <x v="4"/>
            <x v="5"/>
            <x v="6"/>
            <x v="7"/>
            <x v="8"/>
            <x v="9"/>
          </reference>
        </references>
      </pivotArea>
    </format>
    <format dxfId="227">
      <pivotArea collapsedLevelsAreSubtotals="1" fieldPosition="0">
        <references count="1">
          <reference field="8" count="1">
            <x v="13"/>
          </reference>
        </references>
      </pivotArea>
    </format>
    <format dxfId="228">
      <pivotArea collapsedLevelsAreSubtotals="1" fieldPosition="0">
        <references count="2">
          <reference field="8" count="1" selected="0">
            <x v="13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29">
      <pivotArea collapsedLevelsAreSubtotals="1" fieldPosition="0">
        <references count="1">
          <reference field="8" count="1">
            <x v="14"/>
          </reference>
        </references>
      </pivotArea>
    </format>
    <format dxfId="230">
      <pivotArea collapsedLevelsAreSubtotals="1" fieldPosition="0">
        <references count="2">
          <reference field="8" count="1" selected="0">
            <x v="14"/>
          </reference>
          <reference field="9" count="8">
            <x v="0"/>
            <x v="2"/>
            <x v="3"/>
            <x v="4"/>
            <x v="6"/>
            <x v="7"/>
            <x v="8"/>
            <x v="9"/>
          </reference>
        </references>
      </pivotArea>
    </format>
    <format dxfId="231">
      <pivotArea collapsedLevelsAreSubtotals="1" fieldPosition="0">
        <references count="1">
          <reference field="8" count="1">
            <x v="15"/>
          </reference>
        </references>
      </pivotArea>
    </format>
    <format dxfId="232">
      <pivotArea collapsedLevelsAreSubtotals="1" fieldPosition="0">
        <references count="2">
          <reference field="8" count="1" selected="0">
            <x v="15"/>
          </reference>
          <reference field="9" count="1">
            <x v="10"/>
          </reference>
        </references>
      </pivotArea>
    </format>
    <format dxfId="233">
      <pivotArea grandRow="1" outline="0" collapsedLevelsAreSubtotals="1" fieldPosition="0"/>
    </format>
    <format dxfId="234">
      <pivotArea dataOnly="0" labelOnly="1" fieldPosition="0">
        <references count="2">
          <reference field="8" count="1" selected="0">
            <x v="0"/>
          </reference>
          <reference field="9" count="5">
            <x v="3"/>
            <x v="6"/>
            <x v="7"/>
            <x v="8"/>
            <x v="9"/>
          </reference>
        </references>
      </pivotArea>
    </format>
    <format dxfId="235">
      <pivotArea dataOnly="0" labelOnly="1" fieldPosition="0">
        <references count="2">
          <reference field="8" count="1" selected="0">
            <x v="1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36">
      <pivotArea dataOnly="0" labelOnly="1" fieldPosition="0">
        <references count="2">
          <reference field="8" count="1" selected="0">
            <x v="2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37">
      <pivotArea dataOnly="0" labelOnly="1" fieldPosition="0">
        <references count="2">
          <reference field="8" count="1" selected="0">
            <x v="3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38">
      <pivotArea dataOnly="0" labelOnly="1" fieldPosition="0">
        <references count="2">
          <reference field="8" count="1" selected="0">
            <x v="4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39">
      <pivotArea dataOnly="0" labelOnly="1" fieldPosition="0">
        <references count="2">
          <reference field="8" count="1" selected="0">
            <x v="5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40">
      <pivotArea dataOnly="0" labelOnly="1" fieldPosition="0">
        <references count="2">
          <reference field="8" count="1" selected="0">
            <x v="6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41">
      <pivotArea dataOnly="0" labelOnly="1" fieldPosition="0">
        <references count="2">
          <reference field="8" count="1" selected="0">
            <x v="7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42">
      <pivotArea dataOnly="0" labelOnly="1" fieldPosition="0">
        <references count="2">
          <reference field="8" count="1" selected="0">
            <x v="8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43">
      <pivotArea dataOnly="0" labelOnly="1" fieldPosition="0">
        <references count="2">
          <reference field="8" count="1" selected="0">
            <x v="9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44">
      <pivotArea dataOnly="0" labelOnly="1" fieldPosition="0">
        <references count="2">
          <reference field="8" count="1" selected="0">
            <x v="10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45">
      <pivotArea dataOnly="0" labelOnly="1" fieldPosition="0">
        <references count="2">
          <reference field="8" count="1" selected="0">
            <x v="11"/>
          </reference>
          <reference field="9" count="8">
            <x v="0"/>
            <x v="1"/>
            <x v="2"/>
            <x v="3"/>
            <x v="5"/>
            <x v="6"/>
            <x v="7"/>
            <x v="9"/>
          </reference>
        </references>
      </pivotArea>
    </format>
    <format dxfId="246">
      <pivotArea dataOnly="0" labelOnly="1" fieldPosition="0">
        <references count="2">
          <reference field="8" count="1" selected="0">
            <x v="12"/>
          </reference>
          <reference field="9" count="9">
            <x v="0"/>
            <x v="1"/>
            <x v="3"/>
            <x v="4"/>
            <x v="5"/>
            <x v="6"/>
            <x v="7"/>
            <x v="8"/>
            <x v="9"/>
          </reference>
        </references>
      </pivotArea>
    </format>
    <format dxfId="247">
      <pivotArea dataOnly="0" labelOnly="1" fieldPosition="0">
        <references count="2">
          <reference field="8" count="1" selected="0">
            <x v="13"/>
          </reference>
          <reference field="9" count="8">
            <x v="0"/>
            <x v="1"/>
            <x v="3"/>
            <x v="4"/>
            <x v="6"/>
            <x v="7"/>
            <x v="8"/>
            <x v="9"/>
          </reference>
        </references>
      </pivotArea>
    </format>
    <format dxfId="248">
      <pivotArea dataOnly="0" labelOnly="1" fieldPosition="0">
        <references count="2">
          <reference field="8" count="1" selected="0">
            <x v="14"/>
          </reference>
          <reference field="9" count="8">
            <x v="0"/>
            <x v="2"/>
            <x v="3"/>
            <x v="4"/>
            <x v="6"/>
            <x v="7"/>
            <x v="8"/>
            <x v="9"/>
          </reference>
        </references>
      </pivotArea>
    </format>
    <format dxfId="249">
      <pivotArea collapsedLevelsAreSubtotals="1" fieldPosition="0">
        <references count="3">
          <reference field="4294967294" count="1" selected="0">
            <x v="1"/>
          </reference>
          <reference field="8" count="1" selected="0">
            <x v="0"/>
          </reference>
          <reference field="9" count="1">
            <x v="0"/>
          </reference>
        </references>
      </pivotArea>
    </format>
    <format dxfId="250">
      <pivotArea dataOnly="0" labelOnly="1" fieldPosition="0">
        <references count="2">
          <reference field="8" count="1" selected="0">
            <x v="0"/>
          </reference>
          <reference field="9" count="1">
            <x v="0"/>
          </reference>
        </references>
      </pivotArea>
    </format>
    <format dxfId="251">
      <pivotArea collapsedLevelsAreSubtotals="1" fieldPosition="0">
        <references count="1">
          <reference field="8" count="1">
            <x v="0"/>
          </reference>
        </references>
      </pivotArea>
    </format>
    <format dxfId="2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3">
      <pivotArea outline="0" collapsedLevelsAreSubtotals="1" fieldPosition="0"/>
    </format>
    <format dxfId="2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5">
      <pivotArea type="all" dataOnly="0" outline="0" fieldPosition="0"/>
    </format>
    <format dxfId="256">
      <pivotArea outline="0" collapsedLevelsAreSubtotals="1" fieldPosition="0"/>
    </format>
    <format dxfId="257">
      <pivotArea field="8" type="button" dataOnly="0" labelOnly="1" outline="0" axis="axisRow" fieldPosition="0"/>
    </format>
    <format dxfId="258">
      <pivotArea dataOnly="0" labelOnly="1" fieldPosition="0">
        <references count="1">
          <reference field="8" count="0"/>
        </references>
      </pivotArea>
    </format>
    <format dxfId="259">
      <pivotArea dataOnly="0" labelOnly="1" grandRow="1" outline="0" fieldPosition="0"/>
    </format>
    <format dxfId="260">
      <pivotArea dataOnly="0" labelOnly="1" fieldPosition="0">
        <references count="2">
          <reference field="8" count="1" selected="0">
            <x v="0"/>
          </reference>
          <reference field="9" count="4">
            <x v="3"/>
            <x v="6"/>
            <x v="7"/>
            <x v="8"/>
          </reference>
        </references>
      </pivotArea>
    </format>
    <format dxfId="261">
      <pivotArea dataOnly="0" labelOnly="1" fieldPosition="0">
        <references count="2">
          <reference field="8" count="1" selected="0">
            <x v="1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62">
      <pivotArea dataOnly="0" labelOnly="1" fieldPosition="0">
        <references count="2">
          <reference field="8" count="1" selected="0">
            <x v="2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63">
      <pivotArea dataOnly="0" labelOnly="1" fieldPosition="0">
        <references count="2">
          <reference field="8" count="1" selected="0">
            <x v="3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64">
      <pivotArea dataOnly="0" labelOnly="1" fieldPosition="0">
        <references count="2">
          <reference field="8" count="1" selected="0">
            <x v="4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65">
      <pivotArea dataOnly="0" labelOnly="1" fieldPosition="0">
        <references count="2">
          <reference field="8" count="1" selected="0">
            <x v="5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66">
      <pivotArea dataOnly="0" labelOnly="1" fieldPosition="0">
        <references count="2">
          <reference field="8" count="1" selected="0">
            <x v="6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67">
      <pivotArea dataOnly="0" labelOnly="1" fieldPosition="0">
        <references count="2">
          <reference field="8" count="1" selected="0">
            <x v="7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68">
      <pivotArea dataOnly="0" labelOnly="1" fieldPosition="0">
        <references count="2">
          <reference field="8" count="1" selected="0">
            <x v="8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69">
      <pivotArea dataOnly="0" labelOnly="1" fieldPosition="0">
        <references count="2">
          <reference field="8" count="1" selected="0">
            <x v="9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70">
      <pivotArea dataOnly="0" labelOnly="1" fieldPosition="0">
        <references count="2">
          <reference field="8" count="1" selected="0">
            <x v="10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71">
      <pivotArea dataOnly="0" labelOnly="1" fieldPosition="0">
        <references count="2">
          <reference field="8" count="1" selected="0">
            <x v="11"/>
          </reference>
          <reference field="9" count="6">
            <x v="1"/>
            <x v="2"/>
            <x v="3"/>
            <x v="5"/>
            <x v="6"/>
            <x v="7"/>
          </reference>
        </references>
      </pivotArea>
    </format>
    <format dxfId="272">
      <pivotArea dataOnly="0" labelOnly="1" fieldPosition="0">
        <references count="2">
          <reference field="8" count="1" selected="0">
            <x v="12"/>
          </reference>
          <reference field="9" count="7">
            <x v="1"/>
            <x v="3"/>
            <x v="4"/>
            <x v="5"/>
            <x v="6"/>
            <x v="7"/>
            <x v="8"/>
          </reference>
        </references>
      </pivotArea>
    </format>
    <format dxfId="273">
      <pivotArea dataOnly="0" labelOnly="1" fieldPosition="0">
        <references count="2">
          <reference field="8" count="1" selected="0">
            <x v="13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74">
      <pivotArea dataOnly="0" labelOnly="1" fieldPosition="0">
        <references count="2">
          <reference field="8" count="1" selected="0">
            <x v="14"/>
          </reference>
          <reference field="9" count="6">
            <x v="2"/>
            <x v="3"/>
            <x v="4"/>
            <x v="6"/>
            <x v="7"/>
            <x v="8"/>
          </reference>
        </references>
      </pivotArea>
    </format>
    <format dxfId="275">
      <pivotArea dataOnly="0" labelOnly="1" fieldPosition="0">
        <references count="2">
          <reference field="8" count="1" selected="0">
            <x v="15"/>
          </reference>
          <reference field="9" count="1">
            <x v="10"/>
          </reference>
        </references>
      </pivotArea>
    </format>
    <format dxfId="2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7">
      <pivotArea type="all" dataOnly="0" outline="0" fieldPosition="0"/>
    </format>
    <format dxfId="278">
      <pivotArea outline="0" collapsedLevelsAreSubtotals="1" fieldPosition="0"/>
    </format>
    <format dxfId="279">
      <pivotArea field="8" type="button" dataOnly="0" labelOnly="1" outline="0" axis="axisRow" fieldPosition="0"/>
    </format>
    <format dxfId="280">
      <pivotArea dataOnly="0" labelOnly="1" fieldPosition="0">
        <references count="1">
          <reference field="8" count="0"/>
        </references>
      </pivotArea>
    </format>
    <format dxfId="281">
      <pivotArea dataOnly="0" labelOnly="1" grandRow="1" outline="0" fieldPosition="0"/>
    </format>
    <format dxfId="282">
      <pivotArea dataOnly="0" labelOnly="1" fieldPosition="0">
        <references count="2">
          <reference field="8" count="1" selected="0">
            <x v="0"/>
          </reference>
          <reference field="9" count="4">
            <x v="3"/>
            <x v="6"/>
            <x v="7"/>
            <x v="8"/>
          </reference>
        </references>
      </pivotArea>
    </format>
    <format dxfId="283">
      <pivotArea dataOnly="0" labelOnly="1" fieldPosition="0">
        <references count="2">
          <reference field="8" count="1" selected="0">
            <x v="1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84">
      <pivotArea dataOnly="0" labelOnly="1" fieldPosition="0">
        <references count="2">
          <reference field="8" count="1" selected="0">
            <x v="2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85">
      <pivotArea dataOnly="0" labelOnly="1" fieldPosition="0">
        <references count="2">
          <reference field="8" count="1" selected="0">
            <x v="3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86">
      <pivotArea dataOnly="0" labelOnly="1" fieldPosition="0">
        <references count="2">
          <reference field="8" count="1" selected="0">
            <x v="4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87">
      <pivotArea dataOnly="0" labelOnly="1" fieldPosition="0">
        <references count="2">
          <reference field="8" count="1" selected="0">
            <x v="5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88">
      <pivotArea dataOnly="0" labelOnly="1" fieldPosition="0">
        <references count="2">
          <reference field="8" count="1" selected="0">
            <x v="6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89">
      <pivotArea dataOnly="0" labelOnly="1" fieldPosition="0">
        <references count="2">
          <reference field="8" count="1" selected="0">
            <x v="7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90">
      <pivotArea dataOnly="0" labelOnly="1" fieldPosition="0">
        <references count="2">
          <reference field="8" count="1" selected="0">
            <x v="8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91">
      <pivotArea dataOnly="0" labelOnly="1" fieldPosition="0">
        <references count="2">
          <reference field="8" count="1" selected="0">
            <x v="9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92">
      <pivotArea dataOnly="0" labelOnly="1" fieldPosition="0">
        <references count="2">
          <reference field="8" count="1" selected="0">
            <x v="10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93">
      <pivotArea dataOnly="0" labelOnly="1" fieldPosition="0">
        <references count="2">
          <reference field="8" count="1" selected="0">
            <x v="11"/>
          </reference>
          <reference field="9" count="6">
            <x v="1"/>
            <x v="2"/>
            <x v="3"/>
            <x v="5"/>
            <x v="6"/>
            <x v="7"/>
          </reference>
        </references>
      </pivotArea>
    </format>
    <format dxfId="294">
      <pivotArea dataOnly="0" labelOnly="1" fieldPosition="0">
        <references count="2">
          <reference field="8" count="1" selected="0">
            <x v="12"/>
          </reference>
          <reference field="9" count="7">
            <x v="1"/>
            <x v="3"/>
            <x v="4"/>
            <x v="5"/>
            <x v="6"/>
            <x v="7"/>
            <x v="8"/>
          </reference>
        </references>
      </pivotArea>
    </format>
    <format dxfId="295">
      <pivotArea dataOnly="0" labelOnly="1" fieldPosition="0">
        <references count="2">
          <reference field="8" count="1" selected="0">
            <x v="13"/>
          </reference>
          <reference field="9" count="6">
            <x v="1"/>
            <x v="3"/>
            <x v="4"/>
            <x v="6"/>
            <x v="7"/>
            <x v="8"/>
          </reference>
        </references>
      </pivotArea>
    </format>
    <format dxfId="296">
      <pivotArea dataOnly="0" labelOnly="1" fieldPosition="0">
        <references count="2">
          <reference field="8" count="1" selected="0">
            <x v="14"/>
          </reference>
          <reference field="9" count="6">
            <x v="2"/>
            <x v="3"/>
            <x v="4"/>
            <x v="6"/>
            <x v="7"/>
            <x v="8"/>
          </reference>
        </references>
      </pivotArea>
    </format>
    <format dxfId="297">
      <pivotArea dataOnly="0" labelOnly="1" fieldPosition="0">
        <references count="2">
          <reference field="8" count="1" selected="0">
            <x v="15"/>
          </reference>
          <reference field="9" count="1">
            <x v="10"/>
          </reference>
        </references>
      </pivotArea>
    </format>
    <format dxfId="2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1"/>
  <sheetViews>
    <sheetView tabSelected="1" workbookViewId="0">
      <pane xSplit="3" ySplit="1" topLeftCell="D1170" activePane="bottomRight" state="frozen"/>
      <selection pane="topRight" activeCell="D1" sqref="D1"/>
      <selection pane="bottomLeft" activeCell="A2" sqref="A2"/>
      <selection pane="bottomRight" activeCell="D1185" sqref="D1185"/>
    </sheetView>
  </sheetViews>
  <sheetFormatPr defaultRowHeight="14.25" x14ac:dyDescent="0.45"/>
  <cols>
    <col min="1" max="1" width="7" customWidth="1"/>
    <col min="2" max="2" width="14" customWidth="1"/>
    <col min="3" max="3" width="22" customWidth="1"/>
    <col min="4" max="4" width="20" style="24" customWidth="1"/>
    <col min="5" max="5" width="19" style="4" customWidth="1"/>
    <col min="6" max="6" width="20" style="24" customWidth="1"/>
    <col min="7" max="7" width="17" style="4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21" t="s">
        <v>3</v>
      </c>
      <c r="E1" s="2" t="s">
        <v>4</v>
      </c>
      <c r="F1" s="21" t="s">
        <v>5</v>
      </c>
      <c r="G1" s="2" t="s">
        <v>6</v>
      </c>
    </row>
    <row r="2" spans="1:7" x14ac:dyDescent="0.45">
      <c r="A2" t="s">
        <v>7</v>
      </c>
      <c r="B2" t="s">
        <v>8</v>
      </c>
      <c r="C2" t="s">
        <v>9</v>
      </c>
      <c r="D2" s="24">
        <v>100000000</v>
      </c>
      <c r="E2" s="29">
        <f>'Hitung Per Bulan'!I2</f>
        <v>84845467162</v>
      </c>
      <c r="F2" s="24">
        <v>50000000</v>
      </c>
      <c r="G2" s="29">
        <f>'Hitung Per Bulan'!J2</f>
        <v>0</v>
      </c>
    </row>
    <row r="3" spans="1:7" x14ac:dyDescent="0.45">
      <c r="A3" t="s">
        <v>10</v>
      </c>
      <c r="B3" t="s">
        <v>8</v>
      </c>
      <c r="C3" t="s">
        <v>9</v>
      </c>
      <c r="D3" s="24">
        <v>23567624816</v>
      </c>
      <c r="E3" s="29">
        <f>'Hitung Per Bulan'!I3</f>
        <v>59570632314</v>
      </c>
      <c r="F3" s="24">
        <v>50000000</v>
      </c>
      <c r="G3" s="29">
        <f>'Hitung Per Bulan'!J3</f>
        <v>0</v>
      </c>
    </row>
    <row r="4" spans="1:7" x14ac:dyDescent="0.45">
      <c r="A4" t="s">
        <v>11</v>
      </c>
      <c r="B4" t="s">
        <v>8</v>
      </c>
      <c r="C4" t="s">
        <v>9</v>
      </c>
      <c r="D4" s="24">
        <v>227166881580</v>
      </c>
      <c r="E4" s="29">
        <f>'Hitung Per Bulan'!I4</f>
        <v>144879653762</v>
      </c>
      <c r="F4" s="24">
        <v>34189485820</v>
      </c>
      <c r="G4" s="29">
        <f>'Hitung Per Bulan'!J4</f>
        <v>48109844280</v>
      </c>
    </row>
    <row r="5" spans="1:7" x14ac:dyDescent="0.45">
      <c r="A5" t="s">
        <v>12</v>
      </c>
      <c r="B5" t="s">
        <v>8</v>
      </c>
      <c r="C5" t="s">
        <v>9</v>
      </c>
      <c r="D5" s="24">
        <v>59269584722</v>
      </c>
      <c r="E5" s="29" t="str">
        <f>'Hitung Per Bulan'!I5</f>
        <v/>
      </c>
      <c r="F5" s="24">
        <v>150000000</v>
      </c>
      <c r="G5" s="29" t="str">
        <f>'Hitung Per Bulan'!J5</f>
        <v/>
      </c>
    </row>
    <row r="6" spans="1:7" x14ac:dyDescent="0.45">
      <c r="A6" t="s">
        <v>13</v>
      </c>
      <c r="B6" t="s">
        <v>8</v>
      </c>
      <c r="C6" t="s">
        <v>9</v>
      </c>
      <c r="D6" s="24">
        <v>2449082158</v>
      </c>
      <c r="E6" s="29" t="str">
        <f>'Hitung Per Bulan'!I6</f>
        <v/>
      </c>
      <c r="F6" s="24">
        <v>270862500</v>
      </c>
      <c r="G6" s="29" t="str">
        <f>'Hitung Per Bulan'!J6</f>
        <v/>
      </c>
    </row>
    <row r="7" spans="1:7" x14ac:dyDescent="0.45">
      <c r="A7" t="s">
        <v>14</v>
      </c>
      <c r="B7" t="s">
        <v>8</v>
      </c>
      <c r="C7" t="s">
        <v>9</v>
      </c>
      <c r="D7" s="24">
        <v>4232140778</v>
      </c>
      <c r="E7" s="29" t="str">
        <f>'Hitung Per Bulan'!I7</f>
        <v/>
      </c>
      <c r="F7" s="24">
        <v>1144232361</v>
      </c>
      <c r="G7" s="29" t="str">
        <f>'Hitung Per Bulan'!J7</f>
        <v/>
      </c>
    </row>
    <row r="8" spans="1:7" x14ac:dyDescent="0.45">
      <c r="A8" t="s">
        <v>15</v>
      </c>
      <c r="B8" t="s">
        <v>8</v>
      </c>
      <c r="C8" t="s">
        <v>9</v>
      </c>
      <c r="D8" s="24">
        <v>150000000</v>
      </c>
      <c r="E8" s="29" t="str">
        <f>'Hitung Per Bulan'!I8</f>
        <v/>
      </c>
      <c r="F8" s="24">
        <v>12808685000</v>
      </c>
      <c r="G8" s="29" t="str">
        <f>'Hitung Per Bulan'!J8</f>
        <v/>
      </c>
    </row>
    <row r="9" spans="1:7" x14ac:dyDescent="0.45">
      <c r="A9" t="s">
        <v>16</v>
      </c>
      <c r="B9" t="s">
        <v>8</v>
      </c>
      <c r="C9" t="s">
        <v>9</v>
      </c>
      <c r="D9" s="24">
        <v>150000000</v>
      </c>
      <c r="E9" s="29" t="str">
        <f>'Hitung Per Bulan'!I9</f>
        <v/>
      </c>
      <c r="F9" s="24">
        <v>30371398896</v>
      </c>
      <c r="G9" s="29" t="str">
        <f>'Hitung Per Bulan'!J9</f>
        <v/>
      </c>
    </row>
    <row r="10" spans="1:7" x14ac:dyDescent="0.45">
      <c r="A10" t="s">
        <v>17</v>
      </c>
      <c r="B10" t="s">
        <v>8</v>
      </c>
      <c r="C10" t="s">
        <v>9</v>
      </c>
      <c r="D10" s="24">
        <v>150000000</v>
      </c>
      <c r="E10" s="29" t="str">
        <f>'Hitung Per Bulan'!I10</f>
        <v/>
      </c>
      <c r="F10" s="24">
        <v>32919933000</v>
      </c>
      <c r="G10" s="29" t="str">
        <f>'Hitung Per Bulan'!J10</f>
        <v/>
      </c>
    </row>
    <row r="11" spans="1:7" x14ac:dyDescent="0.45">
      <c r="A11" t="s">
        <v>18</v>
      </c>
      <c r="B11" t="s">
        <v>8</v>
      </c>
      <c r="C11" t="s">
        <v>9</v>
      </c>
      <c r="D11" s="24">
        <v>150000000</v>
      </c>
      <c r="E11" s="29" t="str">
        <f>'Hitung Per Bulan'!I11</f>
        <v/>
      </c>
      <c r="F11" s="24">
        <v>61587805112</v>
      </c>
      <c r="G11" s="29" t="str">
        <f>'Hitung Per Bulan'!J11</f>
        <v/>
      </c>
    </row>
    <row r="12" spans="1:7" x14ac:dyDescent="0.45">
      <c r="A12" t="s">
        <v>19</v>
      </c>
      <c r="B12" t="s">
        <v>8</v>
      </c>
      <c r="C12" t="s">
        <v>9</v>
      </c>
      <c r="D12" s="24">
        <v>122077000</v>
      </c>
      <c r="E12" s="29" t="str">
        <f>'Hitung Per Bulan'!I12</f>
        <v/>
      </c>
      <c r="F12" s="24">
        <v>35148562865</v>
      </c>
      <c r="G12" s="29" t="str">
        <f>'Hitung Per Bulan'!J12</f>
        <v/>
      </c>
    </row>
    <row r="13" spans="1:7" x14ac:dyDescent="0.45">
      <c r="A13" t="s">
        <v>20</v>
      </c>
      <c r="B13" t="s">
        <v>8</v>
      </c>
      <c r="C13" t="s">
        <v>9</v>
      </c>
      <c r="D13" s="24">
        <v>55000000</v>
      </c>
      <c r="E13" s="29" t="str">
        <f>'Hitung Per Bulan'!I13</f>
        <v/>
      </c>
      <c r="F13" s="24">
        <v>108871425778</v>
      </c>
      <c r="G13" s="29" t="str">
        <f>'Hitung Per Bulan'!J13</f>
        <v/>
      </c>
    </row>
    <row r="14" spans="1:7" x14ac:dyDescent="0.45">
      <c r="A14" t="s">
        <v>7</v>
      </c>
      <c r="B14" t="s">
        <v>8</v>
      </c>
      <c r="C14" t="s">
        <v>21</v>
      </c>
      <c r="D14" s="24">
        <v>0</v>
      </c>
      <c r="E14" s="29">
        <f>'Hitung Per Bulan'!I14</f>
        <v>0</v>
      </c>
      <c r="F14" s="24">
        <v>0</v>
      </c>
      <c r="G14" s="29">
        <f>'Hitung Per Bulan'!J14</f>
        <v>0</v>
      </c>
    </row>
    <row r="15" spans="1:7" x14ac:dyDescent="0.45">
      <c r="A15" t="s">
        <v>10</v>
      </c>
      <c r="B15" t="s">
        <v>8</v>
      </c>
      <c r="C15" t="s">
        <v>21</v>
      </c>
      <c r="D15" s="24">
        <v>0</v>
      </c>
      <c r="E15" s="29">
        <f>'Hitung Per Bulan'!I15</f>
        <v>0</v>
      </c>
      <c r="F15" s="24">
        <v>0</v>
      </c>
      <c r="G15" s="29">
        <f>'Hitung Per Bulan'!J15</f>
        <v>0</v>
      </c>
    </row>
    <row r="16" spans="1:7" x14ac:dyDescent="0.45">
      <c r="A16" t="s">
        <v>11</v>
      </c>
      <c r="B16" t="s">
        <v>8</v>
      </c>
      <c r="C16" t="s">
        <v>21</v>
      </c>
      <c r="D16" s="24">
        <v>0</v>
      </c>
      <c r="E16" s="29">
        <f>'Hitung Per Bulan'!I16</f>
        <v>0</v>
      </c>
      <c r="F16" s="24">
        <v>0</v>
      </c>
      <c r="G16" s="29">
        <f>'Hitung Per Bulan'!J16</f>
        <v>0</v>
      </c>
    </row>
    <row r="17" spans="1:7" x14ac:dyDescent="0.45">
      <c r="A17" t="s">
        <v>12</v>
      </c>
      <c r="B17" t="s">
        <v>8</v>
      </c>
      <c r="C17" t="s">
        <v>21</v>
      </c>
      <c r="D17" s="24">
        <v>0</v>
      </c>
      <c r="E17" s="29" t="str">
        <f>'Hitung Per Bulan'!I17</f>
        <v/>
      </c>
      <c r="F17" s="24">
        <v>0</v>
      </c>
      <c r="G17" s="29" t="str">
        <f>'Hitung Per Bulan'!J17</f>
        <v/>
      </c>
    </row>
    <row r="18" spans="1:7" x14ac:dyDescent="0.45">
      <c r="A18" t="s">
        <v>13</v>
      </c>
      <c r="B18" t="s">
        <v>8</v>
      </c>
      <c r="C18" t="s">
        <v>21</v>
      </c>
      <c r="D18" s="24">
        <v>0</v>
      </c>
      <c r="E18" s="29" t="str">
        <f>'Hitung Per Bulan'!I18</f>
        <v/>
      </c>
      <c r="F18" s="24">
        <v>0</v>
      </c>
      <c r="G18" s="29" t="str">
        <f>'Hitung Per Bulan'!J18</f>
        <v/>
      </c>
    </row>
    <row r="19" spans="1:7" x14ac:dyDescent="0.45">
      <c r="A19" t="s">
        <v>14</v>
      </c>
      <c r="B19" t="s">
        <v>8</v>
      </c>
      <c r="C19" t="s">
        <v>21</v>
      </c>
      <c r="D19" s="24">
        <v>0</v>
      </c>
      <c r="E19" s="29" t="str">
        <f>'Hitung Per Bulan'!I19</f>
        <v/>
      </c>
      <c r="F19" s="24">
        <v>0</v>
      </c>
      <c r="G19" s="29" t="str">
        <f>'Hitung Per Bulan'!J19</f>
        <v/>
      </c>
    </row>
    <row r="20" spans="1:7" x14ac:dyDescent="0.45">
      <c r="A20" t="s">
        <v>15</v>
      </c>
      <c r="B20" t="s">
        <v>8</v>
      </c>
      <c r="C20" t="s">
        <v>21</v>
      </c>
      <c r="D20" s="24">
        <v>0</v>
      </c>
      <c r="E20" s="29" t="str">
        <f>'Hitung Per Bulan'!I20</f>
        <v/>
      </c>
      <c r="F20" s="24">
        <v>0</v>
      </c>
      <c r="G20" s="29" t="str">
        <f>'Hitung Per Bulan'!J20</f>
        <v/>
      </c>
    </row>
    <row r="21" spans="1:7" x14ac:dyDescent="0.45">
      <c r="A21" t="s">
        <v>16</v>
      </c>
      <c r="B21" t="s">
        <v>8</v>
      </c>
      <c r="C21" t="s">
        <v>21</v>
      </c>
      <c r="D21" s="24">
        <v>0</v>
      </c>
      <c r="E21" s="29" t="str">
        <f>'Hitung Per Bulan'!I21</f>
        <v/>
      </c>
      <c r="F21" s="24">
        <v>0</v>
      </c>
      <c r="G21" s="29" t="str">
        <f>'Hitung Per Bulan'!J21</f>
        <v/>
      </c>
    </row>
    <row r="22" spans="1:7" x14ac:dyDescent="0.45">
      <c r="A22" t="s">
        <v>17</v>
      </c>
      <c r="B22" t="s">
        <v>8</v>
      </c>
      <c r="C22" t="s">
        <v>21</v>
      </c>
      <c r="D22" s="24">
        <v>0</v>
      </c>
      <c r="E22" s="29" t="str">
        <f>'Hitung Per Bulan'!I22</f>
        <v/>
      </c>
      <c r="F22" s="24">
        <v>0</v>
      </c>
      <c r="G22" s="29" t="str">
        <f>'Hitung Per Bulan'!J22</f>
        <v/>
      </c>
    </row>
    <row r="23" spans="1:7" x14ac:dyDescent="0.45">
      <c r="A23" t="s">
        <v>18</v>
      </c>
      <c r="B23" t="s">
        <v>8</v>
      </c>
      <c r="C23" t="s">
        <v>21</v>
      </c>
      <c r="D23" s="24">
        <v>0</v>
      </c>
      <c r="E23" s="29" t="str">
        <f>'Hitung Per Bulan'!I23</f>
        <v/>
      </c>
      <c r="F23" s="24">
        <v>0</v>
      </c>
      <c r="G23" s="29" t="str">
        <f>'Hitung Per Bulan'!J23</f>
        <v/>
      </c>
    </row>
    <row r="24" spans="1:7" x14ac:dyDescent="0.45">
      <c r="A24" t="s">
        <v>19</v>
      </c>
      <c r="B24" t="s">
        <v>8</v>
      </c>
      <c r="C24" t="s">
        <v>21</v>
      </c>
      <c r="D24" s="24">
        <v>0</v>
      </c>
      <c r="E24" s="29" t="str">
        <f>'Hitung Per Bulan'!I24</f>
        <v/>
      </c>
      <c r="F24" s="24">
        <v>0</v>
      </c>
      <c r="G24" s="29" t="str">
        <f>'Hitung Per Bulan'!J24</f>
        <v/>
      </c>
    </row>
    <row r="25" spans="1:7" x14ac:dyDescent="0.45">
      <c r="A25" t="s">
        <v>20</v>
      </c>
      <c r="B25" t="s">
        <v>8</v>
      </c>
      <c r="C25" t="s">
        <v>21</v>
      </c>
      <c r="D25" s="24">
        <v>0</v>
      </c>
      <c r="E25" s="29" t="str">
        <f>'Hitung Per Bulan'!I25</f>
        <v/>
      </c>
      <c r="F25" s="24">
        <v>0</v>
      </c>
      <c r="G25" s="29" t="str">
        <f>'Hitung Per Bulan'!J25</f>
        <v/>
      </c>
    </row>
    <row r="26" spans="1:7" x14ac:dyDescent="0.45">
      <c r="A26" t="s">
        <v>7</v>
      </c>
      <c r="B26" t="s">
        <v>8</v>
      </c>
      <c r="C26" t="s">
        <v>22</v>
      </c>
      <c r="D26" s="24">
        <v>0</v>
      </c>
      <c r="E26" s="29">
        <f>'Hitung Per Bulan'!I26</f>
        <v>0</v>
      </c>
      <c r="F26" s="24">
        <v>0</v>
      </c>
      <c r="G26" s="29">
        <f>'Hitung Per Bulan'!J26</f>
        <v>0</v>
      </c>
    </row>
    <row r="27" spans="1:7" x14ac:dyDescent="0.45">
      <c r="A27" t="s">
        <v>10</v>
      </c>
      <c r="B27" t="s">
        <v>8</v>
      </c>
      <c r="C27" t="s">
        <v>22</v>
      </c>
      <c r="D27" s="24">
        <v>0</v>
      </c>
      <c r="E27" s="29">
        <f>'Hitung Per Bulan'!I27</f>
        <v>0</v>
      </c>
      <c r="F27" s="24">
        <v>0</v>
      </c>
      <c r="G27" s="29">
        <f>'Hitung Per Bulan'!J27</f>
        <v>0</v>
      </c>
    </row>
    <row r="28" spans="1:7" x14ac:dyDescent="0.45">
      <c r="A28" t="s">
        <v>11</v>
      </c>
      <c r="B28" t="s">
        <v>8</v>
      </c>
      <c r="C28" t="s">
        <v>22</v>
      </c>
      <c r="D28" s="24">
        <v>0</v>
      </c>
      <c r="E28" s="29">
        <f>'Hitung Per Bulan'!I28</f>
        <v>0</v>
      </c>
      <c r="F28" s="24">
        <v>0</v>
      </c>
      <c r="G28" s="29">
        <f>'Hitung Per Bulan'!J28</f>
        <v>0</v>
      </c>
    </row>
    <row r="29" spans="1:7" x14ac:dyDescent="0.45">
      <c r="A29" t="s">
        <v>12</v>
      </c>
      <c r="B29" t="s">
        <v>8</v>
      </c>
      <c r="C29" t="s">
        <v>22</v>
      </c>
      <c r="D29" s="24">
        <v>0</v>
      </c>
      <c r="E29" s="29" t="str">
        <f>'Hitung Per Bulan'!I29</f>
        <v/>
      </c>
      <c r="F29" s="24">
        <v>0</v>
      </c>
      <c r="G29" s="29" t="str">
        <f>'Hitung Per Bulan'!J29</f>
        <v/>
      </c>
    </row>
    <row r="30" spans="1:7" x14ac:dyDescent="0.45">
      <c r="A30" t="s">
        <v>13</v>
      </c>
      <c r="B30" t="s">
        <v>8</v>
      </c>
      <c r="C30" t="s">
        <v>22</v>
      </c>
      <c r="D30" s="24">
        <v>0</v>
      </c>
      <c r="E30" s="29" t="str">
        <f>'Hitung Per Bulan'!I30</f>
        <v/>
      </c>
      <c r="F30" s="24">
        <v>0</v>
      </c>
      <c r="G30" s="29" t="str">
        <f>'Hitung Per Bulan'!J30</f>
        <v/>
      </c>
    </row>
    <row r="31" spans="1:7" x14ac:dyDescent="0.45">
      <c r="A31" t="s">
        <v>14</v>
      </c>
      <c r="B31" t="s">
        <v>8</v>
      </c>
      <c r="C31" t="s">
        <v>22</v>
      </c>
      <c r="D31" s="24">
        <v>0</v>
      </c>
      <c r="E31" s="29" t="str">
        <f>'Hitung Per Bulan'!I31</f>
        <v/>
      </c>
      <c r="F31" s="24">
        <v>0</v>
      </c>
      <c r="G31" s="29" t="str">
        <f>'Hitung Per Bulan'!J31</f>
        <v/>
      </c>
    </row>
    <row r="32" spans="1:7" x14ac:dyDescent="0.45">
      <c r="A32" t="s">
        <v>15</v>
      </c>
      <c r="B32" t="s">
        <v>8</v>
      </c>
      <c r="C32" t="s">
        <v>22</v>
      </c>
      <c r="D32" s="24">
        <v>0</v>
      </c>
      <c r="E32" s="29" t="str">
        <f>'Hitung Per Bulan'!I32</f>
        <v/>
      </c>
      <c r="F32" s="24">
        <v>0</v>
      </c>
      <c r="G32" s="29" t="str">
        <f>'Hitung Per Bulan'!J32</f>
        <v/>
      </c>
    </row>
    <row r="33" spans="1:7" x14ac:dyDescent="0.45">
      <c r="A33" t="s">
        <v>16</v>
      </c>
      <c r="B33" t="s">
        <v>8</v>
      </c>
      <c r="C33" t="s">
        <v>22</v>
      </c>
      <c r="D33" s="24">
        <v>0</v>
      </c>
      <c r="E33" s="29" t="str">
        <f>'Hitung Per Bulan'!I33</f>
        <v/>
      </c>
      <c r="F33" s="24">
        <v>0</v>
      </c>
      <c r="G33" s="29" t="str">
        <f>'Hitung Per Bulan'!J33</f>
        <v/>
      </c>
    </row>
    <row r="34" spans="1:7" x14ac:dyDescent="0.45">
      <c r="A34" t="s">
        <v>17</v>
      </c>
      <c r="B34" t="s">
        <v>8</v>
      </c>
      <c r="C34" t="s">
        <v>22</v>
      </c>
      <c r="D34" s="24">
        <v>0</v>
      </c>
      <c r="E34" s="29" t="str">
        <f>'Hitung Per Bulan'!I34</f>
        <v/>
      </c>
      <c r="F34" s="24">
        <v>0</v>
      </c>
      <c r="G34" s="29" t="str">
        <f>'Hitung Per Bulan'!J34</f>
        <v/>
      </c>
    </row>
    <row r="35" spans="1:7" x14ac:dyDescent="0.45">
      <c r="A35" t="s">
        <v>18</v>
      </c>
      <c r="B35" t="s">
        <v>8</v>
      </c>
      <c r="C35" t="s">
        <v>22</v>
      </c>
      <c r="D35" s="24">
        <v>0</v>
      </c>
      <c r="E35" s="29" t="str">
        <f>'Hitung Per Bulan'!I35</f>
        <v/>
      </c>
      <c r="F35" s="24">
        <v>0</v>
      </c>
      <c r="G35" s="29" t="str">
        <f>'Hitung Per Bulan'!J35</f>
        <v/>
      </c>
    </row>
    <row r="36" spans="1:7" x14ac:dyDescent="0.45">
      <c r="A36" t="s">
        <v>19</v>
      </c>
      <c r="B36" t="s">
        <v>8</v>
      </c>
      <c r="C36" t="s">
        <v>22</v>
      </c>
      <c r="D36" s="24">
        <v>0</v>
      </c>
      <c r="E36" s="29" t="str">
        <f>'Hitung Per Bulan'!I36</f>
        <v/>
      </c>
      <c r="F36" s="24">
        <v>0</v>
      </c>
      <c r="G36" s="29" t="str">
        <f>'Hitung Per Bulan'!J36</f>
        <v/>
      </c>
    </row>
    <row r="37" spans="1:7" x14ac:dyDescent="0.45">
      <c r="A37" t="s">
        <v>20</v>
      </c>
      <c r="B37" t="s">
        <v>8</v>
      </c>
      <c r="C37" t="s">
        <v>22</v>
      </c>
      <c r="D37" s="24">
        <v>0</v>
      </c>
      <c r="E37" s="29" t="str">
        <f>'Hitung Per Bulan'!I37</f>
        <v/>
      </c>
      <c r="F37" s="24">
        <v>0</v>
      </c>
      <c r="G37" s="29" t="str">
        <f>'Hitung Per Bulan'!J37</f>
        <v/>
      </c>
    </row>
    <row r="38" spans="1:7" x14ac:dyDescent="0.45">
      <c r="A38" t="s">
        <v>7</v>
      </c>
      <c r="B38" t="s">
        <v>8</v>
      </c>
      <c r="C38" t="s">
        <v>23</v>
      </c>
      <c r="D38" s="24">
        <v>0</v>
      </c>
      <c r="E38" s="29">
        <f>'Hitung Per Bulan'!I38</f>
        <v>0</v>
      </c>
      <c r="F38" s="24">
        <v>0</v>
      </c>
      <c r="G38" s="29">
        <f>'Hitung Per Bulan'!J38</f>
        <v>0</v>
      </c>
    </row>
    <row r="39" spans="1:7" x14ac:dyDescent="0.45">
      <c r="A39" t="s">
        <v>10</v>
      </c>
      <c r="B39" t="s">
        <v>8</v>
      </c>
      <c r="C39" t="s">
        <v>23</v>
      </c>
      <c r="D39" s="24">
        <v>0</v>
      </c>
      <c r="E39" s="29">
        <f>'Hitung Per Bulan'!I39</f>
        <v>0</v>
      </c>
      <c r="F39" s="24">
        <v>0</v>
      </c>
      <c r="G39" s="29">
        <f>'Hitung Per Bulan'!J39</f>
        <v>0</v>
      </c>
    </row>
    <row r="40" spans="1:7" x14ac:dyDescent="0.45">
      <c r="A40" t="s">
        <v>11</v>
      </c>
      <c r="B40" t="s">
        <v>8</v>
      </c>
      <c r="C40" t="s">
        <v>23</v>
      </c>
      <c r="D40" s="24">
        <v>0</v>
      </c>
      <c r="E40" s="29">
        <f>'Hitung Per Bulan'!I40</f>
        <v>42457000</v>
      </c>
      <c r="F40" s="24">
        <v>0</v>
      </c>
      <c r="G40" s="29">
        <f>'Hitung Per Bulan'!J40</f>
        <v>0</v>
      </c>
    </row>
    <row r="41" spans="1:7" x14ac:dyDescent="0.45">
      <c r="A41" t="s">
        <v>12</v>
      </c>
      <c r="B41" t="s">
        <v>8</v>
      </c>
      <c r="C41" t="s">
        <v>23</v>
      </c>
      <c r="D41" s="24">
        <v>0</v>
      </c>
      <c r="E41" s="29" t="str">
        <f>'Hitung Per Bulan'!I41</f>
        <v/>
      </c>
      <c r="F41" s="24">
        <v>0</v>
      </c>
      <c r="G41" s="29" t="str">
        <f>'Hitung Per Bulan'!J41</f>
        <v/>
      </c>
    </row>
    <row r="42" spans="1:7" x14ac:dyDescent="0.45">
      <c r="A42" t="s">
        <v>13</v>
      </c>
      <c r="B42" t="s">
        <v>8</v>
      </c>
      <c r="C42" t="s">
        <v>23</v>
      </c>
      <c r="D42" s="24">
        <v>0</v>
      </c>
      <c r="E42" s="29" t="str">
        <f>'Hitung Per Bulan'!I42</f>
        <v/>
      </c>
      <c r="F42" s="24">
        <v>0</v>
      </c>
      <c r="G42" s="29" t="str">
        <f>'Hitung Per Bulan'!J42</f>
        <v/>
      </c>
    </row>
    <row r="43" spans="1:7" x14ac:dyDescent="0.45">
      <c r="A43" t="s">
        <v>14</v>
      </c>
      <c r="B43" t="s">
        <v>8</v>
      </c>
      <c r="C43" t="s">
        <v>23</v>
      </c>
      <c r="D43" s="24">
        <v>1600000000</v>
      </c>
      <c r="E43" s="29" t="str">
        <f>'Hitung Per Bulan'!I43</f>
        <v/>
      </c>
      <c r="F43" s="24">
        <v>0</v>
      </c>
      <c r="G43" s="29" t="str">
        <f>'Hitung Per Bulan'!J43</f>
        <v/>
      </c>
    </row>
    <row r="44" spans="1:7" x14ac:dyDescent="0.45">
      <c r="A44" t="s">
        <v>15</v>
      </c>
      <c r="B44" t="s">
        <v>8</v>
      </c>
      <c r="C44" t="s">
        <v>23</v>
      </c>
      <c r="D44" s="24">
        <v>0</v>
      </c>
      <c r="E44" s="29" t="str">
        <f>'Hitung Per Bulan'!I44</f>
        <v/>
      </c>
      <c r="F44" s="24">
        <v>0</v>
      </c>
      <c r="G44" s="29" t="str">
        <f>'Hitung Per Bulan'!J44</f>
        <v/>
      </c>
    </row>
    <row r="45" spans="1:7" x14ac:dyDescent="0.45">
      <c r="A45" t="s">
        <v>16</v>
      </c>
      <c r="B45" t="s">
        <v>8</v>
      </c>
      <c r="C45" t="s">
        <v>23</v>
      </c>
      <c r="D45" s="24">
        <v>0</v>
      </c>
      <c r="E45" s="29" t="str">
        <f>'Hitung Per Bulan'!I45</f>
        <v/>
      </c>
      <c r="F45" s="24">
        <v>1600000000</v>
      </c>
      <c r="G45" s="29" t="str">
        <f>'Hitung Per Bulan'!J45</f>
        <v/>
      </c>
    </row>
    <row r="46" spans="1:7" x14ac:dyDescent="0.45">
      <c r="A46" t="s">
        <v>17</v>
      </c>
      <c r="B46" t="s">
        <v>8</v>
      </c>
      <c r="C46" t="s">
        <v>23</v>
      </c>
      <c r="D46" s="24">
        <v>0</v>
      </c>
      <c r="E46" s="29" t="str">
        <f>'Hitung Per Bulan'!I46</f>
        <v/>
      </c>
      <c r="F46" s="24">
        <v>0</v>
      </c>
      <c r="G46" s="29" t="str">
        <f>'Hitung Per Bulan'!J46</f>
        <v/>
      </c>
    </row>
    <row r="47" spans="1:7" x14ac:dyDescent="0.45">
      <c r="A47" t="s">
        <v>18</v>
      </c>
      <c r="B47" t="s">
        <v>8</v>
      </c>
      <c r="C47" t="s">
        <v>23</v>
      </c>
      <c r="D47" s="24">
        <v>0</v>
      </c>
      <c r="E47" s="29" t="str">
        <f>'Hitung Per Bulan'!I47</f>
        <v/>
      </c>
      <c r="F47" s="24">
        <v>0</v>
      </c>
      <c r="G47" s="29" t="str">
        <f>'Hitung Per Bulan'!J47</f>
        <v/>
      </c>
    </row>
    <row r="48" spans="1:7" x14ac:dyDescent="0.45">
      <c r="A48" t="s">
        <v>19</v>
      </c>
      <c r="B48" t="s">
        <v>8</v>
      </c>
      <c r="C48" t="s">
        <v>23</v>
      </c>
      <c r="D48" s="24">
        <v>0</v>
      </c>
      <c r="E48" s="29" t="str">
        <f>'Hitung Per Bulan'!I48</f>
        <v/>
      </c>
      <c r="F48" s="24">
        <v>0</v>
      </c>
      <c r="G48" s="29" t="str">
        <f>'Hitung Per Bulan'!J48</f>
        <v/>
      </c>
    </row>
    <row r="49" spans="1:7" x14ac:dyDescent="0.45">
      <c r="A49" t="s">
        <v>20</v>
      </c>
      <c r="B49" t="s">
        <v>8</v>
      </c>
      <c r="C49" t="s">
        <v>23</v>
      </c>
      <c r="D49" s="24">
        <v>0</v>
      </c>
      <c r="E49" s="29" t="str">
        <f>'Hitung Per Bulan'!I49</f>
        <v/>
      </c>
      <c r="F49" s="24">
        <v>0</v>
      </c>
      <c r="G49" s="29" t="str">
        <f>'Hitung Per Bulan'!J49</f>
        <v/>
      </c>
    </row>
    <row r="50" spans="1:7" x14ac:dyDescent="0.45">
      <c r="A50" t="s">
        <v>7</v>
      </c>
      <c r="B50" t="s">
        <v>8</v>
      </c>
      <c r="C50" t="s">
        <v>24</v>
      </c>
      <c r="D50" s="24">
        <v>0</v>
      </c>
      <c r="E50" s="29">
        <f>'Hitung Per Bulan'!I50</f>
        <v>0</v>
      </c>
      <c r="F50" s="24">
        <v>0</v>
      </c>
      <c r="G50" s="29">
        <f>'Hitung Per Bulan'!J50</f>
        <v>0</v>
      </c>
    </row>
    <row r="51" spans="1:7" x14ac:dyDescent="0.45">
      <c r="A51" t="s">
        <v>10</v>
      </c>
      <c r="B51" t="s">
        <v>8</v>
      </c>
      <c r="C51" t="s">
        <v>24</v>
      </c>
      <c r="D51" s="24">
        <v>0</v>
      </c>
      <c r="E51" s="29">
        <f>'Hitung Per Bulan'!I51</f>
        <v>20986164</v>
      </c>
      <c r="F51" s="24">
        <v>0</v>
      </c>
      <c r="G51" s="29">
        <f>'Hitung Per Bulan'!J51</f>
        <v>0</v>
      </c>
    </row>
    <row r="52" spans="1:7" x14ac:dyDescent="0.45">
      <c r="A52" t="s">
        <v>11</v>
      </c>
      <c r="B52" t="s">
        <v>8</v>
      </c>
      <c r="C52" t="s">
        <v>24</v>
      </c>
      <c r="D52" s="24">
        <v>0</v>
      </c>
      <c r="E52" s="29">
        <f>'Hitung Per Bulan'!I52</f>
        <v>0</v>
      </c>
      <c r="F52" s="24">
        <v>0</v>
      </c>
      <c r="G52" s="29">
        <f>'Hitung Per Bulan'!J52</f>
        <v>0</v>
      </c>
    </row>
    <row r="53" spans="1:7" x14ac:dyDescent="0.45">
      <c r="A53" t="s">
        <v>12</v>
      </c>
      <c r="B53" t="s">
        <v>8</v>
      </c>
      <c r="C53" t="s">
        <v>24</v>
      </c>
      <c r="D53" s="24">
        <v>0</v>
      </c>
      <c r="E53" s="29" t="str">
        <f>'Hitung Per Bulan'!I53</f>
        <v/>
      </c>
      <c r="F53" s="24">
        <v>0</v>
      </c>
      <c r="G53" s="29" t="str">
        <f>'Hitung Per Bulan'!J53</f>
        <v/>
      </c>
    </row>
    <row r="54" spans="1:7" x14ac:dyDescent="0.45">
      <c r="A54" t="s">
        <v>13</v>
      </c>
      <c r="B54" t="s">
        <v>8</v>
      </c>
      <c r="C54" t="s">
        <v>24</v>
      </c>
      <c r="D54" s="24">
        <v>500000000</v>
      </c>
      <c r="E54" s="29" t="str">
        <f>'Hitung Per Bulan'!I54</f>
        <v/>
      </c>
      <c r="F54" s="24">
        <v>0</v>
      </c>
      <c r="G54" s="29" t="str">
        <f>'Hitung Per Bulan'!J54</f>
        <v/>
      </c>
    </row>
    <row r="55" spans="1:7" x14ac:dyDescent="0.45">
      <c r="A55" t="s">
        <v>14</v>
      </c>
      <c r="B55" t="s">
        <v>8</v>
      </c>
      <c r="C55" t="s">
        <v>24</v>
      </c>
      <c r="D55" s="24">
        <v>0</v>
      </c>
      <c r="E55" s="29" t="str">
        <f>'Hitung Per Bulan'!I55</f>
        <v/>
      </c>
      <c r="F55" s="24">
        <v>0</v>
      </c>
      <c r="G55" s="29" t="str">
        <f>'Hitung Per Bulan'!J55</f>
        <v/>
      </c>
    </row>
    <row r="56" spans="1:7" x14ac:dyDescent="0.45">
      <c r="A56" t="s">
        <v>15</v>
      </c>
      <c r="B56" t="s">
        <v>8</v>
      </c>
      <c r="C56" t="s">
        <v>24</v>
      </c>
      <c r="D56" s="24">
        <v>0</v>
      </c>
      <c r="E56" s="29" t="str">
        <f>'Hitung Per Bulan'!I56</f>
        <v/>
      </c>
      <c r="F56" s="24">
        <v>500000000</v>
      </c>
      <c r="G56" s="29" t="str">
        <f>'Hitung Per Bulan'!J56</f>
        <v/>
      </c>
    </row>
    <row r="57" spans="1:7" x14ac:dyDescent="0.45">
      <c r="A57" t="s">
        <v>16</v>
      </c>
      <c r="B57" t="s">
        <v>8</v>
      </c>
      <c r="C57" t="s">
        <v>24</v>
      </c>
      <c r="D57" s="24">
        <v>0</v>
      </c>
      <c r="E57" s="29" t="str">
        <f>'Hitung Per Bulan'!I57</f>
        <v/>
      </c>
      <c r="F57" s="24">
        <v>0</v>
      </c>
      <c r="G57" s="29" t="str">
        <f>'Hitung Per Bulan'!J57</f>
        <v/>
      </c>
    </row>
    <row r="58" spans="1:7" x14ac:dyDescent="0.45">
      <c r="A58" t="s">
        <v>17</v>
      </c>
      <c r="B58" t="s">
        <v>8</v>
      </c>
      <c r="C58" t="s">
        <v>24</v>
      </c>
      <c r="D58" s="24">
        <v>0</v>
      </c>
      <c r="E58" s="29" t="str">
        <f>'Hitung Per Bulan'!I58</f>
        <v/>
      </c>
      <c r="F58" s="24">
        <v>0</v>
      </c>
      <c r="G58" s="29" t="str">
        <f>'Hitung Per Bulan'!J58</f>
        <v/>
      </c>
    </row>
    <row r="59" spans="1:7" x14ac:dyDescent="0.45">
      <c r="A59" t="s">
        <v>18</v>
      </c>
      <c r="B59" t="s">
        <v>8</v>
      </c>
      <c r="C59" t="s">
        <v>24</v>
      </c>
      <c r="D59" s="24">
        <v>0</v>
      </c>
      <c r="E59" s="29" t="str">
        <f>'Hitung Per Bulan'!I59</f>
        <v/>
      </c>
      <c r="F59" s="24">
        <v>0</v>
      </c>
      <c r="G59" s="29" t="str">
        <f>'Hitung Per Bulan'!J59</f>
        <v/>
      </c>
    </row>
    <row r="60" spans="1:7" x14ac:dyDescent="0.45">
      <c r="A60" t="s">
        <v>19</v>
      </c>
      <c r="B60" t="s">
        <v>8</v>
      </c>
      <c r="C60" t="s">
        <v>24</v>
      </c>
      <c r="D60" s="24">
        <v>0</v>
      </c>
      <c r="E60" s="29" t="str">
        <f>'Hitung Per Bulan'!I60</f>
        <v/>
      </c>
      <c r="F60" s="24">
        <v>0</v>
      </c>
      <c r="G60" s="29" t="str">
        <f>'Hitung Per Bulan'!J60</f>
        <v/>
      </c>
    </row>
    <row r="61" spans="1:7" x14ac:dyDescent="0.45">
      <c r="A61" t="s">
        <v>20</v>
      </c>
      <c r="B61" t="s">
        <v>8</v>
      </c>
      <c r="C61" t="s">
        <v>24</v>
      </c>
      <c r="D61" s="24">
        <v>0</v>
      </c>
      <c r="E61" s="29" t="str">
        <f>'Hitung Per Bulan'!I61</f>
        <v/>
      </c>
      <c r="F61" s="24">
        <v>0</v>
      </c>
      <c r="G61" s="29" t="str">
        <f>'Hitung Per Bulan'!J61</f>
        <v/>
      </c>
    </row>
    <row r="62" spans="1:7" x14ac:dyDescent="0.45">
      <c r="A62" t="s">
        <v>7</v>
      </c>
      <c r="B62" t="s">
        <v>8</v>
      </c>
      <c r="C62" t="s">
        <v>25</v>
      </c>
      <c r="D62" s="24">
        <v>163000000</v>
      </c>
      <c r="E62" s="29">
        <f>'Hitung Per Bulan'!I62</f>
        <v>186171889</v>
      </c>
      <c r="F62" s="24">
        <v>113000000</v>
      </c>
      <c r="G62" s="29">
        <f>'Hitung Per Bulan'!J62</f>
        <v>121841700</v>
      </c>
    </row>
    <row r="63" spans="1:7" x14ac:dyDescent="0.45">
      <c r="A63" t="s">
        <v>10</v>
      </c>
      <c r="B63" t="s">
        <v>8</v>
      </c>
      <c r="C63" t="s">
        <v>25</v>
      </c>
      <c r="D63" s="24">
        <v>243000000</v>
      </c>
      <c r="E63" s="29">
        <f>'Hitung Per Bulan'!I63</f>
        <v>171284525</v>
      </c>
      <c r="F63" s="24">
        <v>243000000</v>
      </c>
      <c r="G63" s="29">
        <f>'Hitung Per Bulan'!J63</f>
        <v>143833500</v>
      </c>
    </row>
    <row r="64" spans="1:7" x14ac:dyDescent="0.45">
      <c r="A64" t="s">
        <v>11</v>
      </c>
      <c r="B64" t="s">
        <v>8</v>
      </c>
      <c r="C64" t="s">
        <v>25</v>
      </c>
      <c r="D64" s="24">
        <v>443000000</v>
      </c>
      <c r="E64" s="29">
        <f>'Hitung Per Bulan'!I64</f>
        <v>61678750</v>
      </c>
      <c r="F64" s="24">
        <v>243000000</v>
      </c>
      <c r="G64" s="29">
        <f>'Hitung Per Bulan'!J64</f>
        <v>62518750</v>
      </c>
    </row>
    <row r="65" spans="1:7" x14ac:dyDescent="0.45">
      <c r="A65" t="s">
        <v>12</v>
      </c>
      <c r="B65" t="s">
        <v>8</v>
      </c>
      <c r="C65" t="s">
        <v>25</v>
      </c>
      <c r="D65" s="24">
        <f>1993000000+500000000</f>
        <v>2493000000</v>
      </c>
      <c r="E65" s="29" t="str">
        <f>'Hitung Per Bulan'!I65</f>
        <v/>
      </c>
      <c r="F65" s="24">
        <v>1243000000</v>
      </c>
      <c r="G65" s="29" t="str">
        <f>'Hitung Per Bulan'!J65</f>
        <v/>
      </c>
    </row>
    <row r="66" spans="1:7" x14ac:dyDescent="0.45">
      <c r="A66" t="s">
        <v>13</v>
      </c>
      <c r="B66" t="s">
        <v>8</v>
      </c>
      <c r="C66" t="s">
        <v>25</v>
      </c>
      <c r="D66" s="24">
        <v>593000000</v>
      </c>
      <c r="E66" s="29" t="str">
        <f>'Hitung Per Bulan'!I66</f>
        <v/>
      </c>
      <c r="F66" s="24">
        <f>593000000+1500000000</f>
        <v>2093000000</v>
      </c>
      <c r="G66" s="29" t="str">
        <f>'Hitung Per Bulan'!J66</f>
        <v/>
      </c>
    </row>
    <row r="67" spans="1:7" x14ac:dyDescent="0.45">
      <c r="A67" t="s">
        <v>14</v>
      </c>
      <c r="B67" t="s">
        <v>8</v>
      </c>
      <c r="C67" t="s">
        <v>25</v>
      </c>
      <c r="D67" s="24">
        <f>513000000+1000000000</f>
        <v>1513000000</v>
      </c>
      <c r="E67" s="29" t="str">
        <f>'Hitung Per Bulan'!I67</f>
        <v/>
      </c>
      <c r="F67" s="24">
        <v>1043000000</v>
      </c>
      <c r="G67" s="29" t="str">
        <f>'Hitung Per Bulan'!J67</f>
        <v/>
      </c>
    </row>
    <row r="68" spans="1:7" x14ac:dyDescent="0.45">
      <c r="A68" t="s">
        <v>15</v>
      </c>
      <c r="B68" t="s">
        <v>8</v>
      </c>
      <c r="C68" t="s">
        <v>25</v>
      </c>
      <c r="D68" s="24">
        <v>943000000</v>
      </c>
      <c r="E68" s="29" t="str">
        <f>'Hitung Per Bulan'!I68</f>
        <v/>
      </c>
      <c r="F68" s="24">
        <v>963000000</v>
      </c>
      <c r="G68" s="29" t="str">
        <f>'Hitung Per Bulan'!J68</f>
        <v/>
      </c>
    </row>
    <row r="69" spans="1:7" x14ac:dyDescent="0.45">
      <c r="A69" t="s">
        <v>16</v>
      </c>
      <c r="B69" t="s">
        <v>8</v>
      </c>
      <c r="C69" t="s">
        <v>25</v>
      </c>
      <c r="D69" s="24">
        <v>543000000</v>
      </c>
      <c r="E69" s="29" t="str">
        <f>'Hitung Per Bulan'!I69</f>
        <v/>
      </c>
      <c r="F69" s="24">
        <v>443000000</v>
      </c>
      <c r="G69" s="29" t="str">
        <f>'Hitung Per Bulan'!J69</f>
        <v/>
      </c>
    </row>
    <row r="70" spans="1:7" x14ac:dyDescent="0.45">
      <c r="A70" t="s">
        <v>17</v>
      </c>
      <c r="B70" t="s">
        <v>8</v>
      </c>
      <c r="C70" t="s">
        <v>25</v>
      </c>
      <c r="D70" s="24">
        <v>293000000</v>
      </c>
      <c r="E70" s="29" t="str">
        <f>'Hitung Per Bulan'!I70</f>
        <v/>
      </c>
      <c r="F70" s="24">
        <v>493000000</v>
      </c>
      <c r="G70" s="29" t="str">
        <f>'Hitung Per Bulan'!J70</f>
        <v/>
      </c>
    </row>
    <row r="71" spans="1:7" x14ac:dyDescent="0.45">
      <c r="A71" t="s">
        <v>18</v>
      </c>
      <c r="B71" t="s">
        <v>8</v>
      </c>
      <c r="C71" t="s">
        <v>25</v>
      </c>
      <c r="D71" s="24">
        <v>413000000</v>
      </c>
      <c r="E71" s="29" t="str">
        <f>'Hitung Per Bulan'!I71</f>
        <v/>
      </c>
      <c r="F71" s="24">
        <v>663000000</v>
      </c>
      <c r="G71" s="29" t="str">
        <f>'Hitung Per Bulan'!J71</f>
        <v/>
      </c>
    </row>
    <row r="72" spans="1:7" x14ac:dyDescent="0.45">
      <c r="A72" t="s">
        <v>19</v>
      </c>
      <c r="B72" t="s">
        <v>8</v>
      </c>
      <c r="C72" t="s">
        <v>25</v>
      </c>
      <c r="D72" s="24">
        <v>193000000</v>
      </c>
      <c r="E72" s="29" t="str">
        <f>'Hitung Per Bulan'!I72</f>
        <v/>
      </c>
      <c r="F72" s="24">
        <v>293000000</v>
      </c>
      <c r="G72" s="29" t="str">
        <f>'Hitung Per Bulan'!J72</f>
        <v/>
      </c>
    </row>
    <row r="73" spans="1:7" x14ac:dyDescent="0.45">
      <c r="A73" t="s">
        <v>20</v>
      </c>
      <c r="B73" t="s">
        <v>8</v>
      </c>
      <c r="C73" t="s">
        <v>25</v>
      </c>
      <c r="D73" s="24">
        <v>113000000</v>
      </c>
      <c r="E73" s="29" t="str">
        <f>'Hitung Per Bulan'!I73</f>
        <v/>
      </c>
      <c r="F73" s="24">
        <v>113000000</v>
      </c>
      <c r="G73" s="29" t="str">
        <f>'Hitung Per Bulan'!J73</f>
        <v/>
      </c>
    </row>
    <row r="74" spans="1:7" x14ac:dyDescent="0.45">
      <c r="A74" t="s">
        <v>7</v>
      </c>
      <c r="B74" t="s">
        <v>8</v>
      </c>
      <c r="C74" t="s">
        <v>26</v>
      </c>
      <c r="D74" s="24">
        <v>310000000</v>
      </c>
      <c r="E74" s="29">
        <f>'Hitung Per Bulan'!I74</f>
        <v>275097724</v>
      </c>
      <c r="F74" s="24">
        <v>310000000</v>
      </c>
      <c r="G74" s="29">
        <f>'Hitung Per Bulan'!J74</f>
        <v>275097724</v>
      </c>
    </row>
    <row r="75" spans="1:7" x14ac:dyDescent="0.45">
      <c r="A75" t="s">
        <v>10</v>
      </c>
      <c r="B75" t="s">
        <v>8</v>
      </c>
      <c r="C75" t="s">
        <v>26</v>
      </c>
      <c r="D75" s="24">
        <v>310000000</v>
      </c>
      <c r="E75" s="29">
        <f>'Hitung Per Bulan'!I75</f>
        <v>626594334</v>
      </c>
      <c r="F75" s="24">
        <v>310000000</v>
      </c>
      <c r="G75" s="29">
        <f>'Hitung Per Bulan'!J75</f>
        <v>626594334</v>
      </c>
    </row>
    <row r="76" spans="1:7" x14ac:dyDescent="0.45">
      <c r="A76" t="s">
        <v>11</v>
      </c>
      <c r="B76" t="s">
        <v>8</v>
      </c>
      <c r="C76" t="s">
        <v>26</v>
      </c>
      <c r="D76" s="24">
        <v>310000000</v>
      </c>
      <c r="E76" s="29">
        <f>'Hitung Per Bulan'!I76</f>
        <v>66225547</v>
      </c>
      <c r="F76" s="24">
        <v>310000000</v>
      </c>
      <c r="G76" s="29">
        <f>'Hitung Per Bulan'!J76</f>
        <v>66225547</v>
      </c>
    </row>
    <row r="77" spans="1:7" x14ac:dyDescent="0.45">
      <c r="A77" t="s">
        <v>12</v>
      </c>
      <c r="B77" t="s">
        <v>8</v>
      </c>
      <c r="C77" t="s">
        <v>26</v>
      </c>
      <c r="D77" s="24">
        <v>420000000</v>
      </c>
      <c r="E77" s="29" t="str">
        <f>'Hitung Per Bulan'!I77</f>
        <v/>
      </c>
      <c r="F77" s="24">
        <v>420000000</v>
      </c>
      <c r="G77" s="29" t="str">
        <f>'Hitung Per Bulan'!J77</f>
        <v/>
      </c>
    </row>
    <row r="78" spans="1:7" x14ac:dyDescent="0.45">
      <c r="A78" t="s">
        <v>13</v>
      </c>
      <c r="B78" t="s">
        <v>8</v>
      </c>
      <c r="C78" t="s">
        <v>26</v>
      </c>
      <c r="D78" s="24">
        <v>420000000</v>
      </c>
      <c r="E78" s="29" t="str">
        <f>'Hitung Per Bulan'!I78</f>
        <v/>
      </c>
      <c r="F78" s="24">
        <v>420000000</v>
      </c>
      <c r="G78" s="29" t="str">
        <f>'Hitung Per Bulan'!J78</f>
        <v/>
      </c>
    </row>
    <row r="79" spans="1:7" x14ac:dyDescent="0.45">
      <c r="A79" t="s">
        <v>14</v>
      </c>
      <c r="B79" t="s">
        <v>8</v>
      </c>
      <c r="C79" t="s">
        <v>26</v>
      </c>
      <c r="D79" s="24">
        <v>420000000</v>
      </c>
      <c r="E79" s="29" t="str">
        <f>'Hitung Per Bulan'!I79</f>
        <v/>
      </c>
      <c r="F79" s="24">
        <v>420000000</v>
      </c>
      <c r="G79" s="29" t="str">
        <f>'Hitung Per Bulan'!J79</f>
        <v/>
      </c>
    </row>
    <row r="80" spans="1:7" x14ac:dyDescent="0.45">
      <c r="A80" t="s">
        <v>15</v>
      </c>
      <c r="B80" t="s">
        <v>8</v>
      </c>
      <c r="C80" t="s">
        <v>26</v>
      </c>
      <c r="D80" s="24">
        <v>420000000</v>
      </c>
      <c r="E80" s="29" t="str">
        <f>'Hitung Per Bulan'!I80</f>
        <v/>
      </c>
      <c r="F80" s="24">
        <v>420000000</v>
      </c>
      <c r="G80" s="29" t="str">
        <f>'Hitung Per Bulan'!J80</f>
        <v/>
      </c>
    </row>
    <row r="81" spans="1:7" x14ac:dyDescent="0.45">
      <c r="A81" t="s">
        <v>16</v>
      </c>
      <c r="B81" t="s">
        <v>8</v>
      </c>
      <c r="C81" t="s">
        <v>26</v>
      </c>
      <c r="D81" s="24">
        <v>370000000</v>
      </c>
      <c r="E81" s="29" t="str">
        <f>'Hitung Per Bulan'!I81</f>
        <v/>
      </c>
      <c r="F81" s="24">
        <v>370000000</v>
      </c>
      <c r="G81" s="29" t="str">
        <f>'Hitung Per Bulan'!J81</f>
        <v/>
      </c>
    </row>
    <row r="82" spans="1:7" x14ac:dyDescent="0.45">
      <c r="A82" t="s">
        <v>17</v>
      </c>
      <c r="B82" t="s">
        <v>8</v>
      </c>
      <c r="C82" t="s">
        <v>26</v>
      </c>
      <c r="D82" s="24">
        <v>400000000</v>
      </c>
      <c r="E82" s="29" t="str">
        <f>'Hitung Per Bulan'!I82</f>
        <v/>
      </c>
      <c r="F82" s="24">
        <v>400000000</v>
      </c>
      <c r="G82" s="29" t="str">
        <f>'Hitung Per Bulan'!J82</f>
        <v/>
      </c>
    </row>
    <row r="83" spans="1:7" x14ac:dyDescent="0.45">
      <c r="A83" t="s">
        <v>18</v>
      </c>
      <c r="B83" t="s">
        <v>8</v>
      </c>
      <c r="C83" t="s">
        <v>26</v>
      </c>
      <c r="D83" s="24">
        <v>400000000</v>
      </c>
      <c r="E83" s="29" t="str">
        <f>'Hitung Per Bulan'!I83</f>
        <v/>
      </c>
      <c r="F83" s="24">
        <v>400000000</v>
      </c>
      <c r="G83" s="29" t="str">
        <f>'Hitung Per Bulan'!J83</f>
        <v/>
      </c>
    </row>
    <row r="84" spans="1:7" x14ac:dyDescent="0.45">
      <c r="A84" t="s">
        <v>19</v>
      </c>
      <c r="B84" t="s">
        <v>8</v>
      </c>
      <c r="C84" t="s">
        <v>26</v>
      </c>
      <c r="D84" s="24">
        <v>400000000</v>
      </c>
      <c r="E84" s="29" t="str">
        <f>'Hitung Per Bulan'!I84</f>
        <v/>
      </c>
      <c r="F84" s="24">
        <v>400000000</v>
      </c>
      <c r="G84" s="29" t="str">
        <f>'Hitung Per Bulan'!J84</f>
        <v/>
      </c>
    </row>
    <row r="85" spans="1:7" x14ac:dyDescent="0.45">
      <c r="A85" t="s">
        <v>20</v>
      </c>
      <c r="B85" t="s">
        <v>8</v>
      </c>
      <c r="C85" t="s">
        <v>26</v>
      </c>
      <c r="D85" s="24">
        <v>320000000</v>
      </c>
      <c r="E85" s="29" t="str">
        <f>'Hitung Per Bulan'!I85</f>
        <v/>
      </c>
      <c r="F85" s="24">
        <v>320000000</v>
      </c>
      <c r="G85" s="29" t="str">
        <f>'Hitung Per Bulan'!J85</f>
        <v/>
      </c>
    </row>
    <row r="86" spans="1:7" x14ac:dyDescent="0.45">
      <c r="A86" t="s">
        <v>7</v>
      </c>
      <c r="B86" t="s">
        <v>27</v>
      </c>
      <c r="C86" t="s">
        <v>9</v>
      </c>
      <c r="D86" s="24">
        <v>4665461000</v>
      </c>
      <c r="E86" s="29">
        <f>'Hitung Per Bulan'!I86</f>
        <v>6757574628</v>
      </c>
      <c r="F86" s="24">
        <v>0</v>
      </c>
      <c r="G86" s="29">
        <f>'Hitung Per Bulan'!J86</f>
        <v>0</v>
      </c>
    </row>
    <row r="87" spans="1:7" x14ac:dyDescent="0.45">
      <c r="A87" t="s">
        <v>10</v>
      </c>
      <c r="B87" t="s">
        <v>27</v>
      </c>
      <c r="C87" t="s">
        <v>9</v>
      </c>
      <c r="D87" s="24">
        <v>11366334000</v>
      </c>
      <c r="E87" s="29">
        <f>'Hitung Per Bulan'!I87</f>
        <v>10678407138</v>
      </c>
      <c r="F87" s="24">
        <v>25000000</v>
      </c>
      <c r="G87" s="29">
        <f>'Hitung Per Bulan'!J87</f>
        <v>0</v>
      </c>
    </row>
    <row r="88" spans="1:7" x14ac:dyDescent="0.45">
      <c r="A88" t="s">
        <v>11</v>
      </c>
      <c r="B88" t="s">
        <v>27</v>
      </c>
      <c r="C88" t="s">
        <v>9</v>
      </c>
      <c r="D88" s="24">
        <v>2740514000</v>
      </c>
      <c r="E88" s="29">
        <f>'Hitung Per Bulan'!I88</f>
        <v>3830357281</v>
      </c>
      <c r="F88" s="24">
        <v>190000000</v>
      </c>
      <c r="G88" s="29">
        <f>'Hitung Per Bulan'!J88</f>
        <v>704063152</v>
      </c>
    </row>
    <row r="89" spans="1:7" x14ac:dyDescent="0.45">
      <c r="A89" t="s">
        <v>12</v>
      </c>
      <c r="B89" t="s">
        <v>27</v>
      </c>
      <c r="C89" t="s">
        <v>9</v>
      </c>
      <c r="D89" s="24">
        <v>6894664000</v>
      </c>
      <c r="E89" s="29" t="str">
        <f>'Hitung Per Bulan'!I89</f>
        <v/>
      </c>
      <c r="F89" s="24">
        <v>395000000</v>
      </c>
      <c r="G89" s="29" t="str">
        <f>'Hitung Per Bulan'!J89</f>
        <v/>
      </c>
    </row>
    <row r="90" spans="1:7" x14ac:dyDescent="0.45">
      <c r="A90" t="s">
        <v>13</v>
      </c>
      <c r="B90" t="s">
        <v>27</v>
      </c>
      <c r="C90" t="s">
        <v>9</v>
      </c>
      <c r="D90" s="24">
        <v>8472689000</v>
      </c>
      <c r="E90" s="29" t="str">
        <f>'Hitung Per Bulan'!I90</f>
        <v/>
      </c>
      <c r="F90" s="24">
        <v>265000000</v>
      </c>
      <c r="G90" s="29" t="str">
        <f>'Hitung Per Bulan'!J90</f>
        <v/>
      </c>
    </row>
    <row r="91" spans="1:7" x14ac:dyDescent="0.45">
      <c r="A91" t="s">
        <v>14</v>
      </c>
      <c r="B91" t="s">
        <v>27</v>
      </c>
      <c r="C91" t="s">
        <v>9</v>
      </c>
      <c r="D91" s="24">
        <v>4435000000</v>
      </c>
      <c r="E91" s="29" t="str">
        <f>'Hitung Per Bulan'!I91</f>
        <v/>
      </c>
      <c r="F91" s="24">
        <v>522951000</v>
      </c>
      <c r="G91" s="29" t="str">
        <f>'Hitung Per Bulan'!J91</f>
        <v/>
      </c>
    </row>
    <row r="92" spans="1:7" x14ac:dyDescent="0.45">
      <c r="A92" t="s">
        <v>15</v>
      </c>
      <c r="B92" t="s">
        <v>27</v>
      </c>
      <c r="C92" t="s">
        <v>9</v>
      </c>
      <c r="D92" s="24">
        <v>4737908000</v>
      </c>
      <c r="E92" s="29" t="str">
        <f>'Hitung Per Bulan'!I92</f>
        <v/>
      </c>
      <c r="F92" s="24">
        <v>715000000</v>
      </c>
      <c r="G92" s="29" t="str">
        <f>'Hitung Per Bulan'!J92</f>
        <v/>
      </c>
    </row>
    <row r="93" spans="1:7" x14ac:dyDescent="0.45">
      <c r="A93" t="s">
        <v>16</v>
      </c>
      <c r="B93" t="s">
        <v>27</v>
      </c>
      <c r="C93" t="s">
        <v>9</v>
      </c>
      <c r="D93" s="24">
        <v>3937205000</v>
      </c>
      <c r="E93" s="29" t="str">
        <f>'Hitung Per Bulan'!I93</f>
        <v/>
      </c>
      <c r="F93" s="24">
        <v>3151788000</v>
      </c>
      <c r="G93" s="29" t="str">
        <f>'Hitung Per Bulan'!J93</f>
        <v/>
      </c>
    </row>
    <row r="94" spans="1:7" x14ac:dyDescent="0.45">
      <c r="A94" t="s">
        <v>17</v>
      </c>
      <c r="B94" t="s">
        <v>27</v>
      </c>
      <c r="C94" t="s">
        <v>9</v>
      </c>
      <c r="D94" s="24">
        <v>2045000000</v>
      </c>
      <c r="E94" s="29" t="str">
        <f>'Hitung Per Bulan'!I94</f>
        <v/>
      </c>
      <c r="F94" s="24">
        <v>2748727000</v>
      </c>
      <c r="G94" s="29" t="str">
        <f>'Hitung Per Bulan'!J94</f>
        <v/>
      </c>
    </row>
    <row r="95" spans="1:7" x14ac:dyDescent="0.45">
      <c r="A95" t="s">
        <v>18</v>
      </c>
      <c r="B95" t="s">
        <v>27</v>
      </c>
      <c r="C95" t="s">
        <v>9</v>
      </c>
      <c r="D95" s="24">
        <v>315000000</v>
      </c>
      <c r="E95" s="29" t="str">
        <f>'Hitung Per Bulan'!I95</f>
        <v/>
      </c>
      <c r="F95" s="24">
        <v>5334544000</v>
      </c>
      <c r="G95" s="29" t="str">
        <f>'Hitung Per Bulan'!J95</f>
        <v/>
      </c>
    </row>
    <row r="96" spans="1:7" x14ac:dyDescent="0.45">
      <c r="A96" t="s">
        <v>19</v>
      </c>
      <c r="B96" t="s">
        <v>27</v>
      </c>
      <c r="C96" t="s">
        <v>9</v>
      </c>
      <c r="D96" s="24">
        <v>520000000</v>
      </c>
      <c r="E96" s="29" t="str">
        <f>'Hitung Per Bulan'!I96</f>
        <v/>
      </c>
      <c r="F96" s="24">
        <v>17620156000</v>
      </c>
      <c r="G96" s="29" t="str">
        <f>'Hitung Per Bulan'!J96</f>
        <v/>
      </c>
    </row>
    <row r="97" spans="1:7" x14ac:dyDescent="0.45">
      <c r="A97" t="s">
        <v>20</v>
      </c>
      <c r="B97" t="s">
        <v>27</v>
      </c>
      <c r="C97" t="s">
        <v>9</v>
      </c>
      <c r="D97" s="24">
        <v>125000000</v>
      </c>
      <c r="E97" s="29" t="str">
        <f>'Hitung Per Bulan'!I97</f>
        <v/>
      </c>
      <c r="F97" s="24">
        <v>19286609000</v>
      </c>
      <c r="G97" s="29" t="str">
        <f>'Hitung Per Bulan'!J97</f>
        <v/>
      </c>
    </row>
    <row r="98" spans="1:7" x14ac:dyDescent="0.45">
      <c r="A98" t="s">
        <v>7</v>
      </c>
      <c r="B98" t="s">
        <v>27</v>
      </c>
      <c r="C98" t="s">
        <v>21</v>
      </c>
      <c r="D98" s="24">
        <v>35000000</v>
      </c>
      <c r="E98" s="29">
        <f>'Hitung Per Bulan'!I98</f>
        <v>34500000</v>
      </c>
      <c r="F98" s="24">
        <v>0</v>
      </c>
      <c r="G98" s="29">
        <f>'Hitung Per Bulan'!J98</f>
        <v>0</v>
      </c>
    </row>
    <row r="99" spans="1:7" x14ac:dyDescent="0.45">
      <c r="A99" t="s">
        <v>10</v>
      </c>
      <c r="B99" t="s">
        <v>27</v>
      </c>
      <c r="C99" t="s">
        <v>21</v>
      </c>
      <c r="D99" s="24">
        <v>635000000</v>
      </c>
      <c r="E99" s="29">
        <f>'Hitung Per Bulan'!I99</f>
        <v>113020000</v>
      </c>
      <c r="F99" s="24">
        <v>35000000</v>
      </c>
      <c r="G99" s="29">
        <f>'Hitung Per Bulan'!J99</f>
        <v>34500000</v>
      </c>
    </row>
    <row r="100" spans="1:7" x14ac:dyDescent="0.45">
      <c r="A100" t="s">
        <v>11</v>
      </c>
      <c r="B100" t="s">
        <v>27</v>
      </c>
      <c r="C100" t="s">
        <v>21</v>
      </c>
      <c r="D100" s="24">
        <v>85000000</v>
      </c>
      <c r="E100" s="29">
        <f>'Hitung Per Bulan'!I100</f>
        <v>383400000</v>
      </c>
      <c r="F100" s="24">
        <v>135000000</v>
      </c>
      <c r="G100" s="29">
        <f>'Hitung Per Bulan'!J100</f>
        <v>34500000</v>
      </c>
    </row>
    <row r="101" spans="1:7" x14ac:dyDescent="0.45">
      <c r="A101" t="s">
        <v>12</v>
      </c>
      <c r="B101" t="s">
        <v>27</v>
      </c>
      <c r="C101" t="s">
        <v>21</v>
      </c>
      <c r="D101" s="24">
        <v>1635000000</v>
      </c>
      <c r="E101" s="29" t="str">
        <f>'Hitung Per Bulan'!I101</f>
        <v/>
      </c>
      <c r="F101" s="24">
        <v>85000000</v>
      </c>
      <c r="G101" s="29" t="str">
        <f>'Hitung Per Bulan'!J101</f>
        <v/>
      </c>
    </row>
    <row r="102" spans="1:7" x14ac:dyDescent="0.45">
      <c r="A102" t="s">
        <v>13</v>
      </c>
      <c r="B102" t="s">
        <v>27</v>
      </c>
      <c r="C102" t="s">
        <v>21</v>
      </c>
      <c r="D102" s="24">
        <v>335000000</v>
      </c>
      <c r="E102" s="29" t="str">
        <f>'Hitung Per Bulan'!I102</f>
        <v/>
      </c>
      <c r="F102" s="24">
        <v>185000000</v>
      </c>
      <c r="G102" s="29" t="str">
        <f>'Hitung Per Bulan'!J102</f>
        <v/>
      </c>
    </row>
    <row r="103" spans="1:7" x14ac:dyDescent="0.45">
      <c r="A103" t="s">
        <v>14</v>
      </c>
      <c r="B103" t="s">
        <v>27</v>
      </c>
      <c r="C103" t="s">
        <v>21</v>
      </c>
      <c r="D103" s="24">
        <v>685000000</v>
      </c>
      <c r="E103" s="29" t="str">
        <f>'Hitung Per Bulan'!I103</f>
        <v/>
      </c>
      <c r="F103" s="24">
        <v>85000000</v>
      </c>
      <c r="G103" s="29" t="str">
        <f>'Hitung Per Bulan'!J103</f>
        <v/>
      </c>
    </row>
    <row r="104" spans="1:7" x14ac:dyDescent="0.45">
      <c r="A104" t="s">
        <v>15</v>
      </c>
      <c r="B104" t="s">
        <v>27</v>
      </c>
      <c r="C104" t="s">
        <v>21</v>
      </c>
      <c r="D104" s="24">
        <v>885000000</v>
      </c>
      <c r="E104" s="29" t="str">
        <f>'Hitung Per Bulan'!I104</f>
        <v/>
      </c>
      <c r="F104" s="24">
        <v>685000000</v>
      </c>
      <c r="G104" s="29" t="str">
        <f>'Hitung Per Bulan'!J104</f>
        <v/>
      </c>
    </row>
    <row r="105" spans="1:7" x14ac:dyDescent="0.45">
      <c r="A105" t="s">
        <v>16</v>
      </c>
      <c r="B105" t="s">
        <v>27</v>
      </c>
      <c r="C105" t="s">
        <v>21</v>
      </c>
      <c r="D105" s="24">
        <v>685000000</v>
      </c>
      <c r="E105" s="29" t="str">
        <f>'Hitung Per Bulan'!I105</f>
        <v/>
      </c>
      <c r="F105" s="24">
        <v>1285000000</v>
      </c>
      <c r="G105" s="29" t="str">
        <f>'Hitung Per Bulan'!J105</f>
        <v/>
      </c>
    </row>
    <row r="106" spans="1:7" x14ac:dyDescent="0.45">
      <c r="A106" t="s">
        <v>17</v>
      </c>
      <c r="B106" t="s">
        <v>27</v>
      </c>
      <c r="C106" t="s">
        <v>21</v>
      </c>
      <c r="D106" s="24">
        <v>535000000</v>
      </c>
      <c r="E106" s="29" t="str">
        <f>'Hitung Per Bulan'!I106</f>
        <v/>
      </c>
      <c r="F106" s="24">
        <v>185000000</v>
      </c>
      <c r="G106" s="29" t="str">
        <f>'Hitung Per Bulan'!J106</f>
        <v/>
      </c>
    </row>
    <row r="107" spans="1:7" x14ac:dyDescent="0.45">
      <c r="A107" t="s">
        <v>18</v>
      </c>
      <c r="B107" t="s">
        <v>27</v>
      </c>
      <c r="C107" t="s">
        <v>21</v>
      </c>
      <c r="D107" s="24">
        <v>635000000</v>
      </c>
      <c r="E107" s="29" t="str">
        <f>'Hitung Per Bulan'!I107</f>
        <v/>
      </c>
      <c r="F107" s="24">
        <v>585000000</v>
      </c>
      <c r="G107" s="29" t="str">
        <f>'Hitung Per Bulan'!J107</f>
        <v/>
      </c>
    </row>
    <row r="108" spans="1:7" x14ac:dyDescent="0.45">
      <c r="A108" t="s">
        <v>19</v>
      </c>
      <c r="B108" t="s">
        <v>27</v>
      </c>
      <c r="C108" t="s">
        <v>21</v>
      </c>
      <c r="D108" s="24">
        <v>85000000</v>
      </c>
      <c r="E108" s="29" t="str">
        <f>'Hitung Per Bulan'!I108</f>
        <v/>
      </c>
      <c r="F108" s="24">
        <v>985000000</v>
      </c>
      <c r="G108" s="29" t="str">
        <f>'Hitung Per Bulan'!J108</f>
        <v/>
      </c>
    </row>
    <row r="109" spans="1:7" x14ac:dyDescent="0.45">
      <c r="A109" t="s">
        <v>20</v>
      </c>
      <c r="B109" t="s">
        <v>27</v>
      </c>
      <c r="C109" t="s">
        <v>21</v>
      </c>
      <c r="D109" s="24">
        <v>135000000</v>
      </c>
      <c r="E109" s="29" t="str">
        <f>'Hitung Per Bulan'!I109</f>
        <v/>
      </c>
      <c r="F109" s="24">
        <v>2120000000</v>
      </c>
      <c r="G109" s="29" t="str">
        <f>'Hitung Per Bulan'!J109</f>
        <v/>
      </c>
    </row>
    <row r="110" spans="1:7" x14ac:dyDescent="0.45">
      <c r="A110" t="s">
        <v>7</v>
      </c>
      <c r="B110" t="s">
        <v>27</v>
      </c>
      <c r="C110" t="s">
        <v>22</v>
      </c>
      <c r="D110" s="24">
        <v>15017750</v>
      </c>
      <c r="E110" s="29">
        <f>'Hitung Per Bulan'!I110</f>
        <v>0</v>
      </c>
      <c r="F110" s="24">
        <v>0</v>
      </c>
      <c r="G110" s="29">
        <f>'Hitung Per Bulan'!J110</f>
        <v>0</v>
      </c>
    </row>
    <row r="111" spans="1:7" x14ac:dyDescent="0.45">
      <c r="A111" t="s">
        <v>10</v>
      </c>
      <c r="B111" t="s">
        <v>27</v>
      </c>
      <c r="C111" t="s">
        <v>22</v>
      </c>
      <c r="D111" s="24">
        <v>15017750</v>
      </c>
      <c r="E111" s="29">
        <f>'Hitung Per Bulan'!I111</f>
        <v>0</v>
      </c>
      <c r="F111" s="24">
        <v>15017750</v>
      </c>
      <c r="G111" s="29">
        <f>'Hitung Per Bulan'!J111</f>
        <v>0</v>
      </c>
    </row>
    <row r="112" spans="1:7" x14ac:dyDescent="0.45">
      <c r="A112" t="s">
        <v>11</v>
      </c>
      <c r="B112" t="s">
        <v>27</v>
      </c>
      <c r="C112" t="s">
        <v>22</v>
      </c>
      <c r="D112" s="24">
        <v>15017750</v>
      </c>
      <c r="E112" s="29">
        <f>'Hitung Per Bulan'!I112</f>
        <v>28710000</v>
      </c>
      <c r="F112" s="24">
        <v>15017750</v>
      </c>
      <c r="G112" s="29">
        <f>'Hitung Per Bulan'!J112</f>
        <v>0</v>
      </c>
    </row>
    <row r="113" spans="1:7" x14ac:dyDescent="0.45">
      <c r="A113" t="s">
        <v>12</v>
      </c>
      <c r="B113" t="s">
        <v>27</v>
      </c>
      <c r="C113" t="s">
        <v>22</v>
      </c>
      <c r="D113" s="24">
        <v>15017750</v>
      </c>
      <c r="E113" s="29" t="str">
        <f>'Hitung Per Bulan'!I113</f>
        <v/>
      </c>
      <c r="F113" s="24">
        <v>15017750</v>
      </c>
      <c r="G113" s="29" t="str">
        <f>'Hitung Per Bulan'!J113</f>
        <v/>
      </c>
    </row>
    <row r="114" spans="1:7" x14ac:dyDescent="0.45">
      <c r="A114" t="s">
        <v>13</v>
      </c>
      <c r="B114" t="s">
        <v>27</v>
      </c>
      <c r="C114" t="s">
        <v>22</v>
      </c>
      <c r="D114" s="24">
        <v>15017750</v>
      </c>
      <c r="E114" s="29" t="str">
        <f>'Hitung Per Bulan'!I114</f>
        <v/>
      </c>
      <c r="F114" s="24">
        <v>15017750</v>
      </c>
      <c r="G114" s="29" t="str">
        <f>'Hitung Per Bulan'!J114</f>
        <v/>
      </c>
    </row>
    <row r="115" spans="1:7" x14ac:dyDescent="0.45">
      <c r="A115" t="s">
        <v>14</v>
      </c>
      <c r="B115" t="s">
        <v>27</v>
      </c>
      <c r="C115" t="s">
        <v>22</v>
      </c>
      <c r="D115" s="24">
        <v>15017750</v>
      </c>
      <c r="E115" s="29" t="str">
        <f>'Hitung Per Bulan'!I115</f>
        <v/>
      </c>
      <c r="F115" s="24">
        <v>15017750</v>
      </c>
      <c r="G115" s="29" t="str">
        <f>'Hitung Per Bulan'!J115</f>
        <v/>
      </c>
    </row>
    <row r="116" spans="1:7" x14ac:dyDescent="0.45">
      <c r="A116" t="s">
        <v>15</v>
      </c>
      <c r="B116" t="s">
        <v>27</v>
      </c>
      <c r="C116" t="s">
        <v>22</v>
      </c>
      <c r="D116" s="24">
        <v>15017750</v>
      </c>
      <c r="E116" s="29" t="str">
        <f>'Hitung Per Bulan'!I116</f>
        <v/>
      </c>
      <c r="F116" s="24">
        <v>15017750</v>
      </c>
      <c r="G116" s="29" t="str">
        <f>'Hitung Per Bulan'!J116</f>
        <v/>
      </c>
    </row>
    <row r="117" spans="1:7" x14ac:dyDescent="0.45">
      <c r="A117" t="s">
        <v>16</v>
      </c>
      <c r="B117" t="s">
        <v>27</v>
      </c>
      <c r="C117" t="s">
        <v>22</v>
      </c>
      <c r="D117" s="24">
        <v>15017750</v>
      </c>
      <c r="E117" s="29" t="str">
        <f>'Hitung Per Bulan'!I117</f>
        <v/>
      </c>
      <c r="F117" s="24">
        <v>15017750</v>
      </c>
      <c r="G117" s="29" t="str">
        <f>'Hitung Per Bulan'!J117</f>
        <v/>
      </c>
    </row>
    <row r="118" spans="1:7" x14ac:dyDescent="0.45">
      <c r="A118" t="s">
        <v>17</v>
      </c>
      <c r="B118" t="s">
        <v>27</v>
      </c>
      <c r="C118" t="s">
        <v>22</v>
      </c>
      <c r="D118" s="24">
        <v>15017750</v>
      </c>
      <c r="E118" s="29" t="str">
        <f>'Hitung Per Bulan'!I118</f>
        <v/>
      </c>
      <c r="F118" s="24">
        <v>15017750</v>
      </c>
      <c r="G118" s="29" t="str">
        <f>'Hitung Per Bulan'!J118</f>
        <v/>
      </c>
    </row>
    <row r="119" spans="1:7" x14ac:dyDescent="0.45">
      <c r="A119" t="s">
        <v>18</v>
      </c>
      <c r="B119" t="s">
        <v>27</v>
      </c>
      <c r="C119" t="s">
        <v>22</v>
      </c>
      <c r="D119" s="24">
        <v>15017750</v>
      </c>
      <c r="E119" s="29" t="str">
        <f>'Hitung Per Bulan'!I119</f>
        <v/>
      </c>
      <c r="F119" s="24">
        <v>15017750</v>
      </c>
      <c r="G119" s="29" t="str">
        <f>'Hitung Per Bulan'!J119</f>
        <v/>
      </c>
    </row>
    <row r="120" spans="1:7" x14ac:dyDescent="0.45">
      <c r="A120" t="s">
        <v>19</v>
      </c>
      <c r="B120" t="s">
        <v>27</v>
      </c>
      <c r="C120" t="s">
        <v>22</v>
      </c>
      <c r="D120" s="24">
        <v>15017750</v>
      </c>
      <c r="E120" s="29" t="str">
        <f>'Hitung Per Bulan'!I120</f>
        <v/>
      </c>
      <c r="F120" s="24">
        <v>15017750</v>
      </c>
      <c r="G120" s="29" t="str">
        <f>'Hitung Per Bulan'!J120</f>
        <v/>
      </c>
    </row>
    <row r="121" spans="1:7" x14ac:dyDescent="0.45">
      <c r="A121" t="s">
        <v>20</v>
      </c>
      <c r="B121" t="s">
        <v>27</v>
      </c>
      <c r="C121" t="s">
        <v>22</v>
      </c>
      <c r="D121" s="24">
        <v>14804750</v>
      </c>
      <c r="E121" s="29" t="str">
        <f>'Hitung Per Bulan'!I121</f>
        <v/>
      </c>
      <c r="F121" s="24">
        <v>29822500</v>
      </c>
      <c r="G121" s="29" t="str">
        <f>'Hitung Per Bulan'!J121</f>
        <v/>
      </c>
    </row>
    <row r="122" spans="1:7" x14ac:dyDescent="0.45">
      <c r="A122" t="s">
        <v>7</v>
      </c>
      <c r="B122" t="s">
        <v>27</v>
      </c>
      <c r="C122" t="s">
        <v>23</v>
      </c>
      <c r="D122" s="24">
        <v>0</v>
      </c>
      <c r="E122" s="29">
        <f>'Hitung Per Bulan'!I122</f>
        <v>0</v>
      </c>
      <c r="F122" s="24">
        <v>0</v>
      </c>
      <c r="G122" s="29">
        <f>'Hitung Per Bulan'!J122</f>
        <v>0</v>
      </c>
    </row>
    <row r="123" spans="1:7" x14ac:dyDescent="0.45">
      <c r="A123" t="s">
        <v>10</v>
      </c>
      <c r="B123" t="s">
        <v>27</v>
      </c>
      <c r="C123" t="s">
        <v>23</v>
      </c>
      <c r="D123" s="24">
        <v>0</v>
      </c>
      <c r="E123" s="29">
        <f>'Hitung Per Bulan'!I123</f>
        <v>0</v>
      </c>
      <c r="F123" s="24">
        <v>0</v>
      </c>
      <c r="G123" s="29">
        <f>'Hitung Per Bulan'!J123</f>
        <v>0</v>
      </c>
    </row>
    <row r="124" spans="1:7" x14ac:dyDescent="0.45">
      <c r="A124" t="s">
        <v>11</v>
      </c>
      <c r="B124" t="s">
        <v>27</v>
      </c>
      <c r="C124" t="s">
        <v>23</v>
      </c>
      <c r="D124" s="24">
        <v>0</v>
      </c>
      <c r="E124" s="29">
        <f>'Hitung Per Bulan'!I124</f>
        <v>0</v>
      </c>
      <c r="F124" s="24">
        <v>0</v>
      </c>
      <c r="G124" s="29">
        <f>'Hitung Per Bulan'!J124</f>
        <v>0</v>
      </c>
    </row>
    <row r="125" spans="1:7" x14ac:dyDescent="0.45">
      <c r="A125" t="s">
        <v>12</v>
      </c>
      <c r="B125" t="s">
        <v>27</v>
      </c>
      <c r="C125" t="s">
        <v>23</v>
      </c>
      <c r="D125" s="24">
        <v>0</v>
      </c>
      <c r="E125" s="29" t="str">
        <f>'Hitung Per Bulan'!I125</f>
        <v/>
      </c>
      <c r="F125" s="24">
        <v>0</v>
      </c>
      <c r="G125" s="29" t="str">
        <f>'Hitung Per Bulan'!J125</f>
        <v/>
      </c>
    </row>
    <row r="126" spans="1:7" x14ac:dyDescent="0.45">
      <c r="A126" t="s">
        <v>13</v>
      </c>
      <c r="B126" t="s">
        <v>27</v>
      </c>
      <c r="C126" t="s">
        <v>23</v>
      </c>
      <c r="D126" s="24">
        <v>200000000</v>
      </c>
      <c r="E126" s="29" t="str">
        <f>'Hitung Per Bulan'!I126</f>
        <v/>
      </c>
      <c r="F126" s="24">
        <v>0</v>
      </c>
      <c r="G126" s="29" t="str">
        <f>'Hitung Per Bulan'!J126</f>
        <v/>
      </c>
    </row>
    <row r="127" spans="1:7" x14ac:dyDescent="0.45">
      <c r="A127" t="s">
        <v>14</v>
      </c>
      <c r="B127" t="s">
        <v>27</v>
      </c>
      <c r="C127" t="s">
        <v>23</v>
      </c>
      <c r="D127" s="24">
        <v>0</v>
      </c>
      <c r="E127" s="29" t="str">
        <f>'Hitung Per Bulan'!I127</f>
        <v/>
      </c>
      <c r="F127" s="24">
        <v>0</v>
      </c>
      <c r="G127" s="29" t="str">
        <f>'Hitung Per Bulan'!J127</f>
        <v/>
      </c>
    </row>
    <row r="128" spans="1:7" x14ac:dyDescent="0.45">
      <c r="A128" t="s">
        <v>15</v>
      </c>
      <c r="B128" t="s">
        <v>27</v>
      </c>
      <c r="C128" t="s">
        <v>23</v>
      </c>
      <c r="D128" s="24">
        <v>0</v>
      </c>
      <c r="E128" s="29" t="str">
        <f>'Hitung Per Bulan'!I128</f>
        <v/>
      </c>
      <c r="F128" s="24">
        <v>0</v>
      </c>
      <c r="G128" s="29" t="str">
        <f>'Hitung Per Bulan'!J128</f>
        <v/>
      </c>
    </row>
    <row r="129" spans="1:7" x14ac:dyDescent="0.45">
      <c r="A129" t="s">
        <v>16</v>
      </c>
      <c r="B129" t="s">
        <v>27</v>
      </c>
      <c r="C129" t="s">
        <v>23</v>
      </c>
      <c r="D129" s="24">
        <v>0</v>
      </c>
      <c r="E129" s="29" t="str">
        <f>'Hitung Per Bulan'!I129</f>
        <v/>
      </c>
      <c r="F129" s="24">
        <v>0</v>
      </c>
      <c r="G129" s="29" t="str">
        <f>'Hitung Per Bulan'!J129</f>
        <v/>
      </c>
    </row>
    <row r="130" spans="1:7" x14ac:dyDescent="0.45">
      <c r="A130" t="s">
        <v>17</v>
      </c>
      <c r="B130" t="s">
        <v>27</v>
      </c>
      <c r="C130" t="s">
        <v>23</v>
      </c>
      <c r="D130" s="24">
        <v>0</v>
      </c>
      <c r="E130" s="29" t="str">
        <f>'Hitung Per Bulan'!I130</f>
        <v/>
      </c>
      <c r="F130" s="24">
        <v>200000000</v>
      </c>
      <c r="G130" s="29" t="str">
        <f>'Hitung Per Bulan'!J130</f>
        <v/>
      </c>
    </row>
    <row r="131" spans="1:7" x14ac:dyDescent="0.45">
      <c r="A131" t="s">
        <v>18</v>
      </c>
      <c r="B131" t="s">
        <v>27</v>
      </c>
      <c r="C131" t="s">
        <v>23</v>
      </c>
      <c r="D131" s="24">
        <v>0</v>
      </c>
      <c r="E131" s="29" t="str">
        <f>'Hitung Per Bulan'!I131</f>
        <v/>
      </c>
      <c r="F131" s="24">
        <v>0</v>
      </c>
      <c r="G131" s="29" t="str">
        <f>'Hitung Per Bulan'!J131</f>
        <v/>
      </c>
    </row>
    <row r="132" spans="1:7" x14ac:dyDescent="0.45">
      <c r="A132" t="s">
        <v>19</v>
      </c>
      <c r="B132" t="s">
        <v>27</v>
      </c>
      <c r="C132" t="s">
        <v>23</v>
      </c>
      <c r="D132" s="24">
        <v>200000000</v>
      </c>
      <c r="E132" s="29" t="str">
        <f>'Hitung Per Bulan'!I132</f>
        <v/>
      </c>
      <c r="F132" s="24">
        <v>0</v>
      </c>
      <c r="G132" s="29" t="str">
        <f>'Hitung Per Bulan'!J132</f>
        <v/>
      </c>
    </row>
    <row r="133" spans="1:7" x14ac:dyDescent="0.45">
      <c r="A133" t="s">
        <v>20</v>
      </c>
      <c r="B133" t="s">
        <v>27</v>
      </c>
      <c r="C133" t="s">
        <v>23</v>
      </c>
      <c r="D133" s="24">
        <v>0</v>
      </c>
      <c r="E133" s="29" t="str">
        <f>'Hitung Per Bulan'!I133</f>
        <v/>
      </c>
      <c r="F133" s="24">
        <v>200000000</v>
      </c>
      <c r="G133" s="29" t="str">
        <f>'Hitung Per Bulan'!J133</f>
        <v/>
      </c>
    </row>
    <row r="134" spans="1:7" x14ac:dyDescent="0.45">
      <c r="A134" t="s">
        <v>7</v>
      </c>
      <c r="B134" t="s">
        <v>27</v>
      </c>
      <c r="C134" t="s">
        <v>24</v>
      </c>
      <c r="D134" s="24">
        <v>0</v>
      </c>
      <c r="E134" s="29">
        <f>'Hitung Per Bulan'!I134</f>
        <v>0</v>
      </c>
      <c r="F134" s="24">
        <v>0</v>
      </c>
      <c r="G134" s="29">
        <f>'Hitung Per Bulan'!J134</f>
        <v>0</v>
      </c>
    </row>
    <row r="135" spans="1:7" x14ac:dyDescent="0.45">
      <c r="A135" t="s">
        <v>10</v>
      </c>
      <c r="B135" t="s">
        <v>27</v>
      </c>
      <c r="C135" t="s">
        <v>24</v>
      </c>
      <c r="D135" s="24">
        <v>0</v>
      </c>
      <c r="E135" s="29">
        <f>'Hitung Per Bulan'!I135</f>
        <v>0</v>
      </c>
      <c r="F135" s="24">
        <v>0</v>
      </c>
      <c r="G135" s="29">
        <f>'Hitung Per Bulan'!J135</f>
        <v>0</v>
      </c>
    </row>
    <row r="136" spans="1:7" x14ac:dyDescent="0.45">
      <c r="A136" t="s">
        <v>11</v>
      </c>
      <c r="B136" t="s">
        <v>27</v>
      </c>
      <c r="C136" t="s">
        <v>24</v>
      </c>
      <c r="D136" s="24">
        <v>0</v>
      </c>
      <c r="E136" s="29">
        <f>'Hitung Per Bulan'!I136</f>
        <v>0</v>
      </c>
      <c r="F136" s="24">
        <v>0</v>
      </c>
      <c r="G136" s="29">
        <f>'Hitung Per Bulan'!J136</f>
        <v>0</v>
      </c>
    </row>
    <row r="137" spans="1:7" x14ac:dyDescent="0.45">
      <c r="A137" t="s">
        <v>12</v>
      </c>
      <c r="B137" t="s">
        <v>27</v>
      </c>
      <c r="C137" t="s">
        <v>24</v>
      </c>
      <c r="D137" s="24">
        <v>0</v>
      </c>
      <c r="E137" s="29" t="str">
        <f>'Hitung Per Bulan'!I137</f>
        <v/>
      </c>
      <c r="F137" s="24">
        <v>0</v>
      </c>
      <c r="G137" s="29" t="str">
        <f>'Hitung Per Bulan'!J137</f>
        <v/>
      </c>
    </row>
    <row r="138" spans="1:7" x14ac:dyDescent="0.45">
      <c r="A138" t="s">
        <v>13</v>
      </c>
      <c r="B138" t="s">
        <v>27</v>
      </c>
      <c r="C138" t="s">
        <v>24</v>
      </c>
      <c r="D138" s="24">
        <v>0</v>
      </c>
      <c r="E138" s="29" t="str">
        <f>'Hitung Per Bulan'!I138</f>
        <v/>
      </c>
      <c r="F138" s="24">
        <v>0</v>
      </c>
      <c r="G138" s="29" t="str">
        <f>'Hitung Per Bulan'!J138</f>
        <v/>
      </c>
    </row>
    <row r="139" spans="1:7" x14ac:dyDescent="0.45">
      <c r="A139" t="s">
        <v>14</v>
      </c>
      <c r="B139" t="s">
        <v>27</v>
      </c>
      <c r="C139" t="s">
        <v>24</v>
      </c>
      <c r="D139" s="24">
        <v>0</v>
      </c>
      <c r="E139" s="29" t="str">
        <f>'Hitung Per Bulan'!I139</f>
        <v/>
      </c>
      <c r="F139" s="24">
        <v>0</v>
      </c>
      <c r="G139" s="29" t="str">
        <f>'Hitung Per Bulan'!J139</f>
        <v/>
      </c>
    </row>
    <row r="140" spans="1:7" x14ac:dyDescent="0.45">
      <c r="A140" t="s">
        <v>15</v>
      </c>
      <c r="B140" t="s">
        <v>27</v>
      </c>
      <c r="C140" t="s">
        <v>24</v>
      </c>
      <c r="D140" s="24">
        <v>0</v>
      </c>
      <c r="E140" s="29" t="str">
        <f>'Hitung Per Bulan'!I140</f>
        <v/>
      </c>
      <c r="F140" s="24">
        <v>0</v>
      </c>
      <c r="G140" s="29" t="str">
        <f>'Hitung Per Bulan'!J140</f>
        <v/>
      </c>
    </row>
    <row r="141" spans="1:7" x14ac:dyDescent="0.45">
      <c r="A141" t="s">
        <v>16</v>
      </c>
      <c r="B141" t="s">
        <v>27</v>
      </c>
      <c r="C141" t="s">
        <v>24</v>
      </c>
      <c r="D141" s="24">
        <v>0</v>
      </c>
      <c r="E141" s="29" t="str">
        <f>'Hitung Per Bulan'!I141</f>
        <v/>
      </c>
      <c r="F141" s="24">
        <v>0</v>
      </c>
      <c r="G141" s="29" t="str">
        <f>'Hitung Per Bulan'!J141</f>
        <v/>
      </c>
    </row>
    <row r="142" spans="1:7" x14ac:dyDescent="0.45">
      <c r="A142" t="s">
        <v>17</v>
      </c>
      <c r="B142" t="s">
        <v>27</v>
      </c>
      <c r="C142" t="s">
        <v>24</v>
      </c>
      <c r="D142" s="24">
        <v>0</v>
      </c>
      <c r="E142" s="29" t="str">
        <f>'Hitung Per Bulan'!I142</f>
        <v/>
      </c>
      <c r="F142" s="24">
        <v>0</v>
      </c>
      <c r="G142" s="29" t="str">
        <f>'Hitung Per Bulan'!J142</f>
        <v/>
      </c>
    </row>
    <row r="143" spans="1:7" x14ac:dyDescent="0.45">
      <c r="A143" t="s">
        <v>18</v>
      </c>
      <c r="B143" t="s">
        <v>27</v>
      </c>
      <c r="C143" t="s">
        <v>24</v>
      </c>
      <c r="D143" s="24">
        <v>0</v>
      </c>
      <c r="E143" s="29" t="str">
        <f>'Hitung Per Bulan'!I143</f>
        <v/>
      </c>
      <c r="F143" s="24">
        <v>0</v>
      </c>
      <c r="G143" s="29" t="str">
        <f>'Hitung Per Bulan'!J143</f>
        <v/>
      </c>
    </row>
    <row r="144" spans="1:7" x14ac:dyDescent="0.45">
      <c r="A144" t="s">
        <v>19</v>
      </c>
      <c r="B144" t="s">
        <v>27</v>
      </c>
      <c r="C144" t="s">
        <v>24</v>
      </c>
      <c r="D144" s="24">
        <v>0</v>
      </c>
      <c r="E144" s="29" t="str">
        <f>'Hitung Per Bulan'!I144</f>
        <v/>
      </c>
      <c r="F144" s="24">
        <v>0</v>
      </c>
      <c r="G144" s="29" t="str">
        <f>'Hitung Per Bulan'!J144</f>
        <v/>
      </c>
    </row>
    <row r="145" spans="1:7" x14ac:dyDescent="0.45">
      <c r="A145" t="s">
        <v>20</v>
      </c>
      <c r="B145" t="s">
        <v>27</v>
      </c>
      <c r="C145" t="s">
        <v>24</v>
      </c>
      <c r="D145" s="24">
        <v>0</v>
      </c>
      <c r="E145" s="29" t="str">
        <f>'Hitung Per Bulan'!I145</f>
        <v/>
      </c>
      <c r="F145" s="24">
        <v>0</v>
      </c>
      <c r="G145" s="29" t="str">
        <f>'Hitung Per Bulan'!J145</f>
        <v/>
      </c>
    </row>
    <row r="146" spans="1:7" x14ac:dyDescent="0.45">
      <c r="A146" t="s">
        <v>7</v>
      </c>
      <c r="B146" t="s">
        <v>27</v>
      </c>
      <c r="C146" t="s">
        <v>25</v>
      </c>
      <c r="D146" s="24">
        <v>78140000</v>
      </c>
      <c r="E146" s="29">
        <f>'Hitung Per Bulan'!I146</f>
        <v>99858450</v>
      </c>
      <c r="F146" s="24">
        <v>52140000</v>
      </c>
      <c r="G146" s="29">
        <f>'Hitung Per Bulan'!J146</f>
        <v>27147500</v>
      </c>
    </row>
    <row r="147" spans="1:7" x14ac:dyDescent="0.45">
      <c r="A147" t="s">
        <v>10</v>
      </c>
      <c r="B147" t="s">
        <v>27</v>
      </c>
      <c r="C147" t="s">
        <v>25</v>
      </c>
      <c r="D147" s="24">
        <v>128140000</v>
      </c>
      <c r="E147" s="29">
        <f>'Hitung Per Bulan'!I147</f>
        <v>70819316</v>
      </c>
      <c r="F147" s="24">
        <v>78140000</v>
      </c>
      <c r="G147" s="29">
        <f>'Hitung Per Bulan'!J147</f>
        <v>86687950</v>
      </c>
    </row>
    <row r="148" spans="1:7" x14ac:dyDescent="0.45">
      <c r="A148" t="s">
        <v>11</v>
      </c>
      <c r="B148" t="s">
        <v>27</v>
      </c>
      <c r="C148" t="s">
        <v>25</v>
      </c>
      <c r="D148" s="24">
        <v>123140000</v>
      </c>
      <c r="E148" s="29">
        <f>'Hitung Per Bulan'!I148</f>
        <v>421373245</v>
      </c>
      <c r="F148" s="24">
        <v>88140000</v>
      </c>
      <c r="G148" s="29">
        <f>'Hitung Per Bulan'!J148</f>
        <v>94035325</v>
      </c>
    </row>
    <row r="149" spans="1:7" x14ac:dyDescent="0.45">
      <c r="A149" t="s">
        <v>12</v>
      </c>
      <c r="B149" t="s">
        <v>27</v>
      </c>
      <c r="C149" t="s">
        <v>25</v>
      </c>
      <c r="D149" s="24">
        <v>503140000</v>
      </c>
      <c r="E149" s="29" t="str">
        <f>'Hitung Per Bulan'!I149</f>
        <v/>
      </c>
      <c r="F149" s="24">
        <v>123140000</v>
      </c>
      <c r="G149" s="29" t="str">
        <f>'Hitung Per Bulan'!J149</f>
        <v/>
      </c>
    </row>
    <row r="150" spans="1:7" x14ac:dyDescent="0.45">
      <c r="A150" t="s">
        <v>13</v>
      </c>
      <c r="B150" t="s">
        <v>27</v>
      </c>
      <c r="C150" t="s">
        <v>25</v>
      </c>
      <c r="D150" s="24">
        <v>315120000</v>
      </c>
      <c r="E150" s="29" t="str">
        <f>'Hitung Per Bulan'!I150</f>
        <v/>
      </c>
      <c r="F150" s="24">
        <v>178140000</v>
      </c>
      <c r="G150" s="29" t="str">
        <f>'Hitung Per Bulan'!J150</f>
        <v/>
      </c>
    </row>
    <row r="151" spans="1:7" x14ac:dyDescent="0.45">
      <c r="A151" t="s">
        <v>14</v>
      </c>
      <c r="B151" t="s">
        <v>27</v>
      </c>
      <c r="C151" t="s">
        <v>25</v>
      </c>
      <c r="D151" s="24">
        <v>88140000</v>
      </c>
      <c r="E151" s="29" t="str">
        <f>'Hitung Per Bulan'!I151</f>
        <v/>
      </c>
      <c r="F151" s="24">
        <v>480120000</v>
      </c>
      <c r="G151" s="29" t="str">
        <f>'Hitung Per Bulan'!J151</f>
        <v/>
      </c>
    </row>
    <row r="152" spans="1:7" x14ac:dyDescent="0.45">
      <c r="A152" t="s">
        <v>15</v>
      </c>
      <c r="B152" t="s">
        <v>27</v>
      </c>
      <c r="C152" t="s">
        <v>25</v>
      </c>
      <c r="D152" s="24">
        <v>88140000</v>
      </c>
      <c r="E152" s="29" t="str">
        <f>'Hitung Per Bulan'!I152</f>
        <v/>
      </c>
      <c r="F152" s="24">
        <v>88140000</v>
      </c>
      <c r="G152" s="29" t="str">
        <f>'Hitung Per Bulan'!J152</f>
        <v/>
      </c>
    </row>
    <row r="153" spans="1:7" x14ac:dyDescent="0.45">
      <c r="A153" t="s">
        <v>16</v>
      </c>
      <c r="B153" t="s">
        <v>27</v>
      </c>
      <c r="C153" t="s">
        <v>25</v>
      </c>
      <c r="D153" s="24">
        <v>401140000</v>
      </c>
      <c r="E153" s="29" t="str">
        <f>'Hitung Per Bulan'!I153</f>
        <v/>
      </c>
      <c r="F153" s="24">
        <v>328140000</v>
      </c>
      <c r="G153" s="29" t="str">
        <f>'Hitung Per Bulan'!J153</f>
        <v/>
      </c>
    </row>
    <row r="154" spans="1:7" x14ac:dyDescent="0.45">
      <c r="A154" t="s">
        <v>17</v>
      </c>
      <c r="B154" t="s">
        <v>27</v>
      </c>
      <c r="C154" t="s">
        <v>25</v>
      </c>
      <c r="D154" s="24">
        <v>483946000</v>
      </c>
      <c r="E154" s="29" t="str">
        <f>'Hitung Per Bulan'!I154</f>
        <v/>
      </c>
      <c r="F154" s="24">
        <v>161140000</v>
      </c>
      <c r="G154" s="29" t="str">
        <f>'Hitung Per Bulan'!J154</f>
        <v/>
      </c>
    </row>
    <row r="155" spans="1:7" x14ac:dyDescent="0.45">
      <c r="A155" t="s">
        <v>18</v>
      </c>
      <c r="B155" t="s">
        <v>27</v>
      </c>
      <c r="C155" t="s">
        <v>25</v>
      </c>
      <c r="D155" s="24">
        <v>124060000</v>
      </c>
      <c r="E155" s="29" t="str">
        <f>'Hitung Per Bulan'!I155</f>
        <v/>
      </c>
      <c r="F155" s="24">
        <v>116560000</v>
      </c>
      <c r="G155" s="29" t="str">
        <f>'Hitung Per Bulan'!J155</f>
        <v/>
      </c>
    </row>
    <row r="156" spans="1:7" x14ac:dyDescent="0.45">
      <c r="A156" t="s">
        <v>19</v>
      </c>
      <c r="B156" t="s">
        <v>27</v>
      </c>
      <c r="C156" t="s">
        <v>25</v>
      </c>
      <c r="D156" s="24">
        <v>125640000</v>
      </c>
      <c r="E156" s="29" t="str">
        <f>'Hitung Per Bulan'!I156</f>
        <v/>
      </c>
      <c r="F156" s="24">
        <v>295640000</v>
      </c>
      <c r="G156" s="29" t="str">
        <f>'Hitung Per Bulan'!J156</f>
        <v/>
      </c>
    </row>
    <row r="157" spans="1:7" x14ac:dyDescent="0.45">
      <c r="A157" t="s">
        <v>20</v>
      </c>
      <c r="B157" t="s">
        <v>27</v>
      </c>
      <c r="C157" t="s">
        <v>25</v>
      </c>
      <c r="D157" s="24">
        <v>102260000</v>
      </c>
      <c r="E157" s="29" t="str">
        <f>'Hitung Per Bulan'!I157</f>
        <v/>
      </c>
      <c r="F157" s="24">
        <v>571566000</v>
      </c>
      <c r="G157" s="29" t="str">
        <f>'Hitung Per Bulan'!J157</f>
        <v/>
      </c>
    </row>
    <row r="158" spans="1:7" x14ac:dyDescent="0.45">
      <c r="A158" t="s">
        <v>7</v>
      </c>
      <c r="B158" t="s">
        <v>27</v>
      </c>
      <c r="C158" t="s">
        <v>26</v>
      </c>
      <c r="D158" s="24">
        <v>291666000</v>
      </c>
      <c r="E158" s="29">
        <f>'Hitung Per Bulan'!I158</f>
        <v>243961748</v>
      </c>
      <c r="F158" s="24">
        <v>291666000</v>
      </c>
      <c r="G158" s="29">
        <f>'Hitung Per Bulan'!J158</f>
        <v>243961748</v>
      </c>
    </row>
    <row r="159" spans="1:7" x14ac:dyDescent="0.45">
      <c r="A159" t="s">
        <v>10</v>
      </c>
      <c r="B159" t="s">
        <v>27</v>
      </c>
      <c r="C159" t="s">
        <v>26</v>
      </c>
      <c r="D159" s="24">
        <v>291666000</v>
      </c>
      <c r="E159" s="29">
        <f>'Hitung Per Bulan'!I159</f>
        <v>222698232</v>
      </c>
      <c r="F159" s="24">
        <v>291666000</v>
      </c>
      <c r="G159" s="29">
        <f>'Hitung Per Bulan'!J159</f>
        <v>222698232</v>
      </c>
    </row>
    <row r="160" spans="1:7" x14ac:dyDescent="0.45">
      <c r="A160" t="s">
        <v>11</v>
      </c>
      <c r="B160" t="s">
        <v>27</v>
      </c>
      <c r="C160" t="s">
        <v>26</v>
      </c>
      <c r="D160" s="24">
        <v>291666000</v>
      </c>
      <c r="E160" s="29">
        <f>'Hitung Per Bulan'!I160</f>
        <v>208609967</v>
      </c>
      <c r="F160" s="24">
        <v>291666000</v>
      </c>
      <c r="G160" s="29">
        <f>'Hitung Per Bulan'!J160</f>
        <v>208609967</v>
      </c>
    </row>
    <row r="161" spans="1:7" x14ac:dyDescent="0.45">
      <c r="A161" t="s">
        <v>12</v>
      </c>
      <c r="B161" t="s">
        <v>27</v>
      </c>
      <c r="C161" t="s">
        <v>26</v>
      </c>
      <c r="D161" s="24">
        <v>291666000</v>
      </c>
      <c r="E161" s="29" t="str">
        <f>'Hitung Per Bulan'!I161</f>
        <v/>
      </c>
      <c r="F161" s="24">
        <v>291666000</v>
      </c>
      <c r="G161" s="29" t="str">
        <f>'Hitung Per Bulan'!J161</f>
        <v/>
      </c>
    </row>
    <row r="162" spans="1:7" x14ac:dyDescent="0.45">
      <c r="A162" t="s">
        <v>13</v>
      </c>
      <c r="B162" t="s">
        <v>27</v>
      </c>
      <c r="C162" t="s">
        <v>26</v>
      </c>
      <c r="D162" s="24">
        <v>291666000</v>
      </c>
      <c r="E162" s="29" t="str">
        <f>'Hitung Per Bulan'!I162</f>
        <v/>
      </c>
      <c r="F162" s="24">
        <v>291666000</v>
      </c>
      <c r="G162" s="29" t="str">
        <f>'Hitung Per Bulan'!J162</f>
        <v/>
      </c>
    </row>
    <row r="163" spans="1:7" x14ac:dyDescent="0.45">
      <c r="A163" t="s">
        <v>14</v>
      </c>
      <c r="B163" t="s">
        <v>27</v>
      </c>
      <c r="C163" t="s">
        <v>26</v>
      </c>
      <c r="D163" s="24">
        <v>291666000</v>
      </c>
      <c r="E163" s="29" t="str">
        <f>'Hitung Per Bulan'!I163</f>
        <v/>
      </c>
      <c r="F163" s="24">
        <v>291666000</v>
      </c>
      <c r="G163" s="29" t="str">
        <f>'Hitung Per Bulan'!J163</f>
        <v/>
      </c>
    </row>
    <row r="164" spans="1:7" x14ac:dyDescent="0.45">
      <c r="A164" t="s">
        <v>15</v>
      </c>
      <c r="B164" t="s">
        <v>27</v>
      </c>
      <c r="C164" t="s">
        <v>26</v>
      </c>
      <c r="D164" s="24">
        <v>291666000</v>
      </c>
      <c r="E164" s="29" t="str">
        <f>'Hitung Per Bulan'!I164</f>
        <v/>
      </c>
      <c r="F164" s="24">
        <v>291666000</v>
      </c>
      <c r="G164" s="29" t="str">
        <f>'Hitung Per Bulan'!J164</f>
        <v/>
      </c>
    </row>
    <row r="165" spans="1:7" x14ac:dyDescent="0.45">
      <c r="A165" t="s">
        <v>16</v>
      </c>
      <c r="B165" t="s">
        <v>27</v>
      </c>
      <c r="C165" t="s">
        <v>26</v>
      </c>
      <c r="D165" s="24">
        <v>291666000</v>
      </c>
      <c r="E165" s="29" t="str">
        <f>'Hitung Per Bulan'!I165</f>
        <v/>
      </c>
      <c r="F165" s="24">
        <v>291666000</v>
      </c>
      <c r="G165" s="29" t="str">
        <f>'Hitung Per Bulan'!J165</f>
        <v/>
      </c>
    </row>
    <row r="166" spans="1:7" x14ac:dyDescent="0.45">
      <c r="A166" t="s">
        <v>17</v>
      </c>
      <c r="B166" t="s">
        <v>27</v>
      </c>
      <c r="C166" t="s">
        <v>26</v>
      </c>
      <c r="D166" s="24">
        <v>291666000</v>
      </c>
      <c r="E166" s="29" t="str">
        <f>'Hitung Per Bulan'!I166</f>
        <v/>
      </c>
      <c r="F166" s="24">
        <v>291666000</v>
      </c>
      <c r="G166" s="29" t="str">
        <f>'Hitung Per Bulan'!J166</f>
        <v/>
      </c>
    </row>
    <row r="167" spans="1:7" x14ac:dyDescent="0.45">
      <c r="A167" t="s">
        <v>18</v>
      </c>
      <c r="B167" t="s">
        <v>27</v>
      </c>
      <c r="C167" t="s">
        <v>26</v>
      </c>
      <c r="D167" s="24">
        <v>291666000</v>
      </c>
      <c r="E167" s="29" t="str">
        <f>'Hitung Per Bulan'!I167</f>
        <v/>
      </c>
      <c r="F167" s="24">
        <v>291666000</v>
      </c>
      <c r="G167" s="29" t="str">
        <f>'Hitung Per Bulan'!J167</f>
        <v/>
      </c>
    </row>
    <row r="168" spans="1:7" x14ac:dyDescent="0.45">
      <c r="A168" t="s">
        <v>19</v>
      </c>
      <c r="B168" t="s">
        <v>27</v>
      </c>
      <c r="C168" t="s">
        <v>26</v>
      </c>
      <c r="D168" s="24">
        <v>291666000</v>
      </c>
      <c r="E168" s="29" t="str">
        <f>'Hitung Per Bulan'!I168</f>
        <v/>
      </c>
      <c r="F168" s="24">
        <v>291666000</v>
      </c>
      <c r="G168" s="29" t="str">
        <f>'Hitung Per Bulan'!J168</f>
        <v/>
      </c>
    </row>
    <row r="169" spans="1:7" x14ac:dyDescent="0.45">
      <c r="A169" t="s">
        <v>20</v>
      </c>
      <c r="B169" t="s">
        <v>27</v>
      </c>
      <c r="C169" t="s">
        <v>26</v>
      </c>
      <c r="D169" s="24">
        <v>291674000</v>
      </c>
      <c r="E169" s="29" t="str">
        <f>'Hitung Per Bulan'!I169</f>
        <v/>
      </c>
      <c r="F169" s="24">
        <v>291674000</v>
      </c>
      <c r="G169" s="29" t="str">
        <f>'Hitung Per Bulan'!J169</f>
        <v/>
      </c>
    </row>
    <row r="170" spans="1:7" x14ac:dyDescent="0.45">
      <c r="A170" t="s">
        <v>7</v>
      </c>
      <c r="B170" t="s">
        <v>28</v>
      </c>
      <c r="C170" t="s">
        <v>9</v>
      </c>
      <c r="D170" s="24">
        <v>24114094667</v>
      </c>
      <c r="E170" s="29">
        <f>'Hitung Per Bulan'!I170</f>
        <v>450857274</v>
      </c>
      <c r="F170" s="24">
        <v>0</v>
      </c>
      <c r="G170" s="29">
        <f>'Hitung Per Bulan'!J170</f>
        <v>0</v>
      </c>
    </row>
    <row r="171" spans="1:7" x14ac:dyDescent="0.45">
      <c r="A171" t="s">
        <v>10</v>
      </c>
      <c r="B171" t="s">
        <v>28</v>
      </c>
      <c r="C171" t="s">
        <v>9</v>
      </c>
      <c r="D171" s="24">
        <v>3125397667</v>
      </c>
      <c r="E171" s="29">
        <f>'Hitung Per Bulan'!I171</f>
        <v>25211824009</v>
      </c>
      <c r="F171" s="24">
        <v>194371000</v>
      </c>
      <c r="G171" s="29">
        <f>'Hitung Per Bulan'!J171</f>
        <v>457037427</v>
      </c>
    </row>
    <row r="172" spans="1:7" x14ac:dyDescent="0.45">
      <c r="A172" t="s">
        <v>11</v>
      </c>
      <c r="B172" t="s">
        <v>28</v>
      </c>
      <c r="C172" t="s">
        <v>9</v>
      </c>
      <c r="D172" s="24">
        <v>353351000</v>
      </c>
      <c r="E172" s="29">
        <f>'Hitung Per Bulan'!I172</f>
        <v>2640927066</v>
      </c>
      <c r="F172" s="24">
        <v>194371000</v>
      </c>
      <c r="G172" s="29">
        <f>'Hitung Per Bulan'!J172</f>
        <v>9175653217</v>
      </c>
    </row>
    <row r="173" spans="1:7" x14ac:dyDescent="0.45">
      <c r="A173" t="s">
        <v>12</v>
      </c>
      <c r="B173" t="s">
        <v>28</v>
      </c>
      <c r="C173" t="s">
        <v>9</v>
      </c>
      <c r="D173" s="24">
        <v>1333955667</v>
      </c>
      <c r="E173" s="29" t="str">
        <f>'Hitung Per Bulan'!I173</f>
        <v/>
      </c>
      <c r="F173" s="24">
        <v>694781000</v>
      </c>
      <c r="G173" s="29" t="str">
        <f>'Hitung Per Bulan'!J173</f>
        <v/>
      </c>
    </row>
    <row r="174" spans="1:7" x14ac:dyDescent="0.45">
      <c r="A174" t="s">
        <v>13</v>
      </c>
      <c r="B174" t="s">
        <v>28</v>
      </c>
      <c r="C174" t="s">
        <v>9</v>
      </c>
      <c r="D174" s="24">
        <v>2268107667</v>
      </c>
      <c r="E174" s="29" t="str">
        <f>'Hitung Per Bulan'!I174</f>
        <v/>
      </c>
      <c r="F174" s="24">
        <v>1386632000</v>
      </c>
      <c r="G174" s="29" t="str">
        <f>'Hitung Per Bulan'!J174</f>
        <v/>
      </c>
    </row>
    <row r="175" spans="1:7" x14ac:dyDescent="0.45">
      <c r="A175" t="s">
        <v>14</v>
      </c>
      <c r="B175" t="s">
        <v>28</v>
      </c>
      <c r="C175" t="s">
        <v>9</v>
      </c>
      <c r="D175" s="24">
        <v>2362976667</v>
      </c>
      <c r="E175" s="29" t="str">
        <f>'Hitung Per Bulan'!I175</f>
        <v/>
      </c>
      <c r="F175" s="24">
        <v>908992000</v>
      </c>
      <c r="G175" s="29" t="str">
        <f>'Hitung Per Bulan'!J175</f>
        <v/>
      </c>
    </row>
    <row r="176" spans="1:7" x14ac:dyDescent="0.45">
      <c r="A176" t="s">
        <v>15</v>
      </c>
      <c r="B176" t="s">
        <v>28</v>
      </c>
      <c r="C176" t="s">
        <v>9</v>
      </c>
      <c r="D176" s="24">
        <v>2424464667</v>
      </c>
      <c r="E176" s="29" t="str">
        <f>'Hitung Per Bulan'!I176</f>
        <v/>
      </c>
      <c r="F176" s="24">
        <v>2563018000</v>
      </c>
      <c r="G176" s="29" t="str">
        <f>'Hitung Per Bulan'!J176</f>
        <v/>
      </c>
    </row>
    <row r="177" spans="1:7" x14ac:dyDescent="0.45">
      <c r="A177" t="s">
        <v>16</v>
      </c>
      <c r="B177" t="s">
        <v>28</v>
      </c>
      <c r="C177" t="s">
        <v>9</v>
      </c>
      <c r="D177" s="24">
        <v>2517762667</v>
      </c>
      <c r="E177" s="29" t="str">
        <f>'Hitung Per Bulan'!I177</f>
        <v/>
      </c>
      <c r="F177" s="24">
        <v>1841049000</v>
      </c>
      <c r="G177" s="29" t="str">
        <f>'Hitung Per Bulan'!J177</f>
        <v/>
      </c>
    </row>
    <row r="178" spans="1:7" x14ac:dyDescent="0.45">
      <c r="A178" t="s">
        <v>17</v>
      </c>
      <c r="B178" t="s">
        <v>28</v>
      </c>
      <c r="C178" t="s">
        <v>9</v>
      </c>
      <c r="D178" s="24">
        <v>1885646667</v>
      </c>
      <c r="E178" s="29" t="str">
        <f>'Hitung Per Bulan'!I178</f>
        <v/>
      </c>
      <c r="F178" s="24">
        <v>1189324000</v>
      </c>
      <c r="G178" s="29" t="str">
        <f>'Hitung Per Bulan'!J178</f>
        <v/>
      </c>
    </row>
    <row r="179" spans="1:7" x14ac:dyDescent="0.45">
      <c r="A179" t="s">
        <v>18</v>
      </c>
      <c r="B179" t="s">
        <v>28</v>
      </c>
      <c r="C179" t="s">
        <v>9</v>
      </c>
      <c r="D179" s="24">
        <v>1076401667</v>
      </c>
      <c r="E179" s="29" t="str">
        <f>'Hitung Per Bulan'!I179</f>
        <v/>
      </c>
      <c r="F179" s="24">
        <v>6212854000</v>
      </c>
      <c r="G179" s="29" t="str">
        <f>'Hitung Per Bulan'!J179</f>
        <v/>
      </c>
    </row>
    <row r="180" spans="1:7" x14ac:dyDescent="0.45">
      <c r="A180" t="s">
        <v>19</v>
      </c>
      <c r="B180" t="s">
        <v>28</v>
      </c>
      <c r="C180" t="s">
        <v>9</v>
      </c>
      <c r="D180" s="24">
        <v>293350667</v>
      </c>
      <c r="E180" s="29" t="str">
        <f>'Hitung Per Bulan'!I180</f>
        <v/>
      </c>
      <c r="F180" s="24">
        <v>13410728000</v>
      </c>
      <c r="G180" s="29" t="str">
        <f>'Hitung Per Bulan'!J180</f>
        <v/>
      </c>
    </row>
    <row r="181" spans="1:7" x14ac:dyDescent="0.45">
      <c r="A181" t="s">
        <v>20</v>
      </c>
      <c r="B181" t="s">
        <v>28</v>
      </c>
      <c r="C181" t="s">
        <v>9</v>
      </c>
      <c r="D181" s="24">
        <v>194370667</v>
      </c>
      <c r="E181" s="29" t="str">
        <f>'Hitung Per Bulan'!I181</f>
        <v/>
      </c>
      <c r="F181" s="24">
        <v>13353760000</v>
      </c>
      <c r="G181" s="29" t="str">
        <f>'Hitung Per Bulan'!J181</f>
        <v/>
      </c>
    </row>
    <row r="182" spans="1:7" x14ac:dyDescent="0.45">
      <c r="A182" t="s">
        <v>7</v>
      </c>
      <c r="B182" t="s">
        <v>28</v>
      </c>
      <c r="C182" t="s">
        <v>21</v>
      </c>
      <c r="D182" s="24">
        <v>0</v>
      </c>
      <c r="E182" s="29">
        <f>'Hitung Per Bulan'!I182</f>
        <v>7366373</v>
      </c>
      <c r="F182" s="24">
        <v>0</v>
      </c>
      <c r="G182" s="29">
        <f>'Hitung Per Bulan'!J182</f>
        <v>0</v>
      </c>
    </row>
    <row r="183" spans="1:7" x14ac:dyDescent="0.45">
      <c r="A183" t="s">
        <v>10</v>
      </c>
      <c r="B183" t="s">
        <v>28</v>
      </c>
      <c r="C183" t="s">
        <v>21</v>
      </c>
      <c r="D183" s="24">
        <v>69155000</v>
      </c>
      <c r="E183" s="29">
        <f>'Hitung Per Bulan'!I183</f>
        <v>108905600</v>
      </c>
      <c r="F183" s="24">
        <v>0</v>
      </c>
      <c r="G183" s="29">
        <f>'Hitung Per Bulan'!J183</f>
        <v>7366373</v>
      </c>
    </row>
    <row r="184" spans="1:7" x14ac:dyDescent="0.45">
      <c r="A184" t="s">
        <v>11</v>
      </c>
      <c r="B184" t="s">
        <v>28</v>
      </c>
      <c r="C184" t="s">
        <v>21</v>
      </c>
      <c r="D184" s="24">
        <v>76585000</v>
      </c>
      <c r="E184" s="29">
        <f>'Hitung Per Bulan'!I184</f>
        <v>486628000</v>
      </c>
      <c r="F184" s="24">
        <v>69155000</v>
      </c>
      <c r="G184" s="29">
        <f>'Hitung Per Bulan'!J184</f>
        <v>97569100</v>
      </c>
    </row>
    <row r="185" spans="1:7" x14ac:dyDescent="0.45">
      <c r="A185" t="s">
        <v>12</v>
      </c>
      <c r="B185" t="s">
        <v>28</v>
      </c>
      <c r="C185" t="s">
        <v>21</v>
      </c>
      <c r="D185" s="24">
        <v>478750000</v>
      </c>
      <c r="E185" s="29" t="str">
        <f>'Hitung Per Bulan'!I185</f>
        <v/>
      </c>
      <c r="F185" s="24">
        <v>76585000</v>
      </c>
      <c r="G185" s="29" t="str">
        <f>'Hitung Per Bulan'!J185</f>
        <v/>
      </c>
    </row>
    <row r="186" spans="1:7" x14ac:dyDescent="0.45">
      <c r="A186" t="s">
        <v>13</v>
      </c>
      <c r="B186" t="s">
        <v>28</v>
      </c>
      <c r="C186" t="s">
        <v>21</v>
      </c>
      <c r="D186" s="24">
        <v>331409000</v>
      </c>
      <c r="E186" s="29" t="str">
        <f>'Hitung Per Bulan'!I186</f>
        <v/>
      </c>
      <c r="F186" s="24">
        <v>78750000</v>
      </c>
      <c r="G186" s="29" t="str">
        <f>'Hitung Per Bulan'!J186</f>
        <v/>
      </c>
    </row>
    <row r="187" spans="1:7" x14ac:dyDescent="0.45">
      <c r="A187" t="s">
        <v>14</v>
      </c>
      <c r="B187" t="s">
        <v>28</v>
      </c>
      <c r="C187" t="s">
        <v>21</v>
      </c>
      <c r="D187" s="24">
        <v>425832000</v>
      </c>
      <c r="E187" s="29" t="str">
        <f>'Hitung Per Bulan'!I187</f>
        <v/>
      </c>
      <c r="F187" s="24">
        <v>331409000</v>
      </c>
      <c r="G187" s="29" t="str">
        <f>'Hitung Per Bulan'!J187</f>
        <v/>
      </c>
    </row>
    <row r="188" spans="1:7" x14ac:dyDescent="0.45">
      <c r="A188" t="s">
        <v>15</v>
      </c>
      <c r="B188" t="s">
        <v>28</v>
      </c>
      <c r="C188" t="s">
        <v>21</v>
      </c>
      <c r="D188" s="24">
        <v>720000000</v>
      </c>
      <c r="E188" s="29" t="str">
        <f>'Hitung Per Bulan'!I188</f>
        <v/>
      </c>
      <c r="F188" s="24">
        <v>645000000</v>
      </c>
      <c r="G188" s="29" t="str">
        <f>'Hitung Per Bulan'!J188</f>
        <v/>
      </c>
    </row>
    <row r="189" spans="1:7" x14ac:dyDescent="0.45">
      <c r="A189" t="s">
        <v>16</v>
      </c>
      <c r="B189" t="s">
        <v>28</v>
      </c>
      <c r="C189" t="s">
        <v>21</v>
      </c>
      <c r="D189" s="24">
        <v>980337000</v>
      </c>
      <c r="E189" s="29" t="str">
        <f>'Hitung Per Bulan'!I189</f>
        <v/>
      </c>
      <c r="F189" s="24">
        <v>470000000</v>
      </c>
      <c r="G189" s="29" t="str">
        <f>'Hitung Per Bulan'!J189</f>
        <v/>
      </c>
    </row>
    <row r="190" spans="1:7" x14ac:dyDescent="0.45">
      <c r="A190" t="s">
        <v>17</v>
      </c>
      <c r="B190" t="s">
        <v>28</v>
      </c>
      <c r="C190" t="s">
        <v>21</v>
      </c>
      <c r="D190" s="24">
        <v>30000000</v>
      </c>
      <c r="E190" s="29" t="str">
        <f>'Hitung Per Bulan'!I190</f>
        <v/>
      </c>
      <c r="F190" s="24">
        <v>569582000</v>
      </c>
      <c r="G190" s="29" t="str">
        <f>'Hitung Per Bulan'!J190</f>
        <v/>
      </c>
    </row>
    <row r="191" spans="1:7" x14ac:dyDescent="0.45">
      <c r="A191" t="s">
        <v>18</v>
      </c>
      <c r="B191" t="s">
        <v>28</v>
      </c>
      <c r="C191" t="s">
        <v>21</v>
      </c>
      <c r="D191" s="24">
        <v>30000000</v>
      </c>
      <c r="E191" s="29" t="str">
        <f>'Hitung Per Bulan'!I191</f>
        <v/>
      </c>
      <c r="F191" s="24">
        <v>280000000</v>
      </c>
      <c r="G191" s="29" t="str">
        <f>'Hitung Per Bulan'!J191</f>
        <v/>
      </c>
    </row>
    <row r="192" spans="1:7" x14ac:dyDescent="0.45">
      <c r="A192" t="s">
        <v>19</v>
      </c>
      <c r="B192" t="s">
        <v>28</v>
      </c>
      <c r="C192" t="s">
        <v>21</v>
      </c>
      <c r="D192" s="24">
        <v>30000000</v>
      </c>
      <c r="E192" s="29" t="str">
        <f>'Hitung Per Bulan'!I192</f>
        <v/>
      </c>
      <c r="F192" s="24">
        <v>621587000</v>
      </c>
      <c r="G192" s="29" t="str">
        <f>'Hitung Per Bulan'!J192</f>
        <v/>
      </c>
    </row>
    <row r="193" spans="1:7" x14ac:dyDescent="0.45">
      <c r="A193" t="s">
        <v>20</v>
      </c>
      <c r="B193" t="s">
        <v>28</v>
      </c>
      <c r="C193" t="s">
        <v>21</v>
      </c>
      <c r="D193" s="24">
        <v>0</v>
      </c>
      <c r="E193" s="29" t="str">
        <f>'Hitung Per Bulan'!I193</f>
        <v/>
      </c>
      <c r="F193" s="24">
        <v>30000000</v>
      </c>
      <c r="G193" s="29" t="str">
        <f>'Hitung Per Bulan'!J193</f>
        <v/>
      </c>
    </row>
    <row r="194" spans="1:7" x14ac:dyDescent="0.45">
      <c r="A194" t="s">
        <v>7</v>
      </c>
      <c r="B194" t="s">
        <v>28</v>
      </c>
      <c r="C194" t="s">
        <v>22</v>
      </c>
      <c r="D194" s="24">
        <v>0</v>
      </c>
      <c r="E194" s="29">
        <f>'Hitung Per Bulan'!I194</f>
        <v>0</v>
      </c>
      <c r="F194" s="24">
        <v>0</v>
      </c>
      <c r="G194" s="29">
        <f>'Hitung Per Bulan'!J194</f>
        <v>0</v>
      </c>
    </row>
    <row r="195" spans="1:7" x14ac:dyDescent="0.45">
      <c r="A195" t="s">
        <v>10</v>
      </c>
      <c r="B195" t="s">
        <v>28</v>
      </c>
      <c r="C195" t="s">
        <v>22</v>
      </c>
      <c r="D195" s="24">
        <v>0</v>
      </c>
      <c r="E195" s="29">
        <f>'Hitung Per Bulan'!I195</f>
        <v>0</v>
      </c>
      <c r="F195" s="24">
        <v>0</v>
      </c>
      <c r="G195" s="29">
        <f>'Hitung Per Bulan'!J195</f>
        <v>0</v>
      </c>
    </row>
    <row r="196" spans="1:7" x14ac:dyDescent="0.45">
      <c r="A196" t="s">
        <v>11</v>
      </c>
      <c r="B196" t="s">
        <v>28</v>
      </c>
      <c r="C196" t="s">
        <v>22</v>
      </c>
      <c r="D196" s="24">
        <v>0</v>
      </c>
      <c r="E196" s="29">
        <f>'Hitung Per Bulan'!I196</f>
        <v>0</v>
      </c>
      <c r="F196" s="24">
        <v>0</v>
      </c>
      <c r="G196" s="29">
        <f>'Hitung Per Bulan'!J196</f>
        <v>0</v>
      </c>
    </row>
    <row r="197" spans="1:7" x14ac:dyDescent="0.45">
      <c r="A197" t="s">
        <v>12</v>
      </c>
      <c r="B197" t="s">
        <v>28</v>
      </c>
      <c r="C197" t="s">
        <v>22</v>
      </c>
      <c r="D197" s="24">
        <v>0</v>
      </c>
      <c r="E197" s="29" t="str">
        <f>'Hitung Per Bulan'!I197</f>
        <v/>
      </c>
      <c r="F197" s="24">
        <v>0</v>
      </c>
      <c r="G197" s="29" t="str">
        <f>'Hitung Per Bulan'!J197</f>
        <v/>
      </c>
    </row>
    <row r="198" spans="1:7" x14ac:dyDescent="0.45">
      <c r="A198" t="s">
        <v>13</v>
      </c>
      <c r="B198" t="s">
        <v>28</v>
      </c>
      <c r="C198" t="s">
        <v>22</v>
      </c>
      <c r="D198" s="24">
        <v>0</v>
      </c>
      <c r="E198" s="29" t="str">
        <f>'Hitung Per Bulan'!I198</f>
        <v/>
      </c>
      <c r="F198" s="24">
        <v>0</v>
      </c>
      <c r="G198" s="29" t="str">
        <f>'Hitung Per Bulan'!J198</f>
        <v/>
      </c>
    </row>
    <row r="199" spans="1:7" x14ac:dyDescent="0.45">
      <c r="A199" t="s">
        <v>14</v>
      </c>
      <c r="B199" t="s">
        <v>28</v>
      </c>
      <c r="C199" t="s">
        <v>22</v>
      </c>
      <c r="D199" s="24">
        <v>0</v>
      </c>
      <c r="E199" s="29" t="str">
        <f>'Hitung Per Bulan'!I199</f>
        <v/>
      </c>
      <c r="F199" s="24">
        <v>0</v>
      </c>
      <c r="G199" s="29" t="str">
        <f>'Hitung Per Bulan'!J199</f>
        <v/>
      </c>
    </row>
    <row r="200" spans="1:7" x14ac:dyDescent="0.45">
      <c r="A200" t="s">
        <v>15</v>
      </c>
      <c r="B200" t="s">
        <v>28</v>
      </c>
      <c r="C200" t="s">
        <v>22</v>
      </c>
      <c r="D200" s="24">
        <v>0</v>
      </c>
      <c r="E200" s="29" t="str">
        <f>'Hitung Per Bulan'!I200</f>
        <v/>
      </c>
      <c r="F200" s="24">
        <v>0</v>
      </c>
      <c r="G200" s="29" t="str">
        <f>'Hitung Per Bulan'!J200</f>
        <v/>
      </c>
    </row>
    <row r="201" spans="1:7" x14ac:dyDescent="0.45">
      <c r="A201" t="s">
        <v>16</v>
      </c>
      <c r="B201" t="s">
        <v>28</v>
      </c>
      <c r="C201" t="s">
        <v>22</v>
      </c>
      <c r="D201" s="24">
        <v>0</v>
      </c>
      <c r="E201" s="29" t="str">
        <f>'Hitung Per Bulan'!I201</f>
        <v/>
      </c>
      <c r="F201" s="24">
        <v>0</v>
      </c>
      <c r="G201" s="29" t="str">
        <f>'Hitung Per Bulan'!J201</f>
        <v/>
      </c>
    </row>
    <row r="202" spans="1:7" x14ac:dyDescent="0.45">
      <c r="A202" t="s">
        <v>17</v>
      </c>
      <c r="B202" t="s">
        <v>28</v>
      </c>
      <c r="C202" t="s">
        <v>22</v>
      </c>
      <c r="D202" s="24">
        <v>0</v>
      </c>
      <c r="E202" s="29" t="str">
        <f>'Hitung Per Bulan'!I202</f>
        <v/>
      </c>
      <c r="F202" s="24">
        <v>0</v>
      </c>
      <c r="G202" s="29" t="str">
        <f>'Hitung Per Bulan'!J202</f>
        <v/>
      </c>
    </row>
    <row r="203" spans="1:7" x14ac:dyDescent="0.45">
      <c r="A203" t="s">
        <v>18</v>
      </c>
      <c r="B203" t="s">
        <v>28</v>
      </c>
      <c r="C203" t="s">
        <v>22</v>
      </c>
      <c r="D203" s="24">
        <v>0</v>
      </c>
      <c r="E203" s="29" t="str">
        <f>'Hitung Per Bulan'!I203</f>
        <v/>
      </c>
      <c r="F203" s="24">
        <v>0</v>
      </c>
      <c r="G203" s="29" t="str">
        <f>'Hitung Per Bulan'!J203</f>
        <v/>
      </c>
    </row>
    <row r="204" spans="1:7" x14ac:dyDescent="0.45">
      <c r="A204" t="s">
        <v>19</v>
      </c>
      <c r="B204" t="s">
        <v>28</v>
      </c>
      <c r="C204" t="s">
        <v>22</v>
      </c>
      <c r="D204" s="24">
        <v>0</v>
      </c>
      <c r="E204" s="29" t="str">
        <f>'Hitung Per Bulan'!I204</f>
        <v/>
      </c>
      <c r="F204" s="24">
        <v>0</v>
      </c>
      <c r="G204" s="29" t="str">
        <f>'Hitung Per Bulan'!J204</f>
        <v/>
      </c>
    </row>
    <row r="205" spans="1:7" x14ac:dyDescent="0.45">
      <c r="A205" t="s">
        <v>20</v>
      </c>
      <c r="B205" t="s">
        <v>28</v>
      </c>
      <c r="C205" t="s">
        <v>22</v>
      </c>
      <c r="D205" s="24">
        <v>0</v>
      </c>
      <c r="E205" s="29" t="str">
        <f>'Hitung Per Bulan'!I205</f>
        <v/>
      </c>
      <c r="F205" s="24">
        <v>0</v>
      </c>
      <c r="G205" s="29" t="str">
        <f>'Hitung Per Bulan'!J205</f>
        <v/>
      </c>
    </row>
    <row r="206" spans="1:7" x14ac:dyDescent="0.45">
      <c r="A206" t="s">
        <v>7</v>
      </c>
      <c r="B206" t="s">
        <v>28</v>
      </c>
      <c r="C206" t="s">
        <v>23</v>
      </c>
      <c r="D206" s="24">
        <v>0</v>
      </c>
      <c r="E206" s="29">
        <f>'Hitung Per Bulan'!I206</f>
        <v>24488000</v>
      </c>
      <c r="F206" s="24">
        <v>0</v>
      </c>
      <c r="G206" s="29">
        <f>'Hitung Per Bulan'!J206</f>
        <v>0</v>
      </c>
    </row>
    <row r="207" spans="1:7" x14ac:dyDescent="0.45">
      <c r="A207" t="s">
        <v>10</v>
      </c>
      <c r="B207" t="s">
        <v>28</v>
      </c>
      <c r="C207" t="s">
        <v>23</v>
      </c>
      <c r="D207" s="24">
        <v>0</v>
      </c>
      <c r="E207" s="29">
        <f>'Hitung Per Bulan'!I207</f>
        <v>0</v>
      </c>
      <c r="F207" s="24">
        <v>0</v>
      </c>
      <c r="G207" s="29">
        <f>'Hitung Per Bulan'!J207</f>
        <v>24488000</v>
      </c>
    </row>
    <row r="208" spans="1:7" x14ac:dyDescent="0.45">
      <c r="A208" t="s">
        <v>11</v>
      </c>
      <c r="B208" t="s">
        <v>28</v>
      </c>
      <c r="C208" t="s">
        <v>23</v>
      </c>
      <c r="D208" s="24">
        <v>50000000</v>
      </c>
      <c r="E208" s="29">
        <f>'Hitung Per Bulan'!I208</f>
        <v>41976000</v>
      </c>
      <c r="F208" s="24">
        <v>0</v>
      </c>
      <c r="G208" s="29">
        <f>'Hitung Per Bulan'!J208</f>
        <v>0</v>
      </c>
    </row>
    <row r="209" spans="1:7" x14ac:dyDescent="0.45">
      <c r="A209" t="s">
        <v>12</v>
      </c>
      <c r="B209" t="s">
        <v>28</v>
      </c>
      <c r="C209" t="s">
        <v>23</v>
      </c>
      <c r="D209" s="24">
        <v>0</v>
      </c>
      <c r="E209" s="29" t="str">
        <f>'Hitung Per Bulan'!I209</f>
        <v/>
      </c>
      <c r="F209" s="24">
        <v>50000000</v>
      </c>
      <c r="G209" s="29" t="str">
        <f>'Hitung Per Bulan'!J209</f>
        <v/>
      </c>
    </row>
    <row r="210" spans="1:7" x14ac:dyDescent="0.45">
      <c r="A210" t="s">
        <v>13</v>
      </c>
      <c r="B210" t="s">
        <v>28</v>
      </c>
      <c r="C210" t="s">
        <v>23</v>
      </c>
      <c r="D210" s="24">
        <v>50000000</v>
      </c>
      <c r="E210" s="29" t="str">
        <f>'Hitung Per Bulan'!I210</f>
        <v/>
      </c>
      <c r="F210" s="24">
        <v>0</v>
      </c>
      <c r="G210" s="29" t="str">
        <f>'Hitung Per Bulan'!J210</f>
        <v/>
      </c>
    </row>
    <row r="211" spans="1:7" x14ac:dyDescent="0.45">
      <c r="A211" t="s">
        <v>14</v>
      </c>
      <c r="B211" t="s">
        <v>28</v>
      </c>
      <c r="C211" t="s">
        <v>23</v>
      </c>
      <c r="D211" s="24">
        <v>0</v>
      </c>
      <c r="E211" s="29" t="str">
        <f>'Hitung Per Bulan'!I211</f>
        <v/>
      </c>
      <c r="F211" s="24">
        <v>50000000</v>
      </c>
      <c r="G211" s="29" t="str">
        <f>'Hitung Per Bulan'!J211</f>
        <v/>
      </c>
    </row>
    <row r="212" spans="1:7" x14ac:dyDescent="0.45">
      <c r="A212" t="s">
        <v>15</v>
      </c>
      <c r="B212" t="s">
        <v>28</v>
      </c>
      <c r="C212" t="s">
        <v>23</v>
      </c>
      <c r="D212" s="24">
        <v>0</v>
      </c>
      <c r="E212" s="29" t="str">
        <f>'Hitung Per Bulan'!I212</f>
        <v/>
      </c>
      <c r="F212" s="24">
        <v>0</v>
      </c>
      <c r="G212" s="29" t="str">
        <f>'Hitung Per Bulan'!J212</f>
        <v/>
      </c>
    </row>
    <row r="213" spans="1:7" x14ac:dyDescent="0.45">
      <c r="A213" t="s">
        <v>16</v>
      </c>
      <c r="B213" t="s">
        <v>28</v>
      </c>
      <c r="C213" t="s">
        <v>23</v>
      </c>
      <c r="D213" s="24">
        <v>100000000</v>
      </c>
      <c r="E213" s="29" t="str">
        <f>'Hitung Per Bulan'!I213</f>
        <v/>
      </c>
      <c r="F213" s="24">
        <v>0</v>
      </c>
      <c r="G213" s="29" t="str">
        <f>'Hitung Per Bulan'!J213</f>
        <v/>
      </c>
    </row>
    <row r="214" spans="1:7" x14ac:dyDescent="0.45">
      <c r="A214" t="s">
        <v>17</v>
      </c>
      <c r="B214" t="s">
        <v>28</v>
      </c>
      <c r="C214" t="s">
        <v>23</v>
      </c>
      <c r="D214" s="24">
        <v>0</v>
      </c>
      <c r="E214" s="29" t="str">
        <f>'Hitung Per Bulan'!I214</f>
        <v/>
      </c>
      <c r="F214" s="24">
        <v>100000000</v>
      </c>
      <c r="G214" s="29" t="str">
        <f>'Hitung Per Bulan'!J214</f>
        <v/>
      </c>
    </row>
    <row r="215" spans="1:7" x14ac:dyDescent="0.45">
      <c r="A215" t="s">
        <v>18</v>
      </c>
      <c r="B215" t="s">
        <v>28</v>
      </c>
      <c r="C215" t="s">
        <v>23</v>
      </c>
      <c r="D215" s="24">
        <v>0</v>
      </c>
      <c r="E215" s="29" t="str">
        <f>'Hitung Per Bulan'!I215</f>
        <v/>
      </c>
      <c r="F215" s="24">
        <v>0</v>
      </c>
      <c r="G215" s="29" t="str">
        <f>'Hitung Per Bulan'!J215</f>
        <v/>
      </c>
    </row>
    <row r="216" spans="1:7" x14ac:dyDescent="0.45">
      <c r="A216" t="s">
        <v>19</v>
      </c>
      <c r="B216" t="s">
        <v>28</v>
      </c>
      <c r="C216" t="s">
        <v>23</v>
      </c>
      <c r="D216" s="24">
        <v>0</v>
      </c>
      <c r="E216" s="29" t="str">
        <f>'Hitung Per Bulan'!I216</f>
        <v/>
      </c>
      <c r="F216" s="24">
        <v>0</v>
      </c>
      <c r="G216" s="29" t="str">
        <f>'Hitung Per Bulan'!J216</f>
        <v/>
      </c>
    </row>
    <row r="217" spans="1:7" x14ac:dyDescent="0.45">
      <c r="A217" t="s">
        <v>20</v>
      </c>
      <c r="B217" t="s">
        <v>28</v>
      </c>
      <c r="C217" t="s">
        <v>23</v>
      </c>
      <c r="D217" s="24">
        <v>0</v>
      </c>
      <c r="E217" s="29" t="str">
        <f>'Hitung Per Bulan'!I217</f>
        <v/>
      </c>
      <c r="F217" s="24">
        <v>0</v>
      </c>
      <c r="G217" s="29" t="str">
        <f>'Hitung Per Bulan'!J217</f>
        <v/>
      </c>
    </row>
    <row r="218" spans="1:7" x14ac:dyDescent="0.45">
      <c r="A218" t="s">
        <v>7</v>
      </c>
      <c r="B218" t="s">
        <v>28</v>
      </c>
      <c r="C218" t="s">
        <v>24</v>
      </c>
      <c r="D218" s="24">
        <v>0</v>
      </c>
      <c r="E218" s="29">
        <f>'Hitung Per Bulan'!I218</f>
        <v>0</v>
      </c>
      <c r="F218" s="24">
        <v>0</v>
      </c>
      <c r="G218" s="29">
        <f>'Hitung Per Bulan'!J218</f>
        <v>0</v>
      </c>
    </row>
    <row r="219" spans="1:7" x14ac:dyDescent="0.45">
      <c r="A219" t="s">
        <v>10</v>
      </c>
      <c r="B219" t="s">
        <v>28</v>
      </c>
      <c r="C219" t="s">
        <v>24</v>
      </c>
      <c r="D219" s="24">
        <v>0</v>
      </c>
      <c r="E219" s="29">
        <f>'Hitung Per Bulan'!I219</f>
        <v>0</v>
      </c>
      <c r="F219" s="24">
        <v>0</v>
      </c>
      <c r="G219" s="29">
        <f>'Hitung Per Bulan'!J219</f>
        <v>0</v>
      </c>
    </row>
    <row r="220" spans="1:7" x14ac:dyDescent="0.45">
      <c r="A220" t="s">
        <v>11</v>
      </c>
      <c r="B220" t="s">
        <v>28</v>
      </c>
      <c r="C220" t="s">
        <v>24</v>
      </c>
      <c r="D220" s="24">
        <v>0</v>
      </c>
      <c r="E220" s="29">
        <f>'Hitung Per Bulan'!I220</f>
        <v>0</v>
      </c>
      <c r="F220" s="24">
        <v>0</v>
      </c>
      <c r="G220" s="29">
        <f>'Hitung Per Bulan'!J220</f>
        <v>0</v>
      </c>
    </row>
    <row r="221" spans="1:7" x14ac:dyDescent="0.45">
      <c r="A221" t="s">
        <v>12</v>
      </c>
      <c r="B221" t="s">
        <v>28</v>
      </c>
      <c r="C221" t="s">
        <v>24</v>
      </c>
      <c r="D221" s="24">
        <v>0</v>
      </c>
      <c r="E221" s="29" t="str">
        <f>'Hitung Per Bulan'!I221</f>
        <v/>
      </c>
      <c r="F221" s="24">
        <v>0</v>
      </c>
      <c r="G221" s="29" t="str">
        <f>'Hitung Per Bulan'!J221</f>
        <v/>
      </c>
    </row>
    <row r="222" spans="1:7" x14ac:dyDescent="0.45">
      <c r="A222" t="s">
        <v>13</v>
      </c>
      <c r="B222" t="s">
        <v>28</v>
      </c>
      <c r="C222" t="s">
        <v>24</v>
      </c>
      <c r="D222" s="24">
        <v>0</v>
      </c>
      <c r="E222" s="29" t="str">
        <f>'Hitung Per Bulan'!I222</f>
        <v/>
      </c>
      <c r="F222" s="24">
        <v>0</v>
      </c>
      <c r="G222" s="29" t="str">
        <f>'Hitung Per Bulan'!J222</f>
        <v/>
      </c>
    </row>
    <row r="223" spans="1:7" x14ac:dyDescent="0.45">
      <c r="A223" t="s">
        <v>14</v>
      </c>
      <c r="B223" t="s">
        <v>28</v>
      </c>
      <c r="C223" t="s">
        <v>24</v>
      </c>
      <c r="D223" s="24">
        <v>0</v>
      </c>
      <c r="E223" s="29" t="str">
        <f>'Hitung Per Bulan'!I223</f>
        <v/>
      </c>
      <c r="F223" s="24">
        <v>0</v>
      </c>
      <c r="G223" s="29" t="str">
        <f>'Hitung Per Bulan'!J223</f>
        <v/>
      </c>
    </row>
    <row r="224" spans="1:7" x14ac:dyDescent="0.45">
      <c r="A224" t="s">
        <v>15</v>
      </c>
      <c r="B224" t="s">
        <v>28</v>
      </c>
      <c r="C224" t="s">
        <v>24</v>
      </c>
      <c r="D224" s="24">
        <v>0</v>
      </c>
      <c r="E224" s="29" t="str">
        <f>'Hitung Per Bulan'!I224</f>
        <v/>
      </c>
      <c r="F224" s="24">
        <v>0</v>
      </c>
      <c r="G224" s="29" t="str">
        <f>'Hitung Per Bulan'!J224</f>
        <v/>
      </c>
    </row>
    <row r="225" spans="1:7" x14ac:dyDescent="0.45">
      <c r="A225" t="s">
        <v>16</v>
      </c>
      <c r="B225" t="s">
        <v>28</v>
      </c>
      <c r="C225" t="s">
        <v>24</v>
      </c>
      <c r="D225" s="24">
        <v>0</v>
      </c>
      <c r="E225" s="29" t="str">
        <f>'Hitung Per Bulan'!I225</f>
        <v/>
      </c>
      <c r="F225" s="24">
        <v>0</v>
      </c>
      <c r="G225" s="29" t="str">
        <f>'Hitung Per Bulan'!J225</f>
        <v/>
      </c>
    </row>
    <row r="226" spans="1:7" x14ac:dyDescent="0.45">
      <c r="A226" t="s">
        <v>17</v>
      </c>
      <c r="B226" t="s">
        <v>28</v>
      </c>
      <c r="C226" t="s">
        <v>24</v>
      </c>
      <c r="D226" s="24">
        <v>0</v>
      </c>
      <c r="E226" s="29" t="str">
        <f>'Hitung Per Bulan'!I226</f>
        <v/>
      </c>
      <c r="F226" s="24">
        <v>0</v>
      </c>
      <c r="G226" s="29" t="str">
        <f>'Hitung Per Bulan'!J226</f>
        <v/>
      </c>
    </row>
    <row r="227" spans="1:7" x14ac:dyDescent="0.45">
      <c r="A227" t="s">
        <v>18</v>
      </c>
      <c r="B227" t="s">
        <v>28</v>
      </c>
      <c r="C227" t="s">
        <v>24</v>
      </c>
      <c r="D227" s="24">
        <v>0</v>
      </c>
      <c r="E227" s="29" t="str">
        <f>'Hitung Per Bulan'!I227</f>
        <v/>
      </c>
      <c r="F227" s="24">
        <v>0</v>
      </c>
      <c r="G227" s="29" t="str">
        <f>'Hitung Per Bulan'!J227</f>
        <v/>
      </c>
    </row>
    <row r="228" spans="1:7" x14ac:dyDescent="0.45">
      <c r="A228" t="s">
        <v>19</v>
      </c>
      <c r="B228" t="s">
        <v>28</v>
      </c>
      <c r="C228" t="s">
        <v>24</v>
      </c>
      <c r="D228" s="24">
        <v>0</v>
      </c>
      <c r="E228" s="29" t="str">
        <f>'Hitung Per Bulan'!I228</f>
        <v/>
      </c>
      <c r="F228" s="24">
        <v>0</v>
      </c>
      <c r="G228" s="29" t="str">
        <f>'Hitung Per Bulan'!J228</f>
        <v/>
      </c>
    </row>
    <row r="229" spans="1:7" x14ac:dyDescent="0.45">
      <c r="A229" t="s">
        <v>20</v>
      </c>
      <c r="B229" t="s">
        <v>28</v>
      </c>
      <c r="C229" t="s">
        <v>24</v>
      </c>
      <c r="D229" s="24">
        <v>0</v>
      </c>
      <c r="E229" s="29" t="str">
        <f>'Hitung Per Bulan'!I229</f>
        <v/>
      </c>
      <c r="F229" s="24">
        <v>0</v>
      </c>
      <c r="G229" s="29" t="str">
        <f>'Hitung Per Bulan'!J229</f>
        <v/>
      </c>
    </row>
    <row r="230" spans="1:7" x14ac:dyDescent="0.45">
      <c r="A230" t="s">
        <v>7</v>
      </c>
      <c r="B230" t="s">
        <v>28</v>
      </c>
      <c r="C230" t="s">
        <v>25</v>
      </c>
      <c r="D230" s="24">
        <v>129134000</v>
      </c>
      <c r="E230" s="29">
        <f>'Hitung Per Bulan'!I230</f>
        <v>109818500</v>
      </c>
      <c r="F230" s="24">
        <v>0</v>
      </c>
      <c r="G230" s="29">
        <f>'Hitung Per Bulan'!J230</f>
        <v>52871500</v>
      </c>
    </row>
    <row r="231" spans="1:7" x14ac:dyDescent="0.45">
      <c r="A231" t="s">
        <v>10</v>
      </c>
      <c r="B231" t="s">
        <v>28</v>
      </c>
      <c r="C231" t="s">
        <v>25</v>
      </c>
      <c r="D231" s="24">
        <v>129134000</v>
      </c>
      <c r="E231" s="29">
        <f>'Hitung Per Bulan'!I231</f>
        <v>37750500</v>
      </c>
      <c r="F231" s="24">
        <v>129134000</v>
      </c>
      <c r="G231" s="29">
        <f>'Hitung Per Bulan'!J231</f>
        <v>64950500</v>
      </c>
    </row>
    <row r="232" spans="1:7" x14ac:dyDescent="0.45">
      <c r="A232" t="s">
        <v>11</v>
      </c>
      <c r="B232" t="s">
        <v>28</v>
      </c>
      <c r="C232" t="s">
        <v>25</v>
      </c>
      <c r="D232" s="24">
        <v>353894000</v>
      </c>
      <c r="E232" s="29">
        <f>'Hitung Per Bulan'!I232</f>
        <v>88409350</v>
      </c>
      <c r="F232" s="24">
        <v>129134000</v>
      </c>
      <c r="G232" s="29">
        <f>'Hitung Per Bulan'!J232</f>
        <v>40384850</v>
      </c>
    </row>
    <row r="233" spans="1:7" x14ac:dyDescent="0.45">
      <c r="A233" t="s">
        <v>12</v>
      </c>
      <c r="B233" t="s">
        <v>28</v>
      </c>
      <c r="C233" t="s">
        <v>25</v>
      </c>
      <c r="D233" s="24">
        <v>129134000</v>
      </c>
      <c r="E233" s="29" t="str">
        <f>'Hitung Per Bulan'!I233</f>
        <v/>
      </c>
      <c r="F233" s="24">
        <v>353894000</v>
      </c>
      <c r="G233" s="29" t="str">
        <f>'Hitung Per Bulan'!J233</f>
        <v/>
      </c>
    </row>
    <row r="234" spans="1:7" x14ac:dyDescent="0.45">
      <c r="A234" t="s">
        <v>13</v>
      </c>
      <c r="B234" t="s">
        <v>28</v>
      </c>
      <c r="C234" t="s">
        <v>25</v>
      </c>
      <c r="D234" s="24">
        <v>129134000</v>
      </c>
      <c r="E234" s="29" t="str">
        <f>'Hitung Per Bulan'!I234</f>
        <v/>
      </c>
      <c r="F234" s="24">
        <v>129134000</v>
      </c>
      <c r="G234" s="29" t="str">
        <f>'Hitung Per Bulan'!J234</f>
        <v/>
      </c>
    </row>
    <row r="235" spans="1:7" x14ac:dyDescent="0.45">
      <c r="A235" t="s">
        <v>14</v>
      </c>
      <c r="B235" t="s">
        <v>28</v>
      </c>
      <c r="C235" t="s">
        <v>25</v>
      </c>
      <c r="D235" s="24">
        <v>139135000</v>
      </c>
      <c r="E235" s="29" t="str">
        <f>'Hitung Per Bulan'!I235</f>
        <v/>
      </c>
      <c r="F235" s="24">
        <v>129134000</v>
      </c>
      <c r="G235" s="29" t="str">
        <f>'Hitung Per Bulan'!J235</f>
        <v/>
      </c>
    </row>
    <row r="236" spans="1:7" x14ac:dyDescent="0.45">
      <c r="A236" t="s">
        <v>15</v>
      </c>
      <c r="B236" t="s">
        <v>28</v>
      </c>
      <c r="C236" t="s">
        <v>25</v>
      </c>
      <c r="D236" s="24">
        <v>353897000</v>
      </c>
      <c r="E236" s="29" t="str">
        <f>'Hitung Per Bulan'!I236</f>
        <v/>
      </c>
      <c r="F236" s="24">
        <v>139135000</v>
      </c>
      <c r="G236" s="29" t="str">
        <f>'Hitung Per Bulan'!J236</f>
        <v/>
      </c>
    </row>
    <row r="237" spans="1:7" x14ac:dyDescent="0.45">
      <c r="A237" t="s">
        <v>16</v>
      </c>
      <c r="B237" t="s">
        <v>28</v>
      </c>
      <c r="C237" t="s">
        <v>25</v>
      </c>
      <c r="D237" s="24">
        <v>129137000</v>
      </c>
      <c r="E237" s="29" t="str">
        <f>'Hitung Per Bulan'!I237</f>
        <v/>
      </c>
      <c r="F237" s="24">
        <v>353897000</v>
      </c>
      <c r="G237" s="29" t="str">
        <f>'Hitung Per Bulan'!J237</f>
        <v/>
      </c>
    </row>
    <row r="238" spans="1:7" x14ac:dyDescent="0.45">
      <c r="A238" t="s">
        <v>17</v>
      </c>
      <c r="B238" t="s">
        <v>28</v>
      </c>
      <c r="C238" t="s">
        <v>25</v>
      </c>
      <c r="D238" s="24">
        <v>129137000</v>
      </c>
      <c r="E238" s="29" t="str">
        <f>'Hitung Per Bulan'!I238</f>
        <v/>
      </c>
      <c r="F238" s="24">
        <v>129137000</v>
      </c>
      <c r="G238" s="29" t="str">
        <f>'Hitung Per Bulan'!J238</f>
        <v/>
      </c>
    </row>
    <row r="239" spans="1:7" x14ac:dyDescent="0.45">
      <c r="A239" t="s">
        <v>18</v>
      </c>
      <c r="B239" t="s">
        <v>28</v>
      </c>
      <c r="C239" t="s">
        <v>25</v>
      </c>
      <c r="D239" s="24">
        <v>129137000</v>
      </c>
      <c r="E239" s="29" t="str">
        <f>'Hitung Per Bulan'!I239</f>
        <v/>
      </c>
      <c r="F239" s="24">
        <v>129137000</v>
      </c>
      <c r="G239" s="29" t="str">
        <f>'Hitung Per Bulan'!J239</f>
        <v/>
      </c>
    </row>
    <row r="240" spans="1:7" x14ac:dyDescent="0.45">
      <c r="A240" t="s">
        <v>19</v>
      </c>
      <c r="B240" t="s">
        <v>28</v>
      </c>
      <c r="C240" t="s">
        <v>25</v>
      </c>
      <c r="D240" s="24">
        <v>169497000</v>
      </c>
      <c r="E240" s="29" t="str">
        <f>'Hitung Per Bulan'!I240</f>
        <v/>
      </c>
      <c r="F240" s="24">
        <v>129137000</v>
      </c>
      <c r="G240" s="29" t="str">
        <f>'Hitung Per Bulan'!J240</f>
        <v/>
      </c>
    </row>
    <row r="241" spans="1:7" x14ac:dyDescent="0.45">
      <c r="A241" t="s">
        <v>20</v>
      </c>
      <c r="B241" t="s">
        <v>28</v>
      </c>
      <c r="C241" t="s">
        <v>25</v>
      </c>
      <c r="D241" s="24">
        <v>11500000</v>
      </c>
      <c r="E241" s="29" t="str">
        <f>'Hitung Per Bulan'!I241</f>
        <v/>
      </c>
      <c r="F241" s="24">
        <v>180997000</v>
      </c>
      <c r="G241" s="29" t="str">
        <f>'Hitung Per Bulan'!J241</f>
        <v/>
      </c>
    </row>
    <row r="242" spans="1:7" x14ac:dyDescent="0.45">
      <c r="A242" t="s">
        <v>7</v>
      </c>
      <c r="B242" t="s">
        <v>28</v>
      </c>
      <c r="C242" t="s">
        <v>26</v>
      </c>
      <c r="D242" s="24">
        <v>0</v>
      </c>
      <c r="E242" s="29">
        <f>'Hitung Per Bulan'!I242</f>
        <v>0</v>
      </c>
      <c r="F242" s="24">
        <v>0</v>
      </c>
      <c r="G242" s="29">
        <f>'Hitung Per Bulan'!J242</f>
        <v>0</v>
      </c>
    </row>
    <row r="243" spans="1:7" x14ac:dyDescent="0.45">
      <c r="A243" t="s">
        <v>10</v>
      </c>
      <c r="B243" t="s">
        <v>28</v>
      </c>
      <c r="C243" t="s">
        <v>26</v>
      </c>
      <c r="D243" s="24">
        <v>0</v>
      </c>
      <c r="E243" s="29">
        <f>'Hitung Per Bulan'!I243</f>
        <v>0</v>
      </c>
      <c r="F243" s="24">
        <v>0</v>
      </c>
      <c r="G243" s="29">
        <f>'Hitung Per Bulan'!J243</f>
        <v>0</v>
      </c>
    </row>
    <row r="244" spans="1:7" x14ac:dyDescent="0.45">
      <c r="A244" t="s">
        <v>11</v>
      </c>
      <c r="B244" t="s">
        <v>28</v>
      </c>
      <c r="C244" t="s">
        <v>26</v>
      </c>
      <c r="D244" s="24">
        <v>0</v>
      </c>
      <c r="E244" s="29">
        <f>'Hitung Per Bulan'!I244</f>
        <v>0</v>
      </c>
      <c r="F244" s="24">
        <v>0</v>
      </c>
      <c r="G244" s="29">
        <f>'Hitung Per Bulan'!J244</f>
        <v>0</v>
      </c>
    </row>
    <row r="245" spans="1:7" x14ac:dyDescent="0.45">
      <c r="A245" t="s">
        <v>12</v>
      </c>
      <c r="B245" t="s">
        <v>28</v>
      </c>
      <c r="C245" t="s">
        <v>26</v>
      </c>
      <c r="D245" s="24">
        <v>0</v>
      </c>
      <c r="E245" s="29" t="str">
        <f>'Hitung Per Bulan'!I245</f>
        <v/>
      </c>
      <c r="F245" s="24">
        <v>0</v>
      </c>
      <c r="G245" s="29" t="str">
        <f>'Hitung Per Bulan'!J245</f>
        <v/>
      </c>
    </row>
    <row r="246" spans="1:7" x14ac:dyDescent="0.45">
      <c r="A246" t="s">
        <v>13</v>
      </c>
      <c r="B246" t="s">
        <v>28</v>
      </c>
      <c r="C246" t="s">
        <v>26</v>
      </c>
      <c r="D246" s="24">
        <v>0</v>
      </c>
      <c r="E246" s="29" t="str">
        <f>'Hitung Per Bulan'!I246</f>
        <v/>
      </c>
      <c r="F246" s="24">
        <v>0</v>
      </c>
      <c r="G246" s="29" t="str">
        <f>'Hitung Per Bulan'!J246</f>
        <v/>
      </c>
    </row>
    <row r="247" spans="1:7" x14ac:dyDescent="0.45">
      <c r="A247" t="s">
        <v>14</v>
      </c>
      <c r="B247" t="s">
        <v>28</v>
      </c>
      <c r="C247" t="s">
        <v>26</v>
      </c>
      <c r="D247" s="24">
        <v>0</v>
      </c>
      <c r="E247" s="29" t="str">
        <f>'Hitung Per Bulan'!I247</f>
        <v/>
      </c>
      <c r="F247" s="24">
        <v>0</v>
      </c>
      <c r="G247" s="29" t="str">
        <f>'Hitung Per Bulan'!J247</f>
        <v/>
      </c>
    </row>
    <row r="248" spans="1:7" x14ac:dyDescent="0.45">
      <c r="A248" t="s">
        <v>15</v>
      </c>
      <c r="B248" t="s">
        <v>28</v>
      </c>
      <c r="C248" t="s">
        <v>26</v>
      </c>
      <c r="D248" s="24">
        <v>0</v>
      </c>
      <c r="E248" s="29" t="str">
        <f>'Hitung Per Bulan'!I248</f>
        <v/>
      </c>
      <c r="F248" s="24">
        <v>0</v>
      </c>
      <c r="G248" s="29" t="str">
        <f>'Hitung Per Bulan'!J248</f>
        <v/>
      </c>
    </row>
    <row r="249" spans="1:7" x14ac:dyDescent="0.45">
      <c r="A249" t="s">
        <v>16</v>
      </c>
      <c r="B249" t="s">
        <v>28</v>
      </c>
      <c r="C249" t="s">
        <v>26</v>
      </c>
      <c r="D249" s="24">
        <v>0</v>
      </c>
      <c r="E249" s="29" t="str">
        <f>'Hitung Per Bulan'!I249</f>
        <v/>
      </c>
      <c r="F249" s="24">
        <v>0</v>
      </c>
      <c r="G249" s="29" t="str">
        <f>'Hitung Per Bulan'!J249</f>
        <v/>
      </c>
    </row>
    <row r="250" spans="1:7" x14ac:dyDescent="0.45">
      <c r="A250" t="s">
        <v>17</v>
      </c>
      <c r="B250" t="s">
        <v>28</v>
      </c>
      <c r="C250" t="s">
        <v>26</v>
      </c>
      <c r="D250" s="24">
        <v>0</v>
      </c>
      <c r="E250" s="29" t="str">
        <f>'Hitung Per Bulan'!I250</f>
        <v/>
      </c>
      <c r="F250" s="24">
        <v>0</v>
      </c>
      <c r="G250" s="29" t="str">
        <f>'Hitung Per Bulan'!J250</f>
        <v/>
      </c>
    </row>
    <row r="251" spans="1:7" x14ac:dyDescent="0.45">
      <c r="A251" t="s">
        <v>18</v>
      </c>
      <c r="B251" t="s">
        <v>28</v>
      </c>
      <c r="C251" t="s">
        <v>26</v>
      </c>
      <c r="D251" s="24">
        <v>0</v>
      </c>
      <c r="E251" s="29" t="str">
        <f>'Hitung Per Bulan'!I251</f>
        <v/>
      </c>
      <c r="F251" s="24">
        <v>0</v>
      </c>
      <c r="G251" s="29" t="str">
        <f>'Hitung Per Bulan'!J251</f>
        <v/>
      </c>
    </row>
    <row r="252" spans="1:7" x14ac:dyDescent="0.45">
      <c r="A252" t="s">
        <v>19</v>
      </c>
      <c r="B252" t="s">
        <v>28</v>
      </c>
      <c r="C252" t="s">
        <v>26</v>
      </c>
      <c r="D252" s="24">
        <v>0</v>
      </c>
      <c r="E252" s="29" t="str">
        <f>'Hitung Per Bulan'!I252</f>
        <v/>
      </c>
      <c r="F252" s="24">
        <v>0</v>
      </c>
      <c r="G252" s="29" t="str">
        <f>'Hitung Per Bulan'!J252</f>
        <v/>
      </c>
    </row>
    <row r="253" spans="1:7" x14ac:dyDescent="0.45">
      <c r="A253" t="s">
        <v>20</v>
      </c>
      <c r="B253" t="s">
        <v>28</v>
      </c>
      <c r="C253" t="s">
        <v>26</v>
      </c>
      <c r="D253" s="24">
        <v>0</v>
      </c>
      <c r="E253" s="29" t="str">
        <f>'Hitung Per Bulan'!I253</f>
        <v/>
      </c>
      <c r="F253" s="24">
        <v>0</v>
      </c>
      <c r="G253" s="29" t="str">
        <f>'Hitung Per Bulan'!J253</f>
        <v/>
      </c>
    </row>
    <row r="254" spans="1:7" x14ac:dyDescent="0.45">
      <c r="A254" t="s">
        <v>7</v>
      </c>
      <c r="B254" t="s">
        <v>29</v>
      </c>
      <c r="C254" t="s">
        <v>9</v>
      </c>
      <c r="D254" s="24">
        <v>355000000</v>
      </c>
      <c r="E254" s="29">
        <f>'Hitung Per Bulan'!I254</f>
        <v>1724237268</v>
      </c>
      <c r="F254" s="24">
        <v>0</v>
      </c>
      <c r="G254" s="29">
        <f>'Hitung Per Bulan'!J254</f>
        <v>0</v>
      </c>
    </row>
    <row r="255" spans="1:7" x14ac:dyDescent="0.45">
      <c r="A255" t="s">
        <v>10</v>
      </c>
      <c r="B255" t="s">
        <v>29</v>
      </c>
      <c r="C255" t="s">
        <v>9</v>
      </c>
      <c r="D255" s="24">
        <v>979388000</v>
      </c>
      <c r="E255" s="29">
        <f>'Hitung Per Bulan'!I255</f>
        <v>3188732296</v>
      </c>
      <c r="F255" s="24">
        <v>355000000</v>
      </c>
      <c r="G255" s="29">
        <f>'Hitung Per Bulan'!J255</f>
        <v>147536656</v>
      </c>
    </row>
    <row r="256" spans="1:7" x14ac:dyDescent="0.45">
      <c r="A256" t="s">
        <v>11</v>
      </c>
      <c r="B256" t="s">
        <v>29</v>
      </c>
      <c r="C256" t="s">
        <v>9</v>
      </c>
      <c r="D256" s="24">
        <v>14105523000</v>
      </c>
      <c r="E256" s="29">
        <f>'Hitung Per Bulan'!I256</f>
        <v>11360541597</v>
      </c>
      <c r="F256" s="24">
        <v>0</v>
      </c>
      <c r="G256" s="29">
        <f>'Hitung Per Bulan'!J256</f>
        <v>551901548</v>
      </c>
    </row>
    <row r="257" spans="1:7" x14ac:dyDescent="0.45">
      <c r="A257" t="s">
        <v>12</v>
      </c>
      <c r="B257" t="s">
        <v>29</v>
      </c>
      <c r="C257" t="s">
        <v>9</v>
      </c>
      <c r="D257" s="24">
        <v>1907791000</v>
      </c>
      <c r="E257" s="29" t="str">
        <f>'Hitung Per Bulan'!I257</f>
        <v/>
      </c>
      <c r="F257" s="24">
        <v>0</v>
      </c>
      <c r="G257" s="29" t="str">
        <f>'Hitung Per Bulan'!J257</f>
        <v/>
      </c>
    </row>
    <row r="258" spans="1:7" x14ac:dyDescent="0.45">
      <c r="A258" t="s">
        <v>13</v>
      </c>
      <c r="B258" t="s">
        <v>29</v>
      </c>
      <c r="C258" t="s">
        <v>9</v>
      </c>
      <c r="D258" s="24">
        <v>2474359000</v>
      </c>
      <c r="E258" s="29" t="str">
        <f>'Hitung Per Bulan'!I258</f>
        <v/>
      </c>
      <c r="F258" s="24">
        <v>1458625000</v>
      </c>
      <c r="G258" s="29" t="str">
        <f>'Hitung Per Bulan'!J258</f>
        <v/>
      </c>
    </row>
    <row r="259" spans="1:7" x14ac:dyDescent="0.45">
      <c r="A259" t="s">
        <v>14</v>
      </c>
      <c r="B259" t="s">
        <v>29</v>
      </c>
      <c r="C259" t="s">
        <v>9</v>
      </c>
      <c r="D259" s="24">
        <v>2010656000</v>
      </c>
      <c r="E259" s="29" t="str">
        <f>'Hitung Per Bulan'!I259</f>
        <v/>
      </c>
      <c r="F259" s="24">
        <v>474426000</v>
      </c>
      <c r="G259" s="29" t="str">
        <f>'Hitung Per Bulan'!J259</f>
        <v/>
      </c>
    </row>
    <row r="260" spans="1:7" x14ac:dyDescent="0.45">
      <c r="A260" t="s">
        <v>15</v>
      </c>
      <c r="B260" t="s">
        <v>29</v>
      </c>
      <c r="C260" t="s">
        <v>9</v>
      </c>
      <c r="D260" s="24">
        <v>355000000</v>
      </c>
      <c r="E260" s="29" t="str">
        <f>'Hitung Per Bulan'!I260</f>
        <v/>
      </c>
      <c r="F260" s="24">
        <v>2282791000</v>
      </c>
      <c r="G260" s="29" t="str">
        <f>'Hitung Per Bulan'!J260</f>
        <v/>
      </c>
    </row>
    <row r="261" spans="1:7" x14ac:dyDescent="0.45">
      <c r="A261" t="s">
        <v>16</v>
      </c>
      <c r="B261" t="s">
        <v>29</v>
      </c>
      <c r="C261" t="s">
        <v>9</v>
      </c>
      <c r="D261" s="24">
        <v>0</v>
      </c>
      <c r="E261" s="29" t="str">
        <f>'Hitung Per Bulan'!I261</f>
        <v/>
      </c>
      <c r="F261" s="24">
        <v>2102679000</v>
      </c>
      <c r="G261" s="29" t="str">
        <f>'Hitung Per Bulan'!J261</f>
        <v/>
      </c>
    </row>
    <row r="262" spans="1:7" x14ac:dyDescent="0.45">
      <c r="A262" t="s">
        <v>17</v>
      </c>
      <c r="B262" t="s">
        <v>29</v>
      </c>
      <c r="C262" t="s">
        <v>9</v>
      </c>
      <c r="D262" s="24">
        <v>0</v>
      </c>
      <c r="E262" s="29" t="str">
        <f>'Hitung Per Bulan'!I262</f>
        <v/>
      </c>
      <c r="F262" s="24">
        <v>2157269000</v>
      </c>
      <c r="G262" s="29" t="str">
        <f>'Hitung Per Bulan'!J262</f>
        <v/>
      </c>
    </row>
    <row r="263" spans="1:7" x14ac:dyDescent="0.45">
      <c r="A263" t="s">
        <v>18</v>
      </c>
      <c r="B263" t="s">
        <v>29</v>
      </c>
      <c r="C263" t="s">
        <v>9</v>
      </c>
      <c r="D263" s="24">
        <v>355000000</v>
      </c>
      <c r="E263" s="29" t="str">
        <f>'Hitung Per Bulan'!I263</f>
        <v/>
      </c>
      <c r="F263" s="24">
        <v>4830505000</v>
      </c>
      <c r="G263" s="29" t="str">
        <f>'Hitung Per Bulan'!J263</f>
        <v/>
      </c>
    </row>
    <row r="264" spans="1:7" x14ac:dyDescent="0.45">
      <c r="A264" t="s">
        <v>19</v>
      </c>
      <c r="B264" t="s">
        <v>29</v>
      </c>
      <c r="C264" t="s">
        <v>9</v>
      </c>
      <c r="D264" s="24">
        <v>0</v>
      </c>
      <c r="E264" s="29" t="str">
        <f>'Hitung Per Bulan'!I264</f>
        <v/>
      </c>
      <c r="F264" s="24">
        <v>8881422000</v>
      </c>
      <c r="G264" s="29" t="str">
        <f>'Hitung Per Bulan'!J264</f>
        <v/>
      </c>
    </row>
    <row r="265" spans="1:7" x14ac:dyDescent="0.45">
      <c r="A265" t="s">
        <v>20</v>
      </c>
      <c r="B265" t="s">
        <v>29</v>
      </c>
      <c r="C265" t="s">
        <v>9</v>
      </c>
      <c r="D265" s="24">
        <v>0</v>
      </c>
      <c r="E265" s="29" t="str">
        <f>'Hitung Per Bulan'!I265</f>
        <v/>
      </c>
      <c r="F265" s="24">
        <v>0</v>
      </c>
      <c r="G265" s="29" t="str">
        <f>'Hitung Per Bulan'!J265</f>
        <v/>
      </c>
    </row>
    <row r="266" spans="1:7" x14ac:dyDescent="0.45">
      <c r="A266" t="s">
        <v>7</v>
      </c>
      <c r="B266" t="s">
        <v>29</v>
      </c>
      <c r="C266" t="s">
        <v>21</v>
      </c>
      <c r="D266" s="24">
        <v>0</v>
      </c>
      <c r="E266" s="29">
        <f>'Hitung Per Bulan'!I266</f>
        <v>0</v>
      </c>
      <c r="F266" s="24">
        <v>0</v>
      </c>
      <c r="G266" s="29">
        <f>'Hitung Per Bulan'!J266</f>
        <v>0</v>
      </c>
    </row>
    <row r="267" spans="1:7" x14ac:dyDescent="0.45">
      <c r="A267" t="s">
        <v>10</v>
      </c>
      <c r="B267" t="s">
        <v>29</v>
      </c>
      <c r="C267" t="s">
        <v>21</v>
      </c>
      <c r="D267" s="24">
        <v>0</v>
      </c>
      <c r="E267" s="29">
        <f>'Hitung Per Bulan'!I267</f>
        <v>0</v>
      </c>
      <c r="F267" s="24">
        <v>0</v>
      </c>
      <c r="G267" s="29">
        <f>'Hitung Per Bulan'!J267</f>
        <v>0</v>
      </c>
    </row>
    <row r="268" spans="1:7" x14ac:dyDescent="0.45">
      <c r="A268" t="s">
        <v>11</v>
      </c>
      <c r="B268" t="s">
        <v>29</v>
      </c>
      <c r="C268" t="s">
        <v>21</v>
      </c>
      <c r="D268" s="24">
        <v>0</v>
      </c>
      <c r="E268" s="29">
        <f>'Hitung Per Bulan'!I268</f>
        <v>631983784</v>
      </c>
      <c r="F268" s="24">
        <v>0</v>
      </c>
      <c r="G268" s="29">
        <f>'Hitung Per Bulan'!J268</f>
        <v>0</v>
      </c>
    </row>
    <row r="269" spans="1:7" x14ac:dyDescent="0.45">
      <c r="A269" t="s">
        <v>12</v>
      </c>
      <c r="B269" t="s">
        <v>29</v>
      </c>
      <c r="C269" t="s">
        <v>21</v>
      </c>
      <c r="D269" s="24">
        <v>1150000000</v>
      </c>
      <c r="E269" s="29" t="str">
        <f>'Hitung Per Bulan'!I269</f>
        <v/>
      </c>
      <c r="F269" s="24">
        <v>0</v>
      </c>
      <c r="G269" s="29" t="str">
        <f>'Hitung Per Bulan'!J269</f>
        <v/>
      </c>
    </row>
    <row r="270" spans="1:7" x14ac:dyDescent="0.45">
      <c r="A270" t="s">
        <v>13</v>
      </c>
      <c r="B270" t="s">
        <v>29</v>
      </c>
      <c r="C270" t="s">
        <v>21</v>
      </c>
      <c r="D270" s="24">
        <v>0</v>
      </c>
      <c r="E270" s="29" t="str">
        <f>'Hitung Per Bulan'!I270</f>
        <v/>
      </c>
      <c r="F270" s="24">
        <v>0</v>
      </c>
      <c r="G270" s="29" t="str">
        <f>'Hitung Per Bulan'!J270</f>
        <v/>
      </c>
    </row>
    <row r="271" spans="1:7" x14ac:dyDescent="0.45">
      <c r="A271" t="s">
        <v>14</v>
      </c>
      <c r="B271" t="s">
        <v>29</v>
      </c>
      <c r="C271" t="s">
        <v>21</v>
      </c>
      <c r="D271" s="24">
        <v>0</v>
      </c>
      <c r="E271" s="29" t="str">
        <f>'Hitung Per Bulan'!I271</f>
        <v/>
      </c>
      <c r="F271" s="24">
        <v>700000000</v>
      </c>
      <c r="G271" s="29" t="str">
        <f>'Hitung Per Bulan'!J271</f>
        <v/>
      </c>
    </row>
    <row r="272" spans="1:7" x14ac:dyDescent="0.45">
      <c r="A272" t="s">
        <v>15</v>
      </c>
      <c r="B272" t="s">
        <v>29</v>
      </c>
      <c r="C272" t="s">
        <v>21</v>
      </c>
      <c r="D272" s="24">
        <v>0</v>
      </c>
      <c r="E272" s="29" t="str">
        <f>'Hitung Per Bulan'!I272</f>
        <v/>
      </c>
      <c r="F272" s="24">
        <v>0</v>
      </c>
      <c r="G272" s="29" t="str">
        <f>'Hitung Per Bulan'!J272</f>
        <v/>
      </c>
    </row>
    <row r="273" spans="1:7" x14ac:dyDescent="0.45">
      <c r="A273" t="s">
        <v>16</v>
      </c>
      <c r="B273" t="s">
        <v>29</v>
      </c>
      <c r="C273" t="s">
        <v>21</v>
      </c>
      <c r="D273" s="24">
        <v>354000000</v>
      </c>
      <c r="E273" s="29" t="str">
        <f>'Hitung Per Bulan'!I273</f>
        <v/>
      </c>
      <c r="F273" s="24">
        <v>450000000</v>
      </c>
      <c r="G273" s="29" t="str">
        <f>'Hitung Per Bulan'!J273</f>
        <v/>
      </c>
    </row>
    <row r="274" spans="1:7" x14ac:dyDescent="0.45">
      <c r="A274" t="s">
        <v>17</v>
      </c>
      <c r="B274" t="s">
        <v>29</v>
      </c>
      <c r="C274" t="s">
        <v>21</v>
      </c>
      <c r="D274" s="24">
        <v>0</v>
      </c>
      <c r="E274" s="29" t="str">
        <f>'Hitung Per Bulan'!I274</f>
        <v/>
      </c>
      <c r="F274" s="24">
        <v>0</v>
      </c>
      <c r="G274" s="29" t="str">
        <f>'Hitung Per Bulan'!J274</f>
        <v/>
      </c>
    </row>
    <row r="275" spans="1:7" x14ac:dyDescent="0.45">
      <c r="A275" t="s">
        <v>18</v>
      </c>
      <c r="B275" t="s">
        <v>29</v>
      </c>
      <c r="C275" t="s">
        <v>21</v>
      </c>
      <c r="D275" s="24">
        <v>0</v>
      </c>
      <c r="E275" s="29" t="str">
        <f>'Hitung Per Bulan'!I275</f>
        <v/>
      </c>
      <c r="F275" s="24">
        <v>354000000</v>
      </c>
      <c r="G275" s="29" t="str">
        <f>'Hitung Per Bulan'!J275</f>
        <v/>
      </c>
    </row>
    <row r="276" spans="1:7" x14ac:dyDescent="0.45">
      <c r="A276" t="s">
        <v>19</v>
      </c>
      <c r="B276" t="s">
        <v>29</v>
      </c>
      <c r="C276" t="s">
        <v>21</v>
      </c>
      <c r="D276" s="24">
        <v>0</v>
      </c>
      <c r="E276" s="29" t="str">
        <f>'Hitung Per Bulan'!I276</f>
        <v/>
      </c>
      <c r="F276" s="24">
        <v>0</v>
      </c>
      <c r="G276" s="29" t="str">
        <f>'Hitung Per Bulan'!J276</f>
        <v/>
      </c>
    </row>
    <row r="277" spans="1:7" x14ac:dyDescent="0.45">
      <c r="A277" t="s">
        <v>20</v>
      </c>
      <c r="B277" t="s">
        <v>29</v>
      </c>
      <c r="C277" t="s">
        <v>21</v>
      </c>
      <c r="D277" s="24">
        <v>0</v>
      </c>
      <c r="E277" s="29" t="str">
        <f>'Hitung Per Bulan'!I277</f>
        <v/>
      </c>
      <c r="F277" s="24">
        <v>0</v>
      </c>
      <c r="G277" s="29" t="str">
        <f>'Hitung Per Bulan'!J277</f>
        <v/>
      </c>
    </row>
    <row r="278" spans="1:7" x14ac:dyDescent="0.45">
      <c r="A278" t="s">
        <v>7</v>
      </c>
      <c r="B278" t="s">
        <v>29</v>
      </c>
      <c r="C278" t="s">
        <v>22</v>
      </c>
      <c r="D278" s="24">
        <v>29718750</v>
      </c>
      <c r="E278" s="29">
        <f>'Hitung Per Bulan'!I278</f>
        <v>0</v>
      </c>
      <c r="F278" s="24">
        <v>0</v>
      </c>
      <c r="G278" s="29">
        <f>'Hitung Per Bulan'!J278</f>
        <v>0</v>
      </c>
    </row>
    <row r="279" spans="1:7" x14ac:dyDescent="0.45">
      <c r="A279" t="s">
        <v>10</v>
      </c>
      <c r="B279" t="s">
        <v>29</v>
      </c>
      <c r="C279" t="s">
        <v>22</v>
      </c>
      <c r="D279" s="24">
        <v>0</v>
      </c>
      <c r="E279" s="29">
        <f>'Hitung Per Bulan'!I279</f>
        <v>15775000</v>
      </c>
      <c r="F279" s="24">
        <v>29718750</v>
      </c>
      <c r="G279" s="29">
        <f>'Hitung Per Bulan'!J279</f>
        <v>0</v>
      </c>
    </row>
    <row r="280" spans="1:7" x14ac:dyDescent="0.45">
      <c r="A280" t="s">
        <v>11</v>
      </c>
      <c r="B280" t="s">
        <v>29</v>
      </c>
      <c r="C280" t="s">
        <v>22</v>
      </c>
      <c r="D280" s="24">
        <v>0</v>
      </c>
      <c r="E280" s="29">
        <f>'Hitung Per Bulan'!I280</f>
        <v>0</v>
      </c>
      <c r="F280" s="24">
        <v>0</v>
      </c>
      <c r="G280" s="29">
        <f>'Hitung Per Bulan'!J280</f>
        <v>7520000</v>
      </c>
    </row>
    <row r="281" spans="1:7" x14ac:dyDescent="0.45">
      <c r="A281" t="s">
        <v>12</v>
      </c>
      <c r="B281" t="s">
        <v>29</v>
      </c>
      <c r="C281" t="s">
        <v>22</v>
      </c>
      <c r="D281" s="24">
        <v>29718750</v>
      </c>
      <c r="E281" s="29" t="str">
        <f>'Hitung Per Bulan'!I281</f>
        <v/>
      </c>
      <c r="F281" s="24">
        <v>0</v>
      </c>
      <c r="G281" s="29" t="str">
        <f>'Hitung Per Bulan'!J281</f>
        <v/>
      </c>
    </row>
    <row r="282" spans="1:7" x14ac:dyDescent="0.45">
      <c r="A282" t="s">
        <v>13</v>
      </c>
      <c r="B282" t="s">
        <v>29</v>
      </c>
      <c r="C282" t="s">
        <v>22</v>
      </c>
      <c r="D282" s="24">
        <v>0</v>
      </c>
      <c r="E282" s="29" t="str">
        <f>'Hitung Per Bulan'!I282</f>
        <v/>
      </c>
      <c r="F282" s="24">
        <v>29718750</v>
      </c>
      <c r="G282" s="29" t="str">
        <f>'Hitung Per Bulan'!J282</f>
        <v/>
      </c>
    </row>
    <row r="283" spans="1:7" x14ac:dyDescent="0.45">
      <c r="A283" t="s">
        <v>14</v>
      </c>
      <c r="B283" t="s">
        <v>29</v>
      </c>
      <c r="C283" t="s">
        <v>22</v>
      </c>
      <c r="D283" s="24">
        <v>0</v>
      </c>
      <c r="E283" s="29" t="str">
        <f>'Hitung Per Bulan'!I283</f>
        <v/>
      </c>
      <c r="F283" s="24">
        <v>0</v>
      </c>
      <c r="G283" s="29" t="str">
        <f>'Hitung Per Bulan'!J283</f>
        <v/>
      </c>
    </row>
    <row r="284" spans="1:7" x14ac:dyDescent="0.45">
      <c r="A284" t="s">
        <v>15</v>
      </c>
      <c r="B284" t="s">
        <v>29</v>
      </c>
      <c r="C284" t="s">
        <v>22</v>
      </c>
      <c r="D284" s="24">
        <v>29718750</v>
      </c>
      <c r="E284" s="29" t="str">
        <f>'Hitung Per Bulan'!I284</f>
        <v/>
      </c>
      <c r="F284" s="24">
        <v>0</v>
      </c>
      <c r="G284" s="29" t="str">
        <f>'Hitung Per Bulan'!J284</f>
        <v/>
      </c>
    </row>
    <row r="285" spans="1:7" x14ac:dyDescent="0.45">
      <c r="A285" t="s">
        <v>16</v>
      </c>
      <c r="B285" t="s">
        <v>29</v>
      </c>
      <c r="C285" t="s">
        <v>22</v>
      </c>
      <c r="D285" s="24">
        <v>0</v>
      </c>
      <c r="E285" s="29" t="str">
        <f>'Hitung Per Bulan'!I285</f>
        <v/>
      </c>
      <c r="F285" s="24">
        <v>29718750</v>
      </c>
      <c r="G285" s="29" t="str">
        <f>'Hitung Per Bulan'!J285</f>
        <v/>
      </c>
    </row>
    <row r="286" spans="1:7" x14ac:dyDescent="0.45">
      <c r="A286" t="s">
        <v>17</v>
      </c>
      <c r="B286" t="s">
        <v>29</v>
      </c>
      <c r="C286" t="s">
        <v>22</v>
      </c>
      <c r="D286" s="24">
        <v>0</v>
      </c>
      <c r="E286" s="29" t="str">
        <f>'Hitung Per Bulan'!I286</f>
        <v/>
      </c>
      <c r="F286" s="24">
        <v>0</v>
      </c>
      <c r="G286" s="29" t="str">
        <f>'Hitung Per Bulan'!J286</f>
        <v/>
      </c>
    </row>
    <row r="287" spans="1:7" x14ac:dyDescent="0.45">
      <c r="A287" t="s">
        <v>18</v>
      </c>
      <c r="B287" t="s">
        <v>29</v>
      </c>
      <c r="C287" t="s">
        <v>22</v>
      </c>
      <c r="D287" s="24">
        <v>29718750</v>
      </c>
      <c r="E287" s="29" t="str">
        <f>'Hitung Per Bulan'!I287</f>
        <v/>
      </c>
      <c r="F287" s="24">
        <v>0</v>
      </c>
      <c r="G287" s="29" t="str">
        <f>'Hitung Per Bulan'!J287</f>
        <v/>
      </c>
    </row>
    <row r="288" spans="1:7" x14ac:dyDescent="0.45">
      <c r="A288" t="s">
        <v>19</v>
      </c>
      <c r="B288" t="s">
        <v>29</v>
      </c>
      <c r="C288" t="s">
        <v>22</v>
      </c>
      <c r="D288" s="24">
        <v>0</v>
      </c>
      <c r="E288" s="29" t="str">
        <f>'Hitung Per Bulan'!I288</f>
        <v/>
      </c>
      <c r="F288" s="24">
        <v>29718750</v>
      </c>
      <c r="G288" s="29" t="str">
        <f>'Hitung Per Bulan'!J288</f>
        <v/>
      </c>
    </row>
    <row r="289" spans="1:7" x14ac:dyDescent="0.45">
      <c r="A289" t="s">
        <v>20</v>
      </c>
      <c r="B289" t="s">
        <v>29</v>
      </c>
      <c r="C289" t="s">
        <v>22</v>
      </c>
      <c r="D289" s="24">
        <v>0</v>
      </c>
      <c r="E289" s="29" t="str">
        <f>'Hitung Per Bulan'!I289</f>
        <v/>
      </c>
      <c r="F289" s="24">
        <v>0</v>
      </c>
      <c r="G289" s="29" t="str">
        <f>'Hitung Per Bulan'!J289</f>
        <v/>
      </c>
    </row>
    <row r="290" spans="1:7" x14ac:dyDescent="0.45">
      <c r="A290" t="s">
        <v>7</v>
      </c>
      <c r="B290" t="s">
        <v>29</v>
      </c>
      <c r="C290" t="s">
        <v>23</v>
      </c>
      <c r="D290" s="24">
        <v>0</v>
      </c>
      <c r="E290" s="29">
        <f>'Hitung Per Bulan'!I290</f>
        <v>0</v>
      </c>
      <c r="F290" s="24">
        <v>0</v>
      </c>
      <c r="G290" s="29">
        <f>'Hitung Per Bulan'!J290</f>
        <v>0</v>
      </c>
    </row>
    <row r="291" spans="1:7" x14ac:dyDescent="0.45">
      <c r="A291" t="s">
        <v>10</v>
      </c>
      <c r="B291" t="s">
        <v>29</v>
      </c>
      <c r="C291" t="s">
        <v>23</v>
      </c>
      <c r="D291" s="24">
        <v>0</v>
      </c>
      <c r="E291" s="29">
        <f>'Hitung Per Bulan'!I291</f>
        <v>0</v>
      </c>
      <c r="F291" s="24">
        <v>0</v>
      </c>
      <c r="G291" s="29">
        <f>'Hitung Per Bulan'!J291</f>
        <v>0</v>
      </c>
    </row>
    <row r="292" spans="1:7" x14ac:dyDescent="0.45">
      <c r="A292" t="s">
        <v>11</v>
      </c>
      <c r="B292" t="s">
        <v>29</v>
      </c>
      <c r="C292" t="s">
        <v>23</v>
      </c>
      <c r="D292" s="24">
        <v>0</v>
      </c>
      <c r="E292" s="29">
        <f>'Hitung Per Bulan'!I292</f>
        <v>497734500</v>
      </c>
      <c r="F292" s="24">
        <v>0</v>
      </c>
      <c r="G292" s="29">
        <f>'Hitung Per Bulan'!J292</f>
        <v>0</v>
      </c>
    </row>
    <row r="293" spans="1:7" x14ac:dyDescent="0.45">
      <c r="A293" t="s">
        <v>12</v>
      </c>
      <c r="B293" t="s">
        <v>29</v>
      </c>
      <c r="C293" t="s">
        <v>23</v>
      </c>
      <c r="D293" s="24">
        <v>0</v>
      </c>
      <c r="E293" s="29" t="str">
        <f>'Hitung Per Bulan'!I293</f>
        <v/>
      </c>
      <c r="F293" s="24">
        <v>0</v>
      </c>
      <c r="G293" s="29" t="str">
        <f>'Hitung Per Bulan'!J293</f>
        <v/>
      </c>
    </row>
    <row r="294" spans="1:7" x14ac:dyDescent="0.45">
      <c r="A294" t="s">
        <v>13</v>
      </c>
      <c r="B294" t="s">
        <v>29</v>
      </c>
      <c r="C294" t="s">
        <v>23</v>
      </c>
      <c r="D294" s="24">
        <v>705000000</v>
      </c>
      <c r="E294" s="29" t="str">
        <f>'Hitung Per Bulan'!I294</f>
        <v/>
      </c>
      <c r="F294" s="24">
        <v>0</v>
      </c>
      <c r="G294" s="29" t="str">
        <f>'Hitung Per Bulan'!J294</f>
        <v/>
      </c>
    </row>
    <row r="295" spans="1:7" x14ac:dyDescent="0.45">
      <c r="A295" t="s">
        <v>14</v>
      </c>
      <c r="B295" t="s">
        <v>29</v>
      </c>
      <c r="C295" t="s">
        <v>23</v>
      </c>
      <c r="D295" s="24">
        <v>0</v>
      </c>
      <c r="E295" s="29" t="str">
        <f>'Hitung Per Bulan'!I295</f>
        <v/>
      </c>
      <c r="F295" s="24">
        <v>0</v>
      </c>
      <c r="G295" s="29" t="str">
        <f>'Hitung Per Bulan'!J295</f>
        <v/>
      </c>
    </row>
    <row r="296" spans="1:7" x14ac:dyDescent="0.45">
      <c r="A296" t="s">
        <v>15</v>
      </c>
      <c r="B296" t="s">
        <v>29</v>
      </c>
      <c r="C296" t="s">
        <v>23</v>
      </c>
      <c r="D296" s="24">
        <v>0</v>
      </c>
      <c r="E296" s="29" t="str">
        <f>'Hitung Per Bulan'!I296</f>
        <v/>
      </c>
      <c r="F296" s="24">
        <v>0</v>
      </c>
      <c r="G296" s="29" t="str">
        <f>'Hitung Per Bulan'!J296</f>
        <v/>
      </c>
    </row>
    <row r="297" spans="1:7" x14ac:dyDescent="0.45">
      <c r="A297" t="s">
        <v>16</v>
      </c>
      <c r="B297" t="s">
        <v>29</v>
      </c>
      <c r="C297" t="s">
        <v>23</v>
      </c>
      <c r="D297" s="24">
        <v>0</v>
      </c>
      <c r="E297" s="29" t="str">
        <f>'Hitung Per Bulan'!I297</f>
        <v/>
      </c>
      <c r="F297" s="24">
        <v>705000000</v>
      </c>
      <c r="G297" s="29" t="str">
        <f>'Hitung Per Bulan'!J297</f>
        <v/>
      </c>
    </row>
    <row r="298" spans="1:7" x14ac:dyDescent="0.45">
      <c r="A298" t="s">
        <v>17</v>
      </c>
      <c r="B298" t="s">
        <v>29</v>
      </c>
      <c r="C298" t="s">
        <v>23</v>
      </c>
      <c r="D298" s="24">
        <v>0</v>
      </c>
      <c r="E298" s="29" t="str">
        <f>'Hitung Per Bulan'!I298</f>
        <v/>
      </c>
      <c r="F298" s="24">
        <v>0</v>
      </c>
      <c r="G298" s="29" t="str">
        <f>'Hitung Per Bulan'!J298</f>
        <v/>
      </c>
    </row>
    <row r="299" spans="1:7" x14ac:dyDescent="0.45">
      <c r="A299" t="s">
        <v>18</v>
      </c>
      <c r="B299" t="s">
        <v>29</v>
      </c>
      <c r="C299" t="s">
        <v>23</v>
      </c>
      <c r="D299" s="24">
        <v>0</v>
      </c>
      <c r="E299" s="29" t="str">
        <f>'Hitung Per Bulan'!I299</f>
        <v/>
      </c>
      <c r="F299" s="24">
        <v>0</v>
      </c>
      <c r="G299" s="29" t="str">
        <f>'Hitung Per Bulan'!J299</f>
        <v/>
      </c>
    </row>
    <row r="300" spans="1:7" x14ac:dyDescent="0.45">
      <c r="A300" t="s">
        <v>19</v>
      </c>
      <c r="B300" t="s">
        <v>29</v>
      </c>
      <c r="C300" t="s">
        <v>23</v>
      </c>
      <c r="D300" s="24">
        <v>0</v>
      </c>
      <c r="E300" s="29" t="str">
        <f>'Hitung Per Bulan'!I300</f>
        <v/>
      </c>
      <c r="F300" s="24">
        <v>0</v>
      </c>
      <c r="G300" s="29" t="str">
        <f>'Hitung Per Bulan'!J300</f>
        <v/>
      </c>
    </row>
    <row r="301" spans="1:7" x14ac:dyDescent="0.45">
      <c r="A301" t="s">
        <v>20</v>
      </c>
      <c r="B301" t="s">
        <v>29</v>
      </c>
      <c r="C301" t="s">
        <v>23</v>
      </c>
      <c r="D301" s="24">
        <v>0</v>
      </c>
      <c r="E301" s="29" t="str">
        <f>'Hitung Per Bulan'!I301</f>
        <v/>
      </c>
      <c r="F301" s="24">
        <v>0</v>
      </c>
      <c r="G301" s="29" t="str">
        <f>'Hitung Per Bulan'!J301</f>
        <v/>
      </c>
    </row>
    <row r="302" spans="1:7" x14ac:dyDescent="0.45">
      <c r="A302" t="s">
        <v>7</v>
      </c>
      <c r="B302" t="s">
        <v>29</v>
      </c>
      <c r="C302" t="s">
        <v>24</v>
      </c>
      <c r="D302" s="24">
        <v>0</v>
      </c>
      <c r="E302" s="29">
        <f>'Hitung Per Bulan'!I302</f>
        <v>0</v>
      </c>
      <c r="G302" s="29">
        <f>'Hitung Per Bulan'!J302</f>
        <v>0</v>
      </c>
    </row>
    <row r="303" spans="1:7" x14ac:dyDescent="0.45">
      <c r="A303" t="s">
        <v>10</v>
      </c>
      <c r="B303" t="s">
        <v>29</v>
      </c>
      <c r="C303" t="s">
        <v>24</v>
      </c>
      <c r="D303" s="24">
        <v>0</v>
      </c>
      <c r="E303" s="29">
        <f>'Hitung Per Bulan'!I303</f>
        <v>0</v>
      </c>
      <c r="G303" s="29">
        <f>'Hitung Per Bulan'!J303</f>
        <v>0</v>
      </c>
    </row>
    <row r="304" spans="1:7" x14ac:dyDescent="0.45">
      <c r="A304" t="s">
        <v>11</v>
      </c>
      <c r="B304" t="s">
        <v>29</v>
      </c>
      <c r="C304" t="s">
        <v>24</v>
      </c>
      <c r="D304" s="24">
        <v>0</v>
      </c>
      <c r="E304" s="29">
        <f>'Hitung Per Bulan'!I304</f>
        <v>0</v>
      </c>
      <c r="G304" s="29">
        <f>'Hitung Per Bulan'!J304</f>
        <v>0</v>
      </c>
    </row>
    <row r="305" spans="1:7" x14ac:dyDescent="0.45">
      <c r="A305" t="s">
        <v>12</v>
      </c>
      <c r="B305" t="s">
        <v>29</v>
      </c>
      <c r="C305" t="s">
        <v>24</v>
      </c>
      <c r="D305" s="24">
        <v>0</v>
      </c>
      <c r="E305" s="29" t="str">
        <f>'Hitung Per Bulan'!I305</f>
        <v/>
      </c>
      <c r="G305" s="29" t="str">
        <f>'Hitung Per Bulan'!J305</f>
        <v/>
      </c>
    </row>
    <row r="306" spans="1:7" x14ac:dyDescent="0.45">
      <c r="A306" t="s">
        <v>13</v>
      </c>
      <c r="B306" t="s">
        <v>29</v>
      </c>
      <c r="C306" t="s">
        <v>24</v>
      </c>
      <c r="D306" s="24">
        <v>0</v>
      </c>
      <c r="E306" s="29" t="str">
        <f>'Hitung Per Bulan'!I306</f>
        <v/>
      </c>
      <c r="G306" s="29" t="str">
        <f>'Hitung Per Bulan'!J306</f>
        <v/>
      </c>
    </row>
    <row r="307" spans="1:7" x14ac:dyDescent="0.45">
      <c r="A307" t="s">
        <v>14</v>
      </c>
      <c r="B307" t="s">
        <v>29</v>
      </c>
      <c r="C307" t="s">
        <v>24</v>
      </c>
      <c r="D307" s="24">
        <v>0</v>
      </c>
      <c r="E307" s="29" t="str">
        <f>'Hitung Per Bulan'!I307</f>
        <v/>
      </c>
      <c r="G307" s="29" t="str">
        <f>'Hitung Per Bulan'!J307</f>
        <v/>
      </c>
    </row>
    <row r="308" spans="1:7" x14ac:dyDescent="0.45">
      <c r="A308" t="s">
        <v>15</v>
      </c>
      <c r="B308" t="s">
        <v>29</v>
      </c>
      <c r="C308" t="s">
        <v>24</v>
      </c>
      <c r="D308" s="24">
        <v>0</v>
      </c>
      <c r="E308" s="29" t="str">
        <f>'Hitung Per Bulan'!I308</f>
        <v/>
      </c>
      <c r="G308" s="29" t="str">
        <f>'Hitung Per Bulan'!J308</f>
        <v/>
      </c>
    </row>
    <row r="309" spans="1:7" x14ac:dyDescent="0.45">
      <c r="A309" t="s">
        <v>16</v>
      </c>
      <c r="B309" t="s">
        <v>29</v>
      </c>
      <c r="C309" t="s">
        <v>24</v>
      </c>
      <c r="D309" s="24">
        <v>0</v>
      </c>
      <c r="E309" s="29" t="str">
        <f>'Hitung Per Bulan'!I309</f>
        <v/>
      </c>
      <c r="G309" s="29" t="str">
        <f>'Hitung Per Bulan'!J309</f>
        <v/>
      </c>
    </row>
    <row r="310" spans="1:7" x14ac:dyDescent="0.45">
      <c r="A310" t="s">
        <v>17</v>
      </c>
      <c r="B310" t="s">
        <v>29</v>
      </c>
      <c r="C310" t="s">
        <v>24</v>
      </c>
      <c r="D310" s="24">
        <v>0</v>
      </c>
      <c r="E310" s="29" t="str">
        <f>'Hitung Per Bulan'!I310</f>
        <v/>
      </c>
      <c r="G310" s="29" t="str">
        <f>'Hitung Per Bulan'!J310</f>
        <v/>
      </c>
    </row>
    <row r="311" spans="1:7" x14ac:dyDescent="0.45">
      <c r="A311" t="s">
        <v>18</v>
      </c>
      <c r="B311" t="s">
        <v>29</v>
      </c>
      <c r="C311" t="s">
        <v>24</v>
      </c>
      <c r="D311" s="24">
        <v>0</v>
      </c>
      <c r="E311" s="29" t="str">
        <f>'Hitung Per Bulan'!I311</f>
        <v/>
      </c>
      <c r="G311" s="29" t="str">
        <f>'Hitung Per Bulan'!J311</f>
        <v/>
      </c>
    </row>
    <row r="312" spans="1:7" x14ac:dyDescent="0.45">
      <c r="A312" t="s">
        <v>19</v>
      </c>
      <c r="B312" t="s">
        <v>29</v>
      </c>
      <c r="C312" t="s">
        <v>24</v>
      </c>
      <c r="D312" s="24">
        <v>0</v>
      </c>
      <c r="E312" s="29" t="str">
        <f>'Hitung Per Bulan'!I312</f>
        <v/>
      </c>
      <c r="G312" s="29" t="str">
        <f>'Hitung Per Bulan'!J312</f>
        <v/>
      </c>
    </row>
    <row r="313" spans="1:7" x14ac:dyDescent="0.45">
      <c r="A313" t="s">
        <v>20</v>
      </c>
      <c r="B313" t="s">
        <v>29</v>
      </c>
      <c r="C313" t="s">
        <v>24</v>
      </c>
      <c r="D313" s="24">
        <v>0</v>
      </c>
      <c r="E313" s="29" t="str">
        <f>'Hitung Per Bulan'!I313</f>
        <v/>
      </c>
      <c r="G313" s="29" t="str">
        <f>'Hitung Per Bulan'!J313</f>
        <v/>
      </c>
    </row>
    <row r="314" spans="1:7" x14ac:dyDescent="0.45">
      <c r="A314" t="s">
        <v>7</v>
      </c>
      <c r="B314" t="s">
        <v>29</v>
      </c>
      <c r="C314" t="s">
        <v>25</v>
      </c>
      <c r="D314" s="24">
        <v>98435000</v>
      </c>
      <c r="E314" s="29">
        <f>'Hitung Per Bulan'!I314</f>
        <v>112428554</v>
      </c>
      <c r="F314" s="24">
        <v>98435000</v>
      </c>
      <c r="G314" s="29">
        <f>'Hitung Per Bulan'!J314</f>
        <v>19564700</v>
      </c>
    </row>
    <row r="315" spans="1:7" x14ac:dyDescent="0.45">
      <c r="A315" t="s">
        <v>10</v>
      </c>
      <c r="B315" t="s">
        <v>29</v>
      </c>
      <c r="C315" t="s">
        <v>25</v>
      </c>
      <c r="D315" s="24">
        <v>60854000</v>
      </c>
      <c r="E315" s="29">
        <f>'Hitung Per Bulan'!I315</f>
        <v>44348055</v>
      </c>
      <c r="F315" s="24">
        <v>60854000</v>
      </c>
      <c r="G315" s="29">
        <f>'Hitung Per Bulan'!J315</f>
        <v>112098409</v>
      </c>
    </row>
    <row r="316" spans="1:7" x14ac:dyDescent="0.45">
      <c r="A316" t="s">
        <v>11</v>
      </c>
      <c r="B316" t="s">
        <v>29</v>
      </c>
      <c r="C316" t="s">
        <v>25</v>
      </c>
      <c r="D316" s="24">
        <v>74364000</v>
      </c>
      <c r="E316" s="29">
        <f>'Hitung Per Bulan'!I316</f>
        <v>69082780</v>
      </c>
      <c r="F316" s="24">
        <v>74364000</v>
      </c>
      <c r="G316" s="29">
        <f>'Hitung Per Bulan'!J316</f>
        <v>51805780</v>
      </c>
    </row>
    <row r="317" spans="1:7" x14ac:dyDescent="0.45">
      <c r="A317" t="s">
        <v>12</v>
      </c>
      <c r="B317" t="s">
        <v>29</v>
      </c>
      <c r="C317" t="s">
        <v>25</v>
      </c>
      <c r="D317" s="24">
        <v>67364000</v>
      </c>
      <c r="E317" s="29" t="str">
        <f>'Hitung Per Bulan'!I317</f>
        <v/>
      </c>
      <c r="F317" s="24">
        <v>67364000</v>
      </c>
      <c r="G317" s="29" t="str">
        <f>'Hitung Per Bulan'!J317</f>
        <v/>
      </c>
    </row>
    <row r="318" spans="1:7" x14ac:dyDescent="0.45">
      <c r="A318" t="s">
        <v>13</v>
      </c>
      <c r="B318" t="s">
        <v>29</v>
      </c>
      <c r="C318" t="s">
        <v>25</v>
      </c>
      <c r="D318" s="24">
        <v>70354000</v>
      </c>
      <c r="E318" s="29" t="str">
        <f>'Hitung Per Bulan'!I318</f>
        <v/>
      </c>
      <c r="F318" s="24">
        <v>70354000</v>
      </c>
      <c r="G318" s="29" t="str">
        <f>'Hitung Per Bulan'!J318</f>
        <v/>
      </c>
    </row>
    <row r="319" spans="1:7" x14ac:dyDescent="0.45">
      <c r="A319" t="s">
        <v>14</v>
      </c>
      <c r="B319" t="s">
        <v>29</v>
      </c>
      <c r="C319" t="s">
        <v>25</v>
      </c>
      <c r="D319" s="24">
        <v>278064000</v>
      </c>
      <c r="E319" s="29" t="str">
        <f>'Hitung Per Bulan'!I319</f>
        <v/>
      </c>
      <c r="F319" s="24">
        <v>278064000</v>
      </c>
      <c r="G319" s="29" t="str">
        <f>'Hitung Per Bulan'!J319</f>
        <v/>
      </c>
    </row>
    <row r="320" spans="1:7" x14ac:dyDescent="0.45">
      <c r="A320" t="s">
        <v>15</v>
      </c>
      <c r="B320" t="s">
        <v>29</v>
      </c>
      <c r="C320" t="s">
        <v>25</v>
      </c>
      <c r="D320" s="24">
        <v>117864000</v>
      </c>
      <c r="E320" s="29" t="str">
        <f>'Hitung Per Bulan'!I320</f>
        <v/>
      </c>
      <c r="F320" s="24">
        <v>117864000</v>
      </c>
      <c r="G320" s="29" t="str">
        <f>'Hitung Per Bulan'!J320</f>
        <v/>
      </c>
    </row>
    <row r="321" spans="1:7" x14ac:dyDescent="0.45">
      <c r="A321" t="s">
        <v>16</v>
      </c>
      <c r="B321" t="s">
        <v>29</v>
      </c>
      <c r="C321" t="s">
        <v>25</v>
      </c>
      <c r="D321" s="24">
        <v>58994000</v>
      </c>
      <c r="E321" s="29" t="str">
        <f>'Hitung Per Bulan'!I321</f>
        <v/>
      </c>
      <c r="F321" s="24">
        <v>58994000</v>
      </c>
      <c r="G321" s="29" t="str">
        <f>'Hitung Per Bulan'!J321</f>
        <v/>
      </c>
    </row>
    <row r="322" spans="1:7" x14ac:dyDescent="0.45">
      <c r="A322" t="s">
        <v>17</v>
      </c>
      <c r="B322" t="s">
        <v>29</v>
      </c>
      <c r="C322" t="s">
        <v>25</v>
      </c>
      <c r="D322" s="24">
        <v>125004000</v>
      </c>
      <c r="E322" s="29" t="str">
        <f>'Hitung Per Bulan'!I322</f>
        <v/>
      </c>
      <c r="F322" s="24">
        <v>125004000</v>
      </c>
      <c r="G322" s="29" t="str">
        <f>'Hitung Per Bulan'!J322</f>
        <v/>
      </c>
    </row>
    <row r="323" spans="1:7" x14ac:dyDescent="0.45">
      <c r="A323" t="s">
        <v>18</v>
      </c>
      <c r="B323" t="s">
        <v>29</v>
      </c>
      <c r="C323" t="s">
        <v>25</v>
      </c>
      <c r="D323" s="24">
        <v>53004000</v>
      </c>
      <c r="E323" s="29" t="str">
        <f>'Hitung Per Bulan'!I323</f>
        <v/>
      </c>
      <c r="F323" s="24">
        <v>53004000</v>
      </c>
      <c r="G323" s="29" t="str">
        <f>'Hitung Per Bulan'!J323</f>
        <v/>
      </c>
    </row>
    <row r="324" spans="1:7" x14ac:dyDescent="0.45">
      <c r="A324" t="s">
        <v>19</v>
      </c>
      <c r="B324" t="s">
        <v>29</v>
      </c>
      <c r="C324" t="s">
        <v>25</v>
      </c>
      <c r="D324" s="24">
        <v>83004000</v>
      </c>
      <c r="E324" s="29" t="str">
        <f>'Hitung Per Bulan'!I324</f>
        <v/>
      </c>
      <c r="F324" s="24">
        <v>83004000</v>
      </c>
      <c r="G324" s="29" t="str">
        <f>'Hitung Per Bulan'!J324</f>
        <v/>
      </c>
    </row>
    <row r="325" spans="1:7" x14ac:dyDescent="0.45">
      <c r="A325" t="s">
        <v>20</v>
      </c>
      <c r="B325" t="s">
        <v>29</v>
      </c>
      <c r="C325" t="s">
        <v>25</v>
      </c>
      <c r="D325" s="24">
        <v>75015000</v>
      </c>
      <c r="E325" s="29" t="str">
        <f>'Hitung Per Bulan'!I325</f>
        <v/>
      </c>
      <c r="F325" s="24">
        <v>75015000</v>
      </c>
      <c r="G325" s="29" t="str">
        <f>'Hitung Per Bulan'!J325</f>
        <v/>
      </c>
    </row>
    <row r="326" spans="1:7" x14ac:dyDescent="0.45">
      <c r="A326" t="s">
        <v>7</v>
      </c>
      <c r="B326" t="s">
        <v>29</v>
      </c>
      <c r="C326" t="s">
        <v>26</v>
      </c>
      <c r="D326" s="24">
        <v>188333000</v>
      </c>
      <c r="E326" s="29">
        <f>'Hitung Per Bulan'!I326</f>
        <v>166384517</v>
      </c>
      <c r="F326" s="24">
        <v>188333000</v>
      </c>
      <c r="G326" s="29">
        <f>'Hitung Per Bulan'!J326</f>
        <v>166384517</v>
      </c>
    </row>
    <row r="327" spans="1:7" x14ac:dyDescent="0.45">
      <c r="A327" t="s">
        <v>10</v>
      </c>
      <c r="B327" t="s">
        <v>29</v>
      </c>
      <c r="C327" t="s">
        <v>26</v>
      </c>
      <c r="D327" s="24">
        <v>188333000</v>
      </c>
      <c r="E327" s="29">
        <f>'Hitung Per Bulan'!I327</f>
        <v>158708365</v>
      </c>
      <c r="F327" s="24">
        <v>188333000</v>
      </c>
      <c r="G327" s="29">
        <f>'Hitung Per Bulan'!J327</f>
        <v>158708365</v>
      </c>
    </row>
    <row r="328" spans="1:7" x14ac:dyDescent="0.45">
      <c r="A328" t="s">
        <v>11</v>
      </c>
      <c r="B328" t="s">
        <v>29</v>
      </c>
      <c r="C328" t="s">
        <v>26</v>
      </c>
      <c r="D328" s="24">
        <v>188333000</v>
      </c>
      <c r="E328" s="29">
        <f>'Hitung Per Bulan'!I328</f>
        <v>149082356</v>
      </c>
      <c r="F328" s="24">
        <v>188333000</v>
      </c>
      <c r="G328" s="29">
        <f>'Hitung Per Bulan'!J328</f>
        <v>149082356</v>
      </c>
    </row>
    <row r="329" spans="1:7" x14ac:dyDescent="0.45">
      <c r="A329" t="s">
        <v>12</v>
      </c>
      <c r="B329" t="s">
        <v>29</v>
      </c>
      <c r="C329" t="s">
        <v>26</v>
      </c>
      <c r="D329" s="24">
        <v>188333000</v>
      </c>
      <c r="E329" s="29" t="str">
        <f>'Hitung Per Bulan'!I329</f>
        <v/>
      </c>
      <c r="F329" s="24">
        <v>188333000</v>
      </c>
      <c r="G329" s="29" t="str">
        <f>'Hitung Per Bulan'!J329</f>
        <v/>
      </c>
    </row>
    <row r="330" spans="1:7" x14ac:dyDescent="0.45">
      <c r="A330" t="s">
        <v>13</v>
      </c>
      <c r="B330" t="s">
        <v>29</v>
      </c>
      <c r="C330" t="s">
        <v>26</v>
      </c>
      <c r="D330" s="24">
        <v>188333000</v>
      </c>
      <c r="E330" s="29" t="str">
        <f>'Hitung Per Bulan'!I330</f>
        <v/>
      </c>
      <c r="F330" s="24">
        <v>188333000</v>
      </c>
      <c r="G330" s="29" t="str">
        <f>'Hitung Per Bulan'!J330</f>
        <v/>
      </c>
    </row>
    <row r="331" spans="1:7" x14ac:dyDescent="0.45">
      <c r="A331" t="s">
        <v>14</v>
      </c>
      <c r="B331" t="s">
        <v>29</v>
      </c>
      <c r="C331" t="s">
        <v>26</v>
      </c>
      <c r="D331" s="24">
        <v>188333000</v>
      </c>
      <c r="E331" s="29" t="str">
        <f>'Hitung Per Bulan'!I331</f>
        <v/>
      </c>
      <c r="F331" s="24">
        <v>188333000</v>
      </c>
      <c r="G331" s="29" t="str">
        <f>'Hitung Per Bulan'!J331</f>
        <v/>
      </c>
    </row>
    <row r="332" spans="1:7" x14ac:dyDescent="0.45">
      <c r="A332" t="s">
        <v>15</v>
      </c>
      <c r="B332" t="s">
        <v>29</v>
      </c>
      <c r="C332" t="s">
        <v>26</v>
      </c>
      <c r="D332" s="24">
        <v>188333000</v>
      </c>
      <c r="E332" s="29" t="str">
        <f>'Hitung Per Bulan'!I332</f>
        <v/>
      </c>
      <c r="F332" s="24">
        <v>188333000</v>
      </c>
      <c r="G332" s="29" t="str">
        <f>'Hitung Per Bulan'!J332</f>
        <v/>
      </c>
    </row>
    <row r="333" spans="1:7" x14ac:dyDescent="0.45">
      <c r="A333" t="s">
        <v>16</v>
      </c>
      <c r="B333" t="s">
        <v>29</v>
      </c>
      <c r="C333" t="s">
        <v>26</v>
      </c>
      <c r="D333" s="24">
        <v>188333000</v>
      </c>
      <c r="E333" s="29" t="str">
        <f>'Hitung Per Bulan'!I333</f>
        <v/>
      </c>
      <c r="F333" s="24">
        <v>188333000</v>
      </c>
      <c r="G333" s="29" t="str">
        <f>'Hitung Per Bulan'!J333</f>
        <v/>
      </c>
    </row>
    <row r="334" spans="1:7" x14ac:dyDescent="0.45">
      <c r="A334" t="s">
        <v>17</v>
      </c>
      <c r="B334" t="s">
        <v>29</v>
      </c>
      <c r="C334" t="s">
        <v>26</v>
      </c>
      <c r="D334" s="24">
        <v>188333000</v>
      </c>
      <c r="E334" s="29" t="str">
        <f>'Hitung Per Bulan'!I334</f>
        <v/>
      </c>
      <c r="F334" s="24">
        <v>188333000</v>
      </c>
      <c r="G334" s="29" t="str">
        <f>'Hitung Per Bulan'!J334</f>
        <v/>
      </c>
    </row>
    <row r="335" spans="1:7" x14ac:dyDescent="0.45">
      <c r="A335" t="s">
        <v>18</v>
      </c>
      <c r="B335" t="s">
        <v>29</v>
      </c>
      <c r="C335" t="s">
        <v>26</v>
      </c>
      <c r="D335" s="24">
        <v>188333000</v>
      </c>
      <c r="E335" s="29" t="str">
        <f>'Hitung Per Bulan'!I335</f>
        <v/>
      </c>
      <c r="F335" s="24">
        <v>188333000</v>
      </c>
      <c r="G335" s="29" t="str">
        <f>'Hitung Per Bulan'!J335</f>
        <v/>
      </c>
    </row>
    <row r="336" spans="1:7" x14ac:dyDescent="0.45">
      <c r="A336" t="s">
        <v>19</v>
      </c>
      <c r="B336" t="s">
        <v>29</v>
      </c>
      <c r="C336" t="s">
        <v>26</v>
      </c>
      <c r="D336" s="24">
        <v>188333000</v>
      </c>
      <c r="E336" s="29" t="str">
        <f>'Hitung Per Bulan'!I336</f>
        <v/>
      </c>
      <c r="F336" s="24">
        <v>188333000</v>
      </c>
      <c r="G336" s="29" t="str">
        <f>'Hitung Per Bulan'!J336</f>
        <v/>
      </c>
    </row>
    <row r="337" spans="1:7" x14ac:dyDescent="0.45">
      <c r="A337" t="s">
        <v>20</v>
      </c>
      <c r="B337" t="s">
        <v>29</v>
      </c>
      <c r="C337" t="s">
        <v>26</v>
      </c>
      <c r="D337" s="24">
        <v>188337000</v>
      </c>
      <c r="E337" s="29" t="str">
        <f>'Hitung Per Bulan'!I337</f>
        <v/>
      </c>
      <c r="F337" s="24">
        <v>188337000</v>
      </c>
      <c r="G337" s="29" t="str">
        <f>'Hitung Per Bulan'!J337</f>
        <v/>
      </c>
    </row>
    <row r="338" spans="1:7" x14ac:dyDescent="0.45">
      <c r="A338" t="s">
        <v>7</v>
      </c>
      <c r="B338" t="s">
        <v>30</v>
      </c>
      <c r="C338" t="s">
        <v>9</v>
      </c>
      <c r="D338" s="24">
        <v>0</v>
      </c>
      <c r="E338" s="29">
        <f>'Hitung Per Bulan'!I338</f>
        <v>620219118</v>
      </c>
      <c r="F338" s="24">
        <v>0</v>
      </c>
      <c r="G338" s="29">
        <f>'Hitung Per Bulan'!J338</f>
        <v>0</v>
      </c>
    </row>
    <row r="339" spans="1:7" x14ac:dyDescent="0.45">
      <c r="A339" t="s">
        <v>10</v>
      </c>
      <c r="B339" t="s">
        <v>30</v>
      </c>
      <c r="C339" t="s">
        <v>9</v>
      </c>
      <c r="D339" s="24">
        <v>0</v>
      </c>
      <c r="E339" s="29">
        <f>'Hitung Per Bulan'!I339</f>
        <v>882186785</v>
      </c>
      <c r="F339" s="24">
        <v>0</v>
      </c>
      <c r="G339" s="29">
        <f>'Hitung Per Bulan'!J339</f>
        <v>28044916</v>
      </c>
    </row>
    <row r="340" spans="1:7" x14ac:dyDescent="0.45">
      <c r="A340" t="s">
        <v>11</v>
      </c>
      <c r="B340" t="s">
        <v>30</v>
      </c>
      <c r="C340" t="s">
        <v>9</v>
      </c>
      <c r="D340" s="24">
        <v>12183513000</v>
      </c>
      <c r="E340" s="29">
        <f>'Hitung Per Bulan'!I340</f>
        <v>9799442883</v>
      </c>
      <c r="F340" s="24">
        <v>495000000</v>
      </c>
      <c r="G340" s="29">
        <f>'Hitung Per Bulan'!J340</f>
        <v>104061459</v>
      </c>
    </row>
    <row r="341" spans="1:7" x14ac:dyDescent="0.45">
      <c r="A341" t="s">
        <v>12</v>
      </c>
      <c r="B341" t="s">
        <v>30</v>
      </c>
      <c r="C341" t="s">
        <v>9</v>
      </c>
      <c r="D341" s="24">
        <v>3290973000</v>
      </c>
      <c r="E341" s="29" t="str">
        <f>'Hitung Per Bulan'!I341</f>
        <v/>
      </c>
      <c r="F341" s="24">
        <v>335000000</v>
      </c>
      <c r="G341" s="29" t="str">
        <f>'Hitung Per Bulan'!J341</f>
        <v/>
      </c>
    </row>
    <row r="342" spans="1:7" x14ac:dyDescent="0.45">
      <c r="A342" t="s">
        <v>13</v>
      </c>
      <c r="B342" t="s">
        <v>30</v>
      </c>
      <c r="C342" t="s">
        <v>9</v>
      </c>
      <c r="D342" s="24">
        <v>4196830000</v>
      </c>
      <c r="E342" s="29" t="str">
        <f>'Hitung Per Bulan'!I342</f>
        <v/>
      </c>
      <c r="F342" s="24">
        <v>450000000</v>
      </c>
      <c r="G342" s="29" t="str">
        <f>'Hitung Per Bulan'!J342</f>
        <v/>
      </c>
    </row>
    <row r="343" spans="1:7" x14ac:dyDescent="0.45">
      <c r="A343" t="s">
        <v>14</v>
      </c>
      <c r="B343" t="s">
        <v>30</v>
      </c>
      <c r="C343" t="s">
        <v>9</v>
      </c>
      <c r="D343" s="24">
        <v>421169000</v>
      </c>
      <c r="E343" s="29" t="str">
        <f>'Hitung Per Bulan'!I343</f>
        <v/>
      </c>
      <c r="F343" s="24">
        <v>851266000</v>
      </c>
      <c r="G343" s="29" t="str">
        <f>'Hitung Per Bulan'!J343</f>
        <v/>
      </c>
    </row>
    <row r="344" spans="1:7" x14ac:dyDescent="0.45">
      <c r="A344" t="s">
        <v>15</v>
      </c>
      <c r="B344" t="s">
        <v>30</v>
      </c>
      <c r="C344" t="s">
        <v>9</v>
      </c>
      <c r="D344" s="24">
        <v>102990000</v>
      </c>
      <c r="E344" s="29" t="str">
        <f>'Hitung Per Bulan'!I344</f>
        <v/>
      </c>
      <c r="F344" s="24">
        <v>845041000</v>
      </c>
      <c r="G344" s="29" t="str">
        <f>'Hitung Per Bulan'!J344</f>
        <v/>
      </c>
    </row>
    <row r="345" spans="1:7" x14ac:dyDescent="0.45">
      <c r="A345" t="s">
        <v>16</v>
      </c>
      <c r="B345" t="s">
        <v>30</v>
      </c>
      <c r="C345" t="s">
        <v>9</v>
      </c>
      <c r="D345" s="24">
        <v>350000000</v>
      </c>
      <c r="E345" s="29" t="str">
        <f>'Hitung Per Bulan'!I345</f>
        <v/>
      </c>
      <c r="F345" s="24">
        <v>544675000</v>
      </c>
      <c r="G345" s="29" t="str">
        <f>'Hitung Per Bulan'!J345</f>
        <v/>
      </c>
    </row>
    <row r="346" spans="1:7" x14ac:dyDescent="0.45">
      <c r="A346" t="s">
        <v>17</v>
      </c>
      <c r="B346" t="s">
        <v>30</v>
      </c>
      <c r="C346" t="s">
        <v>9</v>
      </c>
      <c r="D346" s="24">
        <v>130000000</v>
      </c>
      <c r="E346" s="29" t="str">
        <f>'Hitung Per Bulan'!I346</f>
        <v/>
      </c>
      <c r="F346" s="24">
        <v>12919483000</v>
      </c>
      <c r="G346" s="29" t="str">
        <f>'Hitung Per Bulan'!J346</f>
        <v/>
      </c>
    </row>
    <row r="347" spans="1:7" x14ac:dyDescent="0.45">
      <c r="A347" t="s">
        <v>18</v>
      </c>
      <c r="B347" t="s">
        <v>30</v>
      </c>
      <c r="C347" t="s">
        <v>9</v>
      </c>
      <c r="D347" s="24">
        <v>0</v>
      </c>
      <c r="E347" s="29" t="str">
        <f>'Hitung Per Bulan'!I347</f>
        <v/>
      </c>
      <c r="F347" s="24">
        <v>2295330000</v>
      </c>
      <c r="G347" s="29" t="str">
        <f>'Hitung Per Bulan'!J347</f>
        <v/>
      </c>
    </row>
    <row r="348" spans="1:7" x14ac:dyDescent="0.45">
      <c r="A348" t="s">
        <v>19</v>
      </c>
      <c r="B348" t="s">
        <v>30</v>
      </c>
      <c r="C348" t="s">
        <v>9</v>
      </c>
      <c r="D348" s="24">
        <v>0</v>
      </c>
      <c r="E348" s="29" t="str">
        <f>'Hitung Per Bulan'!I348</f>
        <v/>
      </c>
      <c r="F348" s="24">
        <v>1939680000</v>
      </c>
      <c r="G348" s="29" t="str">
        <f>'Hitung Per Bulan'!J348</f>
        <v/>
      </c>
    </row>
    <row r="349" spans="1:7" x14ac:dyDescent="0.45">
      <c r="A349" t="s">
        <v>20</v>
      </c>
      <c r="B349" t="s">
        <v>30</v>
      </c>
      <c r="C349" t="s">
        <v>9</v>
      </c>
      <c r="D349" s="24">
        <v>130000000</v>
      </c>
      <c r="E349" s="29" t="str">
        <f>'Hitung Per Bulan'!I349</f>
        <v/>
      </c>
      <c r="F349" s="24">
        <v>130000000</v>
      </c>
      <c r="G349" s="29" t="str">
        <f>'Hitung Per Bulan'!J349</f>
        <v/>
      </c>
    </row>
    <row r="350" spans="1:7" x14ac:dyDescent="0.45">
      <c r="A350" t="s">
        <v>7</v>
      </c>
      <c r="B350" t="s">
        <v>30</v>
      </c>
      <c r="C350" t="s">
        <v>21</v>
      </c>
      <c r="D350" s="24">
        <v>0</v>
      </c>
      <c r="E350" s="29">
        <f>'Hitung Per Bulan'!I350</f>
        <v>0</v>
      </c>
      <c r="F350" s="24">
        <v>0</v>
      </c>
      <c r="G350" s="29">
        <f>'Hitung Per Bulan'!J350</f>
        <v>0</v>
      </c>
    </row>
    <row r="351" spans="1:7" x14ac:dyDescent="0.45">
      <c r="A351" t="s">
        <v>10</v>
      </c>
      <c r="B351" t="s">
        <v>30</v>
      </c>
      <c r="C351" t="s">
        <v>21</v>
      </c>
      <c r="D351" s="24">
        <v>0</v>
      </c>
      <c r="E351" s="29">
        <f>'Hitung Per Bulan'!I351</f>
        <v>28227453</v>
      </c>
      <c r="F351" s="24">
        <v>0</v>
      </c>
      <c r="G351" s="29">
        <f>'Hitung Per Bulan'!J351</f>
        <v>0</v>
      </c>
    </row>
    <row r="352" spans="1:7" x14ac:dyDescent="0.45">
      <c r="A352" t="s">
        <v>11</v>
      </c>
      <c r="B352" t="s">
        <v>30</v>
      </c>
      <c r="C352" t="s">
        <v>21</v>
      </c>
      <c r="D352" s="24">
        <v>0</v>
      </c>
      <c r="E352" s="29">
        <f>'Hitung Per Bulan'!I352</f>
        <v>18630185</v>
      </c>
      <c r="F352" s="24">
        <v>0</v>
      </c>
      <c r="G352" s="29">
        <f>'Hitung Per Bulan'!J352</f>
        <v>8775138</v>
      </c>
    </row>
    <row r="353" spans="1:7" x14ac:dyDescent="0.45">
      <c r="A353" t="s">
        <v>12</v>
      </c>
      <c r="B353" t="s">
        <v>30</v>
      </c>
      <c r="C353" t="s">
        <v>21</v>
      </c>
      <c r="D353" s="24">
        <v>128898000</v>
      </c>
      <c r="E353" s="29" t="str">
        <f>'Hitung Per Bulan'!I353</f>
        <v/>
      </c>
      <c r="F353" s="24">
        <v>128898000</v>
      </c>
      <c r="G353" s="29" t="str">
        <f>'Hitung Per Bulan'!J353</f>
        <v/>
      </c>
    </row>
    <row r="354" spans="1:7" x14ac:dyDescent="0.45">
      <c r="A354" t="s">
        <v>13</v>
      </c>
      <c r="B354" t="s">
        <v>30</v>
      </c>
      <c r="C354" t="s">
        <v>21</v>
      </c>
      <c r="D354" s="24">
        <v>532377000</v>
      </c>
      <c r="E354" s="29" t="str">
        <f>'Hitung Per Bulan'!I354</f>
        <v/>
      </c>
      <c r="F354" s="24">
        <v>50000000</v>
      </c>
      <c r="G354" s="29" t="str">
        <f>'Hitung Per Bulan'!J354</f>
        <v/>
      </c>
    </row>
    <row r="355" spans="1:7" x14ac:dyDescent="0.45">
      <c r="A355" t="s">
        <v>14</v>
      </c>
      <c r="B355" t="s">
        <v>30</v>
      </c>
      <c r="C355" t="s">
        <v>21</v>
      </c>
      <c r="D355" s="24">
        <v>435565000</v>
      </c>
      <c r="E355" s="29" t="str">
        <f>'Hitung Per Bulan'!I355</f>
        <v/>
      </c>
      <c r="F355" s="24">
        <v>50000000</v>
      </c>
      <c r="G355" s="29" t="str">
        <f>'Hitung Per Bulan'!J355</f>
        <v/>
      </c>
    </row>
    <row r="356" spans="1:7" x14ac:dyDescent="0.45">
      <c r="A356" t="s">
        <v>15</v>
      </c>
      <c r="B356" t="s">
        <v>30</v>
      </c>
      <c r="C356" t="s">
        <v>21</v>
      </c>
      <c r="D356" s="24">
        <v>50000000</v>
      </c>
      <c r="E356" s="29" t="str">
        <f>'Hitung Per Bulan'!I356</f>
        <v/>
      </c>
      <c r="F356" s="24">
        <v>50000000</v>
      </c>
      <c r="G356" s="29" t="str">
        <f>'Hitung Per Bulan'!J356</f>
        <v/>
      </c>
    </row>
    <row r="357" spans="1:7" x14ac:dyDescent="0.45">
      <c r="A357" t="s">
        <v>16</v>
      </c>
      <c r="B357" t="s">
        <v>30</v>
      </c>
      <c r="C357" t="s">
        <v>21</v>
      </c>
      <c r="D357" s="24">
        <v>50000000</v>
      </c>
      <c r="E357" s="29" t="str">
        <f>'Hitung Per Bulan'!I357</f>
        <v/>
      </c>
      <c r="F357" s="24">
        <v>532377000</v>
      </c>
      <c r="G357" s="29" t="str">
        <f>'Hitung Per Bulan'!J357</f>
        <v/>
      </c>
    </row>
    <row r="358" spans="1:7" x14ac:dyDescent="0.45">
      <c r="A358" t="s">
        <v>17</v>
      </c>
      <c r="B358" t="s">
        <v>30</v>
      </c>
      <c r="C358" t="s">
        <v>21</v>
      </c>
      <c r="D358" s="24">
        <v>50000000</v>
      </c>
      <c r="E358" s="29" t="str">
        <f>'Hitung Per Bulan'!I358</f>
        <v/>
      </c>
      <c r="F358" s="24">
        <v>435565000</v>
      </c>
      <c r="G358" s="29" t="str">
        <f>'Hitung Per Bulan'!J358</f>
        <v/>
      </c>
    </row>
    <row r="359" spans="1:7" x14ac:dyDescent="0.45">
      <c r="A359" t="s">
        <v>18</v>
      </c>
      <c r="B359" t="s">
        <v>30</v>
      </c>
      <c r="C359" t="s">
        <v>21</v>
      </c>
      <c r="D359" s="24">
        <v>100000000</v>
      </c>
      <c r="E359" s="29" t="str">
        <f>'Hitung Per Bulan'!I359</f>
        <v/>
      </c>
      <c r="F359" s="24">
        <v>100000000</v>
      </c>
      <c r="G359" s="29" t="str">
        <f>'Hitung Per Bulan'!J359</f>
        <v/>
      </c>
    </row>
    <row r="360" spans="1:7" x14ac:dyDescent="0.45">
      <c r="A360" t="s">
        <v>19</v>
      </c>
      <c r="B360" t="s">
        <v>30</v>
      </c>
      <c r="C360" t="s">
        <v>21</v>
      </c>
      <c r="D360" s="24">
        <v>100000000</v>
      </c>
      <c r="E360" s="29" t="str">
        <f>'Hitung Per Bulan'!I360</f>
        <v/>
      </c>
      <c r="F360" s="24">
        <v>100000000</v>
      </c>
      <c r="G360" s="29" t="str">
        <f>'Hitung Per Bulan'!J360</f>
        <v/>
      </c>
    </row>
    <row r="361" spans="1:7" x14ac:dyDescent="0.45">
      <c r="A361" t="s">
        <v>20</v>
      </c>
      <c r="B361" t="s">
        <v>30</v>
      </c>
      <c r="C361" t="s">
        <v>21</v>
      </c>
      <c r="D361" s="24">
        <v>0</v>
      </c>
      <c r="E361" s="29" t="str">
        <f>'Hitung Per Bulan'!I361</f>
        <v/>
      </c>
      <c r="F361" s="24">
        <v>0</v>
      </c>
      <c r="G361" s="29" t="str">
        <f>'Hitung Per Bulan'!J361</f>
        <v/>
      </c>
    </row>
    <row r="362" spans="1:7" x14ac:dyDescent="0.45">
      <c r="A362" t="s">
        <v>7</v>
      </c>
      <c r="B362" t="s">
        <v>30</v>
      </c>
      <c r="C362" t="s">
        <v>22</v>
      </c>
      <c r="D362" s="24">
        <v>0</v>
      </c>
      <c r="E362" s="29">
        <f>'Hitung Per Bulan'!I362</f>
        <v>0</v>
      </c>
      <c r="F362" s="24">
        <v>0</v>
      </c>
      <c r="G362" s="29">
        <f>'Hitung Per Bulan'!J362</f>
        <v>0</v>
      </c>
    </row>
    <row r="363" spans="1:7" x14ac:dyDescent="0.45">
      <c r="A363" t="s">
        <v>10</v>
      </c>
      <c r="B363" t="s">
        <v>30</v>
      </c>
      <c r="C363" t="s">
        <v>22</v>
      </c>
      <c r="D363" s="24">
        <v>30030000</v>
      </c>
      <c r="E363" s="29">
        <f>'Hitung Per Bulan'!I363</f>
        <v>11205000</v>
      </c>
      <c r="F363" s="24">
        <v>30030000</v>
      </c>
      <c r="G363" s="29">
        <f>'Hitung Per Bulan'!J363</f>
        <v>0</v>
      </c>
    </row>
    <row r="364" spans="1:7" x14ac:dyDescent="0.45">
      <c r="A364" t="s">
        <v>11</v>
      </c>
      <c r="B364" t="s">
        <v>30</v>
      </c>
      <c r="C364" t="s">
        <v>22</v>
      </c>
      <c r="D364" s="24">
        <v>0</v>
      </c>
      <c r="E364" s="29">
        <f>'Hitung Per Bulan'!I364</f>
        <v>0</v>
      </c>
      <c r="F364" s="24">
        <v>0</v>
      </c>
      <c r="G364" s="29">
        <f>'Hitung Per Bulan'!J364</f>
        <v>0</v>
      </c>
    </row>
    <row r="365" spans="1:7" x14ac:dyDescent="0.45">
      <c r="A365" t="s">
        <v>12</v>
      </c>
      <c r="B365" t="s">
        <v>30</v>
      </c>
      <c r="C365" t="s">
        <v>22</v>
      </c>
      <c r="D365" s="24">
        <v>0</v>
      </c>
      <c r="E365" s="29" t="str">
        <f>'Hitung Per Bulan'!I365</f>
        <v/>
      </c>
      <c r="F365" s="24">
        <v>0</v>
      </c>
      <c r="G365" s="29" t="str">
        <f>'Hitung Per Bulan'!J365</f>
        <v/>
      </c>
    </row>
    <row r="366" spans="1:7" x14ac:dyDescent="0.45">
      <c r="A366" t="s">
        <v>13</v>
      </c>
      <c r="B366" t="s">
        <v>30</v>
      </c>
      <c r="C366" t="s">
        <v>22</v>
      </c>
      <c r="D366" s="24">
        <v>0</v>
      </c>
      <c r="E366" s="29" t="str">
        <f>'Hitung Per Bulan'!I366</f>
        <v/>
      </c>
      <c r="F366" s="24">
        <v>0</v>
      </c>
      <c r="G366" s="29" t="str">
        <f>'Hitung Per Bulan'!J366</f>
        <v/>
      </c>
    </row>
    <row r="367" spans="1:7" x14ac:dyDescent="0.45">
      <c r="A367" t="s">
        <v>14</v>
      </c>
      <c r="B367" t="s">
        <v>30</v>
      </c>
      <c r="C367" t="s">
        <v>22</v>
      </c>
      <c r="D367" s="24">
        <v>30030000</v>
      </c>
      <c r="E367" s="29" t="str">
        <f>'Hitung Per Bulan'!I367</f>
        <v/>
      </c>
      <c r="F367" s="24">
        <v>30030000</v>
      </c>
      <c r="G367" s="29" t="str">
        <f>'Hitung Per Bulan'!J367</f>
        <v/>
      </c>
    </row>
    <row r="368" spans="1:7" x14ac:dyDescent="0.45">
      <c r="A368" t="s">
        <v>15</v>
      </c>
      <c r="B368" t="s">
        <v>30</v>
      </c>
      <c r="C368" t="s">
        <v>22</v>
      </c>
      <c r="D368" s="24">
        <v>0</v>
      </c>
      <c r="E368" s="29" t="str">
        <f>'Hitung Per Bulan'!I368</f>
        <v/>
      </c>
      <c r="F368" s="24">
        <v>0</v>
      </c>
      <c r="G368" s="29" t="str">
        <f>'Hitung Per Bulan'!J368</f>
        <v/>
      </c>
    </row>
    <row r="369" spans="1:7" x14ac:dyDescent="0.45">
      <c r="A369" t="s">
        <v>16</v>
      </c>
      <c r="B369" t="s">
        <v>30</v>
      </c>
      <c r="C369" t="s">
        <v>22</v>
      </c>
      <c r="D369" s="24">
        <v>0</v>
      </c>
      <c r="E369" s="29" t="str">
        <f>'Hitung Per Bulan'!I369</f>
        <v/>
      </c>
      <c r="F369" s="24">
        <v>0</v>
      </c>
      <c r="G369" s="29" t="str">
        <f>'Hitung Per Bulan'!J369</f>
        <v/>
      </c>
    </row>
    <row r="370" spans="1:7" x14ac:dyDescent="0.45">
      <c r="A370" t="s">
        <v>17</v>
      </c>
      <c r="B370" t="s">
        <v>30</v>
      </c>
      <c r="C370" t="s">
        <v>22</v>
      </c>
      <c r="D370" s="24">
        <v>0</v>
      </c>
      <c r="E370" s="29" t="str">
        <f>'Hitung Per Bulan'!I370</f>
        <v/>
      </c>
      <c r="F370" s="24">
        <v>0</v>
      </c>
      <c r="G370" s="29" t="str">
        <f>'Hitung Per Bulan'!J370</f>
        <v/>
      </c>
    </row>
    <row r="371" spans="1:7" x14ac:dyDescent="0.45">
      <c r="A371" t="s">
        <v>18</v>
      </c>
      <c r="B371" t="s">
        <v>30</v>
      </c>
      <c r="C371" t="s">
        <v>22</v>
      </c>
      <c r="D371" s="24">
        <v>0</v>
      </c>
      <c r="E371" s="29" t="str">
        <f>'Hitung Per Bulan'!I371</f>
        <v/>
      </c>
      <c r="F371" s="24">
        <v>0</v>
      </c>
      <c r="G371" s="29" t="str">
        <f>'Hitung Per Bulan'!J371</f>
        <v/>
      </c>
    </row>
    <row r="372" spans="1:7" x14ac:dyDescent="0.45">
      <c r="A372" t="s">
        <v>19</v>
      </c>
      <c r="B372" t="s">
        <v>30</v>
      </c>
      <c r="C372" t="s">
        <v>22</v>
      </c>
      <c r="D372" s="24">
        <v>30030000</v>
      </c>
      <c r="E372" s="29" t="str">
        <f>'Hitung Per Bulan'!I372</f>
        <v/>
      </c>
      <c r="F372" s="24">
        <v>30030000</v>
      </c>
      <c r="G372" s="29" t="str">
        <f>'Hitung Per Bulan'!J372</f>
        <v/>
      </c>
    </row>
    <row r="373" spans="1:7" x14ac:dyDescent="0.45">
      <c r="A373" t="s">
        <v>20</v>
      </c>
      <c r="B373" t="s">
        <v>30</v>
      </c>
      <c r="C373" t="s">
        <v>22</v>
      </c>
      <c r="D373" s="24">
        <v>0</v>
      </c>
      <c r="E373" s="29" t="str">
        <f>'Hitung Per Bulan'!I373</f>
        <v/>
      </c>
      <c r="F373" s="24">
        <v>0</v>
      </c>
      <c r="G373" s="29" t="str">
        <f>'Hitung Per Bulan'!J373</f>
        <v/>
      </c>
    </row>
    <row r="374" spans="1:7" x14ac:dyDescent="0.45">
      <c r="A374" t="s">
        <v>7</v>
      </c>
      <c r="B374" t="s">
        <v>30</v>
      </c>
      <c r="C374" t="s">
        <v>23</v>
      </c>
      <c r="D374" s="24">
        <v>0</v>
      </c>
      <c r="E374" s="29">
        <f>'Hitung Per Bulan'!I374</f>
        <v>0</v>
      </c>
      <c r="F374" s="24">
        <v>0</v>
      </c>
      <c r="G374" s="29">
        <f>'Hitung Per Bulan'!J374</f>
        <v>0</v>
      </c>
    </row>
    <row r="375" spans="1:7" x14ac:dyDescent="0.45">
      <c r="A375" t="s">
        <v>10</v>
      </c>
      <c r="B375" t="s">
        <v>30</v>
      </c>
      <c r="C375" t="s">
        <v>23</v>
      </c>
      <c r="D375" s="24">
        <v>0</v>
      </c>
      <c r="E375" s="29">
        <f>'Hitung Per Bulan'!I375</f>
        <v>0</v>
      </c>
      <c r="F375" s="24">
        <v>0</v>
      </c>
      <c r="G375" s="29">
        <f>'Hitung Per Bulan'!J375</f>
        <v>0</v>
      </c>
    </row>
    <row r="376" spans="1:7" x14ac:dyDescent="0.45">
      <c r="A376" t="s">
        <v>11</v>
      </c>
      <c r="B376" t="s">
        <v>30</v>
      </c>
      <c r="C376" t="s">
        <v>23</v>
      </c>
      <c r="D376" s="24">
        <v>0</v>
      </c>
      <c r="E376" s="29">
        <f>'Hitung Per Bulan'!I376</f>
        <v>0</v>
      </c>
      <c r="F376" s="24">
        <v>0</v>
      </c>
      <c r="G376" s="29">
        <f>'Hitung Per Bulan'!J376</f>
        <v>0</v>
      </c>
    </row>
    <row r="377" spans="1:7" x14ac:dyDescent="0.45">
      <c r="A377" t="s">
        <v>12</v>
      </c>
      <c r="B377" t="s">
        <v>30</v>
      </c>
      <c r="C377" t="s">
        <v>23</v>
      </c>
      <c r="D377" s="24">
        <v>0</v>
      </c>
      <c r="E377" s="29" t="str">
        <f>'Hitung Per Bulan'!I377</f>
        <v/>
      </c>
      <c r="F377" s="24">
        <v>0</v>
      </c>
      <c r="G377" s="29" t="str">
        <f>'Hitung Per Bulan'!J377</f>
        <v/>
      </c>
    </row>
    <row r="378" spans="1:7" x14ac:dyDescent="0.45">
      <c r="A378" t="s">
        <v>13</v>
      </c>
      <c r="B378" t="s">
        <v>30</v>
      </c>
      <c r="C378" t="s">
        <v>23</v>
      </c>
      <c r="D378" s="24">
        <v>60000000</v>
      </c>
      <c r="E378" s="29" t="str">
        <f>'Hitung Per Bulan'!I378</f>
        <v/>
      </c>
      <c r="F378" s="24">
        <v>60000000</v>
      </c>
      <c r="G378" s="29" t="str">
        <f>'Hitung Per Bulan'!J378</f>
        <v/>
      </c>
    </row>
    <row r="379" spans="1:7" x14ac:dyDescent="0.45">
      <c r="A379" t="s">
        <v>14</v>
      </c>
      <c r="B379" t="s">
        <v>30</v>
      </c>
      <c r="C379" t="s">
        <v>23</v>
      </c>
      <c r="D379" s="24">
        <v>30000000</v>
      </c>
      <c r="E379" s="29" t="str">
        <f>'Hitung Per Bulan'!I379</f>
        <v/>
      </c>
      <c r="F379" s="24">
        <v>30000000</v>
      </c>
      <c r="G379" s="29" t="str">
        <f>'Hitung Per Bulan'!J379</f>
        <v/>
      </c>
    </row>
    <row r="380" spans="1:7" x14ac:dyDescent="0.45">
      <c r="A380" t="s">
        <v>15</v>
      </c>
      <c r="B380" t="s">
        <v>30</v>
      </c>
      <c r="C380" t="s">
        <v>23</v>
      </c>
      <c r="D380" s="24">
        <v>160000000</v>
      </c>
      <c r="E380" s="29" t="str">
        <f>'Hitung Per Bulan'!I380</f>
        <v/>
      </c>
      <c r="F380" s="24">
        <v>0</v>
      </c>
      <c r="G380" s="29" t="str">
        <f>'Hitung Per Bulan'!J380</f>
        <v/>
      </c>
    </row>
    <row r="381" spans="1:7" x14ac:dyDescent="0.45">
      <c r="A381" t="s">
        <v>16</v>
      </c>
      <c r="B381" t="s">
        <v>30</v>
      </c>
      <c r="C381" t="s">
        <v>23</v>
      </c>
      <c r="D381" s="24">
        <v>0</v>
      </c>
      <c r="E381" s="29" t="str">
        <f>'Hitung Per Bulan'!I381</f>
        <v/>
      </c>
      <c r="F381" s="24">
        <v>0</v>
      </c>
      <c r="G381" s="29" t="str">
        <f>'Hitung Per Bulan'!J381</f>
        <v/>
      </c>
    </row>
    <row r="382" spans="1:7" x14ac:dyDescent="0.45">
      <c r="A382" t="s">
        <v>17</v>
      </c>
      <c r="B382" t="s">
        <v>30</v>
      </c>
      <c r="C382" t="s">
        <v>23</v>
      </c>
      <c r="D382" s="24">
        <v>0</v>
      </c>
      <c r="E382" s="29" t="str">
        <f>'Hitung Per Bulan'!I382</f>
        <v/>
      </c>
      <c r="F382" s="24">
        <v>0</v>
      </c>
      <c r="G382" s="29" t="str">
        <f>'Hitung Per Bulan'!J382</f>
        <v/>
      </c>
    </row>
    <row r="383" spans="1:7" x14ac:dyDescent="0.45">
      <c r="A383" t="s">
        <v>18</v>
      </c>
      <c r="B383" t="s">
        <v>30</v>
      </c>
      <c r="C383" t="s">
        <v>23</v>
      </c>
      <c r="D383" s="24">
        <v>0</v>
      </c>
      <c r="E383" s="29" t="str">
        <f>'Hitung Per Bulan'!I383</f>
        <v/>
      </c>
      <c r="F383" s="24">
        <v>160000000</v>
      </c>
      <c r="G383" s="29" t="str">
        <f>'Hitung Per Bulan'!J383</f>
        <v/>
      </c>
    </row>
    <row r="384" spans="1:7" x14ac:dyDescent="0.45">
      <c r="A384" t="s">
        <v>19</v>
      </c>
      <c r="B384" t="s">
        <v>30</v>
      </c>
      <c r="C384" t="s">
        <v>23</v>
      </c>
      <c r="D384" s="24">
        <v>0</v>
      </c>
      <c r="E384" s="29" t="str">
        <f>'Hitung Per Bulan'!I384</f>
        <v/>
      </c>
      <c r="F384" s="24">
        <v>0</v>
      </c>
      <c r="G384" s="29" t="str">
        <f>'Hitung Per Bulan'!J384</f>
        <v/>
      </c>
    </row>
    <row r="385" spans="1:7" x14ac:dyDescent="0.45">
      <c r="A385" t="s">
        <v>20</v>
      </c>
      <c r="B385" t="s">
        <v>30</v>
      </c>
      <c r="C385" t="s">
        <v>23</v>
      </c>
      <c r="D385" s="24">
        <v>0</v>
      </c>
      <c r="E385" s="29" t="str">
        <f>'Hitung Per Bulan'!I385</f>
        <v/>
      </c>
      <c r="F385" s="24">
        <v>0</v>
      </c>
      <c r="G385" s="29" t="str">
        <f>'Hitung Per Bulan'!J385</f>
        <v/>
      </c>
    </row>
    <row r="386" spans="1:7" x14ac:dyDescent="0.45">
      <c r="A386" t="s">
        <v>7</v>
      </c>
      <c r="B386" t="s">
        <v>30</v>
      </c>
      <c r="C386" t="s">
        <v>24</v>
      </c>
      <c r="D386" s="24">
        <v>0</v>
      </c>
      <c r="E386" s="29">
        <f>'Hitung Per Bulan'!I386</f>
        <v>0</v>
      </c>
      <c r="F386" s="24">
        <v>0</v>
      </c>
      <c r="G386" s="29">
        <f>'Hitung Per Bulan'!J386</f>
        <v>0</v>
      </c>
    </row>
    <row r="387" spans="1:7" x14ac:dyDescent="0.45">
      <c r="A387" t="s">
        <v>10</v>
      </c>
      <c r="B387" t="s">
        <v>30</v>
      </c>
      <c r="C387" t="s">
        <v>24</v>
      </c>
      <c r="D387" s="24">
        <v>0</v>
      </c>
      <c r="E387" s="29">
        <f>'Hitung Per Bulan'!I387</f>
        <v>0</v>
      </c>
      <c r="F387" s="24">
        <v>0</v>
      </c>
      <c r="G387" s="29">
        <f>'Hitung Per Bulan'!J387</f>
        <v>0</v>
      </c>
    </row>
    <row r="388" spans="1:7" x14ac:dyDescent="0.45">
      <c r="A388" t="s">
        <v>11</v>
      </c>
      <c r="B388" t="s">
        <v>30</v>
      </c>
      <c r="C388" t="s">
        <v>24</v>
      </c>
      <c r="D388" s="24">
        <v>0</v>
      </c>
      <c r="E388" s="29">
        <f>'Hitung Per Bulan'!I388</f>
        <v>0</v>
      </c>
      <c r="F388" s="24">
        <v>0</v>
      </c>
      <c r="G388" s="29">
        <f>'Hitung Per Bulan'!J388</f>
        <v>0</v>
      </c>
    </row>
    <row r="389" spans="1:7" x14ac:dyDescent="0.45">
      <c r="A389" t="s">
        <v>12</v>
      </c>
      <c r="B389" t="s">
        <v>30</v>
      </c>
      <c r="C389" t="s">
        <v>24</v>
      </c>
      <c r="D389" s="24">
        <v>0</v>
      </c>
      <c r="E389" s="29" t="str">
        <f>'Hitung Per Bulan'!I389</f>
        <v/>
      </c>
      <c r="F389" s="24">
        <v>0</v>
      </c>
      <c r="G389" s="29" t="str">
        <f>'Hitung Per Bulan'!J389</f>
        <v/>
      </c>
    </row>
    <row r="390" spans="1:7" x14ac:dyDescent="0.45">
      <c r="A390" t="s">
        <v>13</v>
      </c>
      <c r="B390" t="s">
        <v>30</v>
      </c>
      <c r="C390" t="s">
        <v>24</v>
      </c>
      <c r="D390" s="24">
        <v>0</v>
      </c>
      <c r="E390" s="29" t="str">
        <f>'Hitung Per Bulan'!I390</f>
        <v/>
      </c>
      <c r="F390" s="24">
        <v>0</v>
      </c>
      <c r="G390" s="29" t="str">
        <f>'Hitung Per Bulan'!J390</f>
        <v/>
      </c>
    </row>
    <row r="391" spans="1:7" x14ac:dyDescent="0.45">
      <c r="A391" t="s">
        <v>14</v>
      </c>
      <c r="B391" t="s">
        <v>30</v>
      </c>
      <c r="C391" t="s">
        <v>24</v>
      </c>
      <c r="D391" s="24">
        <v>0</v>
      </c>
      <c r="E391" s="29" t="str">
        <f>'Hitung Per Bulan'!I391</f>
        <v/>
      </c>
      <c r="F391" s="24">
        <v>0</v>
      </c>
      <c r="G391" s="29" t="str">
        <f>'Hitung Per Bulan'!J391</f>
        <v/>
      </c>
    </row>
    <row r="392" spans="1:7" x14ac:dyDescent="0.45">
      <c r="A392" t="s">
        <v>15</v>
      </c>
      <c r="B392" t="s">
        <v>30</v>
      </c>
      <c r="C392" t="s">
        <v>24</v>
      </c>
      <c r="D392" s="24">
        <v>0</v>
      </c>
      <c r="E392" s="29" t="str">
        <f>'Hitung Per Bulan'!I392</f>
        <v/>
      </c>
      <c r="F392" s="24">
        <v>0</v>
      </c>
      <c r="G392" s="29" t="str">
        <f>'Hitung Per Bulan'!J392</f>
        <v/>
      </c>
    </row>
    <row r="393" spans="1:7" x14ac:dyDescent="0.45">
      <c r="A393" t="s">
        <v>16</v>
      </c>
      <c r="B393" t="s">
        <v>30</v>
      </c>
      <c r="C393" t="s">
        <v>24</v>
      </c>
      <c r="D393" s="24">
        <v>0</v>
      </c>
      <c r="E393" s="29" t="str">
        <f>'Hitung Per Bulan'!I393</f>
        <v/>
      </c>
      <c r="F393" s="24">
        <v>0</v>
      </c>
      <c r="G393" s="29" t="str">
        <f>'Hitung Per Bulan'!J393</f>
        <v/>
      </c>
    </row>
    <row r="394" spans="1:7" x14ac:dyDescent="0.45">
      <c r="A394" t="s">
        <v>17</v>
      </c>
      <c r="B394" t="s">
        <v>30</v>
      </c>
      <c r="C394" t="s">
        <v>24</v>
      </c>
      <c r="D394" s="24">
        <v>0</v>
      </c>
      <c r="E394" s="29" t="str">
        <f>'Hitung Per Bulan'!I394</f>
        <v/>
      </c>
      <c r="F394" s="24">
        <v>0</v>
      </c>
      <c r="G394" s="29" t="str">
        <f>'Hitung Per Bulan'!J394</f>
        <v/>
      </c>
    </row>
    <row r="395" spans="1:7" x14ac:dyDescent="0.45">
      <c r="A395" t="s">
        <v>18</v>
      </c>
      <c r="B395" t="s">
        <v>30</v>
      </c>
      <c r="C395" t="s">
        <v>24</v>
      </c>
      <c r="D395" s="24">
        <v>0</v>
      </c>
      <c r="E395" s="29" t="str">
        <f>'Hitung Per Bulan'!I395</f>
        <v/>
      </c>
      <c r="F395" s="24">
        <v>0</v>
      </c>
      <c r="G395" s="29" t="str">
        <f>'Hitung Per Bulan'!J395</f>
        <v/>
      </c>
    </row>
    <row r="396" spans="1:7" x14ac:dyDescent="0.45">
      <c r="A396" t="s">
        <v>19</v>
      </c>
      <c r="B396" t="s">
        <v>30</v>
      </c>
      <c r="C396" t="s">
        <v>24</v>
      </c>
      <c r="D396" s="24">
        <v>0</v>
      </c>
      <c r="E396" s="29" t="str">
        <f>'Hitung Per Bulan'!I396</f>
        <v/>
      </c>
      <c r="F396" s="24">
        <v>0</v>
      </c>
      <c r="G396" s="29" t="str">
        <f>'Hitung Per Bulan'!J396</f>
        <v/>
      </c>
    </row>
    <row r="397" spans="1:7" x14ac:dyDescent="0.45">
      <c r="A397" t="s">
        <v>20</v>
      </c>
      <c r="B397" t="s">
        <v>30</v>
      </c>
      <c r="C397" t="s">
        <v>24</v>
      </c>
      <c r="D397" s="24">
        <v>0</v>
      </c>
      <c r="E397" s="29" t="str">
        <f>'Hitung Per Bulan'!I397</f>
        <v/>
      </c>
      <c r="F397" s="24">
        <v>0</v>
      </c>
      <c r="G397" s="29" t="str">
        <f>'Hitung Per Bulan'!J397</f>
        <v/>
      </c>
    </row>
    <row r="398" spans="1:7" x14ac:dyDescent="0.45">
      <c r="A398" t="s">
        <v>7</v>
      </c>
      <c r="B398" t="s">
        <v>30</v>
      </c>
      <c r="C398" t="s">
        <v>25</v>
      </c>
      <c r="D398" s="24">
        <v>50834000</v>
      </c>
      <c r="E398" s="29">
        <f>'Hitung Per Bulan'!I398</f>
        <v>107373135</v>
      </c>
      <c r="F398" s="24">
        <v>50834000</v>
      </c>
      <c r="G398" s="29">
        <f>'Hitung Per Bulan'!J398</f>
        <v>29120235</v>
      </c>
    </row>
    <row r="399" spans="1:7" x14ac:dyDescent="0.45">
      <c r="A399" t="s">
        <v>10</v>
      </c>
      <c r="B399" t="s">
        <v>30</v>
      </c>
      <c r="C399" t="s">
        <v>25</v>
      </c>
      <c r="D399" s="24">
        <v>70834000</v>
      </c>
      <c r="E399" s="29">
        <f>'Hitung Per Bulan'!I399</f>
        <v>132788748</v>
      </c>
      <c r="F399" s="24">
        <v>70834000</v>
      </c>
      <c r="G399" s="29">
        <f>'Hitung Per Bulan'!J399</f>
        <v>60489500</v>
      </c>
    </row>
    <row r="400" spans="1:7" x14ac:dyDescent="0.45">
      <c r="A400" t="s">
        <v>11</v>
      </c>
      <c r="B400" t="s">
        <v>30</v>
      </c>
      <c r="C400" t="s">
        <v>25</v>
      </c>
      <c r="D400" s="24">
        <v>302184000</v>
      </c>
      <c r="E400" s="29">
        <f>'Hitung Per Bulan'!I400</f>
        <v>105406414</v>
      </c>
      <c r="F400" s="24">
        <v>302184000</v>
      </c>
      <c r="G400" s="29">
        <f>'Hitung Per Bulan'!J400</f>
        <v>114465550</v>
      </c>
    </row>
    <row r="401" spans="1:7" x14ac:dyDescent="0.45">
      <c r="A401" t="s">
        <v>12</v>
      </c>
      <c r="B401" t="s">
        <v>30</v>
      </c>
      <c r="C401" t="s">
        <v>25</v>
      </c>
      <c r="D401" s="24">
        <v>313833000</v>
      </c>
      <c r="E401" s="29" t="str">
        <f>'Hitung Per Bulan'!I401</f>
        <v/>
      </c>
      <c r="F401" s="24">
        <v>313833000</v>
      </c>
      <c r="G401" s="29" t="str">
        <f>'Hitung Per Bulan'!J401</f>
        <v/>
      </c>
    </row>
    <row r="402" spans="1:7" x14ac:dyDescent="0.45">
      <c r="A402" t="s">
        <v>13</v>
      </c>
      <c r="B402" t="s">
        <v>30</v>
      </c>
      <c r="C402" t="s">
        <v>25</v>
      </c>
      <c r="D402" s="24">
        <v>187833000</v>
      </c>
      <c r="E402" s="29" t="str">
        <f>'Hitung Per Bulan'!I402</f>
        <v/>
      </c>
      <c r="F402" s="24">
        <v>187833000</v>
      </c>
      <c r="G402" s="29" t="str">
        <f>'Hitung Per Bulan'!J402</f>
        <v/>
      </c>
    </row>
    <row r="403" spans="1:7" x14ac:dyDescent="0.45">
      <c r="A403" t="s">
        <v>14</v>
      </c>
      <c r="B403" t="s">
        <v>30</v>
      </c>
      <c r="C403" t="s">
        <v>25</v>
      </c>
      <c r="D403" s="24">
        <v>274383000</v>
      </c>
      <c r="E403" s="29" t="str">
        <f>'Hitung Per Bulan'!I403</f>
        <v/>
      </c>
      <c r="F403" s="24">
        <v>274383000</v>
      </c>
      <c r="G403" s="29" t="str">
        <f>'Hitung Per Bulan'!J403</f>
        <v/>
      </c>
    </row>
    <row r="404" spans="1:7" x14ac:dyDescent="0.45">
      <c r="A404" t="s">
        <v>15</v>
      </c>
      <c r="B404" t="s">
        <v>30</v>
      </c>
      <c r="C404" t="s">
        <v>25</v>
      </c>
      <c r="D404" s="24">
        <v>53833000</v>
      </c>
      <c r="E404" s="29" t="str">
        <f>'Hitung Per Bulan'!I404</f>
        <v/>
      </c>
      <c r="F404" s="24">
        <v>53833000</v>
      </c>
      <c r="G404" s="29" t="str">
        <f>'Hitung Per Bulan'!J404</f>
        <v/>
      </c>
    </row>
    <row r="405" spans="1:7" x14ac:dyDescent="0.45">
      <c r="A405" t="s">
        <v>16</v>
      </c>
      <c r="B405" t="s">
        <v>30</v>
      </c>
      <c r="C405" t="s">
        <v>25</v>
      </c>
      <c r="D405" s="24">
        <v>90833000</v>
      </c>
      <c r="E405" s="29" t="str">
        <f>'Hitung Per Bulan'!I405</f>
        <v/>
      </c>
      <c r="F405" s="24">
        <v>90833000</v>
      </c>
      <c r="G405" s="29" t="str">
        <f>'Hitung Per Bulan'!J405</f>
        <v/>
      </c>
    </row>
    <row r="406" spans="1:7" x14ac:dyDescent="0.45">
      <c r="A406" t="s">
        <v>17</v>
      </c>
      <c r="B406" t="s">
        <v>30</v>
      </c>
      <c r="C406" t="s">
        <v>25</v>
      </c>
      <c r="D406" s="24">
        <v>97183000</v>
      </c>
      <c r="E406" s="29" t="str">
        <f>'Hitung Per Bulan'!I406</f>
        <v/>
      </c>
      <c r="F406" s="24">
        <v>97183000</v>
      </c>
      <c r="G406" s="29" t="str">
        <f>'Hitung Per Bulan'!J406</f>
        <v/>
      </c>
    </row>
    <row r="407" spans="1:7" x14ac:dyDescent="0.45">
      <c r="A407" t="s">
        <v>18</v>
      </c>
      <c r="B407" t="s">
        <v>30</v>
      </c>
      <c r="C407" t="s">
        <v>25</v>
      </c>
      <c r="D407" s="24">
        <v>65834000</v>
      </c>
      <c r="E407" s="29" t="str">
        <f>'Hitung Per Bulan'!I407</f>
        <v/>
      </c>
      <c r="F407" s="24">
        <v>65834000</v>
      </c>
      <c r="G407" s="29" t="str">
        <f>'Hitung Per Bulan'!J407</f>
        <v/>
      </c>
    </row>
    <row r="408" spans="1:7" x14ac:dyDescent="0.45">
      <c r="A408" t="s">
        <v>19</v>
      </c>
      <c r="B408" t="s">
        <v>30</v>
      </c>
      <c r="C408" t="s">
        <v>25</v>
      </c>
      <c r="D408" s="24">
        <v>62834000</v>
      </c>
      <c r="E408" s="29" t="str">
        <f>'Hitung Per Bulan'!I408</f>
        <v/>
      </c>
      <c r="F408" s="24">
        <v>62834000</v>
      </c>
      <c r="G408" s="29" t="str">
        <f>'Hitung Per Bulan'!J408</f>
        <v/>
      </c>
    </row>
    <row r="409" spans="1:7" x14ac:dyDescent="0.45">
      <c r="A409" t="s">
        <v>20</v>
      </c>
      <c r="B409" t="s">
        <v>30</v>
      </c>
      <c r="C409" t="s">
        <v>25</v>
      </c>
      <c r="D409" s="24">
        <v>112184000</v>
      </c>
      <c r="E409" s="29" t="str">
        <f>'Hitung Per Bulan'!I409</f>
        <v/>
      </c>
      <c r="F409" s="24">
        <v>112184000</v>
      </c>
      <c r="G409" s="29" t="str">
        <f>'Hitung Per Bulan'!J409</f>
        <v/>
      </c>
    </row>
    <row r="410" spans="1:7" x14ac:dyDescent="0.45">
      <c r="A410" t="s">
        <v>7</v>
      </c>
      <c r="B410" t="s">
        <v>30</v>
      </c>
      <c r="C410" t="s">
        <v>26</v>
      </c>
      <c r="D410" s="24">
        <v>208442000</v>
      </c>
      <c r="E410" s="29">
        <f>'Hitung Per Bulan'!I410</f>
        <v>180318716</v>
      </c>
      <c r="F410" s="24">
        <v>208442000</v>
      </c>
      <c r="G410" s="29">
        <f>'Hitung Per Bulan'!J410</f>
        <v>180294464</v>
      </c>
    </row>
    <row r="411" spans="1:7" x14ac:dyDescent="0.45">
      <c r="A411" t="s">
        <v>10</v>
      </c>
      <c r="B411" t="s">
        <v>30</v>
      </c>
      <c r="C411" t="s">
        <v>26</v>
      </c>
      <c r="D411" s="24">
        <v>208442000</v>
      </c>
      <c r="E411" s="29">
        <f>'Hitung Per Bulan'!I411</f>
        <v>165926590</v>
      </c>
      <c r="F411" s="24">
        <v>208442000</v>
      </c>
      <c r="G411" s="29">
        <f>'Hitung Per Bulan'!J411</f>
        <v>165950842</v>
      </c>
    </row>
    <row r="412" spans="1:7" x14ac:dyDescent="0.45">
      <c r="A412" t="s">
        <v>11</v>
      </c>
      <c r="B412" t="s">
        <v>30</v>
      </c>
      <c r="C412" t="s">
        <v>26</v>
      </c>
      <c r="D412" s="24">
        <v>208442000</v>
      </c>
      <c r="E412" s="29">
        <f>'Hitung Per Bulan'!I412</f>
        <v>147403349</v>
      </c>
      <c r="F412" s="24">
        <v>208442000</v>
      </c>
      <c r="G412" s="29">
        <f>'Hitung Per Bulan'!J412</f>
        <v>147403349</v>
      </c>
    </row>
    <row r="413" spans="1:7" x14ac:dyDescent="0.45">
      <c r="A413" t="s">
        <v>12</v>
      </c>
      <c r="B413" t="s">
        <v>30</v>
      </c>
      <c r="C413" t="s">
        <v>26</v>
      </c>
      <c r="D413" s="24">
        <v>208442000</v>
      </c>
      <c r="E413" s="29" t="str">
        <f>'Hitung Per Bulan'!I413</f>
        <v/>
      </c>
      <c r="F413" s="24">
        <v>208442000</v>
      </c>
      <c r="G413" s="29" t="str">
        <f>'Hitung Per Bulan'!J413</f>
        <v/>
      </c>
    </row>
    <row r="414" spans="1:7" x14ac:dyDescent="0.45">
      <c r="A414" t="s">
        <v>13</v>
      </c>
      <c r="B414" t="s">
        <v>30</v>
      </c>
      <c r="C414" t="s">
        <v>26</v>
      </c>
      <c r="D414" s="24">
        <v>208442000</v>
      </c>
      <c r="E414" s="29" t="str">
        <f>'Hitung Per Bulan'!I414</f>
        <v/>
      </c>
      <c r="F414" s="24">
        <v>208442000</v>
      </c>
      <c r="G414" s="29" t="str">
        <f>'Hitung Per Bulan'!J414</f>
        <v/>
      </c>
    </row>
    <row r="415" spans="1:7" x14ac:dyDescent="0.45">
      <c r="A415" t="s">
        <v>14</v>
      </c>
      <c r="B415" t="s">
        <v>30</v>
      </c>
      <c r="C415" t="s">
        <v>26</v>
      </c>
      <c r="D415" s="24">
        <v>208442000</v>
      </c>
      <c r="E415" s="29" t="str">
        <f>'Hitung Per Bulan'!I415</f>
        <v/>
      </c>
      <c r="F415" s="24">
        <v>208442000</v>
      </c>
      <c r="G415" s="29" t="str">
        <f>'Hitung Per Bulan'!J415</f>
        <v/>
      </c>
    </row>
    <row r="416" spans="1:7" x14ac:dyDescent="0.45">
      <c r="A416" t="s">
        <v>15</v>
      </c>
      <c r="B416" t="s">
        <v>30</v>
      </c>
      <c r="C416" t="s">
        <v>26</v>
      </c>
      <c r="D416" s="24">
        <v>208442000</v>
      </c>
      <c r="E416" s="29" t="str">
        <f>'Hitung Per Bulan'!I416</f>
        <v/>
      </c>
      <c r="F416" s="24">
        <v>208442000</v>
      </c>
      <c r="G416" s="29" t="str">
        <f>'Hitung Per Bulan'!J416</f>
        <v/>
      </c>
    </row>
    <row r="417" spans="1:7" x14ac:dyDescent="0.45">
      <c r="A417" t="s">
        <v>16</v>
      </c>
      <c r="B417" t="s">
        <v>30</v>
      </c>
      <c r="C417" t="s">
        <v>26</v>
      </c>
      <c r="D417" s="24">
        <v>208442000</v>
      </c>
      <c r="E417" s="29" t="str">
        <f>'Hitung Per Bulan'!I417</f>
        <v/>
      </c>
      <c r="F417" s="24">
        <v>208442000</v>
      </c>
      <c r="G417" s="29" t="str">
        <f>'Hitung Per Bulan'!J417</f>
        <v/>
      </c>
    </row>
    <row r="418" spans="1:7" x14ac:dyDescent="0.45">
      <c r="A418" t="s">
        <v>17</v>
      </c>
      <c r="B418" t="s">
        <v>30</v>
      </c>
      <c r="C418" t="s">
        <v>26</v>
      </c>
      <c r="D418" s="24">
        <v>208441000</v>
      </c>
      <c r="E418" s="29" t="str">
        <f>'Hitung Per Bulan'!I418</f>
        <v/>
      </c>
      <c r="F418" s="24">
        <v>208441000</v>
      </c>
      <c r="G418" s="29" t="str">
        <f>'Hitung Per Bulan'!J418</f>
        <v/>
      </c>
    </row>
    <row r="419" spans="1:7" x14ac:dyDescent="0.45">
      <c r="A419" t="s">
        <v>18</v>
      </c>
      <c r="B419" t="s">
        <v>30</v>
      </c>
      <c r="C419" t="s">
        <v>26</v>
      </c>
      <c r="D419" s="24">
        <v>208441000</v>
      </c>
      <c r="E419" s="29" t="str">
        <f>'Hitung Per Bulan'!I419</f>
        <v/>
      </c>
      <c r="F419" s="24">
        <v>208441000</v>
      </c>
      <c r="G419" s="29" t="str">
        <f>'Hitung Per Bulan'!J419</f>
        <v/>
      </c>
    </row>
    <row r="420" spans="1:7" x14ac:dyDescent="0.45">
      <c r="A420" t="s">
        <v>19</v>
      </c>
      <c r="B420" t="s">
        <v>30</v>
      </c>
      <c r="C420" t="s">
        <v>26</v>
      </c>
      <c r="D420" s="24">
        <v>208441000</v>
      </c>
      <c r="E420" s="29" t="str">
        <f>'Hitung Per Bulan'!I420</f>
        <v/>
      </c>
      <c r="F420" s="24">
        <v>208441000</v>
      </c>
      <c r="G420" s="29" t="str">
        <f>'Hitung Per Bulan'!J420</f>
        <v/>
      </c>
    </row>
    <row r="421" spans="1:7" x14ac:dyDescent="0.45">
      <c r="A421" t="s">
        <v>20</v>
      </c>
      <c r="B421" t="s">
        <v>30</v>
      </c>
      <c r="C421" t="s">
        <v>26</v>
      </c>
      <c r="D421" s="24">
        <v>208441000</v>
      </c>
      <c r="E421" s="29" t="str">
        <f>'Hitung Per Bulan'!I421</f>
        <v/>
      </c>
      <c r="F421" s="24">
        <v>208441000</v>
      </c>
      <c r="G421" s="29" t="str">
        <f>'Hitung Per Bulan'!J421</f>
        <v/>
      </c>
    </row>
    <row r="422" spans="1:7" x14ac:dyDescent="0.45">
      <c r="A422" t="s">
        <v>7</v>
      </c>
      <c r="B422" t="s">
        <v>31</v>
      </c>
      <c r="C422" t="s">
        <v>9</v>
      </c>
      <c r="D422" s="24">
        <v>100000000</v>
      </c>
      <c r="E422" s="29">
        <f>'Hitung Per Bulan'!I422</f>
        <v>656537346</v>
      </c>
      <c r="F422" s="24">
        <v>0</v>
      </c>
      <c r="G422" s="29">
        <f>'Hitung Per Bulan'!J422</f>
        <v>0</v>
      </c>
    </row>
    <row r="423" spans="1:7" x14ac:dyDescent="0.45">
      <c r="A423" t="s">
        <v>10</v>
      </c>
      <c r="B423" t="s">
        <v>31</v>
      </c>
      <c r="C423" t="s">
        <v>9</v>
      </c>
      <c r="D423" s="24">
        <v>235000000</v>
      </c>
      <c r="E423" s="29">
        <f>'Hitung Per Bulan'!I423</f>
        <v>683351141</v>
      </c>
      <c r="F423" s="24">
        <v>185000000</v>
      </c>
      <c r="G423" s="29">
        <f>'Hitung Per Bulan'!J423</f>
        <v>93332500</v>
      </c>
    </row>
    <row r="424" spans="1:7" x14ac:dyDescent="0.45">
      <c r="A424" t="s">
        <v>11</v>
      </c>
      <c r="B424" t="s">
        <v>31</v>
      </c>
      <c r="C424" t="s">
        <v>9</v>
      </c>
      <c r="D424" s="24">
        <v>9354173000</v>
      </c>
      <c r="E424" s="29">
        <f>'Hitung Per Bulan'!I424</f>
        <v>8099134173</v>
      </c>
      <c r="F424" s="24">
        <v>500000000</v>
      </c>
      <c r="G424" s="29">
        <f>'Hitung Per Bulan'!J424</f>
        <v>104154846</v>
      </c>
    </row>
    <row r="425" spans="1:7" x14ac:dyDescent="0.45">
      <c r="A425" t="s">
        <v>12</v>
      </c>
      <c r="B425" t="s">
        <v>31</v>
      </c>
      <c r="C425" t="s">
        <v>9</v>
      </c>
      <c r="D425" s="24">
        <v>459550000</v>
      </c>
      <c r="E425" s="29" t="str">
        <f>'Hitung Per Bulan'!I425</f>
        <v/>
      </c>
      <c r="F425" s="24">
        <v>521650000</v>
      </c>
      <c r="G425" s="29" t="str">
        <f>'Hitung Per Bulan'!J425</f>
        <v/>
      </c>
    </row>
    <row r="426" spans="1:7" x14ac:dyDescent="0.45">
      <c r="A426" t="s">
        <v>13</v>
      </c>
      <c r="B426" t="s">
        <v>31</v>
      </c>
      <c r="C426" t="s">
        <v>9</v>
      </c>
      <c r="D426" s="24">
        <v>4070366975</v>
      </c>
      <c r="E426" s="29" t="str">
        <f>'Hitung Per Bulan'!I426</f>
        <v/>
      </c>
      <c r="F426" s="24">
        <v>190000000</v>
      </c>
      <c r="G426" s="29" t="str">
        <f>'Hitung Per Bulan'!J426</f>
        <v/>
      </c>
    </row>
    <row r="427" spans="1:7" x14ac:dyDescent="0.45">
      <c r="A427" t="s">
        <v>14</v>
      </c>
      <c r="B427" t="s">
        <v>31</v>
      </c>
      <c r="C427" t="s">
        <v>9</v>
      </c>
      <c r="D427" s="24">
        <v>1051500000</v>
      </c>
      <c r="E427" s="29" t="str">
        <f>'Hitung Per Bulan'!I427</f>
        <v/>
      </c>
      <c r="F427" s="24">
        <v>419000000</v>
      </c>
      <c r="G427" s="29" t="str">
        <f>'Hitung Per Bulan'!J427</f>
        <v/>
      </c>
    </row>
    <row r="428" spans="1:7" x14ac:dyDescent="0.45">
      <c r="A428" t="s">
        <v>15</v>
      </c>
      <c r="B428" t="s">
        <v>31</v>
      </c>
      <c r="C428" t="s">
        <v>9</v>
      </c>
      <c r="D428" s="24">
        <v>925000000</v>
      </c>
      <c r="E428" s="29" t="str">
        <f>'Hitung Per Bulan'!I428</f>
        <v/>
      </c>
      <c r="F428" s="24">
        <v>1383295000</v>
      </c>
      <c r="G428" s="29" t="str">
        <f>'Hitung Per Bulan'!J428</f>
        <v/>
      </c>
    </row>
    <row r="429" spans="1:7" x14ac:dyDescent="0.45">
      <c r="A429" t="s">
        <v>16</v>
      </c>
      <c r="B429" t="s">
        <v>31</v>
      </c>
      <c r="C429" t="s">
        <v>9</v>
      </c>
      <c r="D429" s="24">
        <v>391246320</v>
      </c>
      <c r="E429" s="29" t="str">
        <f>'Hitung Per Bulan'!I429</f>
        <v/>
      </c>
      <c r="F429" s="24">
        <v>882913000</v>
      </c>
      <c r="G429" s="29" t="str">
        <f>'Hitung Per Bulan'!J429</f>
        <v/>
      </c>
    </row>
    <row r="430" spans="1:7" x14ac:dyDescent="0.45">
      <c r="A430" t="s">
        <v>17</v>
      </c>
      <c r="B430" t="s">
        <v>31</v>
      </c>
      <c r="C430" t="s">
        <v>9</v>
      </c>
      <c r="D430" s="24">
        <v>447666665.99999994</v>
      </c>
      <c r="E430" s="29" t="str">
        <f>'Hitung Per Bulan'!I430</f>
        <v/>
      </c>
      <c r="F430" s="24">
        <v>3610437000</v>
      </c>
      <c r="G430" s="29" t="str">
        <f>'Hitung Per Bulan'!J430</f>
        <v/>
      </c>
    </row>
    <row r="431" spans="1:7" x14ac:dyDescent="0.45">
      <c r="A431" t="s">
        <v>18</v>
      </c>
      <c r="B431" t="s">
        <v>31</v>
      </c>
      <c r="C431" t="s">
        <v>9</v>
      </c>
      <c r="D431" s="24">
        <v>197666660</v>
      </c>
      <c r="E431" s="29" t="str">
        <f>'Hitung Per Bulan'!I431</f>
        <v/>
      </c>
      <c r="F431" s="24">
        <v>943622000</v>
      </c>
      <c r="G431" s="29" t="str">
        <f>'Hitung Per Bulan'!J431</f>
        <v/>
      </c>
    </row>
    <row r="432" spans="1:7" x14ac:dyDescent="0.45">
      <c r="A432" t="s">
        <v>19</v>
      </c>
      <c r="B432" t="s">
        <v>31</v>
      </c>
      <c r="C432" t="s">
        <v>9</v>
      </c>
      <c r="D432" s="24">
        <v>66666660</v>
      </c>
      <c r="E432" s="29" t="str">
        <f>'Hitung Per Bulan'!I432</f>
        <v/>
      </c>
      <c r="F432" s="24">
        <v>4123624560</v>
      </c>
      <c r="G432" s="29" t="str">
        <f>'Hitung Per Bulan'!J432</f>
        <v/>
      </c>
    </row>
    <row r="433" spans="1:7" x14ac:dyDescent="0.45">
      <c r="A433" t="s">
        <v>20</v>
      </c>
      <c r="B433" t="s">
        <v>31</v>
      </c>
      <c r="C433" t="s">
        <v>9</v>
      </c>
      <c r="D433" s="24">
        <v>66666660</v>
      </c>
      <c r="E433" s="29" t="str">
        <f>'Hitung Per Bulan'!I433</f>
        <v/>
      </c>
      <c r="F433" s="24">
        <v>4605962307</v>
      </c>
      <c r="G433" s="29" t="str">
        <f>'Hitung Per Bulan'!J433</f>
        <v/>
      </c>
    </row>
    <row r="434" spans="1:7" x14ac:dyDescent="0.45">
      <c r="A434" t="s">
        <v>7</v>
      </c>
      <c r="B434" t="s">
        <v>31</v>
      </c>
      <c r="C434" t="s">
        <v>21</v>
      </c>
      <c r="D434" s="24">
        <v>0</v>
      </c>
      <c r="E434" s="29">
        <f>'Hitung Per Bulan'!I434</f>
        <v>0</v>
      </c>
      <c r="F434" s="24">
        <v>0</v>
      </c>
      <c r="G434" s="29">
        <f>'Hitung Per Bulan'!J434</f>
        <v>0</v>
      </c>
    </row>
    <row r="435" spans="1:7" x14ac:dyDescent="0.45">
      <c r="A435" t="s">
        <v>10</v>
      </c>
      <c r="B435" t="s">
        <v>31</v>
      </c>
      <c r="C435" t="s">
        <v>21</v>
      </c>
      <c r="D435" s="24">
        <v>10000000</v>
      </c>
      <c r="E435" s="29">
        <f>'Hitung Per Bulan'!I435</f>
        <v>0</v>
      </c>
      <c r="F435" s="24">
        <v>0</v>
      </c>
      <c r="G435" s="29">
        <f>'Hitung Per Bulan'!J435</f>
        <v>0</v>
      </c>
    </row>
    <row r="436" spans="1:7" x14ac:dyDescent="0.45">
      <c r="A436" t="s">
        <v>11</v>
      </c>
      <c r="B436" t="s">
        <v>31</v>
      </c>
      <c r="C436" t="s">
        <v>21</v>
      </c>
      <c r="D436" s="24">
        <v>0</v>
      </c>
      <c r="E436" s="29">
        <f>'Hitung Per Bulan'!I436</f>
        <v>24707600</v>
      </c>
      <c r="F436" s="24">
        <v>10000000</v>
      </c>
      <c r="G436" s="29">
        <f>'Hitung Per Bulan'!J436</f>
        <v>0</v>
      </c>
    </row>
    <row r="437" spans="1:7" x14ac:dyDescent="0.45">
      <c r="A437" t="s">
        <v>12</v>
      </c>
      <c r="B437" t="s">
        <v>31</v>
      </c>
      <c r="C437" t="s">
        <v>21</v>
      </c>
      <c r="D437" s="24">
        <v>0</v>
      </c>
      <c r="E437" s="29" t="str">
        <f>'Hitung Per Bulan'!I437</f>
        <v/>
      </c>
      <c r="F437" s="24">
        <v>0</v>
      </c>
      <c r="G437" s="29" t="str">
        <f>'Hitung Per Bulan'!J437</f>
        <v/>
      </c>
    </row>
    <row r="438" spans="1:7" x14ac:dyDescent="0.45">
      <c r="A438" t="s">
        <v>13</v>
      </c>
      <c r="B438" t="s">
        <v>31</v>
      </c>
      <c r="C438" t="s">
        <v>21</v>
      </c>
      <c r="D438" s="24">
        <v>10000000</v>
      </c>
      <c r="E438" s="29" t="str">
        <f>'Hitung Per Bulan'!I438</f>
        <v/>
      </c>
      <c r="F438" s="24">
        <v>0</v>
      </c>
      <c r="G438" s="29" t="str">
        <f>'Hitung Per Bulan'!J438</f>
        <v/>
      </c>
    </row>
    <row r="439" spans="1:7" x14ac:dyDescent="0.45">
      <c r="A439" t="s">
        <v>14</v>
      </c>
      <c r="B439" t="s">
        <v>31</v>
      </c>
      <c r="C439" t="s">
        <v>21</v>
      </c>
      <c r="D439" s="24">
        <v>50000000</v>
      </c>
      <c r="E439" s="29" t="str">
        <f>'Hitung Per Bulan'!I439</f>
        <v/>
      </c>
      <c r="F439" s="24">
        <v>10000000</v>
      </c>
      <c r="G439" s="29" t="str">
        <f>'Hitung Per Bulan'!J439</f>
        <v/>
      </c>
    </row>
    <row r="440" spans="1:7" x14ac:dyDescent="0.45">
      <c r="A440" t="s">
        <v>15</v>
      </c>
      <c r="B440" t="s">
        <v>31</v>
      </c>
      <c r="C440" t="s">
        <v>21</v>
      </c>
      <c r="D440" s="24">
        <v>509000000</v>
      </c>
      <c r="E440" s="29" t="str">
        <f>'Hitung Per Bulan'!I440</f>
        <v/>
      </c>
      <c r="F440" s="24">
        <v>50000000</v>
      </c>
      <c r="G440" s="29" t="str">
        <f>'Hitung Per Bulan'!J440</f>
        <v/>
      </c>
    </row>
    <row r="441" spans="1:7" x14ac:dyDescent="0.45">
      <c r="A441" t="s">
        <v>16</v>
      </c>
      <c r="B441" t="s">
        <v>31</v>
      </c>
      <c r="C441" t="s">
        <v>21</v>
      </c>
      <c r="D441" s="24">
        <v>10000000</v>
      </c>
      <c r="E441" s="29" t="str">
        <f>'Hitung Per Bulan'!I441</f>
        <v/>
      </c>
      <c r="F441" s="24">
        <v>0</v>
      </c>
      <c r="G441" s="29" t="str">
        <f>'Hitung Per Bulan'!J441</f>
        <v/>
      </c>
    </row>
    <row r="442" spans="1:7" x14ac:dyDescent="0.45">
      <c r="A442" t="s">
        <v>17</v>
      </c>
      <c r="B442" t="s">
        <v>31</v>
      </c>
      <c r="C442" t="s">
        <v>21</v>
      </c>
      <c r="D442" s="24">
        <v>50000000</v>
      </c>
      <c r="E442" s="29" t="str">
        <f>'Hitung Per Bulan'!I442</f>
        <v/>
      </c>
      <c r="F442" s="24">
        <v>10000000</v>
      </c>
      <c r="G442" s="29" t="str">
        <f>'Hitung Per Bulan'!J442</f>
        <v/>
      </c>
    </row>
    <row r="443" spans="1:7" x14ac:dyDescent="0.45">
      <c r="A443" t="s">
        <v>18</v>
      </c>
      <c r="B443" t="s">
        <v>31</v>
      </c>
      <c r="C443" t="s">
        <v>21</v>
      </c>
      <c r="D443" s="24">
        <v>0</v>
      </c>
      <c r="E443" s="29" t="str">
        <f>'Hitung Per Bulan'!I443</f>
        <v/>
      </c>
      <c r="F443" s="24">
        <v>50000000</v>
      </c>
      <c r="G443" s="29" t="str">
        <f>'Hitung Per Bulan'!J443</f>
        <v/>
      </c>
    </row>
    <row r="444" spans="1:7" x14ac:dyDescent="0.45">
      <c r="A444" t="s">
        <v>19</v>
      </c>
      <c r="B444" t="s">
        <v>31</v>
      </c>
      <c r="C444" t="s">
        <v>21</v>
      </c>
      <c r="D444" s="24">
        <v>10000000</v>
      </c>
      <c r="E444" s="29" t="str">
        <f>'Hitung Per Bulan'!I444</f>
        <v/>
      </c>
      <c r="F444" s="24">
        <v>0</v>
      </c>
      <c r="G444" s="29" t="str">
        <f>'Hitung Per Bulan'!J444</f>
        <v/>
      </c>
    </row>
    <row r="445" spans="1:7" x14ac:dyDescent="0.45">
      <c r="A445" t="s">
        <v>20</v>
      </c>
      <c r="B445" t="s">
        <v>31</v>
      </c>
      <c r="C445" t="s">
        <v>21</v>
      </c>
      <c r="D445" s="24">
        <v>0</v>
      </c>
      <c r="E445" s="29" t="str">
        <f>'Hitung Per Bulan'!I445</f>
        <v/>
      </c>
      <c r="F445" s="24">
        <v>519000000</v>
      </c>
      <c r="G445" s="29" t="str">
        <f>'Hitung Per Bulan'!J445</f>
        <v/>
      </c>
    </row>
    <row r="446" spans="1:7" x14ac:dyDescent="0.45">
      <c r="A446" t="s">
        <v>7</v>
      </c>
      <c r="B446" t="s">
        <v>31</v>
      </c>
      <c r="C446" t="s">
        <v>22</v>
      </c>
      <c r="D446" s="24">
        <v>0</v>
      </c>
      <c r="E446" s="29">
        <f>'Hitung Per Bulan'!I446</f>
        <v>0</v>
      </c>
      <c r="F446" s="24">
        <v>0</v>
      </c>
      <c r="G446" s="29">
        <f>'Hitung Per Bulan'!J446</f>
        <v>0</v>
      </c>
    </row>
    <row r="447" spans="1:7" x14ac:dyDescent="0.45">
      <c r="A447" t="s">
        <v>10</v>
      </c>
      <c r="B447" t="s">
        <v>31</v>
      </c>
      <c r="C447" t="s">
        <v>22</v>
      </c>
      <c r="D447" s="24">
        <v>80025000</v>
      </c>
      <c r="E447" s="29">
        <f>'Hitung Per Bulan'!I447</f>
        <v>71775000</v>
      </c>
      <c r="F447" s="24">
        <v>0</v>
      </c>
      <c r="G447" s="29">
        <f>'Hitung Per Bulan'!J447</f>
        <v>0</v>
      </c>
    </row>
    <row r="448" spans="1:7" x14ac:dyDescent="0.45">
      <c r="A448" t="s">
        <v>11</v>
      </c>
      <c r="B448" t="s">
        <v>31</v>
      </c>
      <c r="C448" t="s">
        <v>22</v>
      </c>
      <c r="D448" s="24">
        <v>0</v>
      </c>
      <c r="E448" s="29">
        <f>'Hitung Per Bulan'!I448</f>
        <v>0</v>
      </c>
      <c r="F448" s="24">
        <v>80025000</v>
      </c>
      <c r="G448" s="29">
        <f>'Hitung Per Bulan'!J448</f>
        <v>71775000</v>
      </c>
    </row>
    <row r="449" spans="1:7" x14ac:dyDescent="0.45">
      <c r="A449" t="s">
        <v>12</v>
      </c>
      <c r="B449" t="s">
        <v>31</v>
      </c>
      <c r="C449" t="s">
        <v>22</v>
      </c>
      <c r="D449" s="24">
        <v>0</v>
      </c>
      <c r="E449" s="29" t="str">
        <f>'Hitung Per Bulan'!I449</f>
        <v/>
      </c>
      <c r="F449" s="24">
        <v>0</v>
      </c>
      <c r="G449" s="29" t="str">
        <f>'Hitung Per Bulan'!J449</f>
        <v/>
      </c>
    </row>
    <row r="450" spans="1:7" x14ac:dyDescent="0.45">
      <c r="A450" t="s">
        <v>13</v>
      </c>
      <c r="B450" t="s">
        <v>31</v>
      </c>
      <c r="C450" t="s">
        <v>22</v>
      </c>
      <c r="D450" s="24">
        <v>80025000</v>
      </c>
      <c r="E450" s="29" t="str">
        <f>'Hitung Per Bulan'!I450</f>
        <v/>
      </c>
      <c r="F450" s="24">
        <v>0</v>
      </c>
      <c r="G450" s="29" t="str">
        <f>'Hitung Per Bulan'!J450</f>
        <v/>
      </c>
    </row>
    <row r="451" spans="1:7" x14ac:dyDescent="0.45">
      <c r="A451" t="s">
        <v>14</v>
      </c>
      <c r="B451" t="s">
        <v>31</v>
      </c>
      <c r="C451" t="s">
        <v>22</v>
      </c>
      <c r="D451" s="24">
        <v>0</v>
      </c>
      <c r="E451" s="29" t="str">
        <f>'Hitung Per Bulan'!I451</f>
        <v/>
      </c>
      <c r="F451" s="24">
        <v>80025000</v>
      </c>
      <c r="G451" s="29" t="str">
        <f>'Hitung Per Bulan'!J451</f>
        <v/>
      </c>
    </row>
    <row r="452" spans="1:7" x14ac:dyDescent="0.45">
      <c r="A452" t="s">
        <v>15</v>
      </c>
      <c r="B452" t="s">
        <v>31</v>
      </c>
      <c r="C452" t="s">
        <v>22</v>
      </c>
      <c r="D452" s="24">
        <v>0</v>
      </c>
      <c r="E452" s="29" t="str">
        <f>'Hitung Per Bulan'!I452</f>
        <v/>
      </c>
      <c r="F452" s="24">
        <v>0</v>
      </c>
      <c r="G452" s="29" t="str">
        <f>'Hitung Per Bulan'!J452</f>
        <v/>
      </c>
    </row>
    <row r="453" spans="1:7" x14ac:dyDescent="0.45">
      <c r="A453" t="s">
        <v>16</v>
      </c>
      <c r="B453" t="s">
        <v>31</v>
      </c>
      <c r="C453" t="s">
        <v>22</v>
      </c>
      <c r="D453" s="24">
        <v>80025000</v>
      </c>
      <c r="E453" s="29" t="str">
        <f>'Hitung Per Bulan'!I453</f>
        <v/>
      </c>
      <c r="F453" s="24">
        <v>0</v>
      </c>
      <c r="G453" s="29" t="str">
        <f>'Hitung Per Bulan'!J453</f>
        <v/>
      </c>
    </row>
    <row r="454" spans="1:7" x14ac:dyDescent="0.45">
      <c r="A454" t="s">
        <v>17</v>
      </c>
      <c r="B454" t="s">
        <v>31</v>
      </c>
      <c r="C454" t="s">
        <v>22</v>
      </c>
      <c r="D454" s="24">
        <v>0</v>
      </c>
      <c r="E454" s="29" t="str">
        <f>'Hitung Per Bulan'!I454</f>
        <v/>
      </c>
      <c r="F454" s="24">
        <v>80025000</v>
      </c>
      <c r="G454" s="29" t="str">
        <f>'Hitung Per Bulan'!J454</f>
        <v/>
      </c>
    </row>
    <row r="455" spans="1:7" x14ac:dyDescent="0.45">
      <c r="A455" t="s">
        <v>18</v>
      </c>
      <c r="B455" t="s">
        <v>31</v>
      </c>
      <c r="C455" t="s">
        <v>22</v>
      </c>
      <c r="D455" s="24">
        <v>0</v>
      </c>
      <c r="E455" s="29" t="str">
        <f>'Hitung Per Bulan'!I455</f>
        <v/>
      </c>
      <c r="F455" s="24">
        <v>0</v>
      </c>
      <c r="G455" s="29" t="str">
        <f>'Hitung Per Bulan'!J455</f>
        <v/>
      </c>
    </row>
    <row r="456" spans="1:7" x14ac:dyDescent="0.45">
      <c r="A456" t="s">
        <v>19</v>
      </c>
      <c r="B456" t="s">
        <v>31</v>
      </c>
      <c r="C456" t="s">
        <v>22</v>
      </c>
      <c r="D456" s="24">
        <v>80025000</v>
      </c>
      <c r="E456" s="29" t="str">
        <f>'Hitung Per Bulan'!I456</f>
        <v/>
      </c>
      <c r="F456" s="24">
        <v>0</v>
      </c>
      <c r="G456" s="29" t="str">
        <f>'Hitung Per Bulan'!J456</f>
        <v/>
      </c>
    </row>
    <row r="457" spans="1:7" x14ac:dyDescent="0.45">
      <c r="A457" t="s">
        <v>20</v>
      </c>
      <c r="B457" t="s">
        <v>31</v>
      </c>
      <c r="C457" t="s">
        <v>22</v>
      </c>
      <c r="D457" s="24">
        <v>0</v>
      </c>
      <c r="E457" s="29" t="str">
        <f>'Hitung Per Bulan'!I457</f>
        <v/>
      </c>
      <c r="F457" s="24">
        <v>80025000</v>
      </c>
      <c r="G457" s="29" t="str">
        <f>'Hitung Per Bulan'!J457</f>
        <v/>
      </c>
    </row>
    <row r="458" spans="1:7" x14ac:dyDescent="0.45">
      <c r="A458" t="s">
        <v>7</v>
      </c>
      <c r="B458" t="s">
        <v>31</v>
      </c>
      <c r="C458" t="s">
        <v>23</v>
      </c>
      <c r="D458" s="24">
        <v>0</v>
      </c>
      <c r="E458" s="29">
        <f>'Hitung Per Bulan'!I458</f>
        <v>46460160</v>
      </c>
      <c r="F458" s="24">
        <v>0</v>
      </c>
      <c r="G458" s="29">
        <f>'Hitung Per Bulan'!J458</f>
        <v>0</v>
      </c>
    </row>
    <row r="459" spans="1:7" x14ac:dyDescent="0.45">
      <c r="A459" t="s">
        <v>10</v>
      </c>
      <c r="B459" t="s">
        <v>31</v>
      </c>
      <c r="C459" t="s">
        <v>23</v>
      </c>
      <c r="D459" s="24">
        <v>50000000</v>
      </c>
      <c r="E459" s="29">
        <f>'Hitung Per Bulan'!I459</f>
        <v>0</v>
      </c>
      <c r="F459" s="24">
        <v>0</v>
      </c>
      <c r="G459" s="29">
        <f>'Hitung Per Bulan'!J459</f>
        <v>0</v>
      </c>
    </row>
    <row r="460" spans="1:7" x14ac:dyDescent="0.45">
      <c r="A460" t="s">
        <v>11</v>
      </c>
      <c r="B460" t="s">
        <v>31</v>
      </c>
      <c r="C460" t="s">
        <v>23</v>
      </c>
      <c r="D460" s="24">
        <v>0</v>
      </c>
      <c r="E460" s="29">
        <f>'Hitung Per Bulan'!I460</f>
        <v>-4604160</v>
      </c>
      <c r="F460" s="24">
        <v>50000000</v>
      </c>
      <c r="G460" s="29">
        <f>'Hitung Per Bulan'!J460</f>
        <v>41856000</v>
      </c>
    </row>
    <row r="461" spans="1:7" x14ac:dyDescent="0.45">
      <c r="A461" t="s">
        <v>12</v>
      </c>
      <c r="B461" t="s">
        <v>31</v>
      </c>
      <c r="C461" t="s">
        <v>23</v>
      </c>
      <c r="D461" s="24">
        <v>0</v>
      </c>
      <c r="E461" s="29" t="str">
        <f>'Hitung Per Bulan'!I461</f>
        <v/>
      </c>
      <c r="F461" s="24">
        <v>0</v>
      </c>
      <c r="G461" s="29" t="str">
        <f>'Hitung Per Bulan'!J461</f>
        <v/>
      </c>
    </row>
    <row r="462" spans="1:7" x14ac:dyDescent="0.45">
      <c r="A462" t="s">
        <v>13</v>
      </c>
      <c r="B462" t="s">
        <v>31</v>
      </c>
      <c r="C462" t="s">
        <v>23</v>
      </c>
      <c r="D462" s="24">
        <v>0</v>
      </c>
      <c r="E462" s="29" t="str">
        <f>'Hitung Per Bulan'!I462</f>
        <v/>
      </c>
      <c r="F462" s="24">
        <v>0</v>
      </c>
      <c r="G462" s="29" t="str">
        <f>'Hitung Per Bulan'!J462</f>
        <v/>
      </c>
    </row>
    <row r="463" spans="1:7" x14ac:dyDescent="0.45">
      <c r="A463" t="s">
        <v>14</v>
      </c>
      <c r="B463" t="s">
        <v>31</v>
      </c>
      <c r="C463" t="s">
        <v>23</v>
      </c>
      <c r="D463" s="24">
        <v>0</v>
      </c>
      <c r="E463" s="29" t="str">
        <f>'Hitung Per Bulan'!I463</f>
        <v/>
      </c>
      <c r="F463" s="24">
        <v>0</v>
      </c>
      <c r="G463" s="29" t="str">
        <f>'Hitung Per Bulan'!J463</f>
        <v/>
      </c>
    </row>
    <row r="464" spans="1:7" x14ac:dyDescent="0.45">
      <c r="A464" t="s">
        <v>15</v>
      </c>
      <c r="B464" t="s">
        <v>31</v>
      </c>
      <c r="C464" t="s">
        <v>23</v>
      </c>
      <c r="D464" s="24">
        <v>50000000</v>
      </c>
      <c r="E464" s="29" t="str">
        <f>'Hitung Per Bulan'!I464</f>
        <v/>
      </c>
      <c r="F464" s="24">
        <v>0</v>
      </c>
      <c r="G464" s="29" t="str">
        <f>'Hitung Per Bulan'!J464</f>
        <v/>
      </c>
    </row>
    <row r="465" spans="1:7" x14ac:dyDescent="0.45">
      <c r="A465" t="s">
        <v>16</v>
      </c>
      <c r="B465" t="s">
        <v>31</v>
      </c>
      <c r="C465" t="s">
        <v>23</v>
      </c>
      <c r="D465" s="24">
        <v>0</v>
      </c>
      <c r="E465" s="29" t="str">
        <f>'Hitung Per Bulan'!I465</f>
        <v/>
      </c>
      <c r="F465" s="24">
        <v>50000000</v>
      </c>
      <c r="G465" s="29" t="str">
        <f>'Hitung Per Bulan'!J465</f>
        <v/>
      </c>
    </row>
    <row r="466" spans="1:7" x14ac:dyDescent="0.45">
      <c r="A466" t="s">
        <v>17</v>
      </c>
      <c r="B466" t="s">
        <v>31</v>
      </c>
      <c r="C466" t="s">
        <v>23</v>
      </c>
      <c r="D466" s="24">
        <v>0</v>
      </c>
      <c r="E466" s="29" t="str">
        <f>'Hitung Per Bulan'!I466</f>
        <v/>
      </c>
      <c r="F466" s="24">
        <v>0</v>
      </c>
      <c r="G466" s="29" t="str">
        <f>'Hitung Per Bulan'!J466</f>
        <v/>
      </c>
    </row>
    <row r="467" spans="1:7" x14ac:dyDescent="0.45">
      <c r="A467" t="s">
        <v>18</v>
      </c>
      <c r="B467" t="s">
        <v>31</v>
      </c>
      <c r="C467" t="s">
        <v>23</v>
      </c>
      <c r="D467" s="24">
        <v>50000000</v>
      </c>
      <c r="E467" s="29" t="str">
        <f>'Hitung Per Bulan'!I467</f>
        <v/>
      </c>
      <c r="F467" s="24">
        <v>0</v>
      </c>
      <c r="G467" s="29" t="str">
        <f>'Hitung Per Bulan'!J467</f>
        <v/>
      </c>
    </row>
    <row r="468" spans="1:7" x14ac:dyDescent="0.45">
      <c r="A468" t="s">
        <v>19</v>
      </c>
      <c r="B468" t="s">
        <v>31</v>
      </c>
      <c r="C468" t="s">
        <v>23</v>
      </c>
      <c r="D468" s="24">
        <v>0</v>
      </c>
      <c r="E468" s="29" t="str">
        <f>'Hitung Per Bulan'!I468</f>
        <v/>
      </c>
      <c r="F468" s="24">
        <v>50000000</v>
      </c>
      <c r="G468" s="29" t="str">
        <f>'Hitung Per Bulan'!J468</f>
        <v/>
      </c>
    </row>
    <row r="469" spans="1:7" x14ac:dyDescent="0.45">
      <c r="A469" t="s">
        <v>20</v>
      </c>
      <c r="B469" t="s">
        <v>31</v>
      </c>
      <c r="C469" t="s">
        <v>23</v>
      </c>
      <c r="D469" s="24">
        <v>0</v>
      </c>
      <c r="E469" s="29" t="str">
        <f>'Hitung Per Bulan'!I469</f>
        <v/>
      </c>
      <c r="F469" s="24">
        <v>0</v>
      </c>
      <c r="G469" s="29" t="str">
        <f>'Hitung Per Bulan'!J469</f>
        <v/>
      </c>
    </row>
    <row r="470" spans="1:7" x14ac:dyDescent="0.45">
      <c r="A470" t="s">
        <v>7</v>
      </c>
      <c r="B470" t="s">
        <v>31</v>
      </c>
      <c r="C470" t="s">
        <v>24</v>
      </c>
      <c r="D470" s="24">
        <v>0</v>
      </c>
      <c r="E470" s="29">
        <f>'Hitung Per Bulan'!I470</f>
        <v>0</v>
      </c>
      <c r="F470" s="24">
        <v>0</v>
      </c>
      <c r="G470" s="29">
        <f>'Hitung Per Bulan'!J470</f>
        <v>0</v>
      </c>
    </row>
    <row r="471" spans="1:7" x14ac:dyDescent="0.45">
      <c r="A471" t="s">
        <v>10</v>
      </c>
      <c r="B471" t="s">
        <v>31</v>
      </c>
      <c r="C471" t="s">
        <v>24</v>
      </c>
      <c r="D471" s="24">
        <v>0</v>
      </c>
      <c r="E471" s="29">
        <f>'Hitung Per Bulan'!I471</f>
        <v>0</v>
      </c>
      <c r="F471" s="24">
        <v>0</v>
      </c>
      <c r="G471" s="29">
        <f>'Hitung Per Bulan'!J471</f>
        <v>0</v>
      </c>
    </row>
    <row r="472" spans="1:7" x14ac:dyDescent="0.45">
      <c r="A472" t="s">
        <v>11</v>
      </c>
      <c r="B472" t="s">
        <v>31</v>
      </c>
      <c r="C472" t="s">
        <v>24</v>
      </c>
      <c r="D472" s="24">
        <v>0</v>
      </c>
      <c r="E472" s="29">
        <f>'Hitung Per Bulan'!I472</f>
        <v>0</v>
      </c>
      <c r="F472" s="24">
        <v>0</v>
      </c>
      <c r="G472" s="29">
        <f>'Hitung Per Bulan'!J472</f>
        <v>0</v>
      </c>
    </row>
    <row r="473" spans="1:7" x14ac:dyDescent="0.45">
      <c r="A473" t="s">
        <v>12</v>
      </c>
      <c r="B473" t="s">
        <v>31</v>
      </c>
      <c r="C473" t="s">
        <v>24</v>
      </c>
      <c r="D473" s="24">
        <v>0</v>
      </c>
      <c r="E473" s="29" t="str">
        <f>'Hitung Per Bulan'!I473</f>
        <v/>
      </c>
      <c r="F473" s="24">
        <v>0</v>
      </c>
      <c r="G473" s="29" t="str">
        <f>'Hitung Per Bulan'!J473</f>
        <v/>
      </c>
    </row>
    <row r="474" spans="1:7" x14ac:dyDescent="0.45">
      <c r="A474" t="s">
        <v>13</v>
      </c>
      <c r="B474" t="s">
        <v>31</v>
      </c>
      <c r="C474" t="s">
        <v>24</v>
      </c>
      <c r="D474" s="24">
        <v>0</v>
      </c>
      <c r="E474" s="29" t="str">
        <f>'Hitung Per Bulan'!I474</f>
        <v/>
      </c>
      <c r="F474" s="24">
        <v>0</v>
      </c>
      <c r="G474" s="29" t="str">
        <f>'Hitung Per Bulan'!J474</f>
        <v/>
      </c>
    </row>
    <row r="475" spans="1:7" x14ac:dyDescent="0.45">
      <c r="A475" t="s">
        <v>14</v>
      </c>
      <c r="B475" t="s">
        <v>31</v>
      </c>
      <c r="C475" t="s">
        <v>24</v>
      </c>
      <c r="D475" s="24">
        <v>0</v>
      </c>
      <c r="E475" s="29" t="str">
        <f>'Hitung Per Bulan'!I475</f>
        <v/>
      </c>
      <c r="F475" s="24">
        <v>0</v>
      </c>
      <c r="G475" s="29" t="str">
        <f>'Hitung Per Bulan'!J475</f>
        <v/>
      </c>
    </row>
    <row r="476" spans="1:7" x14ac:dyDescent="0.45">
      <c r="A476" t="s">
        <v>15</v>
      </c>
      <c r="B476" t="s">
        <v>31</v>
      </c>
      <c r="C476" t="s">
        <v>24</v>
      </c>
      <c r="D476" s="24">
        <v>0</v>
      </c>
      <c r="E476" s="29" t="str">
        <f>'Hitung Per Bulan'!I476</f>
        <v/>
      </c>
      <c r="F476" s="24">
        <v>0</v>
      </c>
      <c r="G476" s="29" t="str">
        <f>'Hitung Per Bulan'!J476</f>
        <v/>
      </c>
    </row>
    <row r="477" spans="1:7" x14ac:dyDescent="0.45">
      <c r="A477" t="s">
        <v>16</v>
      </c>
      <c r="B477" t="s">
        <v>31</v>
      </c>
      <c r="C477" t="s">
        <v>24</v>
      </c>
      <c r="D477" s="24">
        <v>0</v>
      </c>
      <c r="E477" s="29" t="str">
        <f>'Hitung Per Bulan'!I477</f>
        <v/>
      </c>
      <c r="F477" s="24">
        <v>0</v>
      </c>
      <c r="G477" s="29" t="str">
        <f>'Hitung Per Bulan'!J477</f>
        <v/>
      </c>
    </row>
    <row r="478" spans="1:7" x14ac:dyDescent="0.45">
      <c r="A478" t="s">
        <v>17</v>
      </c>
      <c r="B478" t="s">
        <v>31</v>
      </c>
      <c r="C478" t="s">
        <v>24</v>
      </c>
      <c r="D478" s="24">
        <v>0</v>
      </c>
      <c r="E478" s="29" t="str">
        <f>'Hitung Per Bulan'!I478</f>
        <v/>
      </c>
      <c r="F478" s="24">
        <v>0</v>
      </c>
      <c r="G478" s="29" t="str">
        <f>'Hitung Per Bulan'!J478</f>
        <v/>
      </c>
    </row>
    <row r="479" spans="1:7" x14ac:dyDescent="0.45">
      <c r="A479" t="s">
        <v>18</v>
      </c>
      <c r="B479" t="s">
        <v>31</v>
      </c>
      <c r="C479" t="s">
        <v>24</v>
      </c>
      <c r="D479" s="24">
        <v>0</v>
      </c>
      <c r="E479" s="29" t="str">
        <f>'Hitung Per Bulan'!I479</f>
        <v/>
      </c>
      <c r="F479" s="24">
        <v>0</v>
      </c>
      <c r="G479" s="29" t="str">
        <f>'Hitung Per Bulan'!J479</f>
        <v/>
      </c>
    </row>
    <row r="480" spans="1:7" x14ac:dyDescent="0.45">
      <c r="A480" t="s">
        <v>19</v>
      </c>
      <c r="B480" t="s">
        <v>31</v>
      </c>
      <c r="C480" t="s">
        <v>24</v>
      </c>
      <c r="D480" s="24">
        <v>0</v>
      </c>
      <c r="E480" s="29" t="str">
        <f>'Hitung Per Bulan'!I480</f>
        <v/>
      </c>
      <c r="F480" s="24">
        <v>0</v>
      </c>
      <c r="G480" s="29" t="str">
        <f>'Hitung Per Bulan'!J480</f>
        <v/>
      </c>
    </row>
    <row r="481" spans="1:7" x14ac:dyDescent="0.45">
      <c r="A481" t="s">
        <v>20</v>
      </c>
      <c r="B481" t="s">
        <v>31</v>
      </c>
      <c r="C481" t="s">
        <v>24</v>
      </c>
      <c r="D481" s="24">
        <v>0</v>
      </c>
      <c r="E481" s="29" t="str">
        <f>'Hitung Per Bulan'!I481</f>
        <v/>
      </c>
      <c r="F481" s="24">
        <v>0</v>
      </c>
      <c r="G481" s="29" t="str">
        <f>'Hitung Per Bulan'!J481</f>
        <v/>
      </c>
    </row>
    <row r="482" spans="1:7" x14ac:dyDescent="0.45">
      <c r="A482" t="s">
        <v>7</v>
      </c>
      <c r="B482" t="s">
        <v>31</v>
      </c>
      <c r="C482" t="s">
        <v>25</v>
      </c>
      <c r="D482" s="24">
        <v>142200000</v>
      </c>
      <c r="E482" s="29">
        <f>'Hitung Per Bulan'!I482</f>
        <v>125678941</v>
      </c>
      <c r="F482" s="24">
        <v>8750000</v>
      </c>
      <c r="G482" s="29">
        <f>'Hitung Per Bulan'!J482</f>
        <v>17499750</v>
      </c>
    </row>
    <row r="483" spans="1:7" x14ac:dyDescent="0.45">
      <c r="A483" t="s">
        <v>10</v>
      </c>
      <c r="B483" t="s">
        <v>31</v>
      </c>
      <c r="C483" t="s">
        <v>25</v>
      </c>
      <c r="D483" s="24">
        <v>268250000</v>
      </c>
      <c r="E483" s="29">
        <f>'Hitung Per Bulan'!I483</f>
        <v>82708000</v>
      </c>
      <c r="F483" s="24">
        <v>142200000</v>
      </c>
      <c r="G483" s="29">
        <f>'Hitung Per Bulan'!J483</f>
        <v>92994741</v>
      </c>
    </row>
    <row r="484" spans="1:7" x14ac:dyDescent="0.45">
      <c r="A484" t="s">
        <v>11</v>
      </c>
      <c r="B484" t="s">
        <v>31</v>
      </c>
      <c r="C484" t="s">
        <v>25</v>
      </c>
      <c r="D484" s="24">
        <v>143250000</v>
      </c>
      <c r="E484" s="29">
        <f>'Hitung Per Bulan'!I484</f>
        <v>69834480</v>
      </c>
      <c r="F484" s="24">
        <v>268250000</v>
      </c>
      <c r="G484" s="29">
        <f>'Hitung Per Bulan'!J484</f>
        <v>89399930</v>
      </c>
    </row>
    <row r="485" spans="1:7" x14ac:dyDescent="0.45">
      <c r="A485" t="s">
        <v>12</v>
      </c>
      <c r="B485" t="s">
        <v>31</v>
      </c>
      <c r="C485" t="s">
        <v>25</v>
      </c>
      <c r="D485" s="24">
        <v>319346000</v>
      </c>
      <c r="E485" s="29" t="str">
        <f>'Hitung Per Bulan'!I485</f>
        <v/>
      </c>
      <c r="F485" s="24">
        <v>143250000</v>
      </c>
      <c r="G485" s="29" t="str">
        <f>'Hitung Per Bulan'!J485</f>
        <v/>
      </c>
    </row>
    <row r="486" spans="1:7" x14ac:dyDescent="0.45">
      <c r="A486" t="s">
        <v>13</v>
      </c>
      <c r="B486" t="s">
        <v>31</v>
      </c>
      <c r="C486" t="s">
        <v>25</v>
      </c>
      <c r="D486" s="24">
        <v>58250000</v>
      </c>
      <c r="E486" s="29" t="str">
        <f>'Hitung Per Bulan'!I486</f>
        <v/>
      </c>
      <c r="F486" s="24">
        <v>319346000</v>
      </c>
      <c r="G486" s="29" t="str">
        <f>'Hitung Per Bulan'!J486</f>
        <v/>
      </c>
    </row>
    <row r="487" spans="1:7" x14ac:dyDescent="0.45">
      <c r="A487" t="s">
        <v>14</v>
      </c>
      <c r="B487" t="s">
        <v>31</v>
      </c>
      <c r="C487" t="s">
        <v>25</v>
      </c>
      <c r="D487" s="24">
        <v>108250000</v>
      </c>
      <c r="E487" s="29" t="str">
        <f>'Hitung Per Bulan'!I487</f>
        <v/>
      </c>
      <c r="F487" s="24">
        <v>58250000</v>
      </c>
      <c r="G487" s="29" t="str">
        <f>'Hitung Per Bulan'!J487</f>
        <v/>
      </c>
    </row>
    <row r="488" spans="1:7" x14ac:dyDescent="0.45">
      <c r="A488" t="s">
        <v>15</v>
      </c>
      <c r="B488" t="s">
        <v>31</v>
      </c>
      <c r="C488" t="s">
        <v>25</v>
      </c>
      <c r="D488" s="24">
        <v>313250000</v>
      </c>
      <c r="E488" s="29" t="str">
        <f>'Hitung Per Bulan'!I488</f>
        <v/>
      </c>
      <c r="F488" s="24">
        <v>108250000</v>
      </c>
      <c r="G488" s="29" t="str">
        <f>'Hitung Per Bulan'!J488</f>
        <v/>
      </c>
    </row>
    <row r="489" spans="1:7" x14ac:dyDescent="0.45">
      <c r="A489" t="s">
        <v>16</v>
      </c>
      <c r="B489" t="s">
        <v>31</v>
      </c>
      <c r="C489" t="s">
        <v>25</v>
      </c>
      <c r="D489" s="24">
        <v>98250000</v>
      </c>
      <c r="E489" s="29" t="str">
        <f>'Hitung Per Bulan'!I489</f>
        <v/>
      </c>
      <c r="F489" s="24">
        <v>313250000</v>
      </c>
      <c r="G489" s="29" t="str">
        <f>'Hitung Per Bulan'!J489</f>
        <v/>
      </c>
    </row>
    <row r="490" spans="1:7" x14ac:dyDescent="0.45">
      <c r="A490" t="s">
        <v>17</v>
      </c>
      <c r="B490" t="s">
        <v>31</v>
      </c>
      <c r="C490" t="s">
        <v>25</v>
      </c>
      <c r="D490" s="24">
        <v>58250000</v>
      </c>
      <c r="E490" s="29" t="str">
        <f>'Hitung Per Bulan'!I490</f>
        <v/>
      </c>
      <c r="F490" s="24">
        <v>98250000</v>
      </c>
      <c r="G490" s="29" t="str">
        <f>'Hitung Per Bulan'!J490</f>
        <v/>
      </c>
    </row>
    <row r="491" spans="1:7" x14ac:dyDescent="0.45">
      <c r="A491" t="s">
        <v>18</v>
      </c>
      <c r="B491" t="s">
        <v>31</v>
      </c>
      <c r="C491" t="s">
        <v>25</v>
      </c>
      <c r="D491" s="24">
        <v>58250000</v>
      </c>
      <c r="E491" s="29" t="str">
        <f>'Hitung Per Bulan'!I491</f>
        <v/>
      </c>
      <c r="F491" s="24">
        <v>58250000</v>
      </c>
      <c r="G491" s="29" t="str">
        <f>'Hitung Per Bulan'!J491</f>
        <v/>
      </c>
    </row>
    <row r="492" spans="1:7" x14ac:dyDescent="0.45">
      <c r="A492" t="s">
        <v>19</v>
      </c>
      <c r="B492" t="s">
        <v>31</v>
      </c>
      <c r="C492" t="s">
        <v>25</v>
      </c>
      <c r="D492" s="24">
        <v>58250000</v>
      </c>
      <c r="E492" s="29" t="str">
        <f>'Hitung Per Bulan'!I492</f>
        <v/>
      </c>
      <c r="F492" s="24">
        <v>58250000</v>
      </c>
      <c r="G492" s="29" t="str">
        <f>'Hitung Per Bulan'!J492</f>
        <v/>
      </c>
    </row>
    <row r="493" spans="1:7" x14ac:dyDescent="0.45">
      <c r="A493" t="s">
        <v>20</v>
      </c>
      <c r="B493" t="s">
        <v>31</v>
      </c>
      <c r="C493" t="s">
        <v>25</v>
      </c>
      <c r="D493" s="24">
        <v>58250000</v>
      </c>
      <c r="E493" s="29" t="str">
        <f>'Hitung Per Bulan'!I493</f>
        <v/>
      </c>
      <c r="F493" s="24">
        <v>107750000</v>
      </c>
      <c r="G493" s="29" t="str">
        <f>'Hitung Per Bulan'!J493</f>
        <v/>
      </c>
    </row>
    <row r="494" spans="1:7" x14ac:dyDescent="0.45">
      <c r="A494" t="s">
        <v>7</v>
      </c>
      <c r="B494" t="s">
        <v>31</v>
      </c>
      <c r="C494" t="s">
        <v>26</v>
      </c>
      <c r="D494" s="24">
        <f>214166666+0.666666666666667</f>
        <v>214166666.66666666</v>
      </c>
      <c r="E494" s="29">
        <f>'Hitung Per Bulan'!I494</f>
        <v>201478069</v>
      </c>
      <c r="F494" s="24">
        <f>214166660+6.66666666666667</f>
        <v>214166666.66666666</v>
      </c>
      <c r="G494" s="29">
        <f>'Hitung Per Bulan'!J494</f>
        <v>201478069</v>
      </c>
    </row>
    <row r="495" spans="1:7" x14ac:dyDescent="0.45">
      <c r="A495" t="s">
        <v>10</v>
      </c>
      <c r="B495" t="s">
        <v>31</v>
      </c>
      <c r="C495" t="s">
        <v>26</v>
      </c>
      <c r="D495" s="24">
        <f t="shared" ref="D495:D505" si="0">214166666+0.666666666666667</f>
        <v>214166666.66666666</v>
      </c>
      <c r="E495" s="29">
        <f>'Hitung Per Bulan'!I495</f>
        <v>193379527</v>
      </c>
      <c r="F495" s="24">
        <f t="shared" ref="F495:F505" si="1">214166660+6.66666666666667</f>
        <v>214166666.66666666</v>
      </c>
      <c r="G495" s="29">
        <f>'Hitung Per Bulan'!J495</f>
        <v>193379527</v>
      </c>
    </row>
    <row r="496" spans="1:7" x14ac:dyDescent="0.45">
      <c r="A496" t="s">
        <v>11</v>
      </c>
      <c r="B496" t="s">
        <v>31</v>
      </c>
      <c r="C496" t="s">
        <v>26</v>
      </c>
      <c r="D496" s="24">
        <f t="shared" si="0"/>
        <v>214166666.66666666</v>
      </c>
      <c r="E496" s="29">
        <f>'Hitung Per Bulan'!I496</f>
        <v>174819946</v>
      </c>
      <c r="F496" s="24">
        <f t="shared" si="1"/>
        <v>214166666.66666666</v>
      </c>
      <c r="G496" s="29">
        <f>'Hitung Per Bulan'!J496</f>
        <v>174819946</v>
      </c>
    </row>
    <row r="497" spans="1:7" x14ac:dyDescent="0.45">
      <c r="A497" t="s">
        <v>12</v>
      </c>
      <c r="B497" t="s">
        <v>31</v>
      </c>
      <c r="C497" t="s">
        <v>26</v>
      </c>
      <c r="D497" s="24">
        <f t="shared" si="0"/>
        <v>214166666.66666666</v>
      </c>
      <c r="E497" s="29" t="str">
        <f>'Hitung Per Bulan'!I497</f>
        <v/>
      </c>
      <c r="F497" s="24">
        <f t="shared" si="1"/>
        <v>214166666.66666666</v>
      </c>
      <c r="G497" s="29" t="str">
        <f>'Hitung Per Bulan'!J497</f>
        <v/>
      </c>
    </row>
    <row r="498" spans="1:7" x14ac:dyDescent="0.45">
      <c r="A498" t="s">
        <v>13</v>
      </c>
      <c r="B498" t="s">
        <v>31</v>
      </c>
      <c r="C498" t="s">
        <v>26</v>
      </c>
      <c r="D498" s="24">
        <f t="shared" si="0"/>
        <v>214166666.66666666</v>
      </c>
      <c r="E498" s="29" t="str">
        <f>'Hitung Per Bulan'!I498</f>
        <v/>
      </c>
      <c r="F498" s="24">
        <f t="shared" si="1"/>
        <v>214166666.66666666</v>
      </c>
      <c r="G498" s="29" t="str">
        <f>'Hitung Per Bulan'!J498</f>
        <v/>
      </c>
    </row>
    <row r="499" spans="1:7" x14ac:dyDescent="0.45">
      <c r="A499" t="s">
        <v>14</v>
      </c>
      <c r="B499" t="s">
        <v>31</v>
      </c>
      <c r="C499" t="s">
        <v>26</v>
      </c>
      <c r="D499" s="24">
        <f t="shared" si="0"/>
        <v>214166666.66666666</v>
      </c>
      <c r="E499" s="29" t="str">
        <f>'Hitung Per Bulan'!I499</f>
        <v/>
      </c>
      <c r="F499" s="24">
        <f t="shared" si="1"/>
        <v>214166666.66666666</v>
      </c>
      <c r="G499" s="29" t="str">
        <f>'Hitung Per Bulan'!J499</f>
        <v/>
      </c>
    </row>
    <row r="500" spans="1:7" x14ac:dyDescent="0.45">
      <c r="A500" t="s">
        <v>15</v>
      </c>
      <c r="B500" t="s">
        <v>31</v>
      </c>
      <c r="C500" t="s">
        <v>26</v>
      </c>
      <c r="D500" s="24">
        <f t="shared" si="0"/>
        <v>214166666.66666666</v>
      </c>
      <c r="E500" s="29" t="str">
        <f>'Hitung Per Bulan'!I500</f>
        <v/>
      </c>
      <c r="F500" s="24">
        <f t="shared" si="1"/>
        <v>214166666.66666666</v>
      </c>
      <c r="G500" s="29" t="str">
        <f>'Hitung Per Bulan'!J500</f>
        <v/>
      </c>
    </row>
    <row r="501" spans="1:7" x14ac:dyDescent="0.45">
      <c r="A501" t="s">
        <v>16</v>
      </c>
      <c r="B501" t="s">
        <v>31</v>
      </c>
      <c r="C501" t="s">
        <v>26</v>
      </c>
      <c r="D501" s="24">
        <f t="shared" si="0"/>
        <v>214166666.66666666</v>
      </c>
      <c r="E501" s="29" t="str">
        <f>'Hitung Per Bulan'!I501</f>
        <v/>
      </c>
      <c r="F501" s="24">
        <f t="shared" si="1"/>
        <v>214166666.66666666</v>
      </c>
      <c r="G501" s="29" t="str">
        <f>'Hitung Per Bulan'!J501</f>
        <v/>
      </c>
    </row>
    <row r="502" spans="1:7" x14ac:dyDescent="0.45">
      <c r="A502" t="s">
        <v>17</v>
      </c>
      <c r="B502" t="s">
        <v>31</v>
      </c>
      <c r="C502" t="s">
        <v>26</v>
      </c>
      <c r="D502" s="24">
        <f t="shared" si="0"/>
        <v>214166666.66666666</v>
      </c>
      <c r="E502" s="29" t="str">
        <f>'Hitung Per Bulan'!I502</f>
        <v/>
      </c>
      <c r="F502" s="24">
        <f t="shared" si="1"/>
        <v>214166666.66666666</v>
      </c>
      <c r="G502" s="29" t="str">
        <f>'Hitung Per Bulan'!J502</f>
        <v/>
      </c>
    </row>
    <row r="503" spans="1:7" x14ac:dyDescent="0.45">
      <c r="A503" t="s">
        <v>18</v>
      </c>
      <c r="B503" t="s">
        <v>31</v>
      </c>
      <c r="C503" t="s">
        <v>26</v>
      </c>
      <c r="D503" s="24">
        <f t="shared" si="0"/>
        <v>214166666.66666666</v>
      </c>
      <c r="E503" s="29" t="str">
        <f>'Hitung Per Bulan'!I503</f>
        <v/>
      </c>
      <c r="F503" s="24">
        <f t="shared" si="1"/>
        <v>214166666.66666666</v>
      </c>
      <c r="G503" s="29" t="str">
        <f>'Hitung Per Bulan'!J503</f>
        <v/>
      </c>
    </row>
    <row r="504" spans="1:7" x14ac:dyDescent="0.45">
      <c r="A504" t="s">
        <v>19</v>
      </c>
      <c r="B504" t="s">
        <v>31</v>
      </c>
      <c r="C504" t="s">
        <v>26</v>
      </c>
      <c r="D504" s="24">
        <f t="shared" si="0"/>
        <v>214166666.66666666</v>
      </c>
      <c r="E504" s="29" t="str">
        <f>'Hitung Per Bulan'!I504</f>
        <v/>
      </c>
      <c r="F504" s="24">
        <f t="shared" si="1"/>
        <v>214166666.66666666</v>
      </c>
      <c r="G504" s="29" t="str">
        <f>'Hitung Per Bulan'!J504</f>
        <v/>
      </c>
    </row>
    <row r="505" spans="1:7" x14ac:dyDescent="0.45">
      <c r="A505" t="s">
        <v>20</v>
      </c>
      <c r="B505" t="s">
        <v>31</v>
      </c>
      <c r="C505" t="s">
        <v>26</v>
      </c>
      <c r="D505" s="24">
        <f t="shared" si="0"/>
        <v>214166666.66666666</v>
      </c>
      <c r="E505" s="29" t="str">
        <f>'Hitung Per Bulan'!I505</f>
        <v/>
      </c>
      <c r="F505" s="24">
        <f t="shared" si="1"/>
        <v>214166666.66666666</v>
      </c>
      <c r="G505" s="29" t="str">
        <f>'Hitung Per Bulan'!J505</f>
        <v/>
      </c>
    </row>
    <row r="506" spans="1:7" x14ac:dyDescent="0.45">
      <c r="A506" t="s">
        <v>7</v>
      </c>
      <c r="B506" t="s">
        <v>32</v>
      </c>
      <c r="C506" t="s">
        <v>9</v>
      </c>
      <c r="D506" s="24">
        <v>90000000</v>
      </c>
      <c r="E506" s="29">
        <f>'Hitung Per Bulan'!I506</f>
        <v>218226790</v>
      </c>
      <c r="F506" s="24">
        <v>0</v>
      </c>
      <c r="G506" s="29">
        <f>'Hitung Per Bulan'!J506</f>
        <v>0</v>
      </c>
    </row>
    <row r="507" spans="1:7" x14ac:dyDescent="0.45">
      <c r="A507" t="s">
        <v>10</v>
      </c>
      <c r="B507" t="s">
        <v>32</v>
      </c>
      <c r="C507" t="s">
        <v>9</v>
      </c>
      <c r="D507" s="24">
        <v>2756633000</v>
      </c>
      <c r="E507" s="29">
        <f>'Hitung Per Bulan'!I507</f>
        <v>2975215110</v>
      </c>
      <c r="F507" s="24">
        <v>90000000</v>
      </c>
      <c r="G507" s="29">
        <f>'Hitung Per Bulan'!J507</f>
        <v>258244550</v>
      </c>
    </row>
    <row r="508" spans="1:7" x14ac:dyDescent="0.45">
      <c r="A508" t="s">
        <v>11</v>
      </c>
      <c r="B508" t="s">
        <v>32</v>
      </c>
      <c r="C508" t="s">
        <v>9</v>
      </c>
      <c r="D508" s="24">
        <v>10272212000</v>
      </c>
      <c r="E508" s="29">
        <f>'Hitung Per Bulan'!I508</f>
        <v>10257377055</v>
      </c>
      <c r="F508" s="24">
        <v>66667000</v>
      </c>
      <c r="G508" s="29">
        <f>'Hitung Per Bulan'!J508</f>
        <v>79211000</v>
      </c>
    </row>
    <row r="509" spans="1:7" x14ac:dyDescent="0.45">
      <c r="A509" t="s">
        <v>12</v>
      </c>
      <c r="B509" t="s">
        <v>32</v>
      </c>
      <c r="C509" t="s">
        <v>9</v>
      </c>
      <c r="D509" s="24">
        <v>1843977000</v>
      </c>
      <c r="E509" s="29" t="str">
        <f>'Hitung Per Bulan'!I509</f>
        <v/>
      </c>
      <c r="F509" s="24">
        <v>687000000</v>
      </c>
      <c r="G509" s="29" t="str">
        <f>'Hitung Per Bulan'!J509</f>
        <v/>
      </c>
    </row>
    <row r="510" spans="1:7" x14ac:dyDescent="0.45">
      <c r="A510" t="s">
        <v>13</v>
      </c>
      <c r="B510" t="s">
        <v>32</v>
      </c>
      <c r="C510" t="s">
        <v>9</v>
      </c>
      <c r="D510" s="24">
        <v>635000000</v>
      </c>
      <c r="E510" s="29" t="str">
        <f>'Hitung Per Bulan'!I510</f>
        <v/>
      </c>
      <c r="F510" s="24">
        <v>1127667000</v>
      </c>
      <c r="G510" s="29" t="str">
        <f>'Hitung Per Bulan'!J510</f>
        <v/>
      </c>
    </row>
    <row r="511" spans="1:7" x14ac:dyDescent="0.45">
      <c r="A511" t="s">
        <v>14</v>
      </c>
      <c r="B511" t="s">
        <v>32</v>
      </c>
      <c r="C511" t="s">
        <v>9</v>
      </c>
      <c r="D511" s="24">
        <v>1030408000</v>
      </c>
      <c r="E511" s="29" t="str">
        <f>'Hitung Per Bulan'!I511</f>
        <v/>
      </c>
      <c r="F511" s="24">
        <v>2050710000</v>
      </c>
      <c r="G511" s="29" t="str">
        <f>'Hitung Per Bulan'!J511</f>
        <v/>
      </c>
    </row>
    <row r="512" spans="1:7" x14ac:dyDescent="0.45">
      <c r="A512" t="s">
        <v>15</v>
      </c>
      <c r="B512" t="s">
        <v>32</v>
      </c>
      <c r="C512" t="s">
        <v>9</v>
      </c>
      <c r="D512" s="24">
        <v>621650000</v>
      </c>
      <c r="E512" s="29" t="str">
        <f>'Hitung Per Bulan'!I512</f>
        <v/>
      </c>
      <c r="F512" s="24">
        <v>3754636000</v>
      </c>
      <c r="G512" s="29" t="str">
        <f>'Hitung Per Bulan'!J512</f>
        <v/>
      </c>
    </row>
    <row r="513" spans="1:7" x14ac:dyDescent="0.45">
      <c r="A513" t="s">
        <v>16</v>
      </c>
      <c r="B513" t="s">
        <v>32</v>
      </c>
      <c r="C513" t="s">
        <v>9</v>
      </c>
      <c r="D513" s="24">
        <v>2136262000</v>
      </c>
      <c r="E513" s="29" t="str">
        <f>'Hitung Per Bulan'!I513</f>
        <v/>
      </c>
      <c r="F513" s="24">
        <v>1016136000</v>
      </c>
      <c r="G513" s="29" t="str">
        <f>'Hitung Per Bulan'!J513</f>
        <v/>
      </c>
    </row>
    <row r="514" spans="1:7" x14ac:dyDescent="0.45">
      <c r="A514" t="s">
        <v>17</v>
      </c>
      <c r="B514" t="s">
        <v>32</v>
      </c>
      <c r="C514" t="s">
        <v>9</v>
      </c>
      <c r="D514" s="24">
        <v>275000000</v>
      </c>
      <c r="E514" s="29" t="str">
        <f>'Hitung Per Bulan'!I514</f>
        <v/>
      </c>
      <c r="F514" s="24">
        <v>3410123000</v>
      </c>
      <c r="G514" s="29" t="str">
        <f>'Hitung Per Bulan'!J514</f>
        <v/>
      </c>
    </row>
    <row r="515" spans="1:7" x14ac:dyDescent="0.45">
      <c r="A515" t="s">
        <v>18</v>
      </c>
      <c r="B515" t="s">
        <v>32</v>
      </c>
      <c r="C515" t="s">
        <v>9</v>
      </c>
      <c r="D515" s="24">
        <v>134561000</v>
      </c>
      <c r="E515" s="29" t="str">
        <f>'Hitung Per Bulan'!I515</f>
        <v/>
      </c>
      <c r="F515" s="24">
        <v>1952489000</v>
      </c>
      <c r="G515" s="29" t="str">
        <f>'Hitung Per Bulan'!J515</f>
        <v/>
      </c>
    </row>
    <row r="516" spans="1:7" x14ac:dyDescent="0.45">
      <c r="A516" t="s">
        <v>19</v>
      </c>
      <c r="B516" t="s">
        <v>32</v>
      </c>
      <c r="C516" t="s">
        <v>9</v>
      </c>
      <c r="D516" s="24">
        <v>224998000</v>
      </c>
      <c r="E516" s="29" t="str">
        <f>'Hitung Per Bulan'!I516</f>
        <v/>
      </c>
      <c r="F516" s="24">
        <v>5640275000</v>
      </c>
      <c r="G516" s="29" t="str">
        <f>'Hitung Per Bulan'!J516</f>
        <v/>
      </c>
    </row>
    <row r="517" spans="1:7" x14ac:dyDescent="0.45">
      <c r="A517" t="s">
        <v>20</v>
      </c>
      <c r="B517" t="s">
        <v>32</v>
      </c>
      <c r="C517" t="s">
        <v>9</v>
      </c>
      <c r="D517" s="24">
        <v>66667000</v>
      </c>
      <c r="E517" s="29" t="str">
        <f>'Hitung Per Bulan'!I517</f>
        <v/>
      </c>
      <c r="F517" s="24">
        <v>291665000</v>
      </c>
      <c r="G517" s="29" t="str">
        <f>'Hitung Per Bulan'!J517</f>
        <v/>
      </c>
    </row>
    <row r="518" spans="1:7" x14ac:dyDescent="0.45">
      <c r="A518" t="s">
        <v>7</v>
      </c>
      <c r="B518" t="s">
        <v>32</v>
      </c>
      <c r="C518" t="s">
        <v>21</v>
      </c>
      <c r="D518" s="24">
        <v>0</v>
      </c>
      <c r="E518" s="29">
        <f>'Hitung Per Bulan'!I518</f>
        <v>0</v>
      </c>
      <c r="F518" s="24">
        <v>0</v>
      </c>
      <c r="G518" s="29">
        <f>'Hitung Per Bulan'!J518</f>
        <v>0</v>
      </c>
    </row>
    <row r="519" spans="1:7" x14ac:dyDescent="0.45">
      <c r="A519" t="s">
        <v>10</v>
      </c>
      <c r="B519" t="s">
        <v>32</v>
      </c>
      <c r="C519" t="s">
        <v>21</v>
      </c>
      <c r="D519" s="24">
        <v>0</v>
      </c>
      <c r="E519" s="29">
        <f>'Hitung Per Bulan'!I519</f>
        <v>0</v>
      </c>
      <c r="F519" s="24">
        <v>0</v>
      </c>
      <c r="G519" s="29">
        <f>'Hitung Per Bulan'!J519</f>
        <v>0</v>
      </c>
    </row>
    <row r="520" spans="1:7" x14ac:dyDescent="0.45">
      <c r="A520" t="s">
        <v>11</v>
      </c>
      <c r="B520" t="s">
        <v>32</v>
      </c>
      <c r="C520" t="s">
        <v>21</v>
      </c>
      <c r="D520" s="24">
        <v>0</v>
      </c>
      <c r="E520" s="29">
        <f>'Hitung Per Bulan'!I520</f>
        <v>495830000</v>
      </c>
      <c r="F520" s="24">
        <v>0</v>
      </c>
      <c r="G520" s="29">
        <f>'Hitung Per Bulan'!J520</f>
        <v>0</v>
      </c>
    </row>
    <row r="521" spans="1:7" x14ac:dyDescent="0.45">
      <c r="A521" t="s">
        <v>12</v>
      </c>
      <c r="B521" t="s">
        <v>32</v>
      </c>
      <c r="C521" t="s">
        <v>21</v>
      </c>
      <c r="D521" s="24">
        <v>0</v>
      </c>
      <c r="E521" s="29" t="str">
        <f>'Hitung Per Bulan'!I521</f>
        <v/>
      </c>
      <c r="F521" s="24">
        <v>0</v>
      </c>
      <c r="G521" s="29" t="str">
        <f>'Hitung Per Bulan'!J521</f>
        <v/>
      </c>
    </row>
    <row r="522" spans="1:7" x14ac:dyDescent="0.45">
      <c r="A522" t="s">
        <v>13</v>
      </c>
      <c r="B522" t="s">
        <v>32</v>
      </c>
      <c r="C522" t="s">
        <v>21</v>
      </c>
      <c r="D522" s="24">
        <v>1155000000</v>
      </c>
      <c r="E522" s="29" t="str">
        <f>'Hitung Per Bulan'!I522</f>
        <v/>
      </c>
      <c r="F522" s="24">
        <v>0</v>
      </c>
      <c r="G522" s="29" t="str">
        <f>'Hitung Per Bulan'!J522</f>
        <v/>
      </c>
    </row>
    <row r="523" spans="1:7" x14ac:dyDescent="0.45">
      <c r="A523" t="s">
        <v>14</v>
      </c>
      <c r="B523" t="s">
        <v>32</v>
      </c>
      <c r="C523" t="s">
        <v>21</v>
      </c>
      <c r="D523" s="24">
        <v>30000000</v>
      </c>
      <c r="E523" s="29" t="str">
        <f>'Hitung Per Bulan'!I523</f>
        <v/>
      </c>
      <c r="F523" s="24">
        <v>0</v>
      </c>
      <c r="G523" s="29" t="str">
        <f>'Hitung Per Bulan'!J523</f>
        <v/>
      </c>
    </row>
    <row r="524" spans="1:7" x14ac:dyDescent="0.45">
      <c r="A524" t="s">
        <v>15</v>
      </c>
      <c r="B524" t="s">
        <v>32</v>
      </c>
      <c r="C524" t="s">
        <v>21</v>
      </c>
      <c r="D524" s="24">
        <v>0</v>
      </c>
      <c r="E524" s="29" t="str">
        <f>'Hitung Per Bulan'!I524</f>
        <v/>
      </c>
      <c r="F524" s="24">
        <v>30000000</v>
      </c>
      <c r="G524" s="29" t="str">
        <f>'Hitung Per Bulan'!J524</f>
        <v/>
      </c>
    </row>
    <row r="525" spans="1:7" x14ac:dyDescent="0.45">
      <c r="A525" t="s">
        <v>16</v>
      </c>
      <c r="B525" t="s">
        <v>32</v>
      </c>
      <c r="C525" t="s">
        <v>21</v>
      </c>
      <c r="D525" s="24">
        <v>0</v>
      </c>
      <c r="E525" s="29" t="str">
        <f>'Hitung Per Bulan'!I525</f>
        <v/>
      </c>
      <c r="F525" s="24">
        <v>1155000000</v>
      </c>
      <c r="G525" s="29" t="str">
        <f>'Hitung Per Bulan'!J525</f>
        <v/>
      </c>
    </row>
    <row r="526" spans="1:7" x14ac:dyDescent="0.45">
      <c r="A526" t="s">
        <v>17</v>
      </c>
      <c r="B526" t="s">
        <v>32</v>
      </c>
      <c r="C526" t="s">
        <v>21</v>
      </c>
      <c r="D526" s="24">
        <v>0</v>
      </c>
      <c r="E526" s="29" t="str">
        <f>'Hitung Per Bulan'!I526</f>
        <v/>
      </c>
      <c r="F526" s="24">
        <v>0</v>
      </c>
      <c r="G526" s="29" t="str">
        <f>'Hitung Per Bulan'!J526</f>
        <v/>
      </c>
    </row>
    <row r="527" spans="1:7" x14ac:dyDescent="0.45">
      <c r="A527" t="s">
        <v>18</v>
      </c>
      <c r="B527" t="s">
        <v>32</v>
      </c>
      <c r="C527" t="s">
        <v>21</v>
      </c>
      <c r="D527" s="24">
        <v>0</v>
      </c>
      <c r="E527" s="29" t="str">
        <f>'Hitung Per Bulan'!I527</f>
        <v/>
      </c>
      <c r="F527" s="24">
        <v>0</v>
      </c>
      <c r="G527" s="29" t="str">
        <f>'Hitung Per Bulan'!J527</f>
        <v/>
      </c>
    </row>
    <row r="528" spans="1:7" x14ac:dyDescent="0.45">
      <c r="A528" t="s">
        <v>19</v>
      </c>
      <c r="B528" t="s">
        <v>32</v>
      </c>
      <c r="C528" t="s">
        <v>21</v>
      </c>
      <c r="D528" s="24">
        <v>0</v>
      </c>
      <c r="E528" s="29" t="str">
        <f>'Hitung Per Bulan'!I528</f>
        <v/>
      </c>
      <c r="F528" s="24">
        <v>0</v>
      </c>
      <c r="G528" s="29" t="str">
        <f>'Hitung Per Bulan'!J528</f>
        <v/>
      </c>
    </row>
    <row r="529" spans="1:7" x14ac:dyDescent="0.45">
      <c r="A529" t="s">
        <v>20</v>
      </c>
      <c r="B529" t="s">
        <v>32</v>
      </c>
      <c r="C529" t="s">
        <v>21</v>
      </c>
      <c r="D529" s="24">
        <v>0</v>
      </c>
      <c r="E529" s="29" t="str">
        <f>'Hitung Per Bulan'!I529</f>
        <v/>
      </c>
      <c r="F529" s="24">
        <v>0</v>
      </c>
      <c r="G529" s="29" t="str">
        <f>'Hitung Per Bulan'!J529</f>
        <v/>
      </c>
    </row>
    <row r="530" spans="1:7" x14ac:dyDescent="0.45">
      <c r="A530" t="s">
        <v>7</v>
      </c>
      <c r="B530" t="s">
        <v>32</v>
      </c>
      <c r="C530" t="s">
        <v>22</v>
      </c>
      <c r="D530" s="24">
        <v>0</v>
      </c>
      <c r="E530" s="29">
        <f>'Hitung Per Bulan'!I530</f>
        <v>0</v>
      </c>
      <c r="F530" s="24">
        <v>0</v>
      </c>
      <c r="G530" s="29">
        <f>'Hitung Per Bulan'!J530</f>
        <v>0</v>
      </c>
    </row>
    <row r="531" spans="1:7" x14ac:dyDescent="0.45">
      <c r="A531" t="s">
        <v>10</v>
      </c>
      <c r="B531" t="s">
        <v>32</v>
      </c>
      <c r="C531" t="s">
        <v>22</v>
      </c>
      <c r="D531" s="24">
        <v>50000000</v>
      </c>
      <c r="E531" s="29">
        <f>'Hitung Per Bulan'!I531</f>
        <v>32848750</v>
      </c>
      <c r="F531" s="24">
        <v>0</v>
      </c>
      <c r="G531" s="29">
        <f>'Hitung Per Bulan'!J531</f>
        <v>0</v>
      </c>
    </row>
    <row r="532" spans="1:7" x14ac:dyDescent="0.45">
      <c r="A532" t="s">
        <v>11</v>
      </c>
      <c r="B532" t="s">
        <v>32</v>
      </c>
      <c r="C532" t="s">
        <v>22</v>
      </c>
      <c r="D532" s="24">
        <v>0</v>
      </c>
      <c r="E532" s="29">
        <f>'Hitung Per Bulan'!I532</f>
        <v>0</v>
      </c>
      <c r="F532" s="24">
        <v>50000000</v>
      </c>
      <c r="G532" s="29">
        <f>'Hitung Per Bulan'!J532</f>
        <v>32848750</v>
      </c>
    </row>
    <row r="533" spans="1:7" x14ac:dyDescent="0.45">
      <c r="A533" t="s">
        <v>12</v>
      </c>
      <c r="B533" t="s">
        <v>32</v>
      </c>
      <c r="C533" t="s">
        <v>22</v>
      </c>
      <c r="D533" s="24">
        <v>0</v>
      </c>
      <c r="E533" s="29" t="str">
        <f>'Hitung Per Bulan'!I533</f>
        <v/>
      </c>
      <c r="F533" s="24">
        <v>0</v>
      </c>
      <c r="G533" s="29" t="str">
        <f>'Hitung Per Bulan'!J533</f>
        <v/>
      </c>
    </row>
    <row r="534" spans="1:7" x14ac:dyDescent="0.45">
      <c r="A534" t="s">
        <v>13</v>
      </c>
      <c r="B534" t="s">
        <v>32</v>
      </c>
      <c r="C534" t="s">
        <v>22</v>
      </c>
      <c r="D534" s="24">
        <v>50000000</v>
      </c>
      <c r="E534" s="29" t="str">
        <f>'Hitung Per Bulan'!I534</f>
        <v/>
      </c>
      <c r="F534" s="24">
        <v>0</v>
      </c>
      <c r="G534" s="29" t="str">
        <f>'Hitung Per Bulan'!J534</f>
        <v/>
      </c>
    </row>
    <row r="535" spans="1:7" x14ac:dyDescent="0.45">
      <c r="A535" t="s">
        <v>14</v>
      </c>
      <c r="B535" t="s">
        <v>32</v>
      </c>
      <c r="C535" t="s">
        <v>22</v>
      </c>
      <c r="D535" s="24">
        <v>0</v>
      </c>
      <c r="E535" s="29" t="str">
        <f>'Hitung Per Bulan'!I535</f>
        <v/>
      </c>
      <c r="F535" s="24">
        <v>50000000</v>
      </c>
      <c r="G535" s="29" t="str">
        <f>'Hitung Per Bulan'!J535</f>
        <v/>
      </c>
    </row>
    <row r="536" spans="1:7" x14ac:dyDescent="0.45">
      <c r="A536" t="s">
        <v>15</v>
      </c>
      <c r="B536" t="s">
        <v>32</v>
      </c>
      <c r="C536" t="s">
        <v>22</v>
      </c>
      <c r="D536" s="24">
        <v>0</v>
      </c>
      <c r="E536" s="29" t="str">
        <f>'Hitung Per Bulan'!I536</f>
        <v/>
      </c>
      <c r="F536" s="24">
        <v>0</v>
      </c>
      <c r="G536" s="29" t="str">
        <f>'Hitung Per Bulan'!J536</f>
        <v/>
      </c>
    </row>
    <row r="537" spans="1:7" x14ac:dyDescent="0.45">
      <c r="A537" t="s">
        <v>16</v>
      </c>
      <c r="B537" t="s">
        <v>32</v>
      </c>
      <c r="C537" t="s">
        <v>22</v>
      </c>
      <c r="D537" s="24">
        <v>50000000</v>
      </c>
      <c r="E537" s="29" t="str">
        <f>'Hitung Per Bulan'!I537</f>
        <v/>
      </c>
      <c r="F537" s="24">
        <v>0</v>
      </c>
      <c r="G537" s="29" t="str">
        <f>'Hitung Per Bulan'!J537</f>
        <v/>
      </c>
    </row>
    <row r="538" spans="1:7" x14ac:dyDescent="0.45">
      <c r="A538" t="s">
        <v>17</v>
      </c>
      <c r="B538" t="s">
        <v>32</v>
      </c>
      <c r="C538" t="s">
        <v>22</v>
      </c>
      <c r="D538" s="24">
        <v>0</v>
      </c>
      <c r="E538" s="29" t="str">
        <f>'Hitung Per Bulan'!I538</f>
        <v/>
      </c>
      <c r="F538" s="24">
        <v>50000000</v>
      </c>
      <c r="G538" s="29" t="str">
        <f>'Hitung Per Bulan'!J538</f>
        <v/>
      </c>
    </row>
    <row r="539" spans="1:7" x14ac:dyDescent="0.45">
      <c r="A539" t="s">
        <v>18</v>
      </c>
      <c r="B539" t="s">
        <v>32</v>
      </c>
      <c r="C539" t="s">
        <v>22</v>
      </c>
      <c r="D539" s="24">
        <v>50000000</v>
      </c>
      <c r="E539" s="29" t="str">
        <f>'Hitung Per Bulan'!I539</f>
        <v/>
      </c>
      <c r="F539" s="24">
        <v>0</v>
      </c>
      <c r="G539" s="29" t="str">
        <f>'Hitung Per Bulan'!J539</f>
        <v/>
      </c>
    </row>
    <row r="540" spans="1:7" x14ac:dyDescent="0.45">
      <c r="A540" t="s">
        <v>19</v>
      </c>
      <c r="B540" t="s">
        <v>32</v>
      </c>
      <c r="C540" t="s">
        <v>22</v>
      </c>
      <c r="D540" s="24">
        <v>0</v>
      </c>
      <c r="E540" s="29" t="str">
        <f>'Hitung Per Bulan'!I540</f>
        <v/>
      </c>
      <c r="F540" s="24">
        <v>50000000</v>
      </c>
      <c r="G540" s="29" t="str">
        <f>'Hitung Per Bulan'!J540</f>
        <v/>
      </c>
    </row>
    <row r="541" spans="1:7" x14ac:dyDescent="0.45">
      <c r="A541" t="s">
        <v>20</v>
      </c>
      <c r="B541" t="s">
        <v>32</v>
      </c>
      <c r="C541" t="s">
        <v>22</v>
      </c>
      <c r="D541" s="24">
        <v>50000000</v>
      </c>
      <c r="E541" s="29" t="str">
        <f>'Hitung Per Bulan'!I541</f>
        <v/>
      </c>
      <c r="F541" s="24">
        <v>50000000</v>
      </c>
      <c r="G541" s="29" t="str">
        <f>'Hitung Per Bulan'!J541</f>
        <v/>
      </c>
    </row>
    <row r="542" spans="1:7" x14ac:dyDescent="0.45">
      <c r="A542" t="s">
        <v>7</v>
      </c>
      <c r="B542" t="s">
        <v>32</v>
      </c>
      <c r="C542" t="s">
        <v>23</v>
      </c>
      <c r="D542" s="24">
        <v>0</v>
      </c>
      <c r="E542" s="29">
        <f>'Hitung Per Bulan'!I542</f>
        <v>0</v>
      </c>
      <c r="F542" s="24">
        <v>0</v>
      </c>
      <c r="G542" s="29">
        <f>'Hitung Per Bulan'!J542</f>
        <v>0</v>
      </c>
    </row>
    <row r="543" spans="1:7" x14ac:dyDescent="0.45">
      <c r="A543" t="s">
        <v>10</v>
      </c>
      <c r="B543" t="s">
        <v>32</v>
      </c>
      <c r="C543" t="s">
        <v>23</v>
      </c>
      <c r="D543" s="24">
        <v>0</v>
      </c>
      <c r="E543" s="29">
        <f>'Hitung Per Bulan'!I543</f>
        <v>0</v>
      </c>
      <c r="F543" s="24">
        <v>0</v>
      </c>
      <c r="G543" s="29">
        <f>'Hitung Per Bulan'!J543</f>
        <v>0</v>
      </c>
    </row>
    <row r="544" spans="1:7" x14ac:dyDescent="0.45">
      <c r="A544" t="s">
        <v>11</v>
      </c>
      <c r="B544" t="s">
        <v>32</v>
      </c>
      <c r="C544" t="s">
        <v>23</v>
      </c>
      <c r="D544" s="24">
        <v>200000000</v>
      </c>
      <c r="E544" s="29">
        <f>'Hitung Per Bulan'!I544</f>
        <v>0</v>
      </c>
      <c r="F544" s="24">
        <v>0</v>
      </c>
      <c r="G544" s="29">
        <f>'Hitung Per Bulan'!J544</f>
        <v>0</v>
      </c>
    </row>
    <row r="545" spans="1:7" x14ac:dyDescent="0.45">
      <c r="A545" t="s">
        <v>12</v>
      </c>
      <c r="B545" t="s">
        <v>32</v>
      </c>
      <c r="C545" t="s">
        <v>23</v>
      </c>
      <c r="D545" s="24">
        <v>0</v>
      </c>
      <c r="E545" s="29" t="str">
        <f>'Hitung Per Bulan'!I545</f>
        <v/>
      </c>
      <c r="F545" s="24">
        <v>0</v>
      </c>
      <c r="G545" s="29" t="str">
        <f>'Hitung Per Bulan'!J545</f>
        <v/>
      </c>
    </row>
    <row r="546" spans="1:7" x14ac:dyDescent="0.45">
      <c r="A546" t="s">
        <v>13</v>
      </c>
      <c r="B546" t="s">
        <v>32</v>
      </c>
      <c r="C546" t="s">
        <v>23</v>
      </c>
      <c r="D546" s="24">
        <v>340000000</v>
      </c>
      <c r="E546" s="29" t="str">
        <f>'Hitung Per Bulan'!I546</f>
        <v/>
      </c>
      <c r="F546" s="24">
        <v>200000000</v>
      </c>
      <c r="G546" s="29" t="str">
        <f>'Hitung Per Bulan'!J546</f>
        <v/>
      </c>
    </row>
    <row r="547" spans="1:7" x14ac:dyDescent="0.45">
      <c r="A547" t="s">
        <v>14</v>
      </c>
      <c r="B547" t="s">
        <v>32</v>
      </c>
      <c r="C547" t="s">
        <v>23</v>
      </c>
      <c r="D547" s="24">
        <v>0</v>
      </c>
      <c r="E547" s="29" t="str">
        <f>'Hitung Per Bulan'!I547</f>
        <v/>
      </c>
      <c r="F547" s="24">
        <v>0</v>
      </c>
      <c r="G547" s="29" t="str">
        <f>'Hitung Per Bulan'!J547</f>
        <v/>
      </c>
    </row>
    <row r="548" spans="1:7" x14ac:dyDescent="0.45">
      <c r="A548" t="s">
        <v>15</v>
      </c>
      <c r="B548" t="s">
        <v>32</v>
      </c>
      <c r="C548" t="s">
        <v>23</v>
      </c>
      <c r="D548" s="24">
        <v>0</v>
      </c>
      <c r="E548" s="29" t="str">
        <f>'Hitung Per Bulan'!I548</f>
        <v/>
      </c>
      <c r="F548" s="24">
        <v>340000000</v>
      </c>
      <c r="G548" s="29" t="str">
        <f>'Hitung Per Bulan'!J548</f>
        <v/>
      </c>
    </row>
    <row r="549" spans="1:7" x14ac:dyDescent="0.45">
      <c r="A549" t="s">
        <v>16</v>
      </c>
      <c r="B549" t="s">
        <v>32</v>
      </c>
      <c r="C549" t="s">
        <v>23</v>
      </c>
      <c r="D549" s="24">
        <v>500000000</v>
      </c>
      <c r="E549" s="29" t="str">
        <f>'Hitung Per Bulan'!I549</f>
        <v/>
      </c>
      <c r="F549" s="24">
        <v>0</v>
      </c>
      <c r="G549" s="29" t="str">
        <f>'Hitung Per Bulan'!J549</f>
        <v/>
      </c>
    </row>
    <row r="550" spans="1:7" x14ac:dyDescent="0.45">
      <c r="A550" t="s">
        <v>17</v>
      </c>
      <c r="B550" t="s">
        <v>32</v>
      </c>
      <c r="C550" t="s">
        <v>23</v>
      </c>
      <c r="D550" s="24">
        <v>0</v>
      </c>
      <c r="E550" s="29" t="str">
        <f>'Hitung Per Bulan'!I550</f>
        <v/>
      </c>
      <c r="F550" s="24">
        <v>0</v>
      </c>
      <c r="G550" s="29" t="str">
        <f>'Hitung Per Bulan'!J550</f>
        <v/>
      </c>
    </row>
    <row r="551" spans="1:7" x14ac:dyDescent="0.45">
      <c r="A551" t="s">
        <v>18</v>
      </c>
      <c r="B551" t="s">
        <v>32</v>
      </c>
      <c r="C551" t="s">
        <v>23</v>
      </c>
      <c r="D551" s="24">
        <v>0</v>
      </c>
      <c r="E551" s="29" t="str">
        <f>'Hitung Per Bulan'!I551</f>
        <v/>
      </c>
      <c r="F551" s="24">
        <v>500000000</v>
      </c>
      <c r="G551" s="29" t="str">
        <f>'Hitung Per Bulan'!J551</f>
        <v/>
      </c>
    </row>
    <row r="552" spans="1:7" x14ac:dyDescent="0.45">
      <c r="A552" t="s">
        <v>19</v>
      </c>
      <c r="B552" t="s">
        <v>32</v>
      </c>
      <c r="C552" t="s">
        <v>23</v>
      </c>
      <c r="D552" s="24">
        <v>0</v>
      </c>
      <c r="E552" s="29" t="str">
        <f>'Hitung Per Bulan'!I552</f>
        <v/>
      </c>
      <c r="F552" s="24">
        <v>0</v>
      </c>
      <c r="G552" s="29" t="str">
        <f>'Hitung Per Bulan'!J552</f>
        <v/>
      </c>
    </row>
    <row r="553" spans="1:7" x14ac:dyDescent="0.45">
      <c r="A553" t="s">
        <v>20</v>
      </c>
      <c r="B553" t="s">
        <v>32</v>
      </c>
      <c r="C553" t="s">
        <v>23</v>
      </c>
      <c r="D553" s="24">
        <v>0</v>
      </c>
      <c r="E553" s="29" t="str">
        <f>'Hitung Per Bulan'!I553</f>
        <v/>
      </c>
      <c r="F553" s="24">
        <v>0</v>
      </c>
      <c r="G553" s="29" t="str">
        <f>'Hitung Per Bulan'!J553</f>
        <v/>
      </c>
    </row>
    <row r="554" spans="1:7" x14ac:dyDescent="0.45">
      <c r="A554" t="s">
        <v>7</v>
      </c>
      <c r="B554" t="s">
        <v>32</v>
      </c>
      <c r="C554" t="s">
        <v>24</v>
      </c>
      <c r="D554" s="24">
        <v>0</v>
      </c>
      <c r="E554" s="29">
        <f>'Hitung Per Bulan'!I554</f>
        <v>0</v>
      </c>
      <c r="F554" s="24">
        <v>0</v>
      </c>
      <c r="G554" s="29">
        <f>'Hitung Per Bulan'!J554</f>
        <v>0</v>
      </c>
    </row>
    <row r="555" spans="1:7" x14ac:dyDescent="0.45">
      <c r="A555" t="s">
        <v>10</v>
      </c>
      <c r="B555" t="s">
        <v>32</v>
      </c>
      <c r="C555" t="s">
        <v>24</v>
      </c>
      <c r="D555" s="24">
        <v>0</v>
      </c>
      <c r="E555" s="29">
        <f>'Hitung Per Bulan'!I555</f>
        <v>0</v>
      </c>
      <c r="F555" s="24">
        <v>0</v>
      </c>
      <c r="G555" s="29">
        <f>'Hitung Per Bulan'!J555</f>
        <v>0</v>
      </c>
    </row>
    <row r="556" spans="1:7" x14ac:dyDescent="0.45">
      <c r="A556" t="s">
        <v>11</v>
      </c>
      <c r="B556" t="s">
        <v>32</v>
      </c>
      <c r="C556" t="s">
        <v>24</v>
      </c>
      <c r="D556" s="24">
        <v>0</v>
      </c>
      <c r="E556" s="29">
        <f>'Hitung Per Bulan'!I556</f>
        <v>0</v>
      </c>
      <c r="F556" s="24">
        <v>0</v>
      </c>
      <c r="G556" s="29">
        <f>'Hitung Per Bulan'!J556</f>
        <v>0</v>
      </c>
    </row>
    <row r="557" spans="1:7" x14ac:dyDescent="0.45">
      <c r="A557" t="s">
        <v>12</v>
      </c>
      <c r="B557" t="s">
        <v>32</v>
      </c>
      <c r="C557" t="s">
        <v>24</v>
      </c>
      <c r="D557" s="24">
        <v>0</v>
      </c>
      <c r="E557" s="29" t="str">
        <f>'Hitung Per Bulan'!I557</f>
        <v/>
      </c>
      <c r="F557" s="24">
        <v>0</v>
      </c>
      <c r="G557" s="29" t="str">
        <f>'Hitung Per Bulan'!J557</f>
        <v/>
      </c>
    </row>
    <row r="558" spans="1:7" x14ac:dyDescent="0.45">
      <c r="A558" t="s">
        <v>13</v>
      </c>
      <c r="B558" t="s">
        <v>32</v>
      </c>
      <c r="C558" t="s">
        <v>24</v>
      </c>
      <c r="D558" s="24">
        <v>0</v>
      </c>
      <c r="E558" s="29" t="str">
        <f>'Hitung Per Bulan'!I558</f>
        <v/>
      </c>
      <c r="F558" s="24">
        <v>0</v>
      </c>
      <c r="G558" s="29" t="str">
        <f>'Hitung Per Bulan'!J558</f>
        <v/>
      </c>
    </row>
    <row r="559" spans="1:7" x14ac:dyDescent="0.45">
      <c r="A559" t="s">
        <v>14</v>
      </c>
      <c r="B559" t="s">
        <v>32</v>
      </c>
      <c r="C559" t="s">
        <v>24</v>
      </c>
      <c r="D559" s="24">
        <v>0</v>
      </c>
      <c r="E559" s="29" t="str">
        <f>'Hitung Per Bulan'!I559</f>
        <v/>
      </c>
      <c r="F559" s="24">
        <v>0</v>
      </c>
      <c r="G559" s="29" t="str">
        <f>'Hitung Per Bulan'!J559</f>
        <v/>
      </c>
    </row>
    <row r="560" spans="1:7" x14ac:dyDescent="0.45">
      <c r="A560" t="s">
        <v>15</v>
      </c>
      <c r="B560" t="s">
        <v>32</v>
      </c>
      <c r="C560" t="s">
        <v>24</v>
      </c>
      <c r="D560" s="24">
        <v>0</v>
      </c>
      <c r="E560" s="29" t="str">
        <f>'Hitung Per Bulan'!I560</f>
        <v/>
      </c>
      <c r="F560" s="24">
        <v>0</v>
      </c>
      <c r="G560" s="29" t="str">
        <f>'Hitung Per Bulan'!J560</f>
        <v/>
      </c>
    </row>
    <row r="561" spans="1:7" x14ac:dyDescent="0.45">
      <c r="A561" t="s">
        <v>16</v>
      </c>
      <c r="B561" t="s">
        <v>32</v>
      </c>
      <c r="C561" t="s">
        <v>24</v>
      </c>
      <c r="D561" s="24">
        <v>0</v>
      </c>
      <c r="E561" s="29" t="str">
        <f>'Hitung Per Bulan'!I561</f>
        <v/>
      </c>
      <c r="F561" s="24">
        <v>0</v>
      </c>
      <c r="G561" s="29" t="str">
        <f>'Hitung Per Bulan'!J561</f>
        <v/>
      </c>
    </row>
    <row r="562" spans="1:7" x14ac:dyDescent="0.45">
      <c r="A562" t="s">
        <v>17</v>
      </c>
      <c r="B562" t="s">
        <v>32</v>
      </c>
      <c r="C562" t="s">
        <v>24</v>
      </c>
      <c r="D562" s="24">
        <v>0</v>
      </c>
      <c r="E562" s="29" t="str">
        <f>'Hitung Per Bulan'!I562</f>
        <v/>
      </c>
      <c r="F562" s="24">
        <v>0</v>
      </c>
      <c r="G562" s="29" t="str">
        <f>'Hitung Per Bulan'!J562</f>
        <v/>
      </c>
    </row>
    <row r="563" spans="1:7" x14ac:dyDescent="0.45">
      <c r="A563" t="s">
        <v>18</v>
      </c>
      <c r="B563" t="s">
        <v>32</v>
      </c>
      <c r="C563" t="s">
        <v>24</v>
      </c>
      <c r="D563" s="24">
        <v>0</v>
      </c>
      <c r="E563" s="29" t="str">
        <f>'Hitung Per Bulan'!I563</f>
        <v/>
      </c>
      <c r="F563" s="24">
        <v>0</v>
      </c>
      <c r="G563" s="29" t="str">
        <f>'Hitung Per Bulan'!J563</f>
        <v/>
      </c>
    </row>
    <row r="564" spans="1:7" x14ac:dyDescent="0.45">
      <c r="A564" t="s">
        <v>19</v>
      </c>
      <c r="B564" t="s">
        <v>32</v>
      </c>
      <c r="C564" t="s">
        <v>24</v>
      </c>
      <c r="D564" s="24">
        <v>0</v>
      </c>
      <c r="E564" s="29" t="str">
        <f>'Hitung Per Bulan'!I564</f>
        <v/>
      </c>
      <c r="F564" s="24">
        <v>0</v>
      </c>
      <c r="G564" s="29" t="str">
        <f>'Hitung Per Bulan'!J564</f>
        <v/>
      </c>
    </row>
    <row r="565" spans="1:7" x14ac:dyDescent="0.45">
      <c r="A565" t="s">
        <v>20</v>
      </c>
      <c r="B565" t="s">
        <v>32</v>
      </c>
      <c r="C565" t="s">
        <v>24</v>
      </c>
      <c r="D565" s="24">
        <v>0</v>
      </c>
      <c r="E565" s="29" t="str">
        <f>'Hitung Per Bulan'!I565</f>
        <v/>
      </c>
      <c r="F565" s="24">
        <v>0</v>
      </c>
      <c r="G565" s="29" t="str">
        <f>'Hitung Per Bulan'!J565</f>
        <v/>
      </c>
    </row>
    <row r="566" spans="1:7" x14ac:dyDescent="0.45">
      <c r="A566" t="s">
        <v>7</v>
      </c>
      <c r="B566" t="s">
        <v>32</v>
      </c>
      <c r="C566" t="s">
        <v>25</v>
      </c>
      <c r="D566" s="24">
        <v>62259333.333333336</v>
      </c>
      <c r="E566" s="29">
        <f>'Hitung Per Bulan'!I566</f>
        <v>106646150</v>
      </c>
      <c r="F566" s="24">
        <v>0</v>
      </c>
      <c r="G566" s="29">
        <f>'Hitung Per Bulan'!J566</f>
        <v>19578750</v>
      </c>
    </row>
    <row r="567" spans="1:7" x14ac:dyDescent="0.45">
      <c r="A567" t="s">
        <v>10</v>
      </c>
      <c r="B567" t="s">
        <v>32</v>
      </c>
      <c r="C567" t="s">
        <v>25</v>
      </c>
      <c r="D567" s="24">
        <v>81686766.666666657</v>
      </c>
      <c r="E567" s="29">
        <f>'Hitung Per Bulan'!I567</f>
        <v>124319935</v>
      </c>
      <c r="F567" s="24">
        <v>62259333.333333328</v>
      </c>
      <c r="G567" s="29">
        <f>'Hitung Per Bulan'!J567</f>
        <v>94911900</v>
      </c>
    </row>
    <row r="568" spans="1:7" x14ac:dyDescent="0.45">
      <c r="A568" t="s">
        <v>11</v>
      </c>
      <c r="B568" t="s">
        <v>32</v>
      </c>
      <c r="C568" t="s">
        <v>25</v>
      </c>
      <c r="D568" s="24">
        <v>89759333.333333343</v>
      </c>
      <c r="E568" s="29">
        <f>'Hitung Per Bulan'!I568</f>
        <v>709237482</v>
      </c>
      <c r="F568" s="24">
        <v>81686766.666666597</v>
      </c>
      <c r="G568" s="29">
        <f>'Hitung Per Bulan'!J568</f>
        <v>100379180</v>
      </c>
    </row>
    <row r="569" spans="1:7" x14ac:dyDescent="0.45">
      <c r="A569" t="s">
        <v>12</v>
      </c>
      <c r="B569" t="s">
        <v>32</v>
      </c>
      <c r="C569" t="s">
        <v>25</v>
      </c>
      <c r="D569" s="24">
        <v>64603433.333333336</v>
      </c>
      <c r="E569" s="29" t="str">
        <f>'Hitung Per Bulan'!I569</f>
        <v/>
      </c>
      <c r="F569" s="24">
        <v>89759333.333333328</v>
      </c>
      <c r="G569" s="29" t="str">
        <f>'Hitung Per Bulan'!J569</f>
        <v/>
      </c>
    </row>
    <row r="570" spans="1:7" x14ac:dyDescent="0.45">
      <c r="A570" t="s">
        <v>13</v>
      </c>
      <c r="B570" t="s">
        <v>32</v>
      </c>
      <c r="C570" t="s">
        <v>25</v>
      </c>
      <c r="D570" s="24">
        <v>301686766.66666669</v>
      </c>
      <c r="E570" s="29" t="str">
        <f>'Hitung Per Bulan'!I570</f>
        <v/>
      </c>
      <c r="F570" s="24">
        <v>784603433.33333337</v>
      </c>
      <c r="G570" s="29" t="str">
        <f>'Hitung Per Bulan'!J570</f>
        <v/>
      </c>
    </row>
    <row r="571" spans="1:7" x14ac:dyDescent="0.45">
      <c r="A571" t="s">
        <v>14</v>
      </c>
      <c r="B571" t="s">
        <v>32</v>
      </c>
      <c r="C571" t="s">
        <v>25</v>
      </c>
      <c r="D571" s="24">
        <v>599917433.33333337</v>
      </c>
      <c r="E571" s="29" t="str">
        <f>'Hitung Per Bulan'!I571</f>
        <v/>
      </c>
      <c r="F571" s="24">
        <v>81686766.666666597</v>
      </c>
      <c r="G571" s="29" t="str">
        <f>'Hitung Per Bulan'!J571</f>
        <v/>
      </c>
    </row>
    <row r="572" spans="1:7" x14ac:dyDescent="0.45">
      <c r="A572" t="s">
        <v>15</v>
      </c>
      <c r="B572" t="s">
        <v>32</v>
      </c>
      <c r="C572" t="s">
        <v>25</v>
      </c>
      <c r="D572" s="24">
        <v>64603433.333333336</v>
      </c>
      <c r="E572" s="29" t="str">
        <f>'Hitung Per Bulan'!I572</f>
        <v/>
      </c>
      <c r="F572" s="24">
        <v>99917433.333333299</v>
      </c>
      <c r="G572" s="29" t="str">
        <f>'Hitung Per Bulan'!J572</f>
        <v/>
      </c>
    </row>
    <row r="573" spans="1:7" x14ac:dyDescent="0.45">
      <c r="A573" t="s">
        <v>16</v>
      </c>
      <c r="B573" t="s">
        <v>32</v>
      </c>
      <c r="C573" t="s">
        <v>25</v>
      </c>
      <c r="D573" s="24">
        <v>81686766.666666657</v>
      </c>
      <c r="E573" s="29" t="str">
        <f>'Hitung Per Bulan'!I573</f>
        <v/>
      </c>
      <c r="F573" s="24">
        <v>64603433.333333299</v>
      </c>
      <c r="G573" s="29" t="str">
        <f>'Hitung Per Bulan'!J573</f>
        <v/>
      </c>
    </row>
    <row r="574" spans="1:7" x14ac:dyDescent="0.45">
      <c r="A574" t="s">
        <v>17</v>
      </c>
      <c r="B574" t="s">
        <v>32</v>
      </c>
      <c r="C574" t="s">
        <v>25</v>
      </c>
      <c r="D574" s="24">
        <v>233835433.33333334</v>
      </c>
      <c r="E574" s="29" t="str">
        <f>'Hitung Per Bulan'!I574</f>
        <v/>
      </c>
      <c r="F574" s="24">
        <v>81686766.666666597</v>
      </c>
      <c r="G574" s="29" t="str">
        <f>'Hitung Per Bulan'!J574</f>
        <v/>
      </c>
    </row>
    <row r="575" spans="1:7" x14ac:dyDescent="0.45">
      <c r="A575" t="s">
        <v>18</v>
      </c>
      <c r="B575" t="s">
        <v>32</v>
      </c>
      <c r="C575" t="s">
        <v>25</v>
      </c>
      <c r="D575" s="24">
        <v>64603433.333333336</v>
      </c>
      <c r="E575" s="29" t="str">
        <f>'Hitung Per Bulan'!I575</f>
        <v/>
      </c>
      <c r="F575" s="24">
        <v>233835433.33333328</v>
      </c>
      <c r="G575" s="29" t="str">
        <f>'Hitung Per Bulan'!J575</f>
        <v/>
      </c>
    </row>
    <row r="576" spans="1:7" x14ac:dyDescent="0.45">
      <c r="A576" t="s">
        <v>19</v>
      </c>
      <c r="B576" t="s">
        <v>32</v>
      </c>
      <c r="C576" t="s">
        <v>25</v>
      </c>
      <c r="D576" s="24">
        <v>78353433.333333328</v>
      </c>
      <c r="E576" s="29" t="str">
        <f>'Hitung Per Bulan'!I576</f>
        <v/>
      </c>
      <c r="F576" s="24">
        <v>64603433.333333299</v>
      </c>
      <c r="G576" s="29" t="str">
        <f>'Hitung Per Bulan'!J576</f>
        <v/>
      </c>
    </row>
    <row r="577" spans="1:7" x14ac:dyDescent="0.45">
      <c r="A577" t="s">
        <v>20</v>
      </c>
      <c r="B577" t="s">
        <v>32</v>
      </c>
      <c r="C577" t="s">
        <v>25</v>
      </c>
      <c r="D577" s="24">
        <v>99917433.333333328</v>
      </c>
      <c r="E577" s="29" t="str">
        <f>'Hitung Per Bulan'!I577</f>
        <v/>
      </c>
      <c r="F577" s="24">
        <v>178270866.66666669</v>
      </c>
      <c r="G577" s="29" t="str">
        <f>'Hitung Per Bulan'!J577</f>
        <v/>
      </c>
    </row>
    <row r="578" spans="1:7" x14ac:dyDescent="0.45">
      <c r="A578" t="s">
        <v>7</v>
      </c>
      <c r="B578" t="s">
        <v>32</v>
      </c>
      <c r="C578" t="s">
        <v>26</v>
      </c>
      <c r="D578" s="24">
        <v>255298000</v>
      </c>
      <c r="E578" s="29">
        <f>'Hitung Per Bulan'!I578</f>
        <v>199624421</v>
      </c>
      <c r="F578" s="24">
        <v>255298000</v>
      </c>
      <c r="G578" s="29">
        <f>'Hitung Per Bulan'!J578</f>
        <v>199624421</v>
      </c>
    </row>
    <row r="579" spans="1:7" x14ac:dyDescent="0.45">
      <c r="A579" t="s">
        <v>10</v>
      </c>
      <c r="B579" t="s">
        <v>32</v>
      </c>
      <c r="C579" t="s">
        <v>26</v>
      </c>
      <c r="D579" s="24">
        <v>255298000</v>
      </c>
      <c r="E579" s="29">
        <f>'Hitung Per Bulan'!I579</f>
        <v>197235478</v>
      </c>
      <c r="F579" s="24">
        <v>255298000</v>
      </c>
      <c r="G579" s="29">
        <f>'Hitung Per Bulan'!J579</f>
        <v>197235478</v>
      </c>
    </row>
    <row r="580" spans="1:7" x14ac:dyDescent="0.45">
      <c r="A580" t="s">
        <v>11</v>
      </c>
      <c r="B580" t="s">
        <v>32</v>
      </c>
      <c r="C580" t="s">
        <v>26</v>
      </c>
      <c r="D580" s="24">
        <v>255298000</v>
      </c>
      <c r="E580" s="29">
        <f>'Hitung Per Bulan'!I580</f>
        <v>176527404</v>
      </c>
      <c r="F580" s="24">
        <v>255298000</v>
      </c>
      <c r="G580" s="29">
        <f>'Hitung Per Bulan'!J580</f>
        <v>176527404</v>
      </c>
    </row>
    <row r="581" spans="1:7" x14ac:dyDescent="0.45">
      <c r="A581" t="s">
        <v>12</v>
      </c>
      <c r="B581" t="s">
        <v>32</v>
      </c>
      <c r="C581" t="s">
        <v>26</v>
      </c>
      <c r="D581" s="24">
        <v>255298000</v>
      </c>
      <c r="E581" s="29" t="str">
        <f>'Hitung Per Bulan'!I581</f>
        <v/>
      </c>
      <c r="F581" s="24">
        <v>255298000</v>
      </c>
      <c r="G581" s="29" t="str">
        <f>'Hitung Per Bulan'!J581</f>
        <v/>
      </c>
    </row>
    <row r="582" spans="1:7" x14ac:dyDescent="0.45">
      <c r="A582" t="s">
        <v>13</v>
      </c>
      <c r="B582" t="s">
        <v>32</v>
      </c>
      <c r="C582" t="s">
        <v>26</v>
      </c>
      <c r="D582" s="24">
        <v>255298000</v>
      </c>
      <c r="E582" s="29" t="str">
        <f>'Hitung Per Bulan'!I582</f>
        <v/>
      </c>
      <c r="F582" s="24">
        <v>255298000</v>
      </c>
      <c r="G582" s="29" t="str">
        <f>'Hitung Per Bulan'!J582</f>
        <v/>
      </c>
    </row>
    <row r="583" spans="1:7" x14ac:dyDescent="0.45">
      <c r="A583" t="s">
        <v>14</v>
      </c>
      <c r="B583" t="s">
        <v>32</v>
      </c>
      <c r="C583" t="s">
        <v>26</v>
      </c>
      <c r="D583" s="24">
        <v>255298000</v>
      </c>
      <c r="E583" s="29" t="str">
        <f>'Hitung Per Bulan'!I583</f>
        <v/>
      </c>
      <c r="F583" s="24">
        <v>255298000</v>
      </c>
      <c r="G583" s="29" t="str">
        <f>'Hitung Per Bulan'!J583</f>
        <v/>
      </c>
    </row>
    <row r="584" spans="1:7" x14ac:dyDescent="0.45">
      <c r="A584" t="s">
        <v>15</v>
      </c>
      <c r="B584" t="s">
        <v>32</v>
      </c>
      <c r="C584" t="s">
        <v>26</v>
      </c>
      <c r="D584" s="24">
        <v>255298000</v>
      </c>
      <c r="E584" s="29" t="str">
        <f>'Hitung Per Bulan'!I584</f>
        <v/>
      </c>
      <c r="F584" s="24">
        <v>255298000</v>
      </c>
      <c r="G584" s="29" t="str">
        <f>'Hitung Per Bulan'!J584</f>
        <v/>
      </c>
    </row>
    <row r="585" spans="1:7" x14ac:dyDescent="0.45">
      <c r="A585" t="s">
        <v>16</v>
      </c>
      <c r="B585" t="s">
        <v>32</v>
      </c>
      <c r="C585" t="s">
        <v>26</v>
      </c>
      <c r="D585" s="24">
        <v>255298000</v>
      </c>
      <c r="E585" s="29" t="str">
        <f>'Hitung Per Bulan'!I585</f>
        <v/>
      </c>
      <c r="F585" s="24">
        <v>255298000</v>
      </c>
      <c r="G585" s="29" t="str">
        <f>'Hitung Per Bulan'!J585</f>
        <v/>
      </c>
    </row>
    <row r="586" spans="1:7" x14ac:dyDescent="0.45">
      <c r="A586" t="s">
        <v>17</v>
      </c>
      <c r="B586" t="s">
        <v>32</v>
      </c>
      <c r="C586" t="s">
        <v>26</v>
      </c>
      <c r="D586" s="24">
        <v>255298000</v>
      </c>
      <c r="E586" s="29" t="str">
        <f>'Hitung Per Bulan'!I586</f>
        <v/>
      </c>
      <c r="F586" s="24">
        <v>255298000</v>
      </c>
      <c r="G586" s="29" t="str">
        <f>'Hitung Per Bulan'!J586</f>
        <v/>
      </c>
    </row>
    <row r="587" spans="1:7" x14ac:dyDescent="0.45">
      <c r="A587" t="s">
        <v>18</v>
      </c>
      <c r="B587" t="s">
        <v>32</v>
      </c>
      <c r="C587" t="s">
        <v>26</v>
      </c>
      <c r="D587" s="24">
        <v>255298000</v>
      </c>
      <c r="E587" s="29" t="str">
        <f>'Hitung Per Bulan'!I587</f>
        <v/>
      </c>
      <c r="F587" s="24">
        <v>255298000</v>
      </c>
      <c r="G587" s="29" t="str">
        <f>'Hitung Per Bulan'!J587</f>
        <v/>
      </c>
    </row>
    <row r="588" spans="1:7" x14ac:dyDescent="0.45">
      <c r="A588" t="s">
        <v>19</v>
      </c>
      <c r="B588" t="s">
        <v>32</v>
      </c>
      <c r="C588" t="s">
        <v>26</v>
      </c>
      <c r="D588" s="24">
        <v>255298000</v>
      </c>
      <c r="E588" s="29" t="str">
        <f>'Hitung Per Bulan'!I588</f>
        <v/>
      </c>
      <c r="F588" s="24">
        <v>255298000</v>
      </c>
      <c r="G588" s="29" t="str">
        <f>'Hitung Per Bulan'!J588</f>
        <v/>
      </c>
    </row>
    <row r="589" spans="1:7" x14ac:dyDescent="0.45">
      <c r="A589" t="s">
        <v>20</v>
      </c>
      <c r="B589" t="s">
        <v>32</v>
      </c>
      <c r="C589" t="s">
        <v>26</v>
      </c>
      <c r="D589" s="24">
        <v>255298000</v>
      </c>
      <c r="E589" s="29" t="str">
        <f>'Hitung Per Bulan'!I589</f>
        <v/>
      </c>
      <c r="F589" s="24">
        <v>255298000</v>
      </c>
      <c r="G589" s="29" t="str">
        <f>'Hitung Per Bulan'!J589</f>
        <v/>
      </c>
    </row>
    <row r="590" spans="1:7" x14ac:dyDescent="0.45">
      <c r="A590" t="s">
        <v>7</v>
      </c>
      <c r="B590" t="s">
        <v>33</v>
      </c>
      <c r="C590" t="s">
        <v>9</v>
      </c>
      <c r="D590" s="24">
        <v>0</v>
      </c>
      <c r="E590" s="29">
        <f>'Hitung Per Bulan'!I590</f>
        <v>31467000</v>
      </c>
      <c r="F590" s="24">
        <v>0</v>
      </c>
      <c r="G590" s="29">
        <f>'Hitung Per Bulan'!J590</f>
        <v>0</v>
      </c>
    </row>
    <row r="591" spans="1:7" x14ac:dyDescent="0.45">
      <c r="A591" t="s">
        <v>10</v>
      </c>
      <c r="B591" t="s">
        <v>33</v>
      </c>
      <c r="C591" t="s">
        <v>9</v>
      </c>
      <c r="D591" s="24">
        <v>0</v>
      </c>
      <c r="E591" s="29">
        <f>'Hitung Per Bulan'!I591</f>
        <v>4701283132</v>
      </c>
      <c r="F591" s="24">
        <v>0</v>
      </c>
      <c r="G591" s="29">
        <f>'Hitung Per Bulan'!J591</f>
        <v>24650000</v>
      </c>
    </row>
    <row r="592" spans="1:7" x14ac:dyDescent="0.45">
      <c r="A592" t="s">
        <v>11</v>
      </c>
      <c r="B592" t="s">
        <v>33</v>
      </c>
      <c r="C592" t="s">
        <v>9</v>
      </c>
      <c r="D592" s="24">
        <v>1399586000</v>
      </c>
      <c r="E592" s="29">
        <f>'Hitung Per Bulan'!I592</f>
        <v>7733284580</v>
      </c>
      <c r="F592" s="24">
        <v>1199586000</v>
      </c>
      <c r="G592" s="29">
        <f>'Hitung Per Bulan'!J592</f>
        <v>429892040</v>
      </c>
    </row>
    <row r="593" spans="1:7" x14ac:dyDescent="0.45">
      <c r="A593" t="s">
        <v>12</v>
      </c>
      <c r="B593" t="s">
        <v>33</v>
      </c>
      <c r="C593" t="s">
        <v>9</v>
      </c>
      <c r="D593" s="24">
        <v>5262021000</v>
      </c>
      <c r="E593" s="29" t="str">
        <f>'Hitung Per Bulan'!I593</f>
        <v/>
      </c>
      <c r="F593" s="24">
        <v>2256407000</v>
      </c>
      <c r="G593" s="29" t="str">
        <f>'Hitung Per Bulan'!J593</f>
        <v/>
      </c>
    </row>
    <row r="594" spans="1:7" x14ac:dyDescent="0.45">
      <c r="A594" t="s">
        <v>13</v>
      </c>
      <c r="B594" t="s">
        <v>33</v>
      </c>
      <c r="C594" t="s">
        <v>9</v>
      </c>
      <c r="D594" s="24">
        <v>6315352000</v>
      </c>
      <c r="E594" s="29" t="str">
        <f>'Hitung Per Bulan'!I594</f>
        <v/>
      </c>
      <c r="F594" s="24">
        <v>2554922000</v>
      </c>
      <c r="G594" s="29" t="str">
        <f>'Hitung Per Bulan'!J594</f>
        <v/>
      </c>
    </row>
    <row r="595" spans="1:7" x14ac:dyDescent="0.45">
      <c r="A595" t="s">
        <v>14</v>
      </c>
      <c r="B595" t="s">
        <v>33</v>
      </c>
      <c r="C595" t="s">
        <v>9</v>
      </c>
      <c r="D595" s="24">
        <v>3401417000</v>
      </c>
      <c r="E595" s="29" t="str">
        <f>'Hitung Per Bulan'!I595</f>
        <v/>
      </c>
      <c r="F595" s="24">
        <v>3401417000</v>
      </c>
      <c r="G595" s="29" t="str">
        <f>'Hitung Per Bulan'!J595</f>
        <v/>
      </c>
    </row>
    <row r="596" spans="1:7" x14ac:dyDescent="0.45">
      <c r="A596" t="s">
        <v>15</v>
      </c>
      <c r="B596" t="s">
        <v>33</v>
      </c>
      <c r="C596" t="s">
        <v>9</v>
      </c>
      <c r="D596" s="24">
        <v>3315327000</v>
      </c>
      <c r="E596" s="29" t="str">
        <f>'Hitung Per Bulan'!I596</f>
        <v/>
      </c>
      <c r="F596" s="24">
        <v>4549327000</v>
      </c>
      <c r="G596" s="29" t="str">
        <f>'Hitung Per Bulan'!J596</f>
        <v/>
      </c>
    </row>
    <row r="597" spans="1:7" x14ac:dyDescent="0.45">
      <c r="A597" t="s">
        <v>16</v>
      </c>
      <c r="B597" t="s">
        <v>33</v>
      </c>
      <c r="C597" t="s">
        <v>9</v>
      </c>
      <c r="D597" s="24">
        <v>3890302000</v>
      </c>
      <c r="E597" s="29" t="str">
        <f>'Hitung Per Bulan'!I597</f>
        <v/>
      </c>
      <c r="F597" s="24">
        <v>5420302000</v>
      </c>
      <c r="G597" s="29" t="str">
        <f>'Hitung Per Bulan'!J597</f>
        <v/>
      </c>
    </row>
    <row r="598" spans="1:7" x14ac:dyDescent="0.45">
      <c r="A598" t="s">
        <v>17</v>
      </c>
      <c r="B598" t="s">
        <v>33</v>
      </c>
      <c r="C598" t="s">
        <v>9</v>
      </c>
      <c r="D598" s="24">
        <v>3131133000</v>
      </c>
      <c r="E598" s="29" t="str">
        <f>'Hitung Per Bulan'!I598</f>
        <v/>
      </c>
      <c r="F598" s="24">
        <v>4606747000</v>
      </c>
      <c r="G598" s="29" t="str">
        <f>'Hitung Per Bulan'!J598</f>
        <v/>
      </c>
    </row>
    <row r="599" spans="1:7" x14ac:dyDescent="0.45">
      <c r="A599" t="s">
        <v>18</v>
      </c>
      <c r="B599" t="s">
        <v>33</v>
      </c>
      <c r="C599" t="s">
        <v>9</v>
      </c>
      <c r="D599" s="24">
        <v>1448551000</v>
      </c>
      <c r="E599" s="29" t="str">
        <f>'Hitung Per Bulan'!I599</f>
        <v/>
      </c>
      <c r="F599" s="24">
        <v>3974981000</v>
      </c>
      <c r="G599" s="29" t="str">
        <f>'Hitung Per Bulan'!J599</f>
        <v/>
      </c>
    </row>
    <row r="600" spans="1:7" x14ac:dyDescent="0.45">
      <c r="A600" t="s">
        <v>19</v>
      </c>
      <c r="B600" t="s">
        <v>33</v>
      </c>
      <c r="C600" t="s">
        <v>9</v>
      </c>
      <c r="D600" s="24">
        <v>375000000</v>
      </c>
      <c r="E600" s="29" t="str">
        <f>'Hitung Per Bulan'!I600</f>
        <v/>
      </c>
      <c r="F600" s="24">
        <v>375000000</v>
      </c>
      <c r="G600" s="29" t="str">
        <f>'Hitung Per Bulan'!J600</f>
        <v/>
      </c>
    </row>
    <row r="601" spans="1:7" x14ac:dyDescent="0.45">
      <c r="A601" t="s">
        <v>20</v>
      </c>
      <c r="B601" t="s">
        <v>33</v>
      </c>
      <c r="C601" t="s">
        <v>9</v>
      </c>
      <c r="D601" s="24">
        <v>0</v>
      </c>
      <c r="E601" s="29" t="str">
        <f>'Hitung Per Bulan'!I601</f>
        <v/>
      </c>
      <c r="F601" s="24">
        <v>200000000</v>
      </c>
      <c r="G601" s="29" t="str">
        <f>'Hitung Per Bulan'!J601</f>
        <v/>
      </c>
    </row>
    <row r="602" spans="1:7" x14ac:dyDescent="0.45">
      <c r="A602" t="s">
        <v>7</v>
      </c>
      <c r="B602" t="s">
        <v>33</v>
      </c>
      <c r="C602" t="s">
        <v>21</v>
      </c>
      <c r="D602" s="24">
        <v>0</v>
      </c>
      <c r="E602" s="29">
        <f>'Hitung Per Bulan'!I602</f>
        <v>36500000</v>
      </c>
      <c r="F602" s="24">
        <v>0</v>
      </c>
      <c r="G602" s="29">
        <f>'Hitung Per Bulan'!J602</f>
        <v>0</v>
      </c>
    </row>
    <row r="603" spans="1:7" x14ac:dyDescent="0.45">
      <c r="A603" t="s">
        <v>10</v>
      </c>
      <c r="B603" t="s">
        <v>33</v>
      </c>
      <c r="C603" t="s">
        <v>21</v>
      </c>
      <c r="D603" s="24">
        <v>0</v>
      </c>
      <c r="E603" s="29">
        <f>'Hitung Per Bulan'!I603</f>
        <v>0</v>
      </c>
      <c r="F603" s="24">
        <v>0</v>
      </c>
      <c r="G603" s="29">
        <f>'Hitung Per Bulan'!J603</f>
        <v>36500000</v>
      </c>
    </row>
    <row r="604" spans="1:7" x14ac:dyDescent="0.45">
      <c r="A604" t="s">
        <v>11</v>
      </c>
      <c r="B604" t="s">
        <v>33</v>
      </c>
      <c r="C604" t="s">
        <v>21</v>
      </c>
      <c r="D604" s="24">
        <v>0</v>
      </c>
      <c r="E604" s="29">
        <f>'Hitung Per Bulan'!I604</f>
        <v>8959000</v>
      </c>
      <c r="F604" s="24">
        <v>0</v>
      </c>
      <c r="G604" s="29">
        <f>'Hitung Per Bulan'!J604</f>
        <v>0</v>
      </c>
    </row>
    <row r="605" spans="1:7" x14ac:dyDescent="0.45">
      <c r="A605" t="s">
        <v>12</v>
      </c>
      <c r="B605" t="s">
        <v>33</v>
      </c>
      <c r="C605" t="s">
        <v>21</v>
      </c>
      <c r="D605" s="24">
        <v>300000000</v>
      </c>
      <c r="E605" s="29" t="str">
        <f>'Hitung Per Bulan'!I605</f>
        <v/>
      </c>
      <c r="F605" s="24">
        <v>300000000</v>
      </c>
      <c r="G605" s="29" t="str">
        <f>'Hitung Per Bulan'!J605</f>
        <v/>
      </c>
    </row>
    <row r="606" spans="1:7" x14ac:dyDescent="0.45">
      <c r="A606" t="s">
        <v>13</v>
      </c>
      <c r="B606" t="s">
        <v>33</v>
      </c>
      <c r="C606" t="s">
        <v>21</v>
      </c>
      <c r="D606" s="24">
        <v>772000000</v>
      </c>
      <c r="E606" s="29" t="str">
        <f>'Hitung Per Bulan'!I606</f>
        <v/>
      </c>
      <c r="F606" s="24">
        <v>772000000</v>
      </c>
      <c r="G606" s="29" t="str">
        <f>'Hitung Per Bulan'!J606</f>
        <v/>
      </c>
    </row>
    <row r="607" spans="1:7" x14ac:dyDescent="0.45">
      <c r="A607" t="s">
        <v>14</v>
      </c>
      <c r="B607" t="s">
        <v>33</v>
      </c>
      <c r="C607" t="s">
        <v>21</v>
      </c>
      <c r="D607" s="24">
        <v>360000000</v>
      </c>
      <c r="E607" s="29" t="str">
        <f>'Hitung Per Bulan'!I607</f>
        <v/>
      </c>
      <c r="F607" s="24">
        <v>360000000</v>
      </c>
      <c r="G607" s="29" t="str">
        <f>'Hitung Per Bulan'!J607</f>
        <v/>
      </c>
    </row>
    <row r="608" spans="1:7" x14ac:dyDescent="0.45">
      <c r="A608" t="s">
        <v>15</v>
      </c>
      <c r="B608" t="s">
        <v>33</v>
      </c>
      <c r="C608" t="s">
        <v>21</v>
      </c>
      <c r="D608" s="24">
        <v>360000000</v>
      </c>
      <c r="E608" s="29" t="str">
        <f>'Hitung Per Bulan'!I608</f>
        <v/>
      </c>
      <c r="F608" s="24">
        <v>360000000</v>
      </c>
      <c r="G608" s="29" t="str">
        <f>'Hitung Per Bulan'!J608</f>
        <v/>
      </c>
    </row>
    <row r="609" spans="1:7" x14ac:dyDescent="0.45">
      <c r="A609" t="s">
        <v>16</v>
      </c>
      <c r="B609" t="s">
        <v>33</v>
      </c>
      <c r="C609" t="s">
        <v>21</v>
      </c>
      <c r="D609" s="24">
        <v>450000000</v>
      </c>
      <c r="E609" s="29" t="str">
        <f>'Hitung Per Bulan'!I609</f>
        <v/>
      </c>
      <c r="F609" s="24">
        <v>450000000</v>
      </c>
      <c r="G609" s="29" t="str">
        <f>'Hitung Per Bulan'!J609</f>
        <v/>
      </c>
    </row>
    <row r="610" spans="1:7" x14ac:dyDescent="0.45">
      <c r="A610" t="s">
        <v>17</v>
      </c>
      <c r="B610" t="s">
        <v>33</v>
      </c>
      <c r="C610" t="s">
        <v>21</v>
      </c>
      <c r="D610" s="24">
        <v>0</v>
      </c>
      <c r="E610" s="29" t="str">
        <f>'Hitung Per Bulan'!I610</f>
        <v/>
      </c>
      <c r="F610" s="24">
        <v>0</v>
      </c>
      <c r="G610" s="29" t="str">
        <f>'Hitung Per Bulan'!J610</f>
        <v/>
      </c>
    </row>
    <row r="611" spans="1:7" x14ac:dyDescent="0.45">
      <c r="A611" t="s">
        <v>18</v>
      </c>
      <c r="B611" t="s">
        <v>33</v>
      </c>
      <c r="C611" t="s">
        <v>21</v>
      </c>
      <c r="D611" s="24">
        <v>0</v>
      </c>
      <c r="E611" s="29" t="str">
        <f>'Hitung Per Bulan'!I611</f>
        <v/>
      </c>
      <c r="F611" s="24">
        <v>0</v>
      </c>
      <c r="G611" s="29" t="str">
        <f>'Hitung Per Bulan'!J611</f>
        <v/>
      </c>
    </row>
    <row r="612" spans="1:7" x14ac:dyDescent="0.45">
      <c r="A612" t="s">
        <v>19</v>
      </c>
      <c r="B612" t="s">
        <v>33</v>
      </c>
      <c r="C612" t="s">
        <v>21</v>
      </c>
      <c r="D612" s="24">
        <v>0</v>
      </c>
      <c r="E612" s="29" t="str">
        <f>'Hitung Per Bulan'!I612</f>
        <v/>
      </c>
      <c r="F612" s="24">
        <v>0</v>
      </c>
      <c r="G612" s="29" t="str">
        <f>'Hitung Per Bulan'!J612</f>
        <v/>
      </c>
    </row>
    <row r="613" spans="1:7" x14ac:dyDescent="0.45">
      <c r="A613" t="s">
        <v>20</v>
      </c>
      <c r="B613" t="s">
        <v>33</v>
      </c>
      <c r="C613" t="s">
        <v>21</v>
      </c>
      <c r="D613" s="24">
        <v>0</v>
      </c>
      <c r="E613" s="29" t="str">
        <f>'Hitung Per Bulan'!I613</f>
        <v/>
      </c>
      <c r="F613" s="24">
        <v>0</v>
      </c>
      <c r="G613" s="29" t="str">
        <f>'Hitung Per Bulan'!J613</f>
        <v/>
      </c>
    </row>
    <row r="614" spans="1:7" x14ac:dyDescent="0.45">
      <c r="A614" t="s">
        <v>7</v>
      </c>
      <c r="B614" t="s">
        <v>33</v>
      </c>
      <c r="C614" t="s">
        <v>22</v>
      </c>
      <c r="D614" s="24">
        <v>0</v>
      </c>
      <c r="E614" s="29">
        <f>'Hitung Per Bulan'!I614</f>
        <v>62100000</v>
      </c>
      <c r="F614" s="24">
        <v>0</v>
      </c>
      <c r="G614" s="29">
        <f>'Hitung Per Bulan'!J614</f>
        <v>0</v>
      </c>
    </row>
    <row r="615" spans="1:7" x14ac:dyDescent="0.45">
      <c r="A615" t="s">
        <v>10</v>
      </c>
      <c r="B615" t="s">
        <v>33</v>
      </c>
      <c r="C615" t="s">
        <v>22</v>
      </c>
      <c r="D615" s="24">
        <v>0</v>
      </c>
      <c r="E615" s="29">
        <f>'Hitung Per Bulan'!I615</f>
        <v>0</v>
      </c>
      <c r="F615" s="24">
        <v>0</v>
      </c>
      <c r="G615" s="29">
        <f>'Hitung Per Bulan'!J615</f>
        <v>62100000</v>
      </c>
    </row>
    <row r="616" spans="1:7" x14ac:dyDescent="0.45">
      <c r="A616" t="s">
        <v>11</v>
      </c>
      <c r="B616" t="s">
        <v>33</v>
      </c>
      <c r="C616" t="s">
        <v>22</v>
      </c>
      <c r="D616" s="24">
        <v>86594000</v>
      </c>
      <c r="E616" s="29">
        <f>'Hitung Per Bulan'!I616</f>
        <v>1160000</v>
      </c>
      <c r="F616" s="24">
        <v>86594000</v>
      </c>
      <c r="G616" s="29">
        <f>'Hitung Per Bulan'!J616</f>
        <v>0</v>
      </c>
    </row>
    <row r="617" spans="1:7" x14ac:dyDescent="0.45">
      <c r="A617" t="s">
        <v>12</v>
      </c>
      <c r="B617" t="s">
        <v>33</v>
      </c>
      <c r="C617" t="s">
        <v>22</v>
      </c>
      <c r="D617" s="24">
        <v>0</v>
      </c>
      <c r="E617" s="29" t="str">
        <f>'Hitung Per Bulan'!I617</f>
        <v/>
      </c>
      <c r="F617" s="24">
        <v>0</v>
      </c>
      <c r="G617" s="29" t="str">
        <f>'Hitung Per Bulan'!J617</f>
        <v/>
      </c>
    </row>
    <row r="618" spans="1:7" x14ac:dyDescent="0.45">
      <c r="A618" t="s">
        <v>13</v>
      </c>
      <c r="B618" t="s">
        <v>33</v>
      </c>
      <c r="C618" t="s">
        <v>22</v>
      </c>
      <c r="D618" s="24">
        <v>86594000</v>
      </c>
      <c r="E618" s="29" t="str">
        <f>'Hitung Per Bulan'!I618</f>
        <v/>
      </c>
      <c r="F618" s="24">
        <v>86594000</v>
      </c>
      <c r="G618" s="29" t="str">
        <f>'Hitung Per Bulan'!J618</f>
        <v/>
      </c>
    </row>
    <row r="619" spans="1:7" x14ac:dyDescent="0.45">
      <c r="A619" t="s">
        <v>14</v>
      </c>
      <c r="B619" t="s">
        <v>33</v>
      </c>
      <c r="C619" t="s">
        <v>22</v>
      </c>
      <c r="D619" s="24">
        <v>0</v>
      </c>
      <c r="E619" s="29" t="str">
        <f>'Hitung Per Bulan'!I619</f>
        <v/>
      </c>
      <c r="F619" s="24">
        <v>0</v>
      </c>
      <c r="G619" s="29" t="str">
        <f>'Hitung Per Bulan'!J619</f>
        <v/>
      </c>
    </row>
    <row r="620" spans="1:7" x14ac:dyDescent="0.45">
      <c r="A620" t="s">
        <v>15</v>
      </c>
      <c r="B620" t="s">
        <v>33</v>
      </c>
      <c r="C620" t="s">
        <v>22</v>
      </c>
      <c r="D620" s="24">
        <v>86594000</v>
      </c>
      <c r="E620" s="29" t="str">
        <f>'Hitung Per Bulan'!I620</f>
        <v/>
      </c>
      <c r="F620" s="24">
        <v>86594000</v>
      </c>
      <c r="G620" s="29" t="str">
        <f>'Hitung Per Bulan'!J620</f>
        <v/>
      </c>
    </row>
    <row r="621" spans="1:7" x14ac:dyDescent="0.45">
      <c r="A621" t="s">
        <v>16</v>
      </c>
      <c r="B621" t="s">
        <v>33</v>
      </c>
      <c r="C621" t="s">
        <v>22</v>
      </c>
      <c r="D621" s="24">
        <v>0</v>
      </c>
      <c r="E621" s="29" t="str">
        <f>'Hitung Per Bulan'!I621</f>
        <v/>
      </c>
      <c r="F621" s="24">
        <v>0</v>
      </c>
      <c r="G621" s="29" t="str">
        <f>'Hitung Per Bulan'!J621</f>
        <v/>
      </c>
    </row>
    <row r="622" spans="1:7" x14ac:dyDescent="0.45">
      <c r="A622" t="s">
        <v>17</v>
      </c>
      <c r="B622" t="s">
        <v>33</v>
      </c>
      <c r="C622" t="s">
        <v>22</v>
      </c>
      <c r="D622" s="24">
        <v>86596000</v>
      </c>
      <c r="E622" s="29" t="str">
        <f>'Hitung Per Bulan'!I622</f>
        <v/>
      </c>
      <c r="F622" s="24">
        <v>86596000</v>
      </c>
      <c r="G622" s="29" t="str">
        <f>'Hitung Per Bulan'!J622</f>
        <v/>
      </c>
    </row>
    <row r="623" spans="1:7" x14ac:dyDescent="0.45">
      <c r="A623" t="s">
        <v>18</v>
      </c>
      <c r="B623" t="s">
        <v>33</v>
      </c>
      <c r="C623" t="s">
        <v>22</v>
      </c>
      <c r="D623" s="24">
        <v>0</v>
      </c>
      <c r="E623" s="29" t="str">
        <f>'Hitung Per Bulan'!I623</f>
        <v/>
      </c>
      <c r="F623" s="24">
        <v>0</v>
      </c>
      <c r="G623" s="29" t="str">
        <f>'Hitung Per Bulan'!J623</f>
        <v/>
      </c>
    </row>
    <row r="624" spans="1:7" x14ac:dyDescent="0.45">
      <c r="A624" t="s">
        <v>19</v>
      </c>
      <c r="B624" t="s">
        <v>33</v>
      </c>
      <c r="C624" t="s">
        <v>22</v>
      </c>
      <c r="D624" s="24">
        <v>0</v>
      </c>
      <c r="E624" s="29" t="str">
        <f>'Hitung Per Bulan'!I624</f>
        <v/>
      </c>
      <c r="F624" s="24">
        <v>0</v>
      </c>
      <c r="G624" s="29" t="str">
        <f>'Hitung Per Bulan'!J624</f>
        <v/>
      </c>
    </row>
    <row r="625" spans="1:7" x14ac:dyDescent="0.45">
      <c r="A625" t="s">
        <v>20</v>
      </c>
      <c r="B625" t="s">
        <v>33</v>
      </c>
      <c r="C625" t="s">
        <v>22</v>
      </c>
      <c r="D625" s="24">
        <v>0</v>
      </c>
      <c r="E625" s="29" t="str">
        <f>'Hitung Per Bulan'!I625</f>
        <v/>
      </c>
      <c r="F625" s="24">
        <v>0</v>
      </c>
      <c r="G625" s="29" t="str">
        <f>'Hitung Per Bulan'!J625</f>
        <v/>
      </c>
    </row>
    <row r="626" spans="1:7" x14ac:dyDescent="0.45">
      <c r="A626" t="s">
        <v>7</v>
      </c>
      <c r="B626" t="s">
        <v>33</v>
      </c>
      <c r="C626" t="s">
        <v>23</v>
      </c>
      <c r="D626" s="24">
        <v>0</v>
      </c>
      <c r="E626" s="29">
        <f>'Hitung Per Bulan'!I626</f>
        <v>0</v>
      </c>
      <c r="F626" s="24">
        <v>0</v>
      </c>
      <c r="G626" s="29">
        <f>'Hitung Per Bulan'!J626</f>
        <v>0</v>
      </c>
    </row>
    <row r="627" spans="1:7" x14ac:dyDescent="0.45">
      <c r="A627" t="s">
        <v>10</v>
      </c>
      <c r="B627" t="s">
        <v>33</v>
      </c>
      <c r="C627" t="s">
        <v>23</v>
      </c>
      <c r="D627" s="24">
        <v>0</v>
      </c>
      <c r="E627" s="29">
        <f>'Hitung Per Bulan'!I627</f>
        <v>0</v>
      </c>
      <c r="F627" s="24">
        <v>0</v>
      </c>
      <c r="G627" s="29">
        <f>'Hitung Per Bulan'!J627</f>
        <v>0</v>
      </c>
    </row>
    <row r="628" spans="1:7" x14ac:dyDescent="0.45">
      <c r="A628" t="s">
        <v>11</v>
      </c>
      <c r="B628" t="s">
        <v>33</v>
      </c>
      <c r="C628" t="s">
        <v>23</v>
      </c>
      <c r="D628" s="24">
        <v>0</v>
      </c>
      <c r="E628" s="29">
        <f>'Hitung Per Bulan'!I628</f>
        <v>0</v>
      </c>
      <c r="F628" s="24">
        <v>0</v>
      </c>
      <c r="G628" s="29">
        <f>'Hitung Per Bulan'!J628</f>
        <v>0</v>
      </c>
    </row>
    <row r="629" spans="1:7" x14ac:dyDescent="0.45">
      <c r="A629" t="s">
        <v>12</v>
      </c>
      <c r="B629" t="s">
        <v>33</v>
      </c>
      <c r="C629" t="s">
        <v>23</v>
      </c>
      <c r="D629" s="24">
        <v>50000000</v>
      </c>
      <c r="E629" s="29" t="str">
        <f>'Hitung Per Bulan'!I629</f>
        <v/>
      </c>
      <c r="F629" s="24">
        <v>50000000</v>
      </c>
      <c r="G629" s="29" t="str">
        <f>'Hitung Per Bulan'!J629</f>
        <v/>
      </c>
    </row>
    <row r="630" spans="1:7" x14ac:dyDescent="0.45">
      <c r="A630" t="s">
        <v>13</v>
      </c>
      <c r="B630" t="s">
        <v>33</v>
      </c>
      <c r="C630" t="s">
        <v>23</v>
      </c>
      <c r="D630" s="24">
        <v>0</v>
      </c>
      <c r="E630" s="29" t="str">
        <f>'Hitung Per Bulan'!I630</f>
        <v/>
      </c>
      <c r="F630" s="24">
        <v>0</v>
      </c>
      <c r="G630" s="29" t="str">
        <f>'Hitung Per Bulan'!J630</f>
        <v/>
      </c>
    </row>
    <row r="631" spans="1:7" x14ac:dyDescent="0.45">
      <c r="A631" t="s">
        <v>14</v>
      </c>
      <c r="B631" t="s">
        <v>33</v>
      </c>
      <c r="C631" t="s">
        <v>23</v>
      </c>
      <c r="D631" s="24">
        <v>50000000</v>
      </c>
      <c r="E631" s="29" t="str">
        <f>'Hitung Per Bulan'!I631</f>
        <v/>
      </c>
      <c r="F631" s="24">
        <v>50000000</v>
      </c>
      <c r="G631" s="29" t="str">
        <f>'Hitung Per Bulan'!J631</f>
        <v/>
      </c>
    </row>
    <row r="632" spans="1:7" x14ac:dyDescent="0.45">
      <c r="A632" t="s">
        <v>15</v>
      </c>
      <c r="B632" t="s">
        <v>33</v>
      </c>
      <c r="C632" t="s">
        <v>23</v>
      </c>
      <c r="D632" s="24">
        <v>0</v>
      </c>
      <c r="E632" s="29" t="str">
        <f>'Hitung Per Bulan'!I632</f>
        <v/>
      </c>
      <c r="F632" s="24">
        <v>0</v>
      </c>
      <c r="G632" s="29" t="str">
        <f>'Hitung Per Bulan'!J632</f>
        <v/>
      </c>
    </row>
    <row r="633" spans="1:7" x14ac:dyDescent="0.45">
      <c r="A633" t="s">
        <v>16</v>
      </c>
      <c r="B633" t="s">
        <v>33</v>
      </c>
      <c r="C633" t="s">
        <v>23</v>
      </c>
      <c r="D633" s="24">
        <v>50000000</v>
      </c>
      <c r="E633" s="29" t="str">
        <f>'Hitung Per Bulan'!I633</f>
        <v/>
      </c>
      <c r="F633" s="24">
        <v>50000000</v>
      </c>
      <c r="G633" s="29" t="str">
        <f>'Hitung Per Bulan'!J633</f>
        <v/>
      </c>
    </row>
    <row r="634" spans="1:7" x14ac:dyDescent="0.45">
      <c r="A634" t="s">
        <v>17</v>
      </c>
      <c r="B634" t="s">
        <v>33</v>
      </c>
      <c r="C634" t="s">
        <v>23</v>
      </c>
      <c r="D634" s="24">
        <v>0</v>
      </c>
      <c r="E634" s="29" t="str">
        <f>'Hitung Per Bulan'!I634</f>
        <v/>
      </c>
      <c r="F634" s="24">
        <v>0</v>
      </c>
      <c r="G634" s="29" t="str">
        <f>'Hitung Per Bulan'!J634</f>
        <v/>
      </c>
    </row>
    <row r="635" spans="1:7" x14ac:dyDescent="0.45">
      <c r="A635" t="s">
        <v>18</v>
      </c>
      <c r="B635" t="s">
        <v>33</v>
      </c>
      <c r="C635" t="s">
        <v>23</v>
      </c>
      <c r="D635" s="24">
        <v>50000000</v>
      </c>
      <c r="E635" s="29" t="str">
        <f>'Hitung Per Bulan'!I635</f>
        <v/>
      </c>
      <c r="F635" s="24">
        <v>50000000</v>
      </c>
      <c r="G635" s="29" t="str">
        <f>'Hitung Per Bulan'!J635</f>
        <v/>
      </c>
    </row>
    <row r="636" spans="1:7" x14ac:dyDescent="0.45">
      <c r="A636" t="s">
        <v>19</v>
      </c>
      <c r="B636" t="s">
        <v>33</v>
      </c>
      <c r="C636" t="s">
        <v>23</v>
      </c>
      <c r="D636" s="24">
        <v>0</v>
      </c>
      <c r="E636" s="29" t="str">
        <f>'Hitung Per Bulan'!I636</f>
        <v/>
      </c>
      <c r="F636" s="24">
        <v>0</v>
      </c>
      <c r="G636" s="29" t="str">
        <f>'Hitung Per Bulan'!J636</f>
        <v/>
      </c>
    </row>
    <row r="637" spans="1:7" x14ac:dyDescent="0.45">
      <c r="A637" t="s">
        <v>20</v>
      </c>
      <c r="B637" t="s">
        <v>33</v>
      </c>
      <c r="C637" t="s">
        <v>23</v>
      </c>
      <c r="D637" s="24">
        <v>0</v>
      </c>
      <c r="E637" s="29" t="str">
        <f>'Hitung Per Bulan'!I637</f>
        <v/>
      </c>
      <c r="F637" s="24">
        <v>0</v>
      </c>
      <c r="G637" s="29" t="str">
        <f>'Hitung Per Bulan'!J637</f>
        <v/>
      </c>
    </row>
    <row r="638" spans="1:7" x14ac:dyDescent="0.45">
      <c r="A638" t="s">
        <v>7</v>
      </c>
      <c r="B638" t="s">
        <v>33</v>
      </c>
      <c r="C638" t="s">
        <v>24</v>
      </c>
      <c r="D638" s="24">
        <v>0</v>
      </c>
      <c r="E638" s="29">
        <f>'Hitung Per Bulan'!I638</f>
        <v>0</v>
      </c>
      <c r="F638" s="24">
        <v>0</v>
      </c>
      <c r="G638" s="29">
        <f>'Hitung Per Bulan'!J638</f>
        <v>0</v>
      </c>
    </row>
    <row r="639" spans="1:7" x14ac:dyDescent="0.45">
      <c r="A639" t="s">
        <v>10</v>
      </c>
      <c r="B639" t="s">
        <v>33</v>
      </c>
      <c r="C639" t="s">
        <v>24</v>
      </c>
      <c r="D639" s="24">
        <v>0</v>
      </c>
      <c r="E639" s="29">
        <f>'Hitung Per Bulan'!I639</f>
        <v>0</v>
      </c>
      <c r="F639" s="24">
        <v>0</v>
      </c>
      <c r="G639" s="29">
        <f>'Hitung Per Bulan'!J639</f>
        <v>0</v>
      </c>
    </row>
    <row r="640" spans="1:7" x14ac:dyDescent="0.45">
      <c r="A640" t="s">
        <v>11</v>
      </c>
      <c r="B640" t="s">
        <v>33</v>
      </c>
      <c r="C640" t="s">
        <v>24</v>
      </c>
      <c r="D640" s="24">
        <v>0</v>
      </c>
      <c r="E640" s="29">
        <f>'Hitung Per Bulan'!I640</f>
        <v>0</v>
      </c>
      <c r="F640" s="24">
        <v>0</v>
      </c>
      <c r="G640" s="29">
        <f>'Hitung Per Bulan'!J640</f>
        <v>0</v>
      </c>
    </row>
    <row r="641" spans="1:7" x14ac:dyDescent="0.45">
      <c r="A641" t="s">
        <v>12</v>
      </c>
      <c r="B641" t="s">
        <v>33</v>
      </c>
      <c r="C641" t="s">
        <v>24</v>
      </c>
      <c r="D641" s="24">
        <v>0</v>
      </c>
      <c r="E641" s="29" t="str">
        <f>'Hitung Per Bulan'!I641</f>
        <v/>
      </c>
      <c r="F641" s="24">
        <v>0</v>
      </c>
      <c r="G641" s="29" t="str">
        <f>'Hitung Per Bulan'!J641</f>
        <v/>
      </c>
    </row>
    <row r="642" spans="1:7" x14ac:dyDescent="0.45">
      <c r="A642" t="s">
        <v>13</v>
      </c>
      <c r="B642" t="s">
        <v>33</v>
      </c>
      <c r="C642" t="s">
        <v>24</v>
      </c>
      <c r="D642" s="24">
        <v>0</v>
      </c>
      <c r="E642" s="29" t="str">
        <f>'Hitung Per Bulan'!I642</f>
        <v/>
      </c>
      <c r="F642" s="24">
        <v>0</v>
      </c>
      <c r="G642" s="29" t="str">
        <f>'Hitung Per Bulan'!J642</f>
        <v/>
      </c>
    </row>
    <row r="643" spans="1:7" x14ac:dyDescent="0.45">
      <c r="A643" t="s">
        <v>14</v>
      </c>
      <c r="B643" t="s">
        <v>33</v>
      </c>
      <c r="C643" t="s">
        <v>24</v>
      </c>
      <c r="D643" s="24">
        <v>0</v>
      </c>
      <c r="E643" s="29" t="str">
        <f>'Hitung Per Bulan'!I643</f>
        <v/>
      </c>
      <c r="F643" s="24">
        <v>0</v>
      </c>
      <c r="G643" s="29" t="str">
        <f>'Hitung Per Bulan'!J643</f>
        <v/>
      </c>
    </row>
    <row r="644" spans="1:7" x14ac:dyDescent="0.45">
      <c r="A644" t="s">
        <v>15</v>
      </c>
      <c r="B644" t="s">
        <v>33</v>
      </c>
      <c r="C644" t="s">
        <v>24</v>
      </c>
      <c r="D644" s="24">
        <v>0</v>
      </c>
      <c r="E644" s="29" t="str">
        <f>'Hitung Per Bulan'!I644</f>
        <v/>
      </c>
      <c r="F644" s="24">
        <v>0</v>
      </c>
      <c r="G644" s="29" t="str">
        <f>'Hitung Per Bulan'!J644</f>
        <v/>
      </c>
    </row>
    <row r="645" spans="1:7" x14ac:dyDescent="0.45">
      <c r="A645" t="s">
        <v>16</v>
      </c>
      <c r="B645" t="s">
        <v>33</v>
      </c>
      <c r="C645" t="s">
        <v>24</v>
      </c>
      <c r="D645" s="24">
        <v>0</v>
      </c>
      <c r="E645" s="29" t="str">
        <f>'Hitung Per Bulan'!I645</f>
        <v/>
      </c>
      <c r="F645" s="24">
        <v>0</v>
      </c>
      <c r="G645" s="29" t="str">
        <f>'Hitung Per Bulan'!J645</f>
        <v/>
      </c>
    </row>
    <row r="646" spans="1:7" x14ac:dyDescent="0.45">
      <c r="A646" t="s">
        <v>17</v>
      </c>
      <c r="B646" t="s">
        <v>33</v>
      </c>
      <c r="C646" t="s">
        <v>24</v>
      </c>
      <c r="D646" s="24">
        <v>0</v>
      </c>
      <c r="E646" s="29" t="str">
        <f>'Hitung Per Bulan'!I646</f>
        <v/>
      </c>
      <c r="F646" s="24">
        <v>0</v>
      </c>
      <c r="G646" s="29" t="str">
        <f>'Hitung Per Bulan'!J646</f>
        <v/>
      </c>
    </row>
    <row r="647" spans="1:7" x14ac:dyDescent="0.45">
      <c r="A647" t="s">
        <v>18</v>
      </c>
      <c r="B647" t="s">
        <v>33</v>
      </c>
      <c r="C647" t="s">
        <v>24</v>
      </c>
      <c r="D647" s="24">
        <v>0</v>
      </c>
      <c r="E647" s="29" t="str">
        <f>'Hitung Per Bulan'!I647</f>
        <v/>
      </c>
      <c r="F647" s="24">
        <v>0</v>
      </c>
      <c r="G647" s="29" t="str">
        <f>'Hitung Per Bulan'!J647</f>
        <v/>
      </c>
    </row>
    <row r="648" spans="1:7" x14ac:dyDescent="0.45">
      <c r="A648" t="s">
        <v>19</v>
      </c>
      <c r="B648" t="s">
        <v>33</v>
      </c>
      <c r="C648" t="s">
        <v>24</v>
      </c>
      <c r="D648" s="24">
        <v>0</v>
      </c>
      <c r="E648" s="29" t="str">
        <f>'Hitung Per Bulan'!I648</f>
        <v/>
      </c>
      <c r="F648" s="24">
        <v>0</v>
      </c>
      <c r="G648" s="29" t="str">
        <f>'Hitung Per Bulan'!J648</f>
        <v/>
      </c>
    </row>
    <row r="649" spans="1:7" x14ac:dyDescent="0.45">
      <c r="A649" t="s">
        <v>20</v>
      </c>
      <c r="B649" t="s">
        <v>33</v>
      </c>
      <c r="C649" t="s">
        <v>24</v>
      </c>
      <c r="D649" s="24">
        <v>0</v>
      </c>
      <c r="E649" s="29" t="str">
        <f>'Hitung Per Bulan'!I649</f>
        <v/>
      </c>
      <c r="F649" s="24">
        <v>0</v>
      </c>
      <c r="G649" s="29" t="str">
        <f>'Hitung Per Bulan'!J649</f>
        <v/>
      </c>
    </row>
    <row r="650" spans="1:7" x14ac:dyDescent="0.45">
      <c r="A650" t="s">
        <v>7</v>
      </c>
      <c r="B650" t="s">
        <v>33</v>
      </c>
      <c r="C650" t="s">
        <v>25</v>
      </c>
      <c r="D650" s="24">
        <v>103716000</v>
      </c>
      <c r="E650" s="29">
        <f>'Hitung Per Bulan'!I650</f>
        <v>120480816</v>
      </c>
      <c r="F650" s="24">
        <v>103716000</v>
      </c>
      <c r="G650" s="29">
        <f>'Hitung Per Bulan'!J650</f>
        <v>16907009</v>
      </c>
    </row>
    <row r="651" spans="1:7" x14ac:dyDescent="0.45">
      <c r="A651" t="s">
        <v>10</v>
      </c>
      <c r="B651" t="s">
        <v>33</v>
      </c>
      <c r="C651" t="s">
        <v>25</v>
      </c>
      <c r="D651" s="24">
        <v>92092000</v>
      </c>
      <c r="E651" s="29">
        <f>'Hitung Per Bulan'!I651</f>
        <v>80820599</v>
      </c>
      <c r="F651" s="24">
        <v>92092000</v>
      </c>
      <c r="G651" s="29">
        <f>'Hitung Per Bulan'!J651</f>
        <v>137491406</v>
      </c>
    </row>
    <row r="652" spans="1:7" x14ac:dyDescent="0.45">
      <c r="A652" t="s">
        <v>11</v>
      </c>
      <c r="B652" t="s">
        <v>33</v>
      </c>
      <c r="C652" t="s">
        <v>25</v>
      </c>
      <c r="D652" s="24">
        <v>92092000</v>
      </c>
      <c r="E652" s="29">
        <f>'Hitung Per Bulan'!I652</f>
        <v>429775497</v>
      </c>
      <c r="F652" s="24">
        <v>92092000</v>
      </c>
      <c r="G652" s="29">
        <f>'Hitung Per Bulan'!J652</f>
        <v>46401277</v>
      </c>
    </row>
    <row r="653" spans="1:7" x14ac:dyDescent="0.45">
      <c r="A653" t="s">
        <v>12</v>
      </c>
      <c r="B653" t="s">
        <v>33</v>
      </c>
      <c r="C653" t="s">
        <v>25</v>
      </c>
      <c r="D653" s="24">
        <v>103716000</v>
      </c>
      <c r="E653" s="29" t="str">
        <f>'Hitung Per Bulan'!I653</f>
        <v/>
      </c>
      <c r="F653" s="24">
        <v>103716000</v>
      </c>
      <c r="G653" s="29" t="str">
        <f>'Hitung Per Bulan'!J653</f>
        <v/>
      </c>
    </row>
    <row r="654" spans="1:7" x14ac:dyDescent="0.45">
      <c r="A654" t="s">
        <v>13</v>
      </c>
      <c r="B654" t="s">
        <v>33</v>
      </c>
      <c r="C654" t="s">
        <v>25</v>
      </c>
      <c r="D654" s="24">
        <v>92092000</v>
      </c>
      <c r="E654" s="29" t="str">
        <f>'Hitung Per Bulan'!I654</f>
        <v/>
      </c>
      <c r="F654" s="24">
        <v>92092000</v>
      </c>
      <c r="G654" s="29" t="str">
        <f>'Hitung Per Bulan'!J654</f>
        <v/>
      </c>
    </row>
    <row r="655" spans="1:7" x14ac:dyDescent="0.45">
      <c r="A655" t="s">
        <v>14</v>
      </c>
      <c r="B655" t="s">
        <v>33</v>
      </c>
      <c r="C655" t="s">
        <v>25</v>
      </c>
      <c r="D655" s="24">
        <v>92092000</v>
      </c>
      <c r="E655" s="29" t="str">
        <f>'Hitung Per Bulan'!I655</f>
        <v/>
      </c>
      <c r="F655" s="24">
        <v>92092000</v>
      </c>
      <c r="G655" s="29" t="str">
        <f>'Hitung Per Bulan'!J655</f>
        <v/>
      </c>
    </row>
    <row r="656" spans="1:7" x14ac:dyDescent="0.45">
      <c r="A656" t="s">
        <v>15</v>
      </c>
      <c r="B656" t="s">
        <v>33</v>
      </c>
      <c r="C656" t="s">
        <v>25</v>
      </c>
      <c r="D656" s="24">
        <v>469238000</v>
      </c>
      <c r="E656" s="29" t="str">
        <f>'Hitung Per Bulan'!I656</f>
        <v/>
      </c>
      <c r="F656" s="24">
        <v>469238000</v>
      </c>
      <c r="G656" s="29" t="str">
        <f>'Hitung Per Bulan'!J656</f>
        <v/>
      </c>
    </row>
    <row r="657" spans="1:7" x14ac:dyDescent="0.45">
      <c r="A657" t="s">
        <v>16</v>
      </c>
      <c r="B657" t="s">
        <v>33</v>
      </c>
      <c r="C657" t="s">
        <v>25</v>
      </c>
      <c r="D657" s="24">
        <v>142092000</v>
      </c>
      <c r="E657" s="29" t="str">
        <f>'Hitung Per Bulan'!I657</f>
        <v/>
      </c>
      <c r="F657" s="24">
        <v>142092000</v>
      </c>
      <c r="G657" s="29" t="str">
        <f>'Hitung Per Bulan'!J657</f>
        <v/>
      </c>
    </row>
    <row r="658" spans="1:7" x14ac:dyDescent="0.45">
      <c r="A658" t="s">
        <v>17</v>
      </c>
      <c r="B658" t="s">
        <v>33</v>
      </c>
      <c r="C658" t="s">
        <v>25</v>
      </c>
      <c r="D658" s="24">
        <v>407092000</v>
      </c>
      <c r="E658" s="29" t="str">
        <f>'Hitung Per Bulan'!I658</f>
        <v/>
      </c>
      <c r="F658" s="24">
        <v>407092000</v>
      </c>
      <c r="G658" s="29" t="str">
        <f>'Hitung Per Bulan'!J658</f>
        <v/>
      </c>
    </row>
    <row r="659" spans="1:7" x14ac:dyDescent="0.45">
      <c r="A659" t="s">
        <v>18</v>
      </c>
      <c r="B659" t="s">
        <v>33</v>
      </c>
      <c r="C659" t="s">
        <v>25</v>
      </c>
      <c r="D659" s="24">
        <v>103717000</v>
      </c>
      <c r="E659" s="29" t="str">
        <f>'Hitung Per Bulan'!I659</f>
        <v/>
      </c>
      <c r="F659" s="24">
        <v>103717000</v>
      </c>
      <c r="G659" s="29" t="str">
        <f>'Hitung Per Bulan'!J659</f>
        <v/>
      </c>
    </row>
    <row r="660" spans="1:7" x14ac:dyDescent="0.45">
      <c r="A660" t="s">
        <v>19</v>
      </c>
      <c r="B660" t="s">
        <v>33</v>
      </c>
      <c r="C660" t="s">
        <v>25</v>
      </c>
      <c r="D660" s="24">
        <v>92092000</v>
      </c>
      <c r="E660" s="29" t="str">
        <f>'Hitung Per Bulan'!I660</f>
        <v/>
      </c>
      <c r="F660" s="24">
        <v>92092000</v>
      </c>
      <c r="G660" s="29" t="str">
        <f>'Hitung Per Bulan'!J660</f>
        <v/>
      </c>
    </row>
    <row r="661" spans="1:7" x14ac:dyDescent="0.45">
      <c r="A661" t="s">
        <v>20</v>
      </c>
      <c r="B661" t="s">
        <v>33</v>
      </c>
      <c r="C661" t="s">
        <v>25</v>
      </c>
      <c r="D661" s="24">
        <v>92097000</v>
      </c>
      <c r="E661" s="29" t="str">
        <f>'Hitung Per Bulan'!I661</f>
        <v/>
      </c>
      <c r="F661" s="24">
        <v>92097000</v>
      </c>
      <c r="G661" s="29" t="str">
        <f>'Hitung Per Bulan'!J661</f>
        <v/>
      </c>
    </row>
    <row r="662" spans="1:7" x14ac:dyDescent="0.45">
      <c r="A662" t="s">
        <v>7</v>
      </c>
      <c r="B662" t="s">
        <v>33</v>
      </c>
      <c r="C662" t="s">
        <v>26</v>
      </c>
      <c r="D662" s="24">
        <v>182113333.33333334</v>
      </c>
      <c r="E662" s="29">
        <f>'Hitung Per Bulan'!I662</f>
        <v>162001884</v>
      </c>
      <c r="F662" s="24">
        <v>182113333.33333334</v>
      </c>
      <c r="G662" s="29">
        <f>'Hitung Per Bulan'!J662</f>
        <v>162001884</v>
      </c>
    </row>
    <row r="663" spans="1:7" x14ac:dyDescent="0.45">
      <c r="A663" t="s">
        <v>10</v>
      </c>
      <c r="B663" t="s">
        <v>33</v>
      </c>
      <c r="C663" t="s">
        <v>26</v>
      </c>
      <c r="D663" s="24">
        <v>182113000</v>
      </c>
      <c r="E663" s="29">
        <f>'Hitung Per Bulan'!I663</f>
        <v>158370071</v>
      </c>
      <c r="F663" s="24">
        <v>182113000</v>
      </c>
      <c r="G663" s="29">
        <f>'Hitung Per Bulan'!J663</f>
        <v>158370071</v>
      </c>
    </row>
    <row r="664" spans="1:7" x14ac:dyDescent="0.45">
      <c r="A664" t="s">
        <v>11</v>
      </c>
      <c r="B664" t="s">
        <v>33</v>
      </c>
      <c r="C664" t="s">
        <v>26</v>
      </c>
      <c r="D664" s="24">
        <v>182113000</v>
      </c>
      <c r="E664" s="29">
        <f>'Hitung Per Bulan'!I664</f>
        <v>145364590</v>
      </c>
      <c r="F664" s="24">
        <v>182113000</v>
      </c>
      <c r="G664" s="29">
        <f>'Hitung Per Bulan'!J664</f>
        <v>145364590</v>
      </c>
    </row>
    <row r="665" spans="1:7" x14ac:dyDescent="0.45">
      <c r="A665" t="s">
        <v>12</v>
      </c>
      <c r="B665" t="s">
        <v>33</v>
      </c>
      <c r="C665" t="s">
        <v>26</v>
      </c>
      <c r="D665" s="24">
        <v>182113000</v>
      </c>
      <c r="E665" s="29" t="str">
        <f>'Hitung Per Bulan'!I665</f>
        <v/>
      </c>
      <c r="F665" s="24">
        <v>182113000</v>
      </c>
      <c r="G665" s="29" t="str">
        <f>'Hitung Per Bulan'!J665</f>
        <v/>
      </c>
    </row>
    <row r="666" spans="1:7" x14ac:dyDescent="0.45">
      <c r="A666" t="s">
        <v>13</v>
      </c>
      <c r="B666" t="s">
        <v>33</v>
      </c>
      <c r="C666" t="s">
        <v>26</v>
      </c>
      <c r="D666" s="24">
        <v>182113000</v>
      </c>
      <c r="E666" s="29" t="str">
        <f>'Hitung Per Bulan'!I666</f>
        <v/>
      </c>
      <c r="F666" s="24">
        <v>182113000</v>
      </c>
      <c r="G666" s="29" t="str">
        <f>'Hitung Per Bulan'!J666</f>
        <v/>
      </c>
    </row>
    <row r="667" spans="1:7" x14ac:dyDescent="0.45">
      <c r="A667" t="s">
        <v>14</v>
      </c>
      <c r="B667" t="s">
        <v>33</v>
      </c>
      <c r="C667" t="s">
        <v>26</v>
      </c>
      <c r="D667" s="24">
        <v>182113000</v>
      </c>
      <c r="E667" s="29" t="str">
        <f>'Hitung Per Bulan'!I667</f>
        <v/>
      </c>
      <c r="F667" s="24">
        <v>182113000</v>
      </c>
      <c r="G667" s="29" t="str">
        <f>'Hitung Per Bulan'!J667</f>
        <v/>
      </c>
    </row>
    <row r="668" spans="1:7" x14ac:dyDescent="0.45">
      <c r="A668" t="s">
        <v>15</v>
      </c>
      <c r="B668" t="s">
        <v>33</v>
      </c>
      <c r="C668" t="s">
        <v>26</v>
      </c>
      <c r="D668" s="24">
        <v>182113000</v>
      </c>
      <c r="E668" s="29" t="str">
        <f>'Hitung Per Bulan'!I668</f>
        <v/>
      </c>
      <c r="F668" s="24">
        <v>182113000</v>
      </c>
      <c r="G668" s="29" t="str">
        <f>'Hitung Per Bulan'!J668</f>
        <v/>
      </c>
    </row>
    <row r="669" spans="1:7" x14ac:dyDescent="0.45">
      <c r="A669" t="s">
        <v>16</v>
      </c>
      <c r="B669" t="s">
        <v>33</v>
      </c>
      <c r="C669" t="s">
        <v>26</v>
      </c>
      <c r="D669" s="24">
        <v>182113000</v>
      </c>
      <c r="E669" s="29" t="str">
        <f>'Hitung Per Bulan'!I669</f>
        <v/>
      </c>
      <c r="F669" s="24">
        <v>182113000</v>
      </c>
      <c r="G669" s="29" t="str">
        <f>'Hitung Per Bulan'!J669</f>
        <v/>
      </c>
    </row>
    <row r="670" spans="1:7" x14ac:dyDescent="0.45">
      <c r="A670" t="s">
        <v>17</v>
      </c>
      <c r="B670" t="s">
        <v>33</v>
      </c>
      <c r="C670" t="s">
        <v>26</v>
      </c>
      <c r="D670" s="24">
        <v>182113000</v>
      </c>
      <c r="E670" s="29" t="str">
        <f>'Hitung Per Bulan'!I670</f>
        <v/>
      </c>
      <c r="F670" s="24">
        <v>182113000</v>
      </c>
      <c r="G670" s="29" t="str">
        <f>'Hitung Per Bulan'!J670</f>
        <v/>
      </c>
    </row>
    <row r="671" spans="1:7" x14ac:dyDescent="0.45">
      <c r="A671" t="s">
        <v>18</v>
      </c>
      <c r="B671" t="s">
        <v>33</v>
      </c>
      <c r="C671" t="s">
        <v>26</v>
      </c>
      <c r="D671" s="24">
        <v>182113000</v>
      </c>
      <c r="E671" s="29" t="str">
        <f>'Hitung Per Bulan'!I671</f>
        <v/>
      </c>
      <c r="F671" s="24">
        <v>182113000</v>
      </c>
      <c r="G671" s="29" t="str">
        <f>'Hitung Per Bulan'!J671</f>
        <v/>
      </c>
    </row>
    <row r="672" spans="1:7" x14ac:dyDescent="0.45">
      <c r="A672" t="s">
        <v>19</v>
      </c>
      <c r="B672" t="s">
        <v>33</v>
      </c>
      <c r="C672" t="s">
        <v>26</v>
      </c>
      <c r="D672" s="24">
        <v>182113000</v>
      </c>
      <c r="E672" s="29" t="str">
        <f>'Hitung Per Bulan'!I672</f>
        <v/>
      </c>
      <c r="F672" s="24">
        <v>182113000</v>
      </c>
      <c r="G672" s="29" t="str">
        <f>'Hitung Per Bulan'!J672</f>
        <v/>
      </c>
    </row>
    <row r="673" spans="1:7" x14ac:dyDescent="0.45">
      <c r="A673" t="s">
        <v>20</v>
      </c>
      <c r="B673" t="s">
        <v>33</v>
      </c>
      <c r="C673" t="s">
        <v>26</v>
      </c>
      <c r="D673" s="24">
        <v>182117000</v>
      </c>
      <c r="E673" s="29" t="str">
        <f>'Hitung Per Bulan'!I673</f>
        <v/>
      </c>
      <c r="F673" s="24">
        <v>182117000</v>
      </c>
      <c r="G673" s="29" t="str">
        <f>'Hitung Per Bulan'!J673</f>
        <v/>
      </c>
    </row>
    <row r="674" spans="1:7" x14ac:dyDescent="0.45">
      <c r="A674" t="s">
        <v>7</v>
      </c>
      <c r="B674" t="s">
        <v>34</v>
      </c>
      <c r="C674" t="s">
        <v>9</v>
      </c>
      <c r="D674" s="24">
        <v>85000000</v>
      </c>
      <c r="E674" s="29">
        <f>'Hitung Per Bulan'!I674</f>
        <v>2021637708</v>
      </c>
      <c r="F674" s="24">
        <v>0</v>
      </c>
      <c r="G674" s="29">
        <f>'Hitung Per Bulan'!J674</f>
        <v>0</v>
      </c>
    </row>
    <row r="675" spans="1:7" x14ac:dyDescent="0.45">
      <c r="A675" t="s">
        <v>10</v>
      </c>
      <c r="B675" t="s">
        <v>34</v>
      </c>
      <c r="C675" t="s">
        <v>9</v>
      </c>
      <c r="D675" s="24">
        <v>272450000</v>
      </c>
      <c r="E675" s="29">
        <f>'Hitung Per Bulan'!I675</f>
        <v>165605895</v>
      </c>
      <c r="F675" s="24">
        <v>85000000</v>
      </c>
      <c r="G675" s="29">
        <f>'Hitung Per Bulan'!J675</f>
        <v>86559328</v>
      </c>
    </row>
    <row r="676" spans="1:7" x14ac:dyDescent="0.45">
      <c r="A676" t="s">
        <v>11</v>
      </c>
      <c r="B676" t="s">
        <v>34</v>
      </c>
      <c r="C676" t="s">
        <v>9</v>
      </c>
      <c r="D676" s="24">
        <v>4416599000</v>
      </c>
      <c r="E676" s="29">
        <f>'Hitung Per Bulan'!I676</f>
        <v>4966493879</v>
      </c>
      <c r="F676" s="24">
        <v>25000000</v>
      </c>
      <c r="G676" s="29">
        <f>'Hitung Per Bulan'!J676</f>
        <v>166820515</v>
      </c>
    </row>
    <row r="677" spans="1:7" x14ac:dyDescent="0.45">
      <c r="A677" t="s">
        <v>12</v>
      </c>
      <c r="B677" t="s">
        <v>34</v>
      </c>
      <c r="C677" t="s">
        <v>9</v>
      </c>
      <c r="D677" s="24">
        <v>2915231000</v>
      </c>
      <c r="E677" s="29" t="str">
        <f>'Hitung Per Bulan'!I677</f>
        <v/>
      </c>
      <c r="F677" s="24">
        <v>11100000</v>
      </c>
      <c r="G677" s="29" t="str">
        <f>'Hitung Per Bulan'!J677</f>
        <v/>
      </c>
    </row>
    <row r="678" spans="1:7" x14ac:dyDescent="0.45">
      <c r="A678" t="s">
        <v>13</v>
      </c>
      <c r="B678" t="s">
        <v>34</v>
      </c>
      <c r="C678" t="s">
        <v>9</v>
      </c>
      <c r="D678" s="24">
        <v>506375000</v>
      </c>
      <c r="E678" s="29" t="str">
        <f>'Hitung Per Bulan'!I678</f>
        <v/>
      </c>
      <c r="F678" s="24">
        <v>1489733000</v>
      </c>
      <c r="G678" s="29" t="str">
        <f>'Hitung Per Bulan'!J678</f>
        <v/>
      </c>
    </row>
    <row r="679" spans="1:7" x14ac:dyDescent="0.45">
      <c r="A679" t="s">
        <v>14</v>
      </c>
      <c r="B679" t="s">
        <v>34</v>
      </c>
      <c r="C679" t="s">
        <v>9</v>
      </c>
      <c r="D679" s="24">
        <v>483400000</v>
      </c>
      <c r="E679" s="29" t="str">
        <f>'Hitung Per Bulan'!I679</f>
        <v/>
      </c>
      <c r="F679" s="24">
        <v>753875000</v>
      </c>
      <c r="G679" s="29" t="str">
        <f>'Hitung Per Bulan'!J679</f>
        <v/>
      </c>
    </row>
    <row r="680" spans="1:7" x14ac:dyDescent="0.45">
      <c r="A680" t="s">
        <v>15</v>
      </c>
      <c r="B680" t="s">
        <v>34</v>
      </c>
      <c r="C680" t="s">
        <v>9</v>
      </c>
      <c r="D680" s="24">
        <v>314700000</v>
      </c>
      <c r="E680" s="29" t="str">
        <f>'Hitung Per Bulan'!I680</f>
        <v/>
      </c>
      <c r="F680" s="24">
        <v>2381757000</v>
      </c>
      <c r="G680" s="29" t="str">
        <f>'Hitung Per Bulan'!J680</f>
        <v/>
      </c>
    </row>
    <row r="681" spans="1:7" x14ac:dyDescent="0.45">
      <c r="A681" t="s">
        <v>16</v>
      </c>
      <c r="B681" t="s">
        <v>34</v>
      </c>
      <c r="C681" t="s">
        <v>9</v>
      </c>
      <c r="D681" s="24">
        <v>0</v>
      </c>
      <c r="E681" s="29" t="str">
        <f>'Hitung Per Bulan'!I681</f>
        <v/>
      </c>
      <c r="F681" s="24">
        <v>2406929000</v>
      </c>
      <c r="G681" s="29" t="str">
        <f>'Hitung Per Bulan'!J681</f>
        <v/>
      </c>
    </row>
    <row r="682" spans="1:7" x14ac:dyDescent="0.45">
      <c r="A682" t="s">
        <v>17</v>
      </c>
      <c r="B682" t="s">
        <v>34</v>
      </c>
      <c r="C682" t="s">
        <v>9</v>
      </c>
      <c r="D682" s="24">
        <v>149300000</v>
      </c>
      <c r="E682" s="29" t="str">
        <f>'Hitung Per Bulan'!I682</f>
        <v/>
      </c>
      <c r="F682" s="24">
        <v>1396861000</v>
      </c>
      <c r="G682" s="29" t="str">
        <f>'Hitung Per Bulan'!J682</f>
        <v/>
      </c>
    </row>
    <row r="683" spans="1:7" x14ac:dyDescent="0.45">
      <c r="A683" t="s">
        <v>18</v>
      </c>
      <c r="B683" t="s">
        <v>34</v>
      </c>
      <c r="C683" t="s">
        <v>9</v>
      </c>
      <c r="D683" s="24">
        <v>0</v>
      </c>
      <c r="E683" s="29" t="str">
        <f>'Hitung Per Bulan'!I683</f>
        <v/>
      </c>
      <c r="F683" s="24">
        <v>592800000</v>
      </c>
      <c r="G683" s="29" t="str">
        <f>'Hitung Per Bulan'!J683</f>
        <v/>
      </c>
    </row>
    <row r="684" spans="1:7" x14ac:dyDescent="0.45">
      <c r="A684" t="s">
        <v>19</v>
      </c>
      <c r="B684" t="s">
        <v>34</v>
      </c>
      <c r="C684" t="s">
        <v>9</v>
      </c>
      <c r="D684" s="24">
        <v>100000000</v>
      </c>
      <c r="E684" s="29" t="str">
        <f>'Hitung Per Bulan'!I684</f>
        <v/>
      </c>
      <c r="F684" s="24">
        <v>0</v>
      </c>
      <c r="G684" s="29" t="str">
        <f>'Hitung Per Bulan'!J684</f>
        <v/>
      </c>
    </row>
    <row r="685" spans="1:7" x14ac:dyDescent="0.45">
      <c r="A685" t="s">
        <v>20</v>
      </c>
      <c r="B685" t="s">
        <v>34</v>
      </c>
      <c r="C685" t="s">
        <v>9</v>
      </c>
      <c r="D685" s="24">
        <v>0</v>
      </c>
      <c r="E685" s="29" t="str">
        <f>'Hitung Per Bulan'!I685</f>
        <v/>
      </c>
      <c r="F685" s="24">
        <v>100000000</v>
      </c>
      <c r="G685" s="29" t="str">
        <f>'Hitung Per Bulan'!J685</f>
        <v/>
      </c>
    </row>
    <row r="686" spans="1:7" x14ac:dyDescent="0.45">
      <c r="A686" t="s">
        <v>7</v>
      </c>
      <c r="B686" t="s">
        <v>34</v>
      </c>
      <c r="C686" t="s">
        <v>21</v>
      </c>
      <c r="D686" s="24">
        <v>0</v>
      </c>
      <c r="E686" s="29">
        <f>'Hitung Per Bulan'!I686</f>
        <v>0</v>
      </c>
      <c r="F686" s="24">
        <v>0</v>
      </c>
      <c r="G686" s="29">
        <f>'Hitung Per Bulan'!J686</f>
        <v>0</v>
      </c>
    </row>
    <row r="687" spans="1:7" x14ac:dyDescent="0.45">
      <c r="A687" t="s">
        <v>10</v>
      </c>
      <c r="B687" t="s">
        <v>34</v>
      </c>
      <c r="C687" t="s">
        <v>21</v>
      </c>
      <c r="D687" s="24">
        <v>0</v>
      </c>
      <c r="E687" s="29">
        <f>'Hitung Per Bulan'!I687</f>
        <v>1944000</v>
      </c>
      <c r="F687" s="24">
        <v>0</v>
      </c>
      <c r="G687" s="29">
        <f>'Hitung Per Bulan'!J687</f>
        <v>0</v>
      </c>
    </row>
    <row r="688" spans="1:7" x14ac:dyDescent="0.45">
      <c r="A688" t="s">
        <v>11</v>
      </c>
      <c r="B688" t="s">
        <v>34</v>
      </c>
      <c r="C688" t="s">
        <v>21</v>
      </c>
      <c r="D688" s="24">
        <v>0</v>
      </c>
      <c r="E688" s="29">
        <f>'Hitung Per Bulan'!I688</f>
        <v>0</v>
      </c>
      <c r="F688" s="24">
        <v>0</v>
      </c>
      <c r="G688" s="29">
        <f>'Hitung Per Bulan'!J688</f>
        <v>1944000</v>
      </c>
    </row>
    <row r="689" spans="1:7" x14ac:dyDescent="0.45">
      <c r="A689" t="s">
        <v>12</v>
      </c>
      <c r="B689" t="s">
        <v>34</v>
      </c>
      <c r="C689" t="s">
        <v>21</v>
      </c>
      <c r="D689" s="24">
        <v>0</v>
      </c>
      <c r="E689" s="29" t="str">
        <f>'Hitung Per Bulan'!I689</f>
        <v/>
      </c>
      <c r="F689" s="24">
        <v>0</v>
      </c>
      <c r="G689" s="29" t="str">
        <f>'Hitung Per Bulan'!J689</f>
        <v/>
      </c>
    </row>
    <row r="690" spans="1:7" x14ac:dyDescent="0.45">
      <c r="A690" t="s">
        <v>13</v>
      </c>
      <c r="B690" t="s">
        <v>34</v>
      </c>
      <c r="C690" t="s">
        <v>21</v>
      </c>
      <c r="D690" s="24">
        <v>613000000</v>
      </c>
      <c r="E690" s="29" t="str">
        <f>'Hitung Per Bulan'!I690</f>
        <v/>
      </c>
      <c r="F690" s="24">
        <v>0</v>
      </c>
      <c r="G690" s="29" t="str">
        <f>'Hitung Per Bulan'!J690</f>
        <v/>
      </c>
    </row>
    <row r="691" spans="1:7" x14ac:dyDescent="0.45">
      <c r="A691" t="s">
        <v>14</v>
      </c>
      <c r="B691" t="s">
        <v>34</v>
      </c>
      <c r="C691" t="s">
        <v>21</v>
      </c>
      <c r="D691" s="24">
        <v>15000000</v>
      </c>
      <c r="E691" s="29" t="str">
        <f>'Hitung Per Bulan'!I691</f>
        <v/>
      </c>
      <c r="F691" s="24">
        <v>0</v>
      </c>
      <c r="G691" s="29" t="str">
        <f>'Hitung Per Bulan'!J691</f>
        <v/>
      </c>
    </row>
    <row r="692" spans="1:7" x14ac:dyDescent="0.45">
      <c r="A692" t="s">
        <v>15</v>
      </c>
      <c r="B692" t="s">
        <v>34</v>
      </c>
      <c r="C692" t="s">
        <v>21</v>
      </c>
      <c r="D692" s="24">
        <v>0</v>
      </c>
      <c r="E692" s="29" t="str">
        <f>'Hitung Per Bulan'!I692</f>
        <v/>
      </c>
      <c r="F692" s="24">
        <v>15000000</v>
      </c>
      <c r="G692" s="29" t="str">
        <f>'Hitung Per Bulan'!J692</f>
        <v/>
      </c>
    </row>
    <row r="693" spans="1:7" x14ac:dyDescent="0.45">
      <c r="A693" t="s">
        <v>16</v>
      </c>
      <c r="B693" t="s">
        <v>34</v>
      </c>
      <c r="C693" t="s">
        <v>21</v>
      </c>
      <c r="D693" s="24">
        <v>150000000</v>
      </c>
      <c r="E693" s="29" t="str">
        <f>'Hitung Per Bulan'!I693</f>
        <v/>
      </c>
      <c r="F693" s="24">
        <v>613000000</v>
      </c>
      <c r="G693" s="29" t="str">
        <f>'Hitung Per Bulan'!J693</f>
        <v/>
      </c>
    </row>
    <row r="694" spans="1:7" x14ac:dyDescent="0.45">
      <c r="A694" t="s">
        <v>17</v>
      </c>
      <c r="B694" t="s">
        <v>34</v>
      </c>
      <c r="C694" t="s">
        <v>21</v>
      </c>
      <c r="D694" s="24">
        <v>0</v>
      </c>
      <c r="E694" s="29" t="str">
        <f>'Hitung Per Bulan'!I694</f>
        <v/>
      </c>
      <c r="F694" s="24">
        <v>0</v>
      </c>
      <c r="G694" s="29" t="str">
        <f>'Hitung Per Bulan'!J694</f>
        <v/>
      </c>
    </row>
    <row r="695" spans="1:7" x14ac:dyDescent="0.45">
      <c r="A695" t="s">
        <v>18</v>
      </c>
      <c r="B695" t="s">
        <v>34</v>
      </c>
      <c r="C695" t="s">
        <v>21</v>
      </c>
      <c r="D695" s="24">
        <v>0</v>
      </c>
      <c r="E695" s="29" t="str">
        <f>'Hitung Per Bulan'!I695</f>
        <v/>
      </c>
      <c r="F695" s="24">
        <v>0</v>
      </c>
      <c r="G695" s="29" t="str">
        <f>'Hitung Per Bulan'!J695</f>
        <v/>
      </c>
    </row>
    <row r="696" spans="1:7" x14ac:dyDescent="0.45">
      <c r="A696" t="s">
        <v>19</v>
      </c>
      <c r="B696" t="s">
        <v>34</v>
      </c>
      <c r="C696" t="s">
        <v>21</v>
      </c>
      <c r="D696" s="24">
        <v>0</v>
      </c>
      <c r="E696" s="29" t="str">
        <f>'Hitung Per Bulan'!I696</f>
        <v/>
      </c>
      <c r="F696" s="24">
        <v>150000000</v>
      </c>
      <c r="G696" s="29" t="str">
        <f>'Hitung Per Bulan'!J696</f>
        <v/>
      </c>
    </row>
    <row r="697" spans="1:7" x14ac:dyDescent="0.45">
      <c r="A697" t="s">
        <v>20</v>
      </c>
      <c r="B697" t="s">
        <v>34</v>
      </c>
      <c r="C697" t="s">
        <v>21</v>
      </c>
      <c r="D697" s="24">
        <v>0</v>
      </c>
      <c r="E697" s="29" t="str">
        <f>'Hitung Per Bulan'!I697</f>
        <v/>
      </c>
      <c r="F697" s="24">
        <v>0</v>
      </c>
      <c r="G697" s="29" t="str">
        <f>'Hitung Per Bulan'!J697</f>
        <v/>
      </c>
    </row>
    <row r="698" spans="1:7" x14ac:dyDescent="0.45">
      <c r="A698" t="s">
        <v>7</v>
      </c>
      <c r="B698" t="s">
        <v>34</v>
      </c>
      <c r="C698" t="s">
        <v>22</v>
      </c>
      <c r="D698" s="24">
        <v>0</v>
      </c>
      <c r="E698" s="29">
        <f>'Hitung Per Bulan'!I698</f>
        <v>21262500</v>
      </c>
      <c r="F698" s="24">
        <v>0</v>
      </c>
      <c r="G698" s="29">
        <f>'Hitung Per Bulan'!J698</f>
        <v>0</v>
      </c>
    </row>
    <row r="699" spans="1:7" x14ac:dyDescent="0.45">
      <c r="A699" t="s">
        <v>10</v>
      </c>
      <c r="B699" t="s">
        <v>34</v>
      </c>
      <c r="C699" t="s">
        <v>22</v>
      </c>
      <c r="D699" s="24">
        <v>0</v>
      </c>
      <c r="E699" s="29">
        <f>'Hitung Per Bulan'!I699</f>
        <v>0</v>
      </c>
      <c r="F699" s="24">
        <v>0</v>
      </c>
      <c r="G699" s="29">
        <f>'Hitung Per Bulan'!J699</f>
        <v>0</v>
      </c>
    </row>
    <row r="700" spans="1:7" x14ac:dyDescent="0.45">
      <c r="A700" t="s">
        <v>11</v>
      </c>
      <c r="B700" t="s">
        <v>34</v>
      </c>
      <c r="C700" t="s">
        <v>22</v>
      </c>
      <c r="D700" s="24">
        <v>27800000</v>
      </c>
      <c r="E700" s="29">
        <f>'Hitung Per Bulan'!I700</f>
        <v>0</v>
      </c>
      <c r="F700" s="24">
        <v>0</v>
      </c>
      <c r="G700" s="29">
        <f>'Hitung Per Bulan'!J700</f>
        <v>21262500</v>
      </c>
    </row>
    <row r="701" spans="1:7" x14ac:dyDescent="0.45">
      <c r="A701" t="s">
        <v>12</v>
      </c>
      <c r="B701" t="s">
        <v>34</v>
      </c>
      <c r="C701" t="s">
        <v>22</v>
      </c>
      <c r="D701" s="24">
        <v>12500000</v>
      </c>
      <c r="E701" s="29" t="str">
        <f>'Hitung Per Bulan'!I701</f>
        <v/>
      </c>
      <c r="F701" s="24">
        <v>27800000</v>
      </c>
      <c r="G701" s="29" t="str">
        <f>'Hitung Per Bulan'!J701</f>
        <v/>
      </c>
    </row>
    <row r="702" spans="1:7" x14ac:dyDescent="0.45">
      <c r="A702" t="s">
        <v>13</v>
      </c>
      <c r="B702" t="s">
        <v>34</v>
      </c>
      <c r="C702" t="s">
        <v>22</v>
      </c>
      <c r="D702" s="24">
        <v>0</v>
      </c>
      <c r="E702" s="29" t="str">
        <f>'Hitung Per Bulan'!I702</f>
        <v/>
      </c>
      <c r="F702" s="24">
        <v>12500000</v>
      </c>
      <c r="G702" s="29" t="str">
        <f>'Hitung Per Bulan'!J702</f>
        <v/>
      </c>
    </row>
    <row r="703" spans="1:7" x14ac:dyDescent="0.45">
      <c r="A703" t="s">
        <v>14</v>
      </c>
      <c r="B703" t="s">
        <v>34</v>
      </c>
      <c r="C703" t="s">
        <v>22</v>
      </c>
      <c r="D703" s="24">
        <v>0</v>
      </c>
      <c r="E703" s="29" t="str">
        <f>'Hitung Per Bulan'!I703</f>
        <v/>
      </c>
      <c r="F703" s="24">
        <v>0</v>
      </c>
      <c r="G703" s="29" t="str">
        <f>'Hitung Per Bulan'!J703</f>
        <v/>
      </c>
    </row>
    <row r="704" spans="1:7" x14ac:dyDescent="0.45">
      <c r="A704" t="s">
        <v>15</v>
      </c>
      <c r="B704" t="s">
        <v>34</v>
      </c>
      <c r="C704" t="s">
        <v>22</v>
      </c>
      <c r="D704" s="24">
        <v>0</v>
      </c>
      <c r="E704" s="29" t="str">
        <f>'Hitung Per Bulan'!I704</f>
        <v/>
      </c>
      <c r="F704" s="24">
        <v>0</v>
      </c>
      <c r="G704" s="29" t="str">
        <f>'Hitung Per Bulan'!J704</f>
        <v/>
      </c>
    </row>
    <row r="705" spans="1:7" x14ac:dyDescent="0.45">
      <c r="A705" t="s">
        <v>16</v>
      </c>
      <c r="B705" t="s">
        <v>34</v>
      </c>
      <c r="C705" t="s">
        <v>22</v>
      </c>
      <c r="D705" s="24">
        <v>31010000</v>
      </c>
      <c r="E705" s="29" t="str">
        <f>'Hitung Per Bulan'!I705</f>
        <v/>
      </c>
      <c r="F705" s="24">
        <v>0</v>
      </c>
      <c r="G705" s="29" t="str">
        <f>'Hitung Per Bulan'!J705</f>
        <v/>
      </c>
    </row>
    <row r="706" spans="1:7" x14ac:dyDescent="0.45">
      <c r="A706" t="s">
        <v>17</v>
      </c>
      <c r="B706" t="s">
        <v>34</v>
      </c>
      <c r="C706" t="s">
        <v>22</v>
      </c>
      <c r="D706" s="24">
        <v>0</v>
      </c>
      <c r="E706" s="29" t="str">
        <f>'Hitung Per Bulan'!I706</f>
        <v/>
      </c>
      <c r="F706" s="24">
        <v>31010000</v>
      </c>
      <c r="G706" s="29" t="str">
        <f>'Hitung Per Bulan'!J706</f>
        <v/>
      </c>
    </row>
    <row r="707" spans="1:7" x14ac:dyDescent="0.45">
      <c r="A707" t="s">
        <v>18</v>
      </c>
      <c r="B707" t="s">
        <v>34</v>
      </c>
      <c r="C707" t="s">
        <v>22</v>
      </c>
      <c r="D707" s="24">
        <v>0</v>
      </c>
      <c r="E707" s="29" t="str">
        <f>'Hitung Per Bulan'!I707</f>
        <v/>
      </c>
      <c r="F707" s="24">
        <v>0</v>
      </c>
      <c r="G707" s="29" t="str">
        <f>'Hitung Per Bulan'!J707</f>
        <v/>
      </c>
    </row>
    <row r="708" spans="1:7" x14ac:dyDescent="0.45">
      <c r="A708" t="s">
        <v>19</v>
      </c>
      <c r="B708" t="s">
        <v>34</v>
      </c>
      <c r="C708" t="s">
        <v>22</v>
      </c>
      <c r="D708" s="24">
        <v>40000000</v>
      </c>
      <c r="E708" s="29" t="str">
        <f>'Hitung Per Bulan'!I708</f>
        <v/>
      </c>
      <c r="F708" s="24">
        <v>0</v>
      </c>
      <c r="G708" s="29" t="str">
        <f>'Hitung Per Bulan'!J708</f>
        <v/>
      </c>
    </row>
    <row r="709" spans="1:7" x14ac:dyDescent="0.45">
      <c r="A709" t="s">
        <v>20</v>
      </c>
      <c r="B709" t="s">
        <v>34</v>
      </c>
      <c r="C709" t="s">
        <v>22</v>
      </c>
      <c r="D709" s="24">
        <v>0</v>
      </c>
      <c r="E709" s="29" t="str">
        <f>'Hitung Per Bulan'!I709</f>
        <v/>
      </c>
      <c r="F709" s="24">
        <v>40000000</v>
      </c>
      <c r="G709" s="29" t="str">
        <f>'Hitung Per Bulan'!J709</f>
        <v/>
      </c>
    </row>
    <row r="710" spans="1:7" x14ac:dyDescent="0.45">
      <c r="A710" t="s">
        <v>7</v>
      </c>
      <c r="B710" t="s">
        <v>34</v>
      </c>
      <c r="C710" t="s">
        <v>23</v>
      </c>
      <c r="D710" s="24">
        <v>0</v>
      </c>
      <c r="E710" s="29">
        <f>'Hitung Per Bulan'!I710</f>
        <v>2159300</v>
      </c>
      <c r="F710" s="24">
        <v>0</v>
      </c>
      <c r="G710" s="29">
        <f>'Hitung Per Bulan'!J710</f>
        <v>2159300</v>
      </c>
    </row>
    <row r="711" spans="1:7" x14ac:dyDescent="0.45">
      <c r="A711" t="s">
        <v>10</v>
      </c>
      <c r="B711" t="s">
        <v>34</v>
      </c>
      <c r="C711" t="s">
        <v>23</v>
      </c>
      <c r="D711" s="24">
        <v>0</v>
      </c>
      <c r="E711" s="29">
        <f>'Hitung Per Bulan'!I711</f>
        <v>0</v>
      </c>
      <c r="F711" s="24">
        <v>0</v>
      </c>
      <c r="G711" s="29">
        <f>'Hitung Per Bulan'!J711</f>
        <v>0</v>
      </c>
    </row>
    <row r="712" spans="1:7" x14ac:dyDescent="0.45">
      <c r="A712" t="s">
        <v>11</v>
      </c>
      <c r="B712" t="s">
        <v>34</v>
      </c>
      <c r="C712" t="s">
        <v>23</v>
      </c>
      <c r="D712" s="24">
        <v>0</v>
      </c>
      <c r="E712" s="29">
        <f>'Hitung Per Bulan'!I712</f>
        <v>0</v>
      </c>
      <c r="F712" s="24">
        <v>0</v>
      </c>
      <c r="G712" s="29">
        <f>'Hitung Per Bulan'!J712</f>
        <v>0</v>
      </c>
    </row>
    <row r="713" spans="1:7" x14ac:dyDescent="0.45">
      <c r="A713" t="s">
        <v>12</v>
      </c>
      <c r="B713" t="s">
        <v>34</v>
      </c>
      <c r="C713" t="s">
        <v>23</v>
      </c>
      <c r="D713" s="24">
        <v>15000000</v>
      </c>
      <c r="E713" s="29" t="str">
        <f>'Hitung Per Bulan'!I713</f>
        <v/>
      </c>
      <c r="F713" s="24">
        <v>0</v>
      </c>
      <c r="G713" s="29" t="str">
        <f>'Hitung Per Bulan'!J713</f>
        <v/>
      </c>
    </row>
    <row r="714" spans="1:7" x14ac:dyDescent="0.45">
      <c r="A714" t="s">
        <v>13</v>
      </c>
      <c r="B714" t="s">
        <v>34</v>
      </c>
      <c r="C714" t="s">
        <v>23</v>
      </c>
      <c r="D714" s="24">
        <v>40000000</v>
      </c>
      <c r="E714" s="29" t="str">
        <f>'Hitung Per Bulan'!I714</f>
        <v/>
      </c>
      <c r="F714" s="24">
        <v>0</v>
      </c>
      <c r="G714" s="29" t="str">
        <f>'Hitung Per Bulan'!J714</f>
        <v/>
      </c>
    </row>
    <row r="715" spans="1:7" x14ac:dyDescent="0.45">
      <c r="A715" t="s">
        <v>14</v>
      </c>
      <c r="B715" t="s">
        <v>34</v>
      </c>
      <c r="C715" t="s">
        <v>23</v>
      </c>
      <c r="D715" s="24">
        <v>45000000</v>
      </c>
      <c r="E715" s="29" t="str">
        <f>'Hitung Per Bulan'!I715</f>
        <v/>
      </c>
      <c r="F715" s="24">
        <v>40000000</v>
      </c>
      <c r="G715" s="29" t="str">
        <f>'Hitung Per Bulan'!J715</f>
        <v/>
      </c>
    </row>
    <row r="716" spans="1:7" x14ac:dyDescent="0.45">
      <c r="A716" t="s">
        <v>15</v>
      </c>
      <c r="B716" t="s">
        <v>34</v>
      </c>
      <c r="C716" t="s">
        <v>23</v>
      </c>
      <c r="D716" s="24">
        <v>0</v>
      </c>
      <c r="E716" s="29" t="str">
        <f>'Hitung Per Bulan'!I716</f>
        <v/>
      </c>
      <c r="F716" s="24">
        <v>0</v>
      </c>
      <c r="G716" s="29" t="str">
        <f>'Hitung Per Bulan'!J716</f>
        <v/>
      </c>
    </row>
    <row r="717" spans="1:7" x14ac:dyDescent="0.45">
      <c r="A717" t="s">
        <v>16</v>
      </c>
      <c r="B717" t="s">
        <v>34</v>
      </c>
      <c r="C717" t="s">
        <v>23</v>
      </c>
      <c r="D717" s="24">
        <v>0</v>
      </c>
      <c r="E717" s="29" t="str">
        <f>'Hitung Per Bulan'!I717</f>
        <v/>
      </c>
      <c r="F717" s="24">
        <v>30000000</v>
      </c>
      <c r="G717" s="29" t="str">
        <f>'Hitung Per Bulan'!J717</f>
        <v/>
      </c>
    </row>
    <row r="718" spans="1:7" x14ac:dyDescent="0.45">
      <c r="A718" t="s">
        <v>17</v>
      </c>
      <c r="B718" t="s">
        <v>34</v>
      </c>
      <c r="C718" t="s">
        <v>23</v>
      </c>
      <c r="D718" s="24">
        <v>0</v>
      </c>
      <c r="E718" s="29" t="str">
        <f>'Hitung Per Bulan'!I718</f>
        <v/>
      </c>
      <c r="F718" s="24">
        <v>0</v>
      </c>
      <c r="G718" s="29" t="str">
        <f>'Hitung Per Bulan'!J718</f>
        <v/>
      </c>
    </row>
    <row r="719" spans="1:7" x14ac:dyDescent="0.45">
      <c r="A719" t="s">
        <v>18</v>
      </c>
      <c r="B719" t="s">
        <v>34</v>
      </c>
      <c r="C719" t="s">
        <v>23</v>
      </c>
      <c r="D719" s="24">
        <v>0</v>
      </c>
      <c r="E719" s="29" t="str">
        <f>'Hitung Per Bulan'!I719</f>
        <v/>
      </c>
      <c r="F719" s="24">
        <v>0</v>
      </c>
      <c r="G719" s="29" t="str">
        <f>'Hitung Per Bulan'!J719</f>
        <v/>
      </c>
    </row>
    <row r="720" spans="1:7" x14ac:dyDescent="0.45">
      <c r="A720" t="s">
        <v>19</v>
      </c>
      <c r="B720" t="s">
        <v>34</v>
      </c>
      <c r="C720" t="s">
        <v>23</v>
      </c>
      <c r="D720" s="24">
        <v>0</v>
      </c>
      <c r="E720" s="29" t="str">
        <f>'Hitung Per Bulan'!I720</f>
        <v/>
      </c>
      <c r="F720" s="24">
        <v>30000000</v>
      </c>
      <c r="G720" s="29" t="str">
        <f>'Hitung Per Bulan'!J720</f>
        <v/>
      </c>
    </row>
    <row r="721" spans="1:7" x14ac:dyDescent="0.45">
      <c r="A721" t="s">
        <v>20</v>
      </c>
      <c r="B721" t="s">
        <v>34</v>
      </c>
      <c r="C721" t="s">
        <v>23</v>
      </c>
      <c r="D721" s="24">
        <v>0</v>
      </c>
      <c r="E721" s="29" t="str">
        <f>'Hitung Per Bulan'!I721</f>
        <v/>
      </c>
      <c r="F721" s="24">
        <v>0</v>
      </c>
      <c r="G721" s="29" t="str">
        <f>'Hitung Per Bulan'!J721</f>
        <v/>
      </c>
    </row>
    <row r="722" spans="1:7" x14ac:dyDescent="0.45">
      <c r="A722" t="s">
        <v>7</v>
      </c>
      <c r="B722" t="s">
        <v>34</v>
      </c>
      <c r="C722" t="s">
        <v>24</v>
      </c>
      <c r="D722" s="24">
        <v>0</v>
      </c>
      <c r="E722" s="29">
        <f>'Hitung Per Bulan'!I722</f>
        <v>0</v>
      </c>
      <c r="F722" s="24">
        <v>0</v>
      </c>
      <c r="G722" s="29">
        <f>'Hitung Per Bulan'!J722</f>
        <v>0</v>
      </c>
    </row>
    <row r="723" spans="1:7" x14ac:dyDescent="0.45">
      <c r="A723" t="s">
        <v>10</v>
      </c>
      <c r="B723" t="s">
        <v>34</v>
      </c>
      <c r="C723" t="s">
        <v>24</v>
      </c>
      <c r="D723" s="24">
        <v>0</v>
      </c>
      <c r="E723" s="29">
        <f>'Hitung Per Bulan'!I723</f>
        <v>0</v>
      </c>
      <c r="F723" s="24">
        <v>0</v>
      </c>
      <c r="G723" s="29">
        <f>'Hitung Per Bulan'!J723</f>
        <v>0</v>
      </c>
    </row>
    <row r="724" spans="1:7" x14ac:dyDescent="0.45">
      <c r="A724" t="s">
        <v>11</v>
      </c>
      <c r="B724" t="s">
        <v>34</v>
      </c>
      <c r="C724" t="s">
        <v>24</v>
      </c>
      <c r="D724" s="24">
        <v>0</v>
      </c>
      <c r="E724" s="29">
        <f>'Hitung Per Bulan'!I724</f>
        <v>0</v>
      </c>
      <c r="F724" s="24">
        <v>0</v>
      </c>
      <c r="G724" s="29">
        <f>'Hitung Per Bulan'!J724</f>
        <v>0</v>
      </c>
    </row>
    <row r="725" spans="1:7" x14ac:dyDescent="0.45">
      <c r="A725" t="s">
        <v>12</v>
      </c>
      <c r="B725" t="s">
        <v>34</v>
      </c>
      <c r="C725" t="s">
        <v>24</v>
      </c>
      <c r="D725" s="24">
        <v>0</v>
      </c>
      <c r="E725" s="29" t="str">
        <f>'Hitung Per Bulan'!I725</f>
        <v/>
      </c>
      <c r="F725" s="24">
        <v>0</v>
      </c>
      <c r="G725" s="29" t="str">
        <f>'Hitung Per Bulan'!J725</f>
        <v/>
      </c>
    </row>
    <row r="726" spans="1:7" x14ac:dyDescent="0.45">
      <c r="A726" t="s">
        <v>13</v>
      </c>
      <c r="B726" t="s">
        <v>34</v>
      </c>
      <c r="C726" t="s">
        <v>24</v>
      </c>
      <c r="D726" s="24">
        <v>0</v>
      </c>
      <c r="E726" s="29" t="str">
        <f>'Hitung Per Bulan'!I726</f>
        <v/>
      </c>
      <c r="F726" s="24">
        <v>0</v>
      </c>
      <c r="G726" s="29" t="str">
        <f>'Hitung Per Bulan'!J726</f>
        <v/>
      </c>
    </row>
    <row r="727" spans="1:7" x14ac:dyDescent="0.45">
      <c r="A727" t="s">
        <v>14</v>
      </c>
      <c r="B727" t="s">
        <v>34</v>
      </c>
      <c r="C727" t="s">
        <v>24</v>
      </c>
      <c r="D727" s="24">
        <v>0</v>
      </c>
      <c r="E727" s="29" t="str">
        <f>'Hitung Per Bulan'!I727</f>
        <v/>
      </c>
      <c r="F727" s="24">
        <v>0</v>
      </c>
      <c r="G727" s="29" t="str">
        <f>'Hitung Per Bulan'!J727</f>
        <v/>
      </c>
    </row>
    <row r="728" spans="1:7" x14ac:dyDescent="0.45">
      <c r="A728" t="s">
        <v>15</v>
      </c>
      <c r="B728" t="s">
        <v>34</v>
      </c>
      <c r="C728" t="s">
        <v>24</v>
      </c>
      <c r="D728" s="24">
        <v>0</v>
      </c>
      <c r="E728" s="29" t="str">
        <f>'Hitung Per Bulan'!I728</f>
        <v/>
      </c>
      <c r="F728" s="24">
        <v>0</v>
      </c>
      <c r="G728" s="29" t="str">
        <f>'Hitung Per Bulan'!J728</f>
        <v/>
      </c>
    </row>
    <row r="729" spans="1:7" x14ac:dyDescent="0.45">
      <c r="A729" t="s">
        <v>16</v>
      </c>
      <c r="B729" t="s">
        <v>34</v>
      </c>
      <c r="C729" t="s">
        <v>24</v>
      </c>
      <c r="D729" s="24">
        <v>0</v>
      </c>
      <c r="E729" s="29" t="str">
        <f>'Hitung Per Bulan'!I729</f>
        <v/>
      </c>
      <c r="F729" s="24">
        <v>0</v>
      </c>
      <c r="G729" s="29" t="str">
        <f>'Hitung Per Bulan'!J729</f>
        <v/>
      </c>
    </row>
    <row r="730" spans="1:7" x14ac:dyDescent="0.45">
      <c r="A730" t="s">
        <v>17</v>
      </c>
      <c r="B730" t="s">
        <v>34</v>
      </c>
      <c r="C730" t="s">
        <v>24</v>
      </c>
      <c r="D730" s="24">
        <v>0</v>
      </c>
      <c r="E730" s="29" t="str">
        <f>'Hitung Per Bulan'!I730</f>
        <v/>
      </c>
      <c r="F730" s="24">
        <v>0</v>
      </c>
      <c r="G730" s="29" t="str">
        <f>'Hitung Per Bulan'!J730</f>
        <v/>
      </c>
    </row>
    <row r="731" spans="1:7" x14ac:dyDescent="0.45">
      <c r="A731" t="s">
        <v>18</v>
      </c>
      <c r="B731" t="s">
        <v>34</v>
      </c>
      <c r="C731" t="s">
        <v>24</v>
      </c>
      <c r="D731" s="24">
        <v>0</v>
      </c>
      <c r="E731" s="29" t="str">
        <f>'Hitung Per Bulan'!I731</f>
        <v/>
      </c>
      <c r="F731" s="24">
        <v>0</v>
      </c>
      <c r="G731" s="29" t="str">
        <f>'Hitung Per Bulan'!J731</f>
        <v/>
      </c>
    </row>
    <row r="732" spans="1:7" x14ac:dyDescent="0.45">
      <c r="A732" t="s">
        <v>19</v>
      </c>
      <c r="B732" t="s">
        <v>34</v>
      </c>
      <c r="C732" t="s">
        <v>24</v>
      </c>
      <c r="D732" s="24">
        <v>0</v>
      </c>
      <c r="E732" s="29" t="str">
        <f>'Hitung Per Bulan'!I732</f>
        <v/>
      </c>
      <c r="F732" s="24">
        <v>0</v>
      </c>
      <c r="G732" s="29" t="str">
        <f>'Hitung Per Bulan'!J732</f>
        <v/>
      </c>
    </row>
    <row r="733" spans="1:7" x14ac:dyDescent="0.45">
      <c r="A733" t="s">
        <v>20</v>
      </c>
      <c r="B733" t="s">
        <v>34</v>
      </c>
      <c r="C733" t="s">
        <v>24</v>
      </c>
      <c r="D733" s="24">
        <v>0</v>
      </c>
      <c r="E733" s="29" t="str">
        <f>'Hitung Per Bulan'!I733</f>
        <v/>
      </c>
      <c r="F733" s="24">
        <v>0</v>
      </c>
      <c r="G733" s="29" t="str">
        <f>'Hitung Per Bulan'!J733</f>
        <v/>
      </c>
    </row>
    <row r="734" spans="1:7" x14ac:dyDescent="0.45">
      <c r="A734" t="s">
        <v>7</v>
      </c>
      <c r="B734" t="s">
        <v>34</v>
      </c>
      <c r="C734" t="s">
        <v>25</v>
      </c>
      <c r="D734" s="24">
        <v>33367000</v>
      </c>
      <c r="E734" s="29">
        <f>'Hitung Per Bulan'!I734</f>
        <v>69661093</v>
      </c>
      <c r="F734" s="24">
        <v>33367000</v>
      </c>
      <c r="G734" s="29">
        <f>'Hitung Per Bulan'!J734</f>
        <v>13701000</v>
      </c>
    </row>
    <row r="735" spans="1:7" x14ac:dyDescent="0.45">
      <c r="A735" t="s">
        <v>10</v>
      </c>
      <c r="B735" t="s">
        <v>34</v>
      </c>
      <c r="C735" t="s">
        <v>25</v>
      </c>
      <c r="D735" s="24">
        <v>41156000</v>
      </c>
      <c r="E735" s="29">
        <f>'Hitung Per Bulan'!I735</f>
        <v>43215908</v>
      </c>
      <c r="F735" s="24">
        <v>41156000</v>
      </c>
      <c r="G735" s="29">
        <f>'Hitung Per Bulan'!J735</f>
        <v>32679201</v>
      </c>
    </row>
    <row r="736" spans="1:7" x14ac:dyDescent="0.45">
      <c r="A736" t="s">
        <v>11</v>
      </c>
      <c r="B736" t="s">
        <v>34</v>
      </c>
      <c r="C736" t="s">
        <v>25</v>
      </c>
      <c r="D736" s="24">
        <v>177499000</v>
      </c>
      <c r="E736" s="29">
        <f>'Hitung Per Bulan'!I736</f>
        <v>50852635</v>
      </c>
      <c r="F736" s="24">
        <v>42499000</v>
      </c>
      <c r="G736" s="29">
        <f>'Hitung Per Bulan'!J736</f>
        <v>71212935</v>
      </c>
    </row>
    <row r="737" spans="1:7" x14ac:dyDescent="0.45">
      <c r="A737" t="s">
        <v>12</v>
      </c>
      <c r="B737" t="s">
        <v>34</v>
      </c>
      <c r="C737" t="s">
        <v>25</v>
      </c>
      <c r="D737" s="24">
        <v>110151000</v>
      </c>
      <c r="E737" s="29" t="str">
        <f>'Hitung Per Bulan'!I737</f>
        <v/>
      </c>
      <c r="F737" s="24">
        <v>110151000</v>
      </c>
      <c r="G737" s="29" t="str">
        <f>'Hitung Per Bulan'!J737</f>
        <v/>
      </c>
    </row>
    <row r="738" spans="1:7" x14ac:dyDescent="0.45">
      <c r="A738" t="s">
        <v>13</v>
      </c>
      <c r="B738" t="s">
        <v>34</v>
      </c>
      <c r="C738" t="s">
        <v>25</v>
      </c>
      <c r="D738" s="24">
        <v>111156000</v>
      </c>
      <c r="E738" s="29" t="str">
        <f>'Hitung Per Bulan'!I738</f>
        <v/>
      </c>
      <c r="F738" s="24">
        <v>111156000</v>
      </c>
      <c r="G738" s="29" t="str">
        <f>'Hitung Per Bulan'!J738</f>
        <v/>
      </c>
    </row>
    <row r="739" spans="1:7" x14ac:dyDescent="0.45">
      <c r="A739" t="s">
        <v>14</v>
      </c>
      <c r="B739" t="s">
        <v>34</v>
      </c>
      <c r="C739" t="s">
        <v>25</v>
      </c>
      <c r="D739" s="24">
        <v>277041000</v>
      </c>
      <c r="E739" s="29" t="str">
        <f>'Hitung Per Bulan'!I739</f>
        <v/>
      </c>
      <c r="F739" s="24">
        <v>277041000</v>
      </c>
      <c r="G739" s="29" t="str">
        <f>'Hitung Per Bulan'!J739</f>
        <v/>
      </c>
    </row>
    <row r="740" spans="1:7" x14ac:dyDescent="0.45">
      <c r="A740" t="s">
        <v>15</v>
      </c>
      <c r="B740" t="s">
        <v>34</v>
      </c>
      <c r="C740" t="s">
        <v>25</v>
      </c>
      <c r="D740" s="24">
        <v>100908000</v>
      </c>
      <c r="E740" s="29" t="str">
        <f>'Hitung Per Bulan'!I740</f>
        <v/>
      </c>
      <c r="F740" s="24">
        <v>100908000</v>
      </c>
      <c r="G740" s="29" t="str">
        <f>'Hitung Per Bulan'!J740</f>
        <v/>
      </c>
    </row>
    <row r="741" spans="1:7" x14ac:dyDescent="0.45">
      <c r="A741" t="s">
        <v>16</v>
      </c>
      <c r="B741" t="s">
        <v>34</v>
      </c>
      <c r="C741" t="s">
        <v>25</v>
      </c>
      <c r="D741" s="24">
        <v>45146000</v>
      </c>
      <c r="E741" s="29" t="str">
        <f>'Hitung Per Bulan'!I741</f>
        <v/>
      </c>
      <c r="F741" s="24">
        <v>180146000</v>
      </c>
      <c r="G741" s="29" t="str">
        <f>'Hitung Per Bulan'!J741</f>
        <v/>
      </c>
    </row>
    <row r="742" spans="1:7" x14ac:dyDescent="0.45">
      <c r="A742" t="s">
        <v>17</v>
      </c>
      <c r="B742" t="s">
        <v>34</v>
      </c>
      <c r="C742" t="s">
        <v>25</v>
      </c>
      <c r="D742" s="24">
        <v>121144000</v>
      </c>
      <c r="E742" s="29" t="str">
        <f>'Hitung Per Bulan'!I742</f>
        <v/>
      </c>
      <c r="F742" s="24">
        <v>34744000</v>
      </c>
      <c r="G742" s="29" t="str">
        <f>'Hitung Per Bulan'!J742</f>
        <v/>
      </c>
    </row>
    <row r="743" spans="1:7" x14ac:dyDescent="0.45">
      <c r="A743" t="s">
        <v>18</v>
      </c>
      <c r="B743" t="s">
        <v>34</v>
      </c>
      <c r="C743" t="s">
        <v>25</v>
      </c>
      <c r="D743" s="24">
        <v>62392000</v>
      </c>
      <c r="E743" s="29" t="str">
        <f>'Hitung Per Bulan'!I743</f>
        <v/>
      </c>
      <c r="F743" s="24">
        <v>62392000</v>
      </c>
      <c r="G743" s="29" t="str">
        <f>'Hitung Per Bulan'!J743</f>
        <v/>
      </c>
    </row>
    <row r="744" spans="1:7" x14ac:dyDescent="0.45">
      <c r="A744" t="s">
        <v>19</v>
      </c>
      <c r="B744" t="s">
        <v>34</v>
      </c>
      <c r="C744" t="s">
        <v>25</v>
      </c>
      <c r="D744" s="24">
        <v>101346000</v>
      </c>
      <c r="E744" s="29" t="str">
        <f>'Hitung Per Bulan'!I744</f>
        <v/>
      </c>
      <c r="F744" s="24">
        <v>101346000</v>
      </c>
      <c r="G744" s="29" t="str">
        <f>'Hitung Per Bulan'!J744</f>
        <v/>
      </c>
    </row>
    <row r="745" spans="1:7" x14ac:dyDescent="0.45">
      <c r="A745" t="s">
        <v>20</v>
      </c>
      <c r="B745" t="s">
        <v>34</v>
      </c>
      <c r="C745" t="s">
        <v>25</v>
      </c>
      <c r="D745" s="24">
        <v>35552000</v>
      </c>
      <c r="E745" s="29" t="str">
        <f>'Hitung Per Bulan'!I745</f>
        <v/>
      </c>
      <c r="F745" s="24">
        <v>121952000</v>
      </c>
      <c r="G745" s="29" t="str">
        <f>'Hitung Per Bulan'!J745</f>
        <v/>
      </c>
    </row>
    <row r="746" spans="1:7" x14ac:dyDescent="0.45">
      <c r="A746" t="s">
        <v>7</v>
      </c>
      <c r="B746" t="s">
        <v>34</v>
      </c>
      <c r="C746" t="s">
        <v>26</v>
      </c>
      <c r="D746" s="24">
        <v>192500000</v>
      </c>
      <c r="E746" s="29">
        <f>'Hitung Per Bulan'!I746</f>
        <v>143058335</v>
      </c>
      <c r="F746" s="24">
        <v>192500000</v>
      </c>
      <c r="G746" s="29">
        <f>'Hitung Per Bulan'!J746</f>
        <v>143058335</v>
      </c>
    </row>
    <row r="747" spans="1:7" x14ac:dyDescent="0.45">
      <c r="A747" t="s">
        <v>10</v>
      </c>
      <c r="B747" t="s">
        <v>34</v>
      </c>
      <c r="C747" t="s">
        <v>26</v>
      </c>
      <c r="D747" s="24">
        <v>192500000</v>
      </c>
      <c r="E747" s="29">
        <f>'Hitung Per Bulan'!I747</f>
        <v>141087260</v>
      </c>
      <c r="F747" s="24">
        <v>192500000</v>
      </c>
      <c r="G747" s="29">
        <f>'Hitung Per Bulan'!J747</f>
        <v>141087260</v>
      </c>
    </row>
    <row r="748" spans="1:7" x14ac:dyDescent="0.45">
      <c r="A748" t="s">
        <v>11</v>
      </c>
      <c r="B748" t="s">
        <v>34</v>
      </c>
      <c r="C748" t="s">
        <v>26</v>
      </c>
      <c r="D748" s="24">
        <v>192500000</v>
      </c>
      <c r="E748" s="29">
        <f>'Hitung Per Bulan'!I748</f>
        <v>123653567</v>
      </c>
      <c r="F748" s="24">
        <v>192500000</v>
      </c>
      <c r="G748" s="29">
        <f>'Hitung Per Bulan'!J748</f>
        <v>123653567</v>
      </c>
    </row>
    <row r="749" spans="1:7" x14ac:dyDescent="0.45">
      <c r="A749" t="s">
        <v>12</v>
      </c>
      <c r="B749" t="s">
        <v>34</v>
      </c>
      <c r="C749" t="s">
        <v>26</v>
      </c>
      <c r="D749" s="24">
        <v>192500000</v>
      </c>
      <c r="E749" s="29" t="str">
        <f>'Hitung Per Bulan'!I749</f>
        <v/>
      </c>
      <c r="F749" s="24">
        <v>192500000</v>
      </c>
      <c r="G749" s="29" t="str">
        <f>'Hitung Per Bulan'!J749</f>
        <v/>
      </c>
    </row>
    <row r="750" spans="1:7" x14ac:dyDescent="0.45">
      <c r="A750" t="s">
        <v>13</v>
      </c>
      <c r="B750" t="s">
        <v>34</v>
      </c>
      <c r="C750" t="s">
        <v>26</v>
      </c>
      <c r="D750" s="24">
        <v>192500000</v>
      </c>
      <c r="E750" s="29" t="str">
        <f>'Hitung Per Bulan'!I750</f>
        <v/>
      </c>
      <c r="F750" s="24">
        <v>192500000</v>
      </c>
      <c r="G750" s="29" t="str">
        <f>'Hitung Per Bulan'!J750</f>
        <v/>
      </c>
    </row>
    <row r="751" spans="1:7" x14ac:dyDescent="0.45">
      <c r="A751" t="s">
        <v>14</v>
      </c>
      <c r="B751" t="s">
        <v>34</v>
      </c>
      <c r="C751" t="s">
        <v>26</v>
      </c>
      <c r="D751" s="24">
        <v>192500000</v>
      </c>
      <c r="E751" s="29" t="str">
        <f>'Hitung Per Bulan'!I751</f>
        <v/>
      </c>
      <c r="F751" s="24">
        <v>192500000</v>
      </c>
      <c r="G751" s="29" t="str">
        <f>'Hitung Per Bulan'!J751</f>
        <v/>
      </c>
    </row>
    <row r="752" spans="1:7" x14ac:dyDescent="0.45">
      <c r="A752" t="s">
        <v>15</v>
      </c>
      <c r="B752" t="s">
        <v>34</v>
      </c>
      <c r="C752" t="s">
        <v>26</v>
      </c>
      <c r="D752" s="24">
        <v>192500000</v>
      </c>
      <c r="E752" s="29" t="str">
        <f>'Hitung Per Bulan'!I752</f>
        <v/>
      </c>
      <c r="F752" s="24">
        <v>192500000</v>
      </c>
      <c r="G752" s="29" t="str">
        <f>'Hitung Per Bulan'!J752</f>
        <v/>
      </c>
    </row>
    <row r="753" spans="1:7" x14ac:dyDescent="0.45">
      <c r="A753" t="s">
        <v>16</v>
      </c>
      <c r="B753" t="s">
        <v>34</v>
      </c>
      <c r="C753" t="s">
        <v>26</v>
      </c>
      <c r="D753" s="24">
        <v>192500000</v>
      </c>
      <c r="E753" s="29" t="str">
        <f>'Hitung Per Bulan'!I753</f>
        <v/>
      </c>
      <c r="F753" s="24">
        <v>192500000</v>
      </c>
      <c r="G753" s="29" t="str">
        <f>'Hitung Per Bulan'!J753</f>
        <v/>
      </c>
    </row>
    <row r="754" spans="1:7" x14ac:dyDescent="0.45">
      <c r="A754" t="s">
        <v>17</v>
      </c>
      <c r="B754" t="s">
        <v>34</v>
      </c>
      <c r="C754" t="s">
        <v>26</v>
      </c>
      <c r="D754" s="24">
        <v>192500000</v>
      </c>
      <c r="E754" s="29" t="str">
        <f>'Hitung Per Bulan'!I754</f>
        <v/>
      </c>
      <c r="F754" s="24">
        <v>192500000</v>
      </c>
      <c r="G754" s="29" t="str">
        <f>'Hitung Per Bulan'!J754</f>
        <v/>
      </c>
    </row>
    <row r="755" spans="1:7" x14ac:dyDescent="0.45">
      <c r="A755" t="s">
        <v>18</v>
      </c>
      <c r="B755" t="s">
        <v>34</v>
      </c>
      <c r="C755" t="s">
        <v>26</v>
      </c>
      <c r="D755" s="24">
        <v>192500000</v>
      </c>
      <c r="E755" s="29" t="str">
        <f>'Hitung Per Bulan'!I755</f>
        <v/>
      </c>
      <c r="F755" s="24">
        <v>192500000</v>
      </c>
      <c r="G755" s="29" t="str">
        <f>'Hitung Per Bulan'!J755</f>
        <v/>
      </c>
    </row>
    <row r="756" spans="1:7" x14ac:dyDescent="0.45">
      <c r="A756" t="s">
        <v>19</v>
      </c>
      <c r="B756" t="s">
        <v>34</v>
      </c>
      <c r="C756" t="s">
        <v>26</v>
      </c>
      <c r="D756" s="24">
        <v>192500000</v>
      </c>
      <c r="E756" s="29" t="str">
        <f>'Hitung Per Bulan'!I756</f>
        <v/>
      </c>
      <c r="F756" s="24">
        <v>192500000</v>
      </c>
      <c r="G756" s="29" t="str">
        <f>'Hitung Per Bulan'!J756</f>
        <v/>
      </c>
    </row>
    <row r="757" spans="1:7" x14ac:dyDescent="0.45">
      <c r="A757" t="s">
        <v>20</v>
      </c>
      <c r="B757" t="s">
        <v>34</v>
      </c>
      <c r="C757" t="s">
        <v>26</v>
      </c>
      <c r="D757" s="24">
        <v>192500000</v>
      </c>
      <c r="E757" s="29" t="str">
        <f>'Hitung Per Bulan'!I757</f>
        <v/>
      </c>
      <c r="F757" s="24">
        <v>192500000</v>
      </c>
      <c r="G757" s="29" t="str">
        <f>'Hitung Per Bulan'!J757</f>
        <v/>
      </c>
    </row>
    <row r="758" spans="1:7" x14ac:dyDescent="0.45">
      <c r="A758" t="s">
        <v>7</v>
      </c>
      <c r="B758" t="s">
        <v>35</v>
      </c>
      <c r="C758" t="s">
        <v>9</v>
      </c>
      <c r="D758" s="24">
        <v>138362000</v>
      </c>
      <c r="E758" s="29">
        <f>'Hitung Per Bulan'!I758</f>
        <v>2817500752</v>
      </c>
      <c r="F758" s="24">
        <v>138362000</v>
      </c>
      <c r="G758" s="29">
        <f>'Hitung Per Bulan'!J758</f>
        <v>0</v>
      </c>
    </row>
    <row r="759" spans="1:7" x14ac:dyDescent="0.45">
      <c r="A759" t="s">
        <v>10</v>
      </c>
      <c r="B759" t="s">
        <v>35</v>
      </c>
      <c r="C759" t="s">
        <v>9</v>
      </c>
      <c r="D759" s="24">
        <v>138362000</v>
      </c>
      <c r="E759" s="29">
        <f>'Hitung Per Bulan'!I759</f>
        <v>14723328892</v>
      </c>
      <c r="F759" s="24">
        <v>138362000</v>
      </c>
      <c r="G759" s="29">
        <f>'Hitung Per Bulan'!J759</f>
        <v>426154218</v>
      </c>
    </row>
    <row r="760" spans="1:7" x14ac:dyDescent="0.45">
      <c r="A760" t="s">
        <v>11</v>
      </c>
      <c r="B760" t="s">
        <v>35</v>
      </c>
      <c r="C760" t="s">
        <v>9</v>
      </c>
      <c r="D760" s="24">
        <v>15317250000</v>
      </c>
      <c r="E760" s="29">
        <f>'Hitung Per Bulan'!I760</f>
        <v>3353505257</v>
      </c>
      <c r="F760" s="24">
        <v>138362000</v>
      </c>
      <c r="G760" s="29">
        <f>'Hitung Per Bulan'!J760</f>
        <v>1278956400</v>
      </c>
    </row>
    <row r="761" spans="1:7" x14ac:dyDescent="0.45">
      <c r="A761" t="s">
        <v>12</v>
      </c>
      <c r="B761" t="s">
        <v>35</v>
      </c>
      <c r="C761" t="s">
        <v>9</v>
      </c>
      <c r="D761" s="24">
        <v>515005000</v>
      </c>
      <c r="E761" s="29" t="str">
        <f>'Hitung Per Bulan'!I761</f>
        <v/>
      </c>
      <c r="F761" s="24">
        <v>138362000</v>
      </c>
      <c r="G761" s="29" t="str">
        <f>'Hitung Per Bulan'!J761</f>
        <v/>
      </c>
    </row>
    <row r="762" spans="1:7" x14ac:dyDescent="0.45">
      <c r="A762" t="s">
        <v>13</v>
      </c>
      <c r="B762" t="s">
        <v>35</v>
      </c>
      <c r="C762" t="s">
        <v>9</v>
      </c>
      <c r="D762" s="24">
        <v>1979048000</v>
      </c>
      <c r="E762" s="29" t="str">
        <f>'Hitung Per Bulan'!I762</f>
        <v/>
      </c>
      <c r="F762" s="24">
        <v>1790524000</v>
      </c>
      <c r="G762" s="29" t="str">
        <f>'Hitung Per Bulan'!J762</f>
        <v/>
      </c>
    </row>
    <row r="763" spans="1:7" x14ac:dyDescent="0.45">
      <c r="A763" t="s">
        <v>14</v>
      </c>
      <c r="B763" t="s">
        <v>35</v>
      </c>
      <c r="C763" t="s">
        <v>9</v>
      </c>
      <c r="D763" s="24">
        <v>4818772000</v>
      </c>
      <c r="E763" s="29" t="str">
        <f>'Hitung Per Bulan'!I763</f>
        <v/>
      </c>
      <c r="F763" s="24">
        <v>1231565000</v>
      </c>
      <c r="G763" s="29" t="str">
        <f>'Hitung Per Bulan'!J763</f>
        <v/>
      </c>
    </row>
    <row r="764" spans="1:7" x14ac:dyDescent="0.45">
      <c r="A764" t="s">
        <v>15</v>
      </c>
      <c r="B764" t="s">
        <v>35</v>
      </c>
      <c r="C764" t="s">
        <v>9</v>
      </c>
      <c r="D764" s="24">
        <v>138362000</v>
      </c>
      <c r="E764" s="29" t="str">
        <f>'Hitung Per Bulan'!I764</f>
        <v/>
      </c>
      <c r="F764" s="24">
        <v>542174000</v>
      </c>
      <c r="G764" s="29" t="str">
        <f>'Hitung Per Bulan'!J764</f>
        <v/>
      </c>
    </row>
    <row r="765" spans="1:7" x14ac:dyDescent="0.45">
      <c r="A765" t="s">
        <v>16</v>
      </c>
      <c r="B765" t="s">
        <v>35</v>
      </c>
      <c r="C765" t="s">
        <v>9</v>
      </c>
      <c r="D765" s="24">
        <v>2657670000</v>
      </c>
      <c r="E765" s="29" t="str">
        <f>'Hitung Per Bulan'!I765</f>
        <v/>
      </c>
      <c r="F765" s="24">
        <v>1575236000</v>
      </c>
      <c r="G765" s="29" t="str">
        <f>'Hitung Per Bulan'!J765</f>
        <v/>
      </c>
    </row>
    <row r="766" spans="1:7" x14ac:dyDescent="0.45">
      <c r="A766" t="s">
        <v>17</v>
      </c>
      <c r="B766" t="s">
        <v>35</v>
      </c>
      <c r="C766" t="s">
        <v>9</v>
      </c>
      <c r="D766" s="24">
        <v>465517000</v>
      </c>
      <c r="E766" s="29" t="str">
        <f>'Hitung Per Bulan'!I766</f>
        <v/>
      </c>
      <c r="F766" s="24">
        <v>1365573000</v>
      </c>
      <c r="G766" s="29" t="str">
        <f>'Hitung Per Bulan'!J766</f>
        <v/>
      </c>
    </row>
    <row r="767" spans="1:7" x14ac:dyDescent="0.45">
      <c r="A767" t="s">
        <v>18</v>
      </c>
      <c r="B767" t="s">
        <v>35</v>
      </c>
      <c r="C767" t="s">
        <v>9</v>
      </c>
      <c r="D767" s="24">
        <v>138362000</v>
      </c>
      <c r="E767" s="29" t="str">
        <f>'Hitung Per Bulan'!I767</f>
        <v/>
      </c>
      <c r="F767" s="24">
        <v>13779904000</v>
      </c>
      <c r="G767" s="29" t="str">
        <f>'Hitung Per Bulan'!J767</f>
        <v/>
      </c>
    </row>
    <row r="768" spans="1:7" x14ac:dyDescent="0.45">
      <c r="A768" t="s">
        <v>19</v>
      </c>
      <c r="B768" t="s">
        <v>35</v>
      </c>
      <c r="C768" t="s">
        <v>9</v>
      </c>
      <c r="D768" s="24">
        <v>138362000</v>
      </c>
      <c r="E768" s="29" t="str">
        <f>'Hitung Per Bulan'!I768</f>
        <v/>
      </c>
      <c r="F768" s="24">
        <v>3087340000</v>
      </c>
      <c r="G768" s="29" t="str">
        <f>'Hitung Per Bulan'!J768</f>
        <v/>
      </c>
    </row>
    <row r="769" spans="1:7" x14ac:dyDescent="0.45">
      <c r="A769" t="s">
        <v>20</v>
      </c>
      <c r="B769" t="s">
        <v>35</v>
      </c>
      <c r="C769" t="s">
        <v>9</v>
      </c>
      <c r="D769" s="24">
        <v>138362000</v>
      </c>
      <c r="E769" s="29" t="str">
        <f>'Hitung Per Bulan'!I769</f>
        <v/>
      </c>
      <c r="F769" s="24">
        <v>2657670000</v>
      </c>
      <c r="G769" s="29" t="str">
        <f>'Hitung Per Bulan'!J769</f>
        <v/>
      </c>
    </row>
    <row r="770" spans="1:7" x14ac:dyDescent="0.45">
      <c r="A770" t="s">
        <v>7</v>
      </c>
      <c r="B770" t="s">
        <v>35</v>
      </c>
      <c r="C770" t="s">
        <v>21</v>
      </c>
      <c r="D770" s="24">
        <v>0</v>
      </c>
      <c r="E770" s="29">
        <f>'Hitung Per Bulan'!I770</f>
        <v>0</v>
      </c>
      <c r="F770" s="24">
        <v>0</v>
      </c>
      <c r="G770" s="29">
        <f>'Hitung Per Bulan'!J770</f>
        <v>0</v>
      </c>
    </row>
    <row r="771" spans="1:7" x14ac:dyDescent="0.45">
      <c r="A771" t="s">
        <v>10</v>
      </c>
      <c r="B771" t="s">
        <v>35</v>
      </c>
      <c r="C771" t="s">
        <v>21</v>
      </c>
      <c r="D771" s="24">
        <v>0</v>
      </c>
      <c r="E771" s="29">
        <f>'Hitung Per Bulan'!I771</f>
        <v>0</v>
      </c>
      <c r="F771" s="24">
        <v>0</v>
      </c>
      <c r="G771" s="29">
        <f>'Hitung Per Bulan'!J771</f>
        <v>0</v>
      </c>
    </row>
    <row r="772" spans="1:7" x14ac:dyDescent="0.45">
      <c r="A772" t="s">
        <v>11</v>
      </c>
      <c r="B772" t="s">
        <v>35</v>
      </c>
      <c r="C772" t="s">
        <v>21</v>
      </c>
      <c r="D772" s="24">
        <v>200000000</v>
      </c>
      <c r="E772" s="29">
        <f>'Hitung Per Bulan'!I772</f>
        <v>0</v>
      </c>
      <c r="F772" s="24">
        <v>200000000</v>
      </c>
      <c r="G772" s="29">
        <f>'Hitung Per Bulan'!J772</f>
        <v>0</v>
      </c>
    </row>
    <row r="773" spans="1:7" x14ac:dyDescent="0.45">
      <c r="A773" t="s">
        <v>12</v>
      </c>
      <c r="B773" t="s">
        <v>35</v>
      </c>
      <c r="C773" t="s">
        <v>21</v>
      </c>
      <c r="D773" s="24">
        <v>500000000</v>
      </c>
      <c r="E773" s="29" t="str">
        <f>'Hitung Per Bulan'!I773</f>
        <v/>
      </c>
      <c r="F773" s="24">
        <v>500000000</v>
      </c>
      <c r="G773" s="29" t="str">
        <f>'Hitung Per Bulan'!J773</f>
        <v/>
      </c>
    </row>
    <row r="774" spans="1:7" x14ac:dyDescent="0.45">
      <c r="A774" t="s">
        <v>13</v>
      </c>
      <c r="B774" t="s">
        <v>35</v>
      </c>
      <c r="C774" t="s">
        <v>21</v>
      </c>
      <c r="D774" s="24">
        <v>0</v>
      </c>
      <c r="E774" s="29" t="str">
        <f>'Hitung Per Bulan'!I774</f>
        <v/>
      </c>
      <c r="F774" s="24">
        <v>0</v>
      </c>
      <c r="G774" s="29" t="str">
        <f>'Hitung Per Bulan'!J774</f>
        <v/>
      </c>
    </row>
    <row r="775" spans="1:7" x14ac:dyDescent="0.45">
      <c r="A775" t="s">
        <v>14</v>
      </c>
      <c r="B775" t="s">
        <v>35</v>
      </c>
      <c r="C775" t="s">
        <v>21</v>
      </c>
      <c r="D775" s="24">
        <v>0</v>
      </c>
      <c r="E775" s="29" t="str">
        <f>'Hitung Per Bulan'!I775</f>
        <v/>
      </c>
      <c r="F775" s="24">
        <v>0</v>
      </c>
      <c r="G775" s="29" t="str">
        <f>'Hitung Per Bulan'!J775</f>
        <v/>
      </c>
    </row>
    <row r="776" spans="1:7" x14ac:dyDescent="0.45">
      <c r="A776" t="s">
        <v>15</v>
      </c>
      <c r="B776" t="s">
        <v>35</v>
      </c>
      <c r="C776" t="s">
        <v>21</v>
      </c>
      <c r="D776" s="24">
        <v>200000000</v>
      </c>
      <c r="E776" s="29" t="str">
        <f>'Hitung Per Bulan'!I776</f>
        <v/>
      </c>
      <c r="F776" s="24">
        <v>200000000</v>
      </c>
      <c r="G776" s="29" t="str">
        <f>'Hitung Per Bulan'!J776</f>
        <v/>
      </c>
    </row>
    <row r="777" spans="1:7" x14ac:dyDescent="0.45">
      <c r="A777" t="s">
        <v>16</v>
      </c>
      <c r="B777" t="s">
        <v>35</v>
      </c>
      <c r="C777" t="s">
        <v>21</v>
      </c>
      <c r="D777" s="24">
        <v>0</v>
      </c>
      <c r="E777" s="29" t="str">
        <f>'Hitung Per Bulan'!I777</f>
        <v/>
      </c>
      <c r="F777" s="24">
        <v>0</v>
      </c>
      <c r="G777" s="29" t="str">
        <f>'Hitung Per Bulan'!J777</f>
        <v/>
      </c>
    </row>
    <row r="778" spans="1:7" x14ac:dyDescent="0.45">
      <c r="A778" t="s">
        <v>17</v>
      </c>
      <c r="B778" t="s">
        <v>35</v>
      </c>
      <c r="C778" t="s">
        <v>21</v>
      </c>
      <c r="D778" s="24">
        <v>500000000</v>
      </c>
      <c r="E778" s="29" t="str">
        <f>'Hitung Per Bulan'!I778</f>
        <v/>
      </c>
      <c r="F778" s="24">
        <v>500000000</v>
      </c>
      <c r="G778" s="29" t="str">
        <f>'Hitung Per Bulan'!J778</f>
        <v/>
      </c>
    </row>
    <row r="779" spans="1:7" x14ac:dyDescent="0.45">
      <c r="A779" t="s">
        <v>18</v>
      </c>
      <c r="B779" t="s">
        <v>35</v>
      </c>
      <c r="C779" t="s">
        <v>21</v>
      </c>
      <c r="D779" s="24">
        <v>200000000</v>
      </c>
      <c r="E779" s="29" t="str">
        <f>'Hitung Per Bulan'!I779</f>
        <v/>
      </c>
      <c r="F779" s="24">
        <v>200000000</v>
      </c>
      <c r="G779" s="29" t="str">
        <f>'Hitung Per Bulan'!J779</f>
        <v/>
      </c>
    </row>
    <row r="780" spans="1:7" x14ac:dyDescent="0.45">
      <c r="A780" t="s">
        <v>19</v>
      </c>
      <c r="B780" t="s">
        <v>35</v>
      </c>
      <c r="C780" t="s">
        <v>21</v>
      </c>
      <c r="D780" s="24">
        <v>0</v>
      </c>
      <c r="E780" s="29" t="str">
        <f>'Hitung Per Bulan'!I780</f>
        <v/>
      </c>
      <c r="F780" s="24">
        <v>0</v>
      </c>
      <c r="G780" s="29" t="str">
        <f>'Hitung Per Bulan'!J780</f>
        <v/>
      </c>
    </row>
    <row r="781" spans="1:7" x14ac:dyDescent="0.45">
      <c r="A781" t="s">
        <v>20</v>
      </c>
      <c r="B781" t="s">
        <v>35</v>
      </c>
      <c r="C781" t="s">
        <v>21</v>
      </c>
      <c r="D781" s="24">
        <v>0</v>
      </c>
      <c r="E781" s="29" t="str">
        <f>'Hitung Per Bulan'!I781</f>
        <v/>
      </c>
      <c r="F781" s="24">
        <v>0</v>
      </c>
      <c r="G781" s="29" t="str">
        <f>'Hitung Per Bulan'!J781</f>
        <v/>
      </c>
    </row>
    <row r="782" spans="1:7" x14ac:dyDescent="0.45">
      <c r="A782" t="s">
        <v>7</v>
      </c>
      <c r="B782" t="s">
        <v>35</v>
      </c>
      <c r="C782" t="s">
        <v>22</v>
      </c>
      <c r="D782" s="24">
        <v>0</v>
      </c>
      <c r="E782" s="29">
        <f>'Hitung Per Bulan'!I782</f>
        <v>3970000</v>
      </c>
      <c r="F782" s="24">
        <v>0</v>
      </c>
      <c r="G782" s="29">
        <f>'Hitung Per Bulan'!J782</f>
        <v>0</v>
      </c>
    </row>
    <row r="783" spans="1:7" x14ac:dyDescent="0.45">
      <c r="A783" t="s">
        <v>10</v>
      </c>
      <c r="B783" t="s">
        <v>35</v>
      </c>
      <c r="C783" t="s">
        <v>22</v>
      </c>
      <c r="D783" s="24">
        <v>35387500</v>
      </c>
      <c r="E783" s="29">
        <f>'Hitung Per Bulan'!I783</f>
        <v>24082000</v>
      </c>
      <c r="F783" s="24">
        <v>0</v>
      </c>
      <c r="G783" s="29">
        <f>'Hitung Per Bulan'!J783</f>
        <v>3970000</v>
      </c>
    </row>
    <row r="784" spans="1:7" x14ac:dyDescent="0.45">
      <c r="A784" t="s">
        <v>11</v>
      </c>
      <c r="B784" t="s">
        <v>35</v>
      </c>
      <c r="C784" t="s">
        <v>22</v>
      </c>
      <c r="D784" s="24">
        <v>0</v>
      </c>
      <c r="E784" s="29">
        <f>'Hitung Per Bulan'!I784</f>
        <v>0</v>
      </c>
      <c r="F784" s="24">
        <v>35388000</v>
      </c>
      <c r="G784" s="29">
        <f>'Hitung Per Bulan'!J784</f>
        <v>24082000</v>
      </c>
    </row>
    <row r="785" spans="1:7" x14ac:dyDescent="0.45">
      <c r="A785" t="s">
        <v>12</v>
      </c>
      <c r="B785" t="s">
        <v>35</v>
      </c>
      <c r="C785" t="s">
        <v>22</v>
      </c>
      <c r="D785" s="24">
        <v>0</v>
      </c>
      <c r="E785" s="29" t="str">
        <f>'Hitung Per Bulan'!I785</f>
        <v/>
      </c>
      <c r="F785" s="24">
        <v>0</v>
      </c>
      <c r="G785" s="29" t="str">
        <f>'Hitung Per Bulan'!J785</f>
        <v/>
      </c>
    </row>
    <row r="786" spans="1:7" x14ac:dyDescent="0.45">
      <c r="A786" t="s">
        <v>13</v>
      </c>
      <c r="B786" t="s">
        <v>35</v>
      </c>
      <c r="C786" t="s">
        <v>22</v>
      </c>
      <c r="D786" s="24">
        <v>35387500</v>
      </c>
      <c r="E786" s="29" t="str">
        <f>'Hitung Per Bulan'!I786</f>
        <v/>
      </c>
      <c r="F786" s="24">
        <v>0</v>
      </c>
      <c r="G786" s="29" t="str">
        <f>'Hitung Per Bulan'!J786</f>
        <v/>
      </c>
    </row>
    <row r="787" spans="1:7" x14ac:dyDescent="0.45">
      <c r="A787" t="s">
        <v>14</v>
      </c>
      <c r="B787" t="s">
        <v>35</v>
      </c>
      <c r="C787" t="s">
        <v>22</v>
      </c>
      <c r="D787" s="24">
        <v>0</v>
      </c>
      <c r="E787" s="29" t="str">
        <f>'Hitung Per Bulan'!I787</f>
        <v/>
      </c>
      <c r="F787" s="24">
        <v>35388000</v>
      </c>
      <c r="G787" s="29" t="str">
        <f>'Hitung Per Bulan'!J787</f>
        <v/>
      </c>
    </row>
    <row r="788" spans="1:7" x14ac:dyDescent="0.45">
      <c r="A788" t="s">
        <v>15</v>
      </c>
      <c r="B788" t="s">
        <v>35</v>
      </c>
      <c r="C788" t="s">
        <v>22</v>
      </c>
      <c r="D788" s="24">
        <v>0</v>
      </c>
      <c r="E788" s="29" t="str">
        <f>'Hitung Per Bulan'!I788</f>
        <v/>
      </c>
      <c r="F788" s="24">
        <v>0</v>
      </c>
      <c r="G788" s="29" t="str">
        <f>'Hitung Per Bulan'!J788</f>
        <v/>
      </c>
    </row>
    <row r="789" spans="1:7" x14ac:dyDescent="0.45">
      <c r="A789" t="s">
        <v>16</v>
      </c>
      <c r="B789" t="s">
        <v>35</v>
      </c>
      <c r="C789" t="s">
        <v>22</v>
      </c>
      <c r="D789" s="24">
        <v>35387500</v>
      </c>
      <c r="E789" s="29" t="str">
        <f>'Hitung Per Bulan'!I789</f>
        <v/>
      </c>
      <c r="F789" s="24">
        <v>0</v>
      </c>
      <c r="G789" s="29" t="str">
        <f>'Hitung Per Bulan'!J789</f>
        <v/>
      </c>
    </row>
    <row r="790" spans="1:7" x14ac:dyDescent="0.45">
      <c r="A790" t="s">
        <v>17</v>
      </c>
      <c r="B790" t="s">
        <v>35</v>
      </c>
      <c r="C790" t="s">
        <v>22</v>
      </c>
      <c r="D790" s="24">
        <v>0</v>
      </c>
      <c r="E790" s="29" t="str">
        <f>'Hitung Per Bulan'!I790</f>
        <v/>
      </c>
      <c r="F790" s="24">
        <v>35387000</v>
      </c>
      <c r="G790" s="29" t="str">
        <f>'Hitung Per Bulan'!J790</f>
        <v/>
      </c>
    </row>
    <row r="791" spans="1:7" x14ac:dyDescent="0.45">
      <c r="A791" t="s">
        <v>18</v>
      </c>
      <c r="B791" t="s">
        <v>35</v>
      </c>
      <c r="C791" t="s">
        <v>22</v>
      </c>
      <c r="D791" s="24">
        <v>0</v>
      </c>
      <c r="E791" s="29" t="str">
        <f>'Hitung Per Bulan'!I791</f>
        <v/>
      </c>
      <c r="F791" s="24">
        <v>0</v>
      </c>
      <c r="G791" s="29" t="str">
        <f>'Hitung Per Bulan'!J791</f>
        <v/>
      </c>
    </row>
    <row r="792" spans="1:7" x14ac:dyDescent="0.45">
      <c r="A792" t="s">
        <v>19</v>
      </c>
      <c r="B792" t="s">
        <v>35</v>
      </c>
      <c r="C792" t="s">
        <v>22</v>
      </c>
      <c r="D792" s="24">
        <v>35387500</v>
      </c>
      <c r="E792" s="29" t="str">
        <f>'Hitung Per Bulan'!I792</f>
        <v/>
      </c>
      <c r="F792" s="24">
        <v>0</v>
      </c>
      <c r="G792" s="29" t="str">
        <f>'Hitung Per Bulan'!J792</f>
        <v/>
      </c>
    </row>
    <row r="793" spans="1:7" x14ac:dyDescent="0.45">
      <c r="A793" t="s">
        <v>20</v>
      </c>
      <c r="B793" t="s">
        <v>35</v>
      </c>
      <c r="C793" t="s">
        <v>22</v>
      </c>
      <c r="D793" s="24">
        <v>0</v>
      </c>
      <c r="E793" s="29" t="str">
        <f>'Hitung Per Bulan'!I793</f>
        <v/>
      </c>
      <c r="F793" s="24">
        <v>35387000</v>
      </c>
      <c r="G793" s="29" t="str">
        <f>'Hitung Per Bulan'!J793</f>
        <v/>
      </c>
    </row>
    <row r="794" spans="1:7" x14ac:dyDescent="0.45">
      <c r="A794" t="s">
        <v>7</v>
      </c>
      <c r="B794" t="s">
        <v>35</v>
      </c>
      <c r="C794" t="s">
        <v>23</v>
      </c>
      <c r="D794" s="24">
        <v>0</v>
      </c>
      <c r="E794" s="29">
        <f>'Hitung Per Bulan'!I794</f>
        <v>0</v>
      </c>
      <c r="F794" s="24">
        <v>0</v>
      </c>
      <c r="G794" s="29">
        <f>'Hitung Per Bulan'!J794</f>
        <v>0</v>
      </c>
    </row>
    <row r="795" spans="1:7" x14ac:dyDescent="0.45">
      <c r="A795" t="s">
        <v>10</v>
      </c>
      <c r="B795" t="s">
        <v>35</v>
      </c>
      <c r="C795" t="s">
        <v>23</v>
      </c>
      <c r="D795" s="24">
        <v>0</v>
      </c>
      <c r="E795" s="29">
        <f>'Hitung Per Bulan'!I795</f>
        <v>0</v>
      </c>
      <c r="F795" s="24">
        <v>0</v>
      </c>
      <c r="G795" s="29">
        <f>'Hitung Per Bulan'!J795</f>
        <v>0</v>
      </c>
    </row>
    <row r="796" spans="1:7" x14ac:dyDescent="0.45">
      <c r="A796" t="s">
        <v>11</v>
      </c>
      <c r="B796" t="s">
        <v>35</v>
      </c>
      <c r="C796" t="s">
        <v>23</v>
      </c>
      <c r="D796" s="24">
        <v>50000000</v>
      </c>
      <c r="E796" s="29">
        <f>'Hitung Per Bulan'!I796</f>
        <v>0</v>
      </c>
      <c r="F796" s="24">
        <v>50000000</v>
      </c>
      <c r="G796" s="29">
        <f>'Hitung Per Bulan'!J796</f>
        <v>0</v>
      </c>
    </row>
    <row r="797" spans="1:7" x14ac:dyDescent="0.45">
      <c r="A797" t="s">
        <v>12</v>
      </c>
      <c r="B797" t="s">
        <v>35</v>
      </c>
      <c r="C797" t="s">
        <v>23</v>
      </c>
      <c r="D797" s="24">
        <v>0</v>
      </c>
      <c r="E797" s="29" t="str">
        <f>'Hitung Per Bulan'!I797</f>
        <v/>
      </c>
      <c r="F797" s="24">
        <v>0</v>
      </c>
      <c r="G797" s="29" t="str">
        <f>'Hitung Per Bulan'!J797</f>
        <v/>
      </c>
    </row>
    <row r="798" spans="1:7" x14ac:dyDescent="0.45">
      <c r="A798" t="s">
        <v>13</v>
      </c>
      <c r="B798" t="s">
        <v>35</v>
      </c>
      <c r="C798" t="s">
        <v>23</v>
      </c>
      <c r="D798" s="24">
        <v>0</v>
      </c>
      <c r="E798" s="29" t="str">
        <f>'Hitung Per Bulan'!I798</f>
        <v/>
      </c>
      <c r="F798" s="24">
        <v>0</v>
      </c>
      <c r="G798" s="29" t="str">
        <f>'Hitung Per Bulan'!J798</f>
        <v/>
      </c>
    </row>
    <row r="799" spans="1:7" x14ac:dyDescent="0.45">
      <c r="A799" t="s">
        <v>14</v>
      </c>
      <c r="B799" t="s">
        <v>35</v>
      </c>
      <c r="C799" t="s">
        <v>23</v>
      </c>
      <c r="D799" s="24">
        <v>100000000</v>
      </c>
      <c r="E799" s="29" t="str">
        <f>'Hitung Per Bulan'!I799</f>
        <v/>
      </c>
      <c r="F799" s="24">
        <v>100000000</v>
      </c>
      <c r="G799" s="29" t="str">
        <f>'Hitung Per Bulan'!J799</f>
        <v/>
      </c>
    </row>
    <row r="800" spans="1:7" x14ac:dyDescent="0.45">
      <c r="A800" t="s">
        <v>15</v>
      </c>
      <c r="B800" t="s">
        <v>35</v>
      </c>
      <c r="C800" t="s">
        <v>23</v>
      </c>
      <c r="D800" s="24">
        <v>0</v>
      </c>
      <c r="E800" s="29" t="str">
        <f>'Hitung Per Bulan'!I800</f>
        <v/>
      </c>
      <c r="F800" s="24">
        <v>0</v>
      </c>
      <c r="G800" s="29" t="str">
        <f>'Hitung Per Bulan'!J800</f>
        <v/>
      </c>
    </row>
    <row r="801" spans="1:7" x14ac:dyDescent="0.45">
      <c r="A801" t="s">
        <v>16</v>
      </c>
      <c r="B801" t="s">
        <v>35</v>
      </c>
      <c r="C801" t="s">
        <v>23</v>
      </c>
      <c r="D801" s="24">
        <v>0</v>
      </c>
      <c r="E801" s="29" t="str">
        <f>'Hitung Per Bulan'!I801</f>
        <v/>
      </c>
      <c r="F801" s="24">
        <v>0</v>
      </c>
      <c r="G801" s="29" t="str">
        <f>'Hitung Per Bulan'!J801</f>
        <v/>
      </c>
    </row>
    <row r="802" spans="1:7" x14ac:dyDescent="0.45">
      <c r="A802" t="s">
        <v>17</v>
      </c>
      <c r="B802" t="s">
        <v>35</v>
      </c>
      <c r="C802" t="s">
        <v>23</v>
      </c>
      <c r="D802" s="24">
        <v>50000000</v>
      </c>
      <c r="E802" s="29" t="str">
        <f>'Hitung Per Bulan'!I802</f>
        <v/>
      </c>
      <c r="F802" s="24">
        <v>50000000</v>
      </c>
      <c r="G802" s="29" t="str">
        <f>'Hitung Per Bulan'!J802</f>
        <v/>
      </c>
    </row>
    <row r="803" spans="1:7" x14ac:dyDescent="0.45">
      <c r="A803" t="s">
        <v>18</v>
      </c>
      <c r="B803" t="s">
        <v>35</v>
      </c>
      <c r="C803" t="s">
        <v>23</v>
      </c>
      <c r="D803" s="24">
        <v>0</v>
      </c>
      <c r="E803" s="29" t="str">
        <f>'Hitung Per Bulan'!I803</f>
        <v/>
      </c>
      <c r="F803" s="24">
        <v>0</v>
      </c>
      <c r="G803" s="29" t="str">
        <f>'Hitung Per Bulan'!J803</f>
        <v/>
      </c>
    </row>
    <row r="804" spans="1:7" x14ac:dyDescent="0.45">
      <c r="A804" t="s">
        <v>19</v>
      </c>
      <c r="B804" t="s">
        <v>35</v>
      </c>
      <c r="C804" t="s">
        <v>23</v>
      </c>
      <c r="D804" s="24">
        <v>0</v>
      </c>
      <c r="E804" s="29" t="str">
        <f>'Hitung Per Bulan'!I804</f>
        <v/>
      </c>
      <c r="F804" s="24">
        <v>0</v>
      </c>
      <c r="G804" s="29" t="str">
        <f>'Hitung Per Bulan'!J804</f>
        <v/>
      </c>
    </row>
    <row r="805" spans="1:7" x14ac:dyDescent="0.45">
      <c r="A805" t="s">
        <v>20</v>
      </c>
      <c r="B805" t="s">
        <v>35</v>
      </c>
      <c r="C805" t="s">
        <v>23</v>
      </c>
      <c r="D805" s="24">
        <v>0</v>
      </c>
      <c r="E805" s="29" t="str">
        <f>'Hitung Per Bulan'!I805</f>
        <v/>
      </c>
      <c r="F805" s="24">
        <v>0</v>
      </c>
      <c r="G805" s="29" t="str">
        <f>'Hitung Per Bulan'!J805</f>
        <v/>
      </c>
    </row>
    <row r="806" spans="1:7" x14ac:dyDescent="0.45">
      <c r="A806" t="s">
        <v>7</v>
      </c>
      <c r="B806" t="s">
        <v>35</v>
      </c>
      <c r="C806" t="s">
        <v>24</v>
      </c>
      <c r="D806" s="24">
        <v>0</v>
      </c>
      <c r="E806" s="29">
        <f>'Hitung Per Bulan'!I806</f>
        <v>0</v>
      </c>
      <c r="F806" s="24">
        <v>0</v>
      </c>
      <c r="G806" s="29">
        <f>'Hitung Per Bulan'!J806</f>
        <v>0</v>
      </c>
    </row>
    <row r="807" spans="1:7" x14ac:dyDescent="0.45">
      <c r="A807" t="s">
        <v>10</v>
      </c>
      <c r="B807" t="s">
        <v>35</v>
      </c>
      <c r="C807" t="s">
        <v>24</v>
      </c>
      <c r="D807" s="24">
        <v>0</v>
      </c>
      <c r="E807" s="29">
        <f>'Hitung Per Bulan'!I807</f>
        <v>0</v>
      </c>
      <c r="F807" s="24">
        <v>0</v>
      </c>
      <c r="G807" s="29">
        <f>'Hitung Per Bulan'!J807</f>
        <v>0</v>
      </c>
    </row>
    <row r="808" spans="1:7" x14ac:dyDescent="0.45">
      <c r="A808" t="s">
        <v>11</v>
      </c>
      <c r="B808" t="s">
        <v>35</v>
      </c>
      <c r="C808" t="s">
        <v>24</v>
      </c>
      <c r="D808" s="24">
        <v>0</v>
      </c>
      <c r="E808" s="29">
        <f>'Hitung Per Bulan'!I808</f>
        <v>0</v>
      </c>
      <c r="F808" s="24">
        <v>0</v>
      </c>
      <c r="G808" s="29">
        <f>'Hitung Per Bulan'!J808</f>
        <v>0</v>
      </c>
    </row>
    <row r="809" spans="1:7" x14ac:dyDescent="0.45">
      <c r="A809" t="s">
        <v>12</v>
      </c>
      <c r="B809" t="s">
        <v>35</v>
      </c>
      <c r="C809" t="s">
        <v>24</v>
      </c>
      <c r="D809" s="24">
        <v>0</v>
      </c>
      <c r="E809" s="29" t="str">
        <f>'Hitung Per Bulan'!I809</f>
        <v/>
      </c>
      <c r="F809" s="24">
        <v>0</v>
      </c>
      <c r="G809" s="29" t="str">
        <f>'Hitung Per Bulan'!J809</f>
        <v/>
      </c>
    </row>
    <row r="810" spans="1:7" x14ac:dyDescent="0.45">
      <c r="A810" t="s">
        <v>13</v>
      </c>
      <c r="B810" t="s">
        <v>35</v>
      </c>
      <c r="C810" t="s">
        <v>24</v>
      </c>
      <c r="D810" s="24">
        <v>0</v>
      </c>
      <c r="E810" s="29" t="str">
        <f>'Hitung Per Bulan'!I810</f>
        <v/>
      </c>
      <c r="F810" s="24">
        <v>0</v>
      </c>
      <c r="G810" s="29" t="str">
        <f>'Hitung Per Bulan'!J810</f>
        <v/>
      </c>
    </row>
    <row r="811" spans="1:7" x14ac:dyDescent="0.45">
      <c r="A811" t="s">
        <v>14</v>
      </c>
      <c r="B811" t="s">
        <v>35</v>
      </c>
      <c r="C811" t="s">
        <v>24</v>
      </c>
      <c r="D811" s="24">
        <v>0</v>
      </c>
      <c r="E811" s="29" t="str">
        <f>'Hitung Per Bulan'!I811</f>
        <v/>
      </c>
      <c r="F811" s="24">
        <v>0</v>
      </c>
      <c r="G811" s="29" t="str">
        <f>'Hitung Per Bulan'!J811</f>
        <v/>
      </c>
    </row>
    <row r="812" spans="1:7" x14ac:dyDescent="0.45">
      <c r="A812" t="s">
        <v>15</v>
      </c>
      <c r="B812" t="s">
        <v>35</v>
      </c>
      <c r="C812" t="s">
        <v>24</v>
      </c>
      <c r="D812" s="24">
        <v>0</v>
      </c>
      <c r="E812" s="29" t="str">
        <f>'Hitung Per Bulan'!I812</f>
        <v/>
      </c>
      <c r="F812" s="24">
        <v>0</v>
      </c>
      <c r="G812" s="29" t="str">
        <f>'Hitung Per Bulan'!J812</f>
        <v/>
      </c>
    </row>
    <row r="813" spans="1:7" x14ac:dyDescent="0.45">
      <c r="A813" t="s">
        <v>16</v>
      </c>
      <c r="B813" t="s">
        <v>35</v>
      </c>
      <c r="C813" t="s">
        <v>24</v>
      </c>
      <c r="D813" s="24">
        <v>0</v>
      </c>
      <c r="E813" s="29" t="str">
        <f>'Hitung Per Bulan'!I813</f>
        <v/>
      </c>
      <c r="F813" s="24">
        <v>0</v>
      </c>
      <c r="G813" s="29" t="str">
        <f>'Hitung Per Bulan'!J813</f>
        <v/>
      </c>
    </row>
    <row r="814" spans="1:7" x14ac:dyDescent="0.45">
      <c r="A814" t="s">
        <v>17</v>
      </c>
      <c r="B814" t="s">
        <v>35</v>
      </c>
      <c r="C814" t="s">
        <v>24</v>
      </c>
      <c r="D814" s="24">
        <v>0</v>
      </c>
      <c r="E814" s="29" t="str">
        <f>'Hitung Per Bulan'!I814</f>
        <v/>
      </c>
      <c r="F814" s="24">
        <v>0</v>
      </c>
      <c r="G814" s="29" t="str">
        <f>'Hitung Per Bulan'!J814</f>
        <v/>
      </c>
    </row>
    <row r="815" spans="1:7" x14ac:dyDescent="0.45">
      <c r="A815" t="s">
        <v>18</v>
      </c>
      <c r="B815" t="s">
        <v>35</v>
      </c>
      <c r="C815" t="s">
        <v>24</v>
      </c>
      <c r="D815" s="24">
        <v>0</v>
      </c>
      <c r="E815" s="29" t="str">
        <f>'Hitung Per Bulan'!I815</f>
        <v/>
      </c>
      <c r="F815" s="24">
        <v>0</v>
      </c>
      <c r="G815" s="29" t="str">
        <f>'Hitung Per Bulan'!J815</f>
        <v/>
      </c>
    </row>
    <row r="816" spans="1:7" x14ac:dyDescent="0.45">
      <c r="A816" t="s">
        <v>19</v>
      </c>
      <c r="B816" t="s">
        <v>35</v>
      </c>
      <c r="C816" t="s">
        <v>24</v>
      </c>
      <c r="D816" s="24">
        <v>0</v>
      </c>
      <c r="E816" s="29" t="str">
        <f>'Hitung Per Bulan'!I816</f>
        <v/>
      </c>
      <c r="F816" s="24">
        <v>0</v>
      </c>
      <c r="G816" s="29" t="str">
        <f>'Hitung Per Bulan'!J816</f>
        <v/>
      </c>
    </row>
    <row r="817" spans="1:7" x14ac:dyDescent="0.45">
      <c r="A817" t="s">
        <v>20</v>
      </c>
      <c r="B817" t="s">
        <v>35</v>
      </c>
      <c r="C817" t="s">
        <v>24</v>
      </c>
      <c r="D817" s="24">
        <v>0</v>
      </c>
      <c r="E817" s="29" t="str">
        <f>'Hitung Per Bulan'!I817</f>
        <v/>
      </c>
      <c r="F817" s="24">
        <v>0</v>
      </c>
      <c r="G817" s="29" t="str">
        <f>'Hitung Per Bulan'!J817</f>
        <v/>
      </c>
    </row>
    <row r="818" spans="1:7" x14ac:dyDescent="0.45">
      <c r="A818" t="s">
        <v>7</v>
      </c>
      <c r="B818" t="s">
        <v>35</v>
      </c>
      <c r="C818" t="s">
        <v>25</v>
      </c>
      <c r="D818" s="24">
        <v>82700000</v>
      </c>
      <c r="E818" s="29">
        <f>'Hitung Per Bulan'!I818</f>
        <v>57340750</v>
      </c>
      <c r="F818" s="24">
        <v>82700000</v>
      </c>
      <c r="G818" s="29">
        <f>'Hitung Per Bulan'!J818</f>
        <v>16205500</v>
      </c>
    </row>
    <row r="819" spans="1:7" x14ac:dyDescent="0.45">
      <c r="A819" t="s">
        <v>10</v>
      </c>
      <c r="B819" t="s">
        <v>35</v>
      </c>
      <c r="C819" t="s">
        <v>25</v>
      </c>
      <c r="D819" s="24">
        <v>141200000</v>
      </c>
      <c r="E819" s="29">
        <f>'Hitung Per Bulan'!I819</f>
        <v>82038470</v>
      </c>
      <c r="F819" s="24">
        <v>141200000</v>
      </c>
      <c r="G819" s="29">
        <f>'Hitung Per Bulan'!J819</f>
        <v>70154750</v>
      </c>
    </row>
    <row r="820" spans="1:7" x14ac:dyDescent="0.45">
      <c r="A820" t="s">
        <v>11</v>
      </c>
      <c r="B820" t="s">
        <v>35</v>
      </c>
      <c r="C820" t="s">
        <v>25</v>
      </c>
      <c r="D820" s="24">
        <v>397700000</v>
      </c>
      <c r="E820" s="29">
        <f>'Hitung Per Bulan'!I820</f>
        <v>86080523</v>
      </c>
      <c r="F820" s="24">
        <v>397700000</v>
      </c>
      <c r="G820" s="29">
        <f>'Hitung Per Bulan'!J820</f>
        <v>77098478</v>
      </c>
    </row>
    <row r="821" spans="1:7" x14ac:dyDescent="0.45">
      <c r="A821" t="s">
        <v>12</v>
      </c>
      <c r="B821" t="s">
        <v>35</v>
      </c>
      <c r="C821" t="s">
        <v>25</v>
      </c>
      <c r="D821" s="24">
        <v>142700000</v>
      </c>
      <c r="E821" s="29" t="str">
        <f>'Hitung Per Bulan'!I821</f>
        <v/>
      </c>
      <c r="F821" s="24">
        <v>142700000</v>
      </c>
      <c r="G821" s="29" t="str">
        <f>'Hitung Per Bulan'!J821</f>
        <v/>
      </c>
    </row>
    <row r="822" spans="1:7" x14ac:dyDescent="0.45">
      <c r="A822" t="s">
        <v>13</v>
      </c>
      <c r="B822" t="s">
        <v>35</v>
      </c>
      <c r="C822" t="s">
        <v>25</v>
      </c>
      <c r="D822" s="24">
        <v>121200000</v>
      </c>
      <c r="E822" s="29" t="str">
        <f>'Hitung Per Bulan'!I822</f>
        <v/>
      </c>
      <c r="F822" s="24">
        <v>121200000</v>
      </c>
      <c r="G822" s="29" t="str">
        <f>'Hitung Per Bulan'!J822</f>
        <v/>
      </c>
    </row>
    <row r="823" spans="1:7" x14ac:dyDescent="0.45">
      <c r="A823" t="s">
        <v>14</v>
      </c>
      <c r="B823" t="s">
        <v>35</v>
      </c>
      <c r="C823" t="s">
        <v>25</v>
      </c>
      <c r="D823" s="24">
        <v>167700000</v>
      </c>
      <c r="E823" s="29" t="str">
        <f>'Hitung Per Bulan'!I823</f>
        <v/>
      </c>
      <c r="F823" s="24">
        <v>167700000</v>
      </c>
      <c r="G823" s="29" t="str">
        <f>'Hitung Per Bulan'!J823</f>
        <v/>
      </c>
    </row>
    <row r="824" spans="1:7" x14ac:dyDescent="0.45">
      <c r="A824" t="s">
        <v>15</v>
      </c>
      <c r="B824" t="s">
        <v>35</v>
      </c>
      <c r="C824" t="s">
        <v>25</v>
      </c>
      <c r="D824" s="24">
        <v>165700000</v>
      </c>
      <c r="E824" s="29" t="str">
        <f>'Hitung Per Bulan'!I824</f>
        <v/>
      </c>
      <c r="F824" s="24">
        <v>165700000</v>
      </c>
      <c r="G824" s="29" t="str">
        <f>'Hitung Per Bulan'!J824</f>
        <v/>
      </c>
    </row>
    <row r="825" spans="1:7" x14ac:dyDescent="0.45">
      <c r="A825" t="s">
        <v>16</v>
      </c>
      <c r="B825" t="s">
        <v>35</v>
      </c>
      <c r="C825" t="s">
        <v>25</v>
      </c>
      <c r="D825" s="24">
        <v>134000000</v>
      </c>
      <c r="E825" s="29" t="str">
        <f>'Hitung Per Bulan'!I825</f>
        <v/>
      </c>
      <c r="F825" s="24">
        <v>134000000</v>
      </c>
      <c r="G825" s="29" t="str">
        <f>'Hitung Per Bulan'!J825</f>
        <v/>
      </c>
    </row>
    <row r="826" spans="1:7" x14ac:dyDescent="0.45">
      <c r="A826" t="s">
        <v>17</v>
      </c>
      <c r="B826" t="s">
        <v>35</v>
      </c>
      <c r="C826" t="s">
        <v>25</v>
      </c>
      <c r="D826" s="24">
        <v>142757000</v>
      </c>
      <c r="E826" s="29" t="str">
        <f>'Hitung Per Bulan'!I826</f>
        <v/>
      </c>
      <c r="F826" s="24">
        <v>142757000</v>
      </c>
      <c r="G826" s="29" t="str">
        <f>'Hitung Per Bulan'!J826</f>
        <v/>
      </c>
    </row>
    <row r="827" spans="1:7" x14ac:dyDescent="0.45">
      <c r="A827" t="s">
        <v>18</v>
      </c>
      <c r="B827" t="s">
        <v>35</v>
      </c>
      <c r="C827" t="s">
        <v>25</v>
      </c>
      <c r="D827" s="24">
        <v>102700000</v>
      </c>
      <c r="E827" s="29" t="str">
        <f>'Hitung Per Bulan'!I827</f>
        <v/>
      </c>
      <c r="F827" s="24">
        <v>102700000</v>
      </c>
      <c r="G827" s="29" t="str">
        <f>'Hitung Per Bulan'!J827</f>
        <v/>
      </c>
    </row>
    <row r="828" spans="1:7" x14ac:dyDescent="0.45">
      <c r="A828" t="s">
        <v>19</v>
      </c>
      <c r="B828" t="s">
        <v>35</v>
      </c>
      <c r="C828" t="s">
        <v>25</v>
      </c>
      <c r="D828" s="24">
        <v>185200000</v>
      </c>
      <c r="E828" s="29" t="str">
        <f>'Hitung Per Bulan'!I828</f>
        <v/>
      </c>
      <c r="F828" s="24">
        <v>185200000</v>
      </c>
      <c r="G828" s="29" t="str">
        <f>'Hitung Per Bulan'!J828</f>
        <v/>
      </c>
    </row>
    <row r="829" spans="1:7" x14ac:dyDescent="0.45">
      <c r="A829" t="s">
        <v>20</v>
      </c>
      <c r="B829" t="s">
        <v>35</v>
      </c>
      <c r="C829" t="s">
        <v>25</v>
      </c>
      <c r="D829" s="24">
        <v>77700000</v>
      </c>
      <c r="E829" s="29" t="str">
        <f>'Hitung Per Bulan'!I829</f>
        <v/>
      </c>
      <c r="F829" s="24">
        <v>77700000</v>
      </c>
      <c r="G829" s="29" t="str">
        <f>'Hitung Per Bulan'!J829</f>
        <v/>
      </c>
    </row>
    <row r="830" spans="1:7" x14ac:dyDescent="0.45">
      <c r="A830" t="s">
        <v>7</v>
      </c>
      <c r="B830" t="s">
        <v>35</v>
      </c>
      <c r="C830" t="s">
        <v>26</v>
      </c>
      <c r="D830" s="24">
        <v>242647000</v>
      </c>
      <c r="E830" s="29">
        <f>'Hitung Per Bulan'!I830</f>
        <v>209525890</v>
      </c>
      <c r="F830" s="24">
        <v>242647000</v>
      </c>
      <c r="G830" s="29">
        <f>'Hitung Per Bulan'!J830</f>
        <v>203746495</v>
      </c>
    </row>
    <row r="831" spans="1:7" x14ac:dyDescent="0.45">
      <c r="A831" t="s">
        <v>10</v>
      </c>
      <c r="B831" t="s">
        <v>35</v>
      </c>
      <c r="C831" t="s">
        <v>26</v>
      </c>
      <c r="D831" s="24">
        <v>242647000</v>
      </c>
      <c r="E831" s="29">
        <f>'Hitung Per Bulan'!I831</f>
        <v>202611220</v>
      </c>
      <c r="F831" s="24">
        <v>242647000</v>
      </c>
      <c r="G831" s="29">
        <f>'Hitung Per Bulan'!J831</f>
        <v>207808845</v>
      </c>
    </row>
    <row r="832" spans="1:7" x14ac:dyDescent="0.45">
      <c r="A832" t="s">
        <v>11</v>
      </c>
      <c r="B832" t="s">
        <v>35</v>
      </c>
      <c r="C832" t="s">
        <v>26</v>
      </c>
      <c r="D832" s="24">
        <v>242647000</v>
      </c>
      <c r="E832" s="29">
        <f>'Hitung Per Bulan'!I832</f>
        <v>188630282</v>
      </c>
      <c r="F832" s="24">
        <v>242647000</v>
      </c>
      <c r="G832" s="29">
        <f>'Hitung Per Bulan'!J832</f>
        <v>188755282</v>
      </c>
    </row>
    <row r="833" spans="1:7" x14ac:dyDescent="0.45">
      <c r="A833" t="s">
        <v>12</v>
      </c>
      <c r="B833" t="s">
        <v>35</v>
      </c>
      <c r="C833" t="s">
        <v>26</v>
      </c>
      <c r="D833" s="24">
        <v>242647000</v>
      </c>
      <c r="E833" s="29" t="str">
        <f>'Hitung Per Bulan'!I833</f>
        <v/>
      </c>
      <c r="F833" s="24">
        <v>242647000</v>
      </c>
      <c r="G833" s="29" t="str">
        <f>'Hitung Per Bulan'!J833</f>
        <v/>
      </c>
    </row>
    <row r="834" spans="1:7" x14ac:dyDescent="0.45">
      <c r="A834" t="s">
        <v>13</v>
      </c>
      <c r="B834" t="s">
        <v>35</v>
      </c>
      <c r="C834" t="s">
        <v>26</v>
      </c>
      <c r="D834" s="24">
        <v>242647000</v>
      </c>
      <c r="E834" s="29" t="str">
        <f>'Hitung Per Bulan'!I834</f>
        <v/>
      </c>
      <c r="F834" s="24">
        <v>242647000</v>
      </c>
      <c r="G834" s="29" t="str">
        <f>'Hitung Per Bulan'!J834</f>
        <v/>
      </c>
    </row>
    <row r="835" spans="1:7" x14ac:dyDescent="0.45">
      <c r="A835" t="s">
        <v>14</v>
      </c>
      <c r="B835" t="s">
        <v>35</v>
      </c>
      <c r="C835" t="s">
        <v>26</v>
      </c>
      <c r="D835" s="24">
        <v>242647000</v>
      </c>
      <c r="E835" s="29" t="str">
        <f>'Hitung Per Bulan'!I835</f>
        <v/>
      </c>
      <c r="F835" s="24">
        <v>242647000</v>
      </c>
      <c r="G835" s="29" t="str">
        <f>'Hitung Per Bulan'!J835</f>
        <v/>
      </c>
    </row>
    <row r="836" spans="1:7" x14ac:dyDescent="0.45">
      <c r="A836" t="s">
        <v>15</v>
      </c>
      <c r="B836" t="s">
        <v>35</v>
      </c>
      <c r="C836" t="s">
        <v>26</v>
      </c>
      <c r="D836" s="24">
        <v>242647000</v>
      </c>
      <c r="E836" s="29" t="str">
        <f>'Hitung Per Bulan'!I836</f>
        <v/>
      </c>
      <c r="F836" s="24">
        <v>242647000</v>
      </c>
      <c r="G836" s="29" t="str">
        <f>'Hitung Per Bulan'!J836</f>
        <v/>
      </c>
    </row>
    <row r="837" spans="1:7" x14ac:dyDescent="0.45">
      <c r="A837" t="s">
        <v>16</v>
      </c>
      <c r="B837" t="s">
        <v>35</v>
      </c>
      <c r="C837" t="s">
        <v>26</v>
      </c>
      <c r="D837" s="24">
        <v>242647000</v>
      </c>
      <c r="E837" s="29" t="str">
        <f>'Hitung Per Bulan'!I837</f>
        <v/>
      </c>
      <c r="F837" s="24">
        <v>242647000</v>
      </c>
      <c r="G837" s="29" t="str">
        <f>'Hitung Per Bulan'!J837</f>
        <v/>
      </c>
    </row>
    <row r="838" spans="1:7" x14ac:dyDescent="0.45">
      <c r="A838" t="s">
        <v>17</v>
      </c>
      <c r="B838" t="s">
        <v>35</v>
      </c>
      <c r="C838" t="s">
        <v>26</v>
      </c>
      <c r="D838" s="24">
        <v>242647000</v>
      </c>
      <c r="E838" s="29" t="str">
        <f>'Hitung Per Bulan'!I838</f>
        <v/>
      </c>
      <c r="F838" s="24">
        <v>242647000</v>
      </c>
      <c r="G838" s="29" t="str">
        <f>'Hitung Per Bulan'!J838</f>
        <v/>
      </c>
    </row>
    <row r="839" spans="1:7" x14ac:dyDescent="0.45">
      <c r="A839" t="s">
        <v>18</v>
      </c>
      <c r="B839" t="s">
        <v>35</v>
      </c>
      <c r="C839" t="s">
        <v>26</v>
      </c>
      <c r="D839" s="24">
        <v>242647000</v>
      </c>
      <c r="E839" s="29" t="str">
        <f>'Hitung Per Bulan'!I839</f>
        <v/>
      </c>
      <c r="F839" s="24">
        <v>242647000</v>
      </c>
      <c r="G839" s="29" t="str">
        <f>'Hitung Per Bulan'!J839</f>
        <v/>
      </c>
    </row>
    <row r="840" spans="1:7" x14ac:dyDescent="0.45">
      <c r="A840" t="s">
        <v>19</v>
      </c>
      <c r="B840" t="s">
        <v>35</v>
      </c>
      <c r="C840" t="s">
        <v>26</v>
      </c>
      <c r="D840" s="24">
        <v>242647000</v>
      </c>
      <c r="E840" s="29" t="str">
        <f>'Hitung Per Bulan'!I840</f>
        <v/>
      </c>
      <c r="F840" s="24">
        <v>242647000</v>
      </c>
      <c r="G840" s="29" t="str">
        <f>'Hitung Per Bulan'!J840</f>
        <v/>
      </c>
    </row>
    <row r="841" spans="1:7" x14ac:dyDescent="0.45">
      <c r="A841" t="s">
        <v>20</v>
      </c>
      <c r="B841" t="s">
        <v>35</v>
      </c>
      <c r="C841" t="s">
        <v>26</v>
      </c>
      <c r="D841" s="24">
        <v>242647000</v>
      </c>
      <c r="E841" s="29" t="str">
        <f>'Hitung Per Bulan'!I841</f>
        <v/>
      </c>
      <c r="F841" s="24">
        <v>242647000</v>
      </c>
      <c r="G841" s="29" t="str">
        <f>'Hitung Per Bulan'!J841</f>
        <v/>
      </c>
    </row>
    <row r="842" spans="1:7" x14ac:dyDescent="0.45">
      <c r="A842" t="s">
        <v>7</v>
      </c>
      <c r="B842" t="s">
        <v>36</v>
      </c>
      <c r="C842" t="s">
        <v>9</v>
      </c>
      <c r="D842" s="24">
        <v>256149000</v>
      </c>
      <c r="E842" s="29">
        <f>'Hitung Per Bulan'!I842</f>
        <v>261345961</v>
      </c>
      <c r="F842" s="24">
        <v>0</v>
      </c>
      <c r="G842" s="29">
        <f>'Hitung Per Bulan'!J842</f>
        <v>0</v>
      </c>
    </row>
    <row r="843" spans="1:7" x14ac:dyDescent="0.45">
      <c r="A843" t="s">
        <v>10</v>
      </c>
      <c r="B843" t="s">
        <v>36</v>
      </c>
      <c r="C843" t="s">
        <v>9</v>
      </c>
      <c r="D843" s="24">
        <v>232029000</v>
      </c>
      <c r="E843" s="29">
        <f>'Hitung Per Bulan'!I843</f>
        <v>316431833</v>
      </c>
      <c r="F843" s="24">
        <v>256149000</v>
      </c>
      <c r="G843" s="29">
        <f>'Hitung Per Bulan'!J843</f>
        <v>187448104</v>
      </c>
    </row>
    <row r="844" spans="1:7" x14ac:dyDescent="0.45">
      <c r="A844" t="s">
        <v>11</v>
      </c>
      <c r="B844" t="s">
        <v>36</v>
      </c>
      <c r="C844" t="s">
        <v>9</v>
      </c>
      <c r="D844" s="24">
        <v>320000000</v>
      </c>
      <c r="E844" s="29">
        <f>'Hitung Per Bulan'!I844</f>
        <v>548640026</v>
      </c>
      <c r="F844" s="24">
        <v>232029000</v>
      </c>
      <c r="G844" s="29">
        <f>'Hitung Per Bulan'!J844</f>
        <v>234017410</v>
      </c>
    </row>
    <row r="845" spans="1:7" x14ac:dyDescent="0.45">
      <c r="A845" t="s">
        <v>12</v>
      </c>
      <c r="B845" t="s">
        <v>36</v>
      </c>
      <c r="C845" t="s">
        <v>9</v>
      </c>
      <c r="D845" s="24">
        <v>1567132000</v>
      </c>
      <c r="E845" s="29" t="str">
        <f>'Hitung Per Bulan'!I845</f>
        <v/>
      </c>
      <c r="F845" s="24">
        <v>320000000</v>
      </c>
      <c r="G845" s="29" t="str">
        <f>'Hitung Per Bulan'!J845</f>
        <v/>
      </c>
    </row>
    <row r="846" spans="1:7" x14ac:dyDescent="0.45">
      <c r="A846" t="s">
        <v>13</v>
      </c>
      <c r="B846" t="s">
        <v>36</v>
      </c>
      <c r="C846" t="s">
        <v>9</v>
      </c>
      <c r="D846" s="24">
        <v>3199778000</v>
      </c>
      <c r="E846" s="29" t="str">
        <f>'Hitung Per Bulan'!I846</f>
        <v/>
      </c>
      <c r="F846" s="24">
        <v>346353000</v>
      </c>
      <c r="G846" s="29" t="str">
        <f>'Hitung Per Bulan'!J846</f>
        <v/>
      </c>
    </row>
    <row r="847" spans="1:7" x14ac:dyDescent="0.45">
      <c r="A847" t="s">
        <v>14</v>
      </c>
      <c r="B847" t="s">
        <v>36</v>
      </c>
      <c r="C847" t="s">
        <v>9</v>
      </c>
      <c r="D847" s="24">
        <v>1289274000</v>
      </c>
      <c r="E847" s="29" t="str">
        <f>'Hitung Per Bulan'!I847</f>
        <v/>
      </c>
      <c r="F847" s="24">
        <v>1574794000</v>
      </c>
      <c r="G847" s="29" t="str">
        <f>'Hitung Per Bulan'!J847</f>
        <v/>
      </c>
    </row>
    <row r="848" spans="1:7" x14ac:dyDescent="0.45">
      <c r="A848" t="s">
        <v>15</v>
      </c>
      <c r="B848" t="s">
        <v>36</v>
      </c>
      <c r="C848" t="s">
        <v>9</v>
      </c>
      <c r="D848" s="24">
        <v>1665312000</v>
      </c>
      <c r="E848" s="29" t="str">
        <f>'Hitung Per Bulan'!I848</f>
        <v/>
      </c>
      <c r="F848" s="24">
        <v>1850699000</v>
      </c>
      <c r="G848" s="29" t="str">
        <f>'Hitung Per Bulan'!J848</f>
        <v/>
      </c>
    </row>
    <row r="849" spans="1:7" x14ac:dyDescent="0.45">
      <c r="A849" t="s">
        <v>16</v>
      </c>
      <c r="B849" t="s">
        <v>36</v>
      </c>
      <c r="C849" t="s">
        <v>9</v>
      </c>
      <c r="D849" s="24">
        <v>1072588000</v>
      </c>
      <c r="E849" s="29" t="str">
        <f>'Hitung Per Bulan'!I849</f>
        <v/>
      </c>
      <c r="F849" s="24">
        <v>2404338000</v>
      </c>
      <c r="G849" s="29" t="str">
        <f>'Hitung Per Bulan'!J849</f>
        <v/>
      </c>
    </row>
    <row r="850" spans="1:7" x14ac:dyDescent="0.45">
      <c r="A850" t="s">
        <v>17</v>
      </c>
      <c r="B850" t="s">
        <v>36</v>
      </c>
      <c r="C850" t="s">
        <v>9</v>
      </c>
      <c r="D850" s="24">
        <v>1131003000</v>
      </c>
      <c r="E850" s="29" t="str">
        <f>'Hitung Per Bulan'!I850</f>
        <v/>
      </c>
      <c r="F850" s="24">
        <v>871823000</v>
      </c>
      <c r="G850" s="29" t="str">
        <f>'Hitung Per Bulan'!J850</f>
        <v/>
      </c>
    </row>
    <row r="851" spans="1:7" x14ac:dyDescent="0.45">
      <c r="A851" t="s">
        <v>18</v>
      </c>
      <c r="B851" t="s">
        <v>36</v>
      </c>
      <c r="C851" t="s">
        <v>9</v>
      </c>
      <c r="D851" s="24">
        <v>170000000</v>
      </c>
      <c r="E851" s="29" t="str">
        <f>'Hitung Per Bulan'!I851</f>
        <v/>
      </c>
      <c r="F851" s="24">
        <v>1131003000</v>
      </c>
      <c r="G851" s="29" t="str">
        <f>'Hitung Per Bulan'!J851</f>
        <v/>
      </c>
    </row>
    <row r="852" spans="1:7" x14ac:dyDescent="0.45">
      <c r="A852" t="s">
        <v>19</v>
      </c>
      <c r="B852" t="s">
        <v>36</v>
      </c>
      <c r="C852" t="s">
        <v>9</v>
      </c>
      <c r="D852" s="24">
        <v>219669000</v>
      </c>
      <c r="E852" s="29" t="str">
        <f>'Hitung Per Bulan'!I852</f>
        <v/>
      </c>
      <c r="F852" s="24">
        <v>1916077000</v>
      </c>
      <c r="G852" s="29" t="str">
        <f>'Hitung Per Bulan'!J852</f>
        <v/>
      </c>
    </row>
    <row r="853" spans="1:7" x14ac:dyDescent="0.45">
      <c r="A853" t="s">
        <v>20</v>
      </c>
      <c r="B853" t="s">
        <v>36</v>
      </c>
      <c r="C853" t="s">
        <v>9</v>
      </c>
      <c r="D853" s="24">
        <v>0</v>
      </c>
      <c r="E853" s="29" t="str">
        <f>'Hitung Per Bulan'!I853</f>
        <v/>
      </c>
      <c r="F853" s="24">
        <v>219669000</v>
      </c>
      <c r="G853" s="29" t="str">
        <f>'Hitung Per Bulan'!J853</f>
        <v/>
      </c>
    </row>
    <row r="854" spans="1:7" x14ac:dyDescent="0.45">
      <c r="A854" t="s">
        <v>7</v>
      </c>
      <c r="B854" t="s">
        <v>36</v>
      </c>
      <c r="C854" t="s">
        <v>21</v>
      </c>
      <c r="D854" s="24">
        <v>0</v>
      </c>
      <c r="E854" s="29">
        <f>'Hitung Per Bulan'!I854</f>
        <v>0</v>
      </c>
      <c r="F854" s="24">
        <v>0</v>
      </c>
      <c r="G854" s="29">
        <f>'Hitung Per Bulan'!J854</f>
        <v>0</v>
      </c>
    </row>
    <row r="855" spans="1:7" x14ac:dyDescent="0.45">
      <c r="A855" t="s">
        <v>10</v>
      </c>
      <c r="B855" t="s">
        <v>36</v>
      </c>
      <c r="C855" t="s">
        <v>21</v>
      </c>
      <c r="D855" s="24">
        <v>0</v>
      </c>
      <c r="E855" s="29">
        <f>'Hitung Per Bulan'!I855</f>
        <v>0</v>
      </c>
      <c r="F855" s="24">
        <v>0</v>
      </c>
      <c r="G855" s="29">
        <f>'Hitung Per Bulan'!J855</f>
        <v>0</v>
      </c>
    </row>
    <row r="856" spans="1:7" x14ac:dyDescent="0.45">
      <c r="A856" t="s">
        <v>11</v>
      </c>
      <c r="B856" t="s">
        <v>36</v>
      </c>
      <c r="C856" t="s">
        <v>21</v>
      </c>
      <c r="D856" s="24">
        <v>0</v>
      </c>
      <c r="E856" s="29">
        <f>'Hitung Per Bulan'!I856</f>
        <v>0</v>
      </c>
      <c r="F856" s="24">
        <v>0</v>
      </c>
      <c r="G856" s="29">
        <f>'Hitung Per Bulan'!J856</f>
        <v>0</v>
      </c>
    </row>
    <row r="857" spans="1:7" x14ac:dyDescent="0.45">
      <c r="A857" t="s">
        <v>12</v>
      </c>
      <c r="B857" t="s">
        <v>36</v>
      </c>
      <c r="C857" t="s">
        <v>21</v>
      </c>
      <c r="D857" s="24">
        <v>0</v>
      </c>
      <c r="E857" s="29" t="str">
        <f>'Hitung Per Bulan'!I857</f>
        <v/>
      </c>
      <c r="F857" s="24">
        <v>0</v>
      </c>
      <c r="G857" s="29" t="str">
        <f>'Hitung Per Bulan'!J857</f>
        <v/>
      </c>
    </row>
    <row r="858" spans="1:7" x14ac:dyDescent="0.45">
      <c r="A858" t="s">
        <v>13</v>
      </c>
      <c r="B858" t="s">
        <v>36</v>
      </c>
      <c r="C858" t="s">
        <v>21</v>
      </c>
      <c r="D858" s="24">
        <v>200000000</v>
      </c>
      <c r="E858" s="29" t="str">
        <f>'Hitung Per Bulan'!I858</f>
        <v/>
      </c>
      <c r="F858" s="24">
        <v>0</v>
      </c>
      <c r="G858" s="29" t="str">
        <f>'Hitung Per Bulan'!J858</f>
        <v/>
      </c>
    </row>
    <row r="859" spans="1:7" x14ac:dyDescent="0.45">
      <c r="A859" t="s">
        <v>14</v>
      </c>
      <c r="B859" t="s">
        <v>36</v>
      </c>
      <c r="C859" t="s">
        <v>21</v>
      </c>
      <c r="D859" s="24">
        <v>0</v>
      </c>
      <c r="E859" s="29" t="str">
        <f>'Hitung Per Bulan'!I859</f>
        <v/>
      </c>
      <c r="F859" s="24">
        <v>0</v>
      </c>
      <c r="G859" s="29" t="str">
        <f>'Hitung Per Bulan'!J859</f>
        <v/>
      </c>
    </row>
    <row r="860" spans="1:7" x14ac:dyDescent="0.45">
      <c r="A860" t="s">
        <v>15</v>
      </c>
      <c r="B860" t="s">
        <v>36</v>
      </c>
      <c r="C860" t="s">
        <v>21</v>
      </c>
      <c r="D860" s="24">
        <v>0</v>
      </c>
      <c r="E860" s="29" t="str">
        <f>'Hitung Per Bulan'!I860</f>
        <v/>
      </c>
      <c r="F860" s="24">
        <v>200000000</v>
      </c>
      <c r="G860" s="29" t="str">
        <f>'Hitung Per Bulan'!J860</f>
        <v/>
      </c>
    </row>
    <row r="861" spans="1:7" x14ac:dyDescent="0.45">
      <c r="A861" t="s">
        <v>16</v>
      </c>
      <c r="B861" t="s">
        <v>36</v>
      </c>
      <c r="C861" t="s">
        <v>21</v>
      </c>
      <c r="D861" s="24">
        <v>0</v>
      </c>
      <c r="E861" s="29" t="str">
        <f>'Hitung Per Bulan'!I861</f>
        <v/>
      </c>
      <c r="F861" s="24">
        <v>0</v>
      </c>
      <c r="G861" s="29" t="str">
        <f>'Hitung Per Bulan'!J861</f>
        <v/>
      </c>
    </row>
    <row r="862" spans="1:7" x14ac:dyDescent="0.45">
      <c r="A862" t="s">
        <v>17</v>
      </c>
      <c r="B862" t="s">
        <v>36</v>
      </c>
      <c r="C862" t="s">
        <v>21</v>
      </c>
      <c r="D862" s="24">
        <v>0</v>
      </c>
      <c r="E862" s="29" t="str">
        <f>'Hitung Per Bulan'!I862</f>
        <v/>
      </c>
      <c r="F862" s="24">
        <v>0</v>
      </c>
      <c r="G862" s="29" t="str">
        <f>'Hitung Per Bulan'!J862</f>
        <v/>
      </c>
    </row>
    <row r="863" spans="1:7" x14ac:dyDescent="0.45">
      <c r="A863" t="s">
        <v>18</v>
      </c>
      <c r="B863" t="s">
        <v>36</v>
      </c>
      <c r="C863" t="s">
        <v>21</v>
      </c>
      <c r="D863" s="24">
        <v>0</v>
      </c>
      <c r="E863" s="29" t="str">
        <f>'Hitung Per Bulan'!I863</f>
        <v/>
      </c>
      <c r="F863" s="24">
        <v>0</v>
      </c>
      <c r="G863" s="29" t="str">
        <f>'Hitung Per Bulan'!J863</f>
        <v/>
      </c>
    </row>
    <row r="864" spans="1:7" x14ac:dyDescent="0.45">
      <c r="A864" t="s">
        <v>19</v>
      </c>
      <c r="B864" t="s">
        <v>36</v>
      </c>
      <c r="C864" t="s">
        <v>21</v>
      </c>
      <c r="D864" s="24">
        <v>0</v>
      </c>
      <c r="E864" s="29" t="str">
        <f>'Hitung Per Bulan'!I864</f>
        <v/>
      </c>
      <c r="F864" s="24">
        <v>0</v>
      </c>
      <c r="G864" s="29" t="str">
        <f>'Hitung Per Bulan'!J864</f>
        <v/>
      </c>
    </row>
    <row r="865" spans="1:7" x14ac:dyDescent="0.45">
      <c r="A865" t="s">
        <v>20</v>
      </c>
      <c r="B865" t="s">
        <v>36</v>
      </c>
      <c r="C865" t="s">
        <v>21</v>
      </c>
      <c r="D865" s="24">
        <v>0</v>
      </c>
      <c r="E865" s="29" t="str">
        <f>'Hitung Per Bulan'!I865</f>
        <v/>
      </c>
      <c r="F865" s="24">
        <v>0</v>
      </c>
      <c r="G865" s="29" t="str">
        <f>'Hitung Per Bulan'!J865</f>
        <v/>
      </c>
    </row>
    <row r="866" spans="1:7" x14ac:dyDescent="0.45">
      <c r="A866" t="s">
        <v>7</v>
      </c>
      <c r="B866" t="s">
        <v>36</v>
      </c>
      <c r="C866" t="s">
        <v>22</v>
      </c>
      <c r="D866" s="24">
        <v>0</v>
      </c>
      <c r="E866" s="29">
        <f>'Hitung Per Bulan'!I866</f>
        <v>0</v>
      </c>
      <c r="F866" s="24">
        <v>0</v>
      </c>
      <c r="G866" s="29">
        <f>'Hitung Per Bulan'!J866</f>
        <v>0</v>
      </c>
    </row>
    <row r="867" spans="1:7" x14ac:dyDescent="0.45">
      <c r="A867" t="s">
        <v>10</v>
      </c>
      <c r="B867" t="s">
        <v>36</v>
      </c>
      <c r="C867" t="s">
        <v>22</v>
      </c>
      <c r="D867" s="24">
        <v>24996000</v>
      </c>
      <c r="E867" s="29">
        <f>'Hitung Per Bulan'!I867</f>
        <v>0</v>
      </c>
      <c r="F867" s="24">
        <v>0</v>
      </c>
      <c r="G867" s="29">
        <f>'Hitung Per Bulan'!J867</f>
        <v>0</v>
      </c>
    </row>
    <row r="868" spans="1:7" x14ac:dyDescent="0.45">
      <c r="A868" t="s">
        <v>11</v>
      </c>
      <c r="B868" t="s">
        <v>36</v>
      </c>
      <c r="C868" t="s">
        <v>22</v>
      </c>
      <c r="D868" s="24">
        <v>0</v>
      </c>
      <c r="E868" s="29">
        <f>'Hitung Per Bulan'!I868</f>
        <v>19823200</v>
      </c>
      <c r="F868" s="24">
        <v>24996000</v>
      </c>
      <c r="G868" s="29">
        <f>'Hitung Per Bulan'!J868</f>
        <v>0</v>
      </c>
    </row>
    <row r="869" spans="1:7" x14ac:dyDescent="0.45">
      <c r="A869" t="s">
        <v>12</v>
      </c>
      <c r="B869" t="s">
        <v>36</v>
      </c>
      <c r="C869" t="s">
        <v>22</v>
      </c>
      <c r="D869" s="24">
        <v>0</v>
      </c>
      <c r="E869" s="29" t="str">
        <f>'Hitung Per Bulan'!I869</f>
        <v/>
      </c>
      <c r="F869" s="24">
        <v>0</v>
      </c>
      <c r="G869" s="29" t="str">
        <f>'Hitung Per Bulan'!J869</f>
        <v/>
      </c>
    </row>
    <row r="870" spans="1:7" x14ac:dyDescent="0.45">
      <c r="A870" t="s">
        <v>13</v>
      </c>
      <c r="B870" t="s">
        <v>36</v>
      </c>
      <c r="C870" t="s">
        <v>22</v>
      </c>
      <c r="D870" s="24">
        <v>24994000</v>
      </c>
      <c r="E870" s="29" t="str">
        <f>'Hitung Per Bulan'!I870</f>
        <v/>
      </c>
      <c r="F870" s="24">
        <v>0</v>
      </c>
      <c r="G870" s="29" t="str">
        <f>'Hitung Per Bulan'!J870</f>
        <v/>
      </c>
    </row>
    <row r="871" spans="1:7" x14ac:dyDescent="0.45">
      <c r="A871" t="s">
        <v>14</v>
      </c>
      <c r="B871" t="s">
        <v>36</v>
      </c>
      <c r="C871" t="s">
        <v>22</v>
      </c>
      <c r="D871" s="24">
        <v>0</v>
      </c>
      <c r="E871" s="29" t="str">
        <f>'Hitung Per Bulan'!I871</f>
        <v/>
      </c>
      <c r="F871" s="24">
        <v>24994000</v>
      </c>
      <c r="G871" s="29" t="str">
        <f>'Hitung Per Bulan'!J871</f>
        <v/>
      </c>
    </row>
    <row r="872" spans="1:7" x14ac:dyDescent="0.45">
      <c r="A872" t="s">
        <v>15</v>
      </c>
      <c r="B872" t="s">
        <v>36</v>
      </c>
      <c r="C872" t="s">
        <v>22</v>
      </c>
      <c r="D872" s="24">
        <v>0</v>
      </c>
      <c r="E872" s="29" t="str">
        <f>'Hitung Per Bulan'!I872</f>
        <v/>
      </c>
      <c r="F872" s="24">
        <v>0</v>
      </c>
      <c r="G872" s="29" t="str">
        <f>'Hitung Per Bulan'!J872</f>
        <v/>
      </c>
    </row>
    <row r="873" spans="1:7" x14ac:dyDescent="0.45">
      <c r="A873" t="s">
        <v>16</v>
      </c>
      <c r="B873" t="s">
        <v>36</v>
      </c>
      <c r="C873" t="s">
        <v>22</v>
      </c>
      <c r="D873" s="24">
        <v>24996000</v>
      </c>
      <c r="E873" s="29" t="str">
        <f>'Hitung Per Bulan'!I873</f>
        <v/>
      </c>
      <c r="F873" s="24">
        <v>0</v>
      </c>
      <c r="G873" s="29" t="str">
        <f>'Hitung Per Bulan'!J873</f>
        <v/>
      </c>
    </row>
    <row r="874" spans="1:7" x14ac:dyDescent="0.45">
      <c r="A874" t="s">
        <v>17</v>
      </c>
      <c r="B874" t="s">
        <v>36</v>
      </c>
      <c r="C874" t="s">
        <v>22</v>
      </c>
      <c r="D874" s="24">
        <v>0</v>
      </c>
      <c r="E874" s="29" t="str">
        <f>'Hitung Per Bulan'!I874</f>
        <v/>
      </c>
      <c r="F874" s="24">
        <v>24996000</v>
      </c>
      <c r="G874" s="29" t="str">
        <f>'Hitung Per Bulan'!J874</f>
        <v/>
      </c>
    </row>
    <row r="875" spans="1:7" x14ac:dyDescent="0.45">
      <c r="A875" t="s">
        <v>18</v>
      </c>
      <c r="B875" t="s">
        <v>36</v>
      </c>
      <c r="C875" t="s">
        <v>22</v>
      </c>
      <c r="D875" s="24">
        <v>0</v>
      </c>
      <c r="E875" s="29" t="str">
        <f>'Hitung Per Bulan'!I875</f>
        <v/>
      </c>
      <c r="F875" s="24">
        <v>0</v>
      </c>
      <c r="G875" s="29" t="str">
        <f>'Hitung Per Bulan'!J875</f>
        <v/>
      </c>
    </row>
    <row r="876" spans="1:7" x14ac:dyDescent="0.45">
      <c r="A876" t="s">
        <v>19</v>
      </c>
      <c r="B876" t="s">
        <v>36</v>
      </c>
      <c r="C876" t="s">
        <v>22</v>
      </c>
      <c r="D876" s="24">
        <v>24994000</v>
      </c>
      <c r="E876" s="29" t="str">
        <f>'Hitung Per Bulan'!I876</f>
        <v/>
      </c>
      <c r="F876" s="24">
        <v>0</v>
      </c>
      <c r="G876" s="29" t="str">
        <f>'Hitung Per Bulan'!J876</f>
        <v/>
      </c>
    </row>
    <row r="877" spans="1:7" x14ac:dyDescent="0.45">
      <c r="A877" t="s">
        <v>20</v>
      </c>
      <c r="B877" t="s">
        <v>36</v>
      </c>
      <c r="C877" t="s">
        <v>22</v>
      </c>
      <c r="D877" s="24">
        <v>0</v>
      </c>
      <c r="E877" s="29" t="str">
        <f>'Hitung Per Bulan'!I877</f>
        <v/>
      </c>
      <c r="F877" s="24">
        <v>24994000</v>
      </c>
      <c r="G877" s="29" t="str">
        <f>'Hitung Per Bulan'!J877</f>
        <v/>
      </c>
    </row>
    <row r="878" spans="1:7" x14ac:dyDescent="0.45">
      <c r="A878" t="s">
        <v>7</v>
      </c>
      <c r="B878" t="s">
        <v>36</v>
      </c>
      <c r="C878" t="s">
        <v>23</v>
      </c>
      <c r="D878" s="24">
        <v>0</v>
      </c>
      <c r="E878" s="29">
        <f>'Hitung Per Bulan'!I878</f>
        <v>0</v>
      </c>
      <c r="F878" s="24">
        <v>0</v>
      </c>
      <c r="G878" s="29">
        <f>'Hitung Per Bulan'!J878</f>
        <v>0</v>
      </c>
    </row>
    <row r="879" spans="1:7" x14ac:dyDescent="0.45">
      <c r="A879" t="s">
        <v>10</v>
      </c>
      <c r="B879" t="s">
        <v>36</v>
      </c>
      <c r="C879" t="s">
        <v>23</v>
      </c>
      <c r="D879" s="24">
        <v>0</v>
      </c>
      <c r="E879" s="29">
        <f>'Hitung Per Bulan'!I879</f>
        <v>0</v>
      </c>
      <c r="F879" s="24">
        <v>0</v>
      </c>
      <c r="G879" s="29">
        <f>'Hitung Per Bulan'!J879</f>
        <v>0</v>
      </c>
    </row>
    <row r="880" spans="1:7" x14ac:dyDescent="0.45">
      <c r="A880" t="s">
        <v>11</v>
      </c>
      <c r="B880" t="s">
        <v>36</v>
      </c>
      <c r="C880" t="s">
        <v>23</v>
      </c>
      <c r="D880" s="24">
        <v>0</v>
      </c>
      <c r="E880" s="29">
        <f>'Hitung Per Bulan'!I880</f>
        <v>11000000</v>
      </c>
      <c r="F880" s="24">
        <v>0</v>
      </c>
      <c r="G880" s="29">
        <f>'Hitung Per Bulan'!J880</f>
        <v>0</v>
      </c>
    </row>
    <row r="881" spans="1:7" x14ac:dyDescent="0.45">
      <c r="A881" t="s">
        <v>12</v>
      </c>
      <c r="B881" t="s">
        <v>36</v>
      </c>
      <c r="C881" t="s">
        <v>23</v>
      </c>
      <c r="D881" s="24">
        <v>0</v>
      </c>
      <c r="E881" s="29" t="str">
        <f>'Hitung Per Bulan'!I881</f>
        <v/>
      </c>
      <c r="F881" s="24">
        <v>0</v>
      </c>
      <c r="G881" s="29" t="str">
        <f>'Hitung Per Bulan'!J881</f>
        <v/>
      </c>
    </row>
    <row r="882" spans="1:7" x14ac:dyDescent="0.45">
      <c r="A882" t="s">
        <v>13</v>
      </c>
      <c r="B882" t="s">
        <v>36</v>
      </c>
      <c r="C882" t="s">
        <v>23</v>
      </c>
      <c r="D882" s="24">
        <v>0</v>
      </c>
      <c r="E882" s="29" t="str">
        <f>'Hitung Per Bulan'!I882</f>
        <v/>
      </c>
      <c r="F882" s="24">
        <v>0</v>
      </c>
      <c r="G882" s="29" t="str">
        <f>'Hitung Per Bulan'!J882</f>
        <v/>
      </c>
    </row>
    <row r="883" spans="1:7" x14ac:dyDescent="0.45">
      <c r="A883" t="s">
        <v>14</v>
      </c>
      <c r="B883" t="s">
        <v>36</v>
      </c>
      <c r="C883" t="s">
        <v>23</v>
      </c>
      <c r="D883" s="24">
        <v>0</v>
      </c>
      <c r="E883" s="29" t="str">
        <f>'Hitung Per Bulan'!I883</f>
        <v/>
      </c>
      <c r="F883" s="24">
        <v>0</v>
      </c>
      <c r="G883" s="29" t="str">
        <f>'Hitung Per Bulan'!J883</f>
        <v/>
      </c>
    </row>
    <row r="884" spans="1:7" x14ac:dyDescent="0.45">
      <c r="A884" t="s">
        <v>15</v>
      </c>
      <c r="B884" t="s">
        <v>36</v>
      </c>
      <c r="C884" t="s">
        <v>23</v>
      </c>
      <c r="D884" s="24">
        <v>0</v>
      </c>
      <c r="E884" s="29" t="str">
        <f>'Hitung Per Bulan'!I884</f>
        <v/>
      </c>
      <c r="F884" s="24">
        <v>0</v>
      </c>
      <c r="G884" s="29" t="str">
        <f>'Hitung Per Bulan'!J884</f>
        <v/>
      </c>
    </row>
    <row r="885" spans="1:7" x14ac:dyDescent="0.45">
      <c r="A885" t="s">
        <v>16</v>
      </c>
      <c r="B885" t="s">
        <v>36</v>
      </c>
      <c r="C885" t="s">
        <v>23</v>
      </c>
      <c r="D885" s="24">
        <v>110000000</v>
      </c>
      <c r="E885" s="29" t="str">
        <f>'Hitung Per Bulan'!I885</f>
        <v/>
      </c>
      <c r="F885" s="24">
        <v>0</v>
      </c>
      <c r="G885" s="29" t="str">
        <f>'Hitung Per Bulan'!J885</f>
        <v/>
      </c>
    </row>
    <row r="886" spans="1:7" x14ac:dyDescent="0.45">
      <c r="A886" t="s">
        <v>17</v>
      </c>
      <c r="B886" t="s">
        <v>36</v>
      </c>
      <c r="C886" t="s">
        <v>23</v>
      </c>
      <c r="D886" s="24">
        <v>0</v>
      </c>
      <c r="E886" s="29" t="str">
        <f>'Hitung Per Bulan'!I886</f>
        <v/>
      </c>
      <c r="F886" s="24">
        <v>0</v>
      </c>
      <c r="G886" s="29" t="str">
        <f>'Hitung Per Bulan'!J886</f>
        <v/>
      </c>
    </row>
    <row r="887" spans="1:7" x14ac:dyDescent="0.45">
      <c r="A887" t="s">
        <v>18</v>
      </c>
      <c r="B887" t="s">
        <v>36</v>
      </c>
      <c r="C887" t="s">
        <v>23</v>
      </c>
      <c r="D887" s="24">
        <v>0</v>
      </c>
      <c r="E887" s="29" t="str">
        <f>'Hitung Per Bulan'!I887</f>
        <v/>
      </c>
      <c r="F887" s="24">
        <v>110000000</v>
      </c>
      <c r="G887" s="29" t="str">
        <f>'Hitung Per Bulan'!J887</f>
        <v/>
      </c>
    </row>
    <row r="888" spans="1:7" x14ac:dyDescent="0.45">
      <c r="A888" t="s">
        <v>19</v>
      </c>
      <c r="B888" t="s">
        <v>36</v>
      </c>
      <c r="C888" t="s">
        <v>23</v>
      </c>
      <c r="D888" s="24">
        <v>0</v>
      </c>
      <c r="E888" s="29" t="str">
        <f>'Hitung Per Bulan'!I888</f>
        <v/>
      </c>
      <c r="F888" s="24">
        <v>0</v>
      </c>
      <c r="G888" s="29" t="str">
        <f>'Hitung Per Bulan'!J888</f>
        <v/>
      </c>
    </row>
    <row r="889" spans="1:7" x14ac:dyDescent="0.45">
      <c r="A889" t="s">
        <v>20</v>
      </c>
      <c r="B889" t="s">
        <v>36</v>
      </c>
      <c r="C889" t="s">
        <v>23</v>
      </c>
      <c r="D889" s="24">
        <v>0</v>
      </c>
      <c r="E889" s="29" t="str">
        <f>'Hitung Per Bulan'!I889</f>
        <v/>
      </c>
      <c r="F889" s="24">
        <v>0</v>
      </c>
      <c r="G889" s="29" t="str">
        <f>'Hitung Per Bulan'!J889</f>
        <v/>
      </c>
    </row>
    <row r="890" spans="1:7" x14ac:dyDescent="0.45">
      <c r="A890" t="s">
        <v>7</v>
      </c>
      <c r="B890" t="s">
        <v>36</v>
      </c>
      <c r="C890" t="s">
        <v>24</v>
      </c>
      <c r="D890" s="24">
        <v>0</v>
      </c>
      <c r="E890" s="29">
        <f>'Hitung Per Bulan'!I890</f>
        <v>0</v>
      </c>
      <c r="F890" s="24">
        <v>0</v>
      </c>
      <c r="G890" s="29">
        <f>'Hitung Per Bulan'!J890</f>
        <v>0</v>
      </c>
    </row>
    <row r="891" spans="1:7" x14ac:dyDescent="0.45">
      <c r="A891" t="s">
        <v>10</v>
      </c>
      <c r="B891" t="s">
        <v>36</v>
      </c>
      <c r="C891" t="s">
        <v>24</v>
      </c>
      <c r="D891" s="24">
        <v>0</v>
      </c>
      <c r="E891" s="29">
        <f>'Hitung Per Bulan'!I891</f>
        <v>0</v>
      </c>
      <c r="F891" s="24">
        <v>0</v>
      </c>
      <c r="G891" s="29">
        <f>'Hitung Per Bulan'!J891</f>
        <v>0</v>
      </c>
    </row>
    <row r="892" spans="1:7" x14ac:dyDescent="0.45">
      <c r="A892" t="s">
        <v>11</v>
      </c>
      <c r="B892" t="s">
        <v>36</v>
      </c>
      <c r="C892" t="s">
        <v>24</v>
      </c>
      <c r="D892" s="24">
        <v>0</v>
      </c>
      <c r="E892" s="29">
        <f>'Hitung Per Bulan'!I892</f>
        <v>0</v>
      </c>
      <c r="F892" s="24">
        <v>0</v>
      </c>
      <c r="G892" s="29">
        <f>'Hitung Per Bulan'!J892</f>
        <v>0</v>
      </c>
    </row>
    <row r="893" spans="1:7" x14ac:dyDescent="0.45">
      <c r="A893" t="s">
        <v>12</v>
      </c>
      <c r="B893" t="s">
        <v>36</v>
      </c>
      <c r="C893" t="s">
        <v>24</v>
      </c>
      <c r="D893" s="24">
        <v>0</v>
      </c>
      <c r="E893" s="29" t="str">
        <f>'Hitung Per Bulan'!I893</f>
        <v/>
      </c>
      <c r="F893" s="24">
        <v>0</v>
      </c>
      <c r="G893" s="29" t="str">
        <f>'Hitung Per Bulan'!J893</f>
        <v/>
      </c>
    </row>
    <row r="894" spans="1:7" x14ac:dyDescent="0.45">
      <c r="A894" t="s">
        <v>13</v>
      </c>
      <c r="B894" t="s">
        <v>36</v>
      </c>
      <c r="C894" t="s">
        <v>24</v>
      </c>
      <c r="D894" s="24">
        <v>0</v>
      </c>
      <c r="E894" s="29" t="str">
        <f>'Hitung Per Bulan'!I894</f>
        <v/>
      </c>
      <c r="F894" s="24">
        <v>0</v>
      </c>
      <c r="G894" s="29" t="str">
        <f>'Hitung Per Bulan'!J894</f>
        <v/>
      </c>
    </row>
    <row r="895" spans="1:7" x14ac:dyDescent="0.45">
      <c r="A895" t="s">
        <v>14</v>
      </c>
      <c r="B895" t="s">
        <v>36</v>
      </c>
      <c r="C895" t="s">
        <v>24</v>
      </c>
      <c r="D895" s="24">
        <v>0</v>
      </c>
      <c r="E895" s="29" t="str">
        <f>'Hitung Per Bulan'!I895</f>
        <v/>
      </c>
      <c r="F895" s="24">
        <v>0</v>
      </c>
      <c r="G895" s="29" t="str">
        <f>'Hitung Per Bulan'!J895</f>
        <v/>
      </c>
    </row>
    <row r="896" spans="1:7" x14ac:dyDescent="0.45">
      <c r="A896" t="s">
        <v>15</v>
      </c>
      <c r="B896" t="s">
        <v>36</v>
      </c>
      <c r="C896" t="s">
        <v>24</v>
      </c>
      <c r="D896" s="24">
        <v>0</v>
      </c>
      <c r="E896" s="29" t="str">
        <f>'Hitung Per Bulan'!I896</f>
        <v/>
      </c>
      <c r="F896" s="24">
        <v>0</v>
      </c>
      <c r="G896" s="29" t="str">
        <f>'Hitung Per Bulan'!J896</f>
        <v/>
      </c>
    </row>
    <row r="897" spans="1:7" x14ac:dyDescent="0.45">
      <c r="A897" t="s">
        <v>16</v>
      </c>
      <c r="B897" t="s">
        <v>36</v>
      </c>
      <c r="C897" t="s">
        <v>24</v>
      </c>
      <c r="D897" s="24">
        <v>0</v>
      </c>
      <c r="E897" s="29" t="str">
        <f>'Hitung Per Bulan'!I897</f>
        <v/>
      </c>
      <c r="F897" s="24">
        <v>0</v>
      </c>
      <c r="G897" s="29" t="str">
        <f>'Hitung Per Bulan'!J897</f>
        <v/>
      </c>
    </row>
    <row r="898" spans="1:7" x14ac:dyDescent="0.45">
      <c r="A898" t="s">
        <v>17</v>
      </c>
      <c r="B898" t="s">
        <v>36</v>
      </c>
      <c r="C898" t="s">
        <v>24</v>
      </c>
      <c r="D898" s="24">
        <v>0</v>
      </c>
      <c r="E898" s="29" t="str">
        <f>'Hitung Per Bulan'!I898</f>
        <v/>
      </c>
      <c r="F898" s="24">
        <v>0</v>
      </c>
      <c r="G898" s="29" t="str">
        <f>'Hitung Per Bulan'!J898</f>
        <v/>
      </c>
    </row>
    <row r="899" spans="1:7" x14ac:dyDescent="0.45">
      <c r="A899" t="s">
        <v>18</v>
      </c>
      <c r="B899" t="s">
        <v>36</v>
      </c>
      <c r="C899" t="s">
        <v>24</v>
      </c>
      <c r="D899" s="24">
        <v>0</v>
      </c>
      <c r="E899" s="29" t="str">
        <f>'Hitung Per Bulan'!I899</f>
        <v/>
      </c>
      <c r="F899" s="24">
        <v>0</v>
      </c>
      <c r="G899" s="29" t="str">
        <f>'Hitung Per Bulan'!J899</f>
        <v/>
      </c>
    </row>
    <row r="900" spans="1:7" x14ac:dyDescent="0.45">
      <c r="A900" t="s">
        <v>19</v>
      </c>
      <c r="B900" t="s">
        <v>36</v>
      </c>
      <c r="C900" t="s">
        <v>24</v>
      </c>
      <c r="D900" s="24">
        <v>0</v>
      </c>
      <c r="E900" s="29" t="str">
        <f>'Hitung Per Bulan'!I900</f>
        <v/>
      </c>
      <c r="F900" s="24">
        <v>0</v>
      </c>
      <c r="G900" s="29" t="str">
        <f>'Hitung Per Bulan'!J900</f>
        <v/>
      </c>
    </row>
    <row r="901" spans="1:7" x14ac:dyDescent="0.45">
      <c r="A901" t="s">
        <v>20</v>
      </c>
      <c r="B901" t="s">
        <v>36</v>
      </c>
      <c r="C901" t="s">
        <v>24</v>
      </c>
      <c r="D901" s="24">
        <v>0</v>
      </c>
      <c r="E901" s="29" t="str">
        <f>'Hitung Per Bulan'!I901</f>
        <v/>
      </c>
      <c r="F901" s="24">
        <v>0</v>
      </c>
      <c r="G901" s="29" t="str">
        <f>'Hitung Per Bulan'!J901</f>
        <v/>
      </c>
    </row>
    <row r="902" spans="1:7" x14ac:dyDescent="0.45">
      <c r="A902" t="s">
        <v>7</v>
      </c>
      <c r="B902" t="s">
        <v>36</v>
      </c>
      <c r="C902" t="s">
        <v>25</v>
      </c>
      <c r="D902" s="24">
        <v>65075000</v>
      </c>
      <c r="E902" s="29">
        <f>'Hitung Per Bulan'!I902</f>
        <v>66980000</v>
      </c>
      <c r="F902" s="24">
        <v>65075000</v>
      </c>
      <c r="G902" s="29">
        <f>'Hitung Per Bulan'!J902</f>
        <v>33275000</v>
      </c>
    </row>
    <row r="903" spans="1:7" x14ac:dyDescent="0.45">
      <c r="A903" t="s">
        <v>10</v>
      </c>
      <c r="B903" t="s">
        <v>36</v>
      </c>
      <c r="C903" t="s">
        <v>25</v>
      </c>
      <c r="D903" s="24">
        <v>32625000</v>
      </c>
      <c r="E903" s="29">
        <f>'Hitung Per Bulan'!I903</f>
        <v>131493477</v>
      </c>
      <c r="F903" s="24">
        <v>32625000</v>
      </c>
      <c r="G903" s="29">
        <f>'Hitung Per Bulan'!J903</f>
        <v>44852000</v>
      </c>
    </row>
    <row r="904" spans="1:7" x14ac:dyDescent="0.45">
      <c r="A904" t="s">
        <v>11</v>
      </c>
      <c r="B904" t="s">
        <v>36</v>
      </c>
      <c r="C904" t="s">
        <v>25</v>
      </c>
      <c r="D904" s="24">
        <v>27425000</v>
      </c>
      <c r="E904" s="29">
        <f>'Hitung Per Bulan'!I904</f>
        <v>93687935</v>
      </c>
      <c r="F904" s="24">
        <v>27425000</v>
      </c>
      <c r="G904" s="29">
        <f>'Hitung Per Bulan'!J904</f>
        <v>83680412</v>
      </c>
    </row>
    <row r="905" spans="1:7" x14ac:dyDescent="0.45">
      <c r="A905" t="s">
        <v>12</v>
      </c>
      <c r="B905" t="s">
        <v>36</v>
      </c>
      <c r="C905" t="s">
        <v>25</v>
      </c>
      <c r="D905" s="24">
        <v>253975000</v>
      </c>
      <c r="E905" s="29" t="str">
        <f>'Hitung Per Bulan'!I905</f>
        <v/>
      </c>
      <c r="F905" s="24">
        <v>253975000</v>
      </c>
      <c r="G905" s="29" t="str">
        <f>'Hitung Per Bulan'!J905</f>
        <v/>
      </c>
    </row>
    <row r="906" spans="1:7" x14ac:dyDescent="0.45">
      <c r="A906" t="s">
        <v>13</v>
      </c>
      <c r="B906" t="s">
        <v>36</v>
      </c>
      <c r="C906" t="s">
        <v>25</v>
      </c>
      <c r="D906" s="24">
        <v>23925000</v>
      </c>
      <c r="E906" s="29" t="str">
        <f>'Hitung Per Bulan'!I906</f>
        <v/>
      </c>
      <c r="F906" s="24">
        <v>23925000</v>
      </c>
      <c r="G906" s="29" t="str">
        <f>'Hitung Per Bulan'!J906</f>
        <v/>
      </c>
    </row>
    <row r="907" spans="1:7" x14ac:dyDescent="0.45">
      <c r="A907" t="s">
        <v>14</v>
      </c>
      <c r="B907" t="s">
        <v>36</v>
      </c>
      <c r="C907" t="s">
        <v>25</v>
      </c>
      <c r="D907" s="24">
        <v>35725000</v>
      </c>
      <c r="E907" s="29" t="str">
        <f>'Hitung Per Bulan'!I907</f>
        <v/>
      </c>
      <c r="F907" s="24">
        <v>35725000</v>
      </c>
      <c r="G907" s="29" t="str">
        <f>'Hitung Per Bulan'!J907</f>
        <v/>
      </c>
    </row>
    <row r="908" spans="1:7" x14ac:dyDescent="0.45">
      <c r="A908" t="s">
        <v>15</v>
      </c>
      <c r="B908" t="s">
        <v>36</v>
      </c>
      <c r="C908" t="s">
        <v>25</v>
      </c>
      <c r="D908" s="24">
        <v>64675000</v>
      </c>
      <c r="E908" s="29" t="str">
        <f>'Hitung Per Bulan'!I908</f>
        <v/>
      </c>
      <c r="F908" s="24">
        <v>64675000</v>
      </c>
      <c r="G908" s="29" t="str">
        <f>'Hitung Per Bulan'!J908</f>
        <v/>
      </c>
    </row>
    <row r="909" spans="1:7" x14ac:dyDescent="0.45">
      <c r="A909" t="s">
        <v>16</v>
      </c>
      <c r="B909" t="s">
        <v>36</v>
      </c>
      <c r="C909" t="s">
        <v>25</v>
      </c>
      <c r="D909" s="24">
        <v>172225000</v>
      </c>
      <c r="E909" s="29" t="str">
        <f>'Hitung Per Bulan'!I909</f>
        <v/>
      </c>
      <c r="F909" s="24">
        <v>32225000</v>
      </c>
      <c r="G909" s="29" t="str">
        <f>'Hitung Per Bulan'!J909</f>
        <v/>
      </c>
    </row>
    <row r="910" spans="1:7" x14ac:dyDescent="0.45">
      <c r="A910" t="s">
        <v>17</v>
      </c>
      <c r="B910" t="s">
        <v>36</v>
      </c>
      <c r="C910" t="s">
        <v>25</v>
      </c>
      <c r="D910" s="24">
        <v>152425000</v>
      </c>
      <c r="E910" s="29" t="str">
        <f>'Hitung Per Bulan'!I910</f>
        <v/>
      </c>
      <c r="F910" s="24">
        <v>152425000</v>
      </c>
      <c r="G910" s="29" t="str">
        <f>'Hitung Per Bulan'!J910</f>
        <v/>
      </c>
    </row>
    <row r="911" spans="1:7" x14ac:dyDescent="0.45">
      <c r="A911" t="s">
        <v>18</v>
      </c>
      <c r="B911" t="s">
        <v>36</v>
      </c>
      <c r="C911" t="s">
        <v>25</v>
      </c>
      <c r="D911" s="24">
        <v>72975000</v>
      </c>
      <c r="E911" s="29" t="str">
        <f>'Hitung Per Bulan'!I911</f>
        <v/>
      </c>
      <c r="F911" s="24">
        <v>212975000</v>
      </c>
      <c r="G911" s="29" t="str">
        <f>'Hitung Per Bulan'!J911</f>
        <v/>
      </c>
    </row>
    <row r="912" spans="1:7" x14ac:dyDescent="0.45">
      <c r="A912" t="s">
        <v>19</v>
      </c>
      <c r="B912" t="s">
        <v>36</v>
      </c>
      <c r="C912" t="s">
        <v>25</v>
      </c>
      <c r="D912" s="24">
        <v>23925000</v>
      </c>
      <c r="E912" s="29" t="str">
        <f>'Hitung Per Bulan'!I912</f>
        <v/>
      </c>
      <c r="F912" s="24">
        <v>23925000</v>
      </c>
      <c r="G912" s="29" t="str">
        <f>'Hitung Per Bulan'!J912</f>
        <v/>
      </c>
    </row>
    <row r="913" spans="1:7" x14ac:dyDescent="0.45">
      <c r="A913" t="s">
        <v>20</v>
      </c>
      <c r="B913" t="s">
        <v>36</v>
      </c>
      <c r="C913" t="s">
        <v>25</v>
      </c>
      <c r="D913" s="24">
        <v>35725000</v>
      </c>
      <c r="E913" s="29" t="str">
        <f>'Hitung Per Bulan'!I913</f>
        <v/>
      </c>
      <c r="F913" s="24">
        <v>35725000</v>
      </c>
      <c r="G913" s="29" t="str">
        <f>'Hitung Per Bulan'!J913</f>
        <v/>
      </c>
    </row>
    <row r="914" spans="1:7" x14ac:dyDescent="0.45">
      <c r="A914" t="s">
        <v>7</v>
      </c>
      <c r="B914" t="s">
        <v>36</v>
      </c>
      <c r="C914" t="s">
        <v>26</v>
      </c>
      <c r="D914" s="24">
        <v>34257000</v>
      </c>
      <c r="E914" s="29">
        <f>'Hitung Per Bulan'!I914</f>
        <v>35093864</v>
      </c>
      <c r="F914" s="24">
        <v>34257000</v>
      </c>
      <c r="G914" s="29">
        <f>'Hitung Per Bulan'!J914</f>
        <v>35093864</v>
      </c>
    </row>
    <row r="915" spans="1:7" x14ac:dyDescent="0.45">
      <c r="A915" t="s">
        <v>10</v>
      </c>
      <c r="B915" t="s">
        <v>36</v>
      </c>
      <c r="C915" t="s">
        <v>26</v>
      </c>
      <c r="D915" s="24">
        <v>34256000</v>
      </c>
      <c r="E915" s="29">
        <f>'Hitung Per Bulan'!I915</f>
        <v>35802840</v>
      </c>
      <c r="F915" s="24">
        <v>34256000</v>
      </c>
      <c r="G915" s="29">
        <f>'Hitung Per Bulan'!J915</f>
        <v>34478198</v>
      </c>
    </row>
    <row r="916" spans="1:7" x14ac:dyDescent="0.45">
      <c r="A916" t="s">
        <v>11</v>
      </c>
      <c r="B916" t="s">
        <v>36</v>
      </c>
      <c r="C916" t="s">
        <v>26</v>
      </c>
      <c r="D916" s="24">
        <v>34257000</v>
      </c>
      <c r="E916" s="29">
        <f>'Hitung Per Bulan'!I916</f>
        <v>71522124</v>
      </c>
      <c r="F916" s="24">
        <v>34257000</v>
      </c>
      <c r="G916" s="29">
        <f>'Hitung Per Bulan'!J916</f>
        <v>31247976</v>
      </c>
    </row>
    <row r="917" spans="1:7" x14ac:dyDescent="0.45">
      <c r="A917" t="s">
        <v>12</v>
      </c>
      <c r="B917" t="s">
        <v>36</v>
      </c>
      <c r="C917" t="s">
        <v>26</v>
      </c>
      <c r="D917" s="24">
        <v>34256000</v>
      </c>
      <c r="E917" s="29" t="str">
        <f>'Hitung Per Bulan'!I917</f>
        <v/>
      </c>
      <c r="F917" s="24">
        <v>34256000</v>
      </c>
      <c r="G917" s="29" t="str">
        <f>'Hitung Per Bulan'!J917</f>
        <v/>
      </c>
    </row>
    <row r="918" spans="1:7" x14ac:dyDescent="0.45">
      <c r="A918" t="s">
        <v>13</v>
      </c>
      <c r="B918" t="s">
        <v>36</v>
      </c>
      <c r="C918" t="s">
        <v>26</v>
      </c>
      <c r="D918" s="24">
        <v>34257000</v>
      </c>
      <c r="E918" s="29" t="str">
        <f>'Hitung Per Bulan'!I918</f>
        <v/>
      </c>
      <c r="F918" s="24">
        <v>34257000</v>
      </c>
      <c r="G918" s="29" t="str">
        <f>'Hitung Per Bulan'!J918</f>
        <v/>
      </c>
    </row>
    <row r="919" spans="1:7" x14ac:dyDescent="0.45">
      <c r="A919" t="s">
        <v>14</v>
      </c>
      <c r="B919" t="s">
        <v>36</v>
      </c>
      <c r="C919" t="s">
        <v>26</v>
      </c>
      <c r="D919" s="24">
        <v>34257000</v>
      </c>
      <c r="E919" s="29" t="str">
        <f>'Hitung Per Bulan'!I919</f>
        <v/>
      </c>
      <c r="F919" s="24">
        <v>34257000</v>
      </c>
      <c r="G919" s="29" t="str">
        <f>'Hitung Per Bulan'!J919</f>
        <v/>
      </c>
    </row>
    <row r="920" spans="1:7" x14ac:dyDescent="0.45">
      <c r="A920" t="s">
        <v>15</v>
      </c>
      <c r="B920" t="s">
        <v>36</v>
      </c>
      <c r="C920" t="s">
        <v>26</v>
      </c>
      <c r="D920" s="24">
        <v>34257000</v>
      </c>
      <c r="E920" s="29" t="str">
        <f>'Hitung Per Bulan'!I920</f>
        <v/>
      </c>
      <c r="F920" s="24">
        <v>34257000</v>
      </c>
      <c r="G920" s="29" t="str">
        <f>'Hitung Per Bulan'!J920</f>
        <v/>
      </c>
    </row>
    <row r="921" spans="1:7" x14ac:dyDescent="0.45">
      <c r="A921" t="s">
        <v>16</v>
      </c>
      <c r="B921" t="s">
        <v>36</v>
      </c>
      <c r="C921" t="s">
        <v>26</v>
      </c>
      <c r="D921" s="24">
        <v>34256000</v>
      </c>
      <c r="E921" s="29" t="str">
        <f>'Hitung Per Bulan'!I921</f>
        <v/>
      </c>
      <c r="F921" s="24">
        <v>34256000</v>
      </c>
      <c r="G921" s="29" t="str">
        <f>'Hitung Per Bulan'!J921</f>
        <v/>
      </c>
    </row>
    <row r="922" spans="1:7" x14ac:dyDescent="0.45">
      <c r="A922" t="s">
        <v>17</v>
      </c>
      <c r="B922" t="s">
        <v>36</v>
      </c>
      <c r="C922" t="s">
        <v>26</v>
      </c>
      <c r="D922" s="24">
        <v>34257000</v>
      </c>
      <c r="E922" s="29" t="str">
        <f>'Hitung Per Bulan'!I922</f>
        <v/>
      </c>
      <c r="F922" s="24">
        <v>34257000</v>
      </c>
      <c r="G922" s="29" t="str">
        <f>'Hitung Per Bulan'!J922</f>
        <v/>
      </c>
    </row>
    <row r="923" spans="1:7" x14ac:dyDescent="0.45">
      <c r="A923" t="s">
        <v>18</v>
      </c>
      <c r="B923" t="s">
        <v>36</v>
      </c>
      <c r="C923" t="s">
        <v>26</v>
      </c>
      <c r="D923" s="24">
        <v>34256000</v>
      </c>
      <c r="E923" s="29" t="str">
        <f>'Hitung Per Bulan'!I923</f>
        <v/>
      </c>
      <c r="F923" s="24">
        <v>34256000</v>
      </c>
      <c r="G923" s="29" t="str">
        <f>'Hitung Per Bulan'!J923</f>
        <v/>
      </c>
    </row>
    <row r="924" spans="1:7" x14ac:dyDescent="0.45">
      <c r="A924" t="s">
        <v>19</v>
      </c>
      <c r="B924" t="s">
        <v>36</v>
      </c>
      <c r="C924" t="s">
        <v>26</v>
      </c>
      <c r="D924" s="24">
        <v>34257000</v>
      </c>
      <c r="E924" s="29" t="str">
        <f>'Hitung Per Bulan'!I924</f>
        <v/>
      </c>
      <c r="F924" s="24">
        <v>34257000</v>
      </c>
      <c r="G924" s="29" t="str">
        <f>'Hitung Per Bulan'!J924</f>
        <v/>
      </c>
    </row>
    <row r="925" spans="1:7" x14ac:dyDescent="0.45">
      <c r="A925" t="s">
        <v>20</v>
      </c>
      <c r="B925" t="s">
        <v>36</v>
      </c>
      <c r="C925" t="s">
        <v>26</v>
      </c>
      <c r="D925" s="24">
        <v>34257000</v>
      </c>
      <c r="E925" s="29" t="str">
        <f>'Hitung Per Bulan'!I925</f>
        <v/>
      </c>
      <c r="F925" s="24">
        <v>34257000</v>
      </c>
      <c r="G925" s="29" t="str">
        <f>'Hitung Per Bulan'!J925</f>
        <v/>
      </c>
    </row>
    <row r="926" spans="1:7" x14ac:dyDescent="0.45">
      <c r="A926" t="s">
        <v>7</v>
      </c>
      <c r="B926" t="s">
        <v>37</v>
      </c>
      <c r="C926" t="s">
        <v>9</v>
      </c>
      <c r="D926" s="24">
        <v>0</v>
      </c>
      <c r="E926" s="29">
        <f>'Hitung Per Bulan'!I926</f>
        <v>0</v>
      </c>
      <c r="F926" s="24">
        <v>0</v>
      </c>
      <c r="G926" s="29">
        <f>'Hitung Per Bulan'!J926</f>
        <v>0</v>
      </c>
    </row>
    <row r="927" spans="1:7" x14ac:dyDescent="0.45">
      <c r="A927" t="s">
        <v>10</v>
      </c>
      <c r="B927" t="s">
        <v>37</v>
      </c>
      <c r="C927" t="s">
        <v>9</v>
      </c>
      <c r="D927" s="24">
        <v>147500000</v>
      </c>
      <c r="E927" s="29">
        <f>'Hitung Per Bulan'!I927</f>
        <v>660310335</v>
      </c>
      <c r="F927" s="24">
        <v>0</v>
      </c>
      <c r="G927" s="29">
        <f>'Hitung Per Bulan'!J927</f>
        <v>0</v>
      </c>
    </row>
    <row r="928" spans="1:7" x14ac:dyDescent="0.45">
      <c r="A928" t="s">
        <v>11</v>
      </c>
      <c r="B928" t="s">
        <v>37</v>
      </c>
      <c r="C928" t="s">
        <v>9</v>
      </c>
      <c r="D928" s="24">
        <v>4975166000</v>
      </c>
      <c r="E928" s="29">
        <f>'Hitung Per Bulan'!I928</f>
        <v>199823025</v>
      </c>
      <c r="F928" s="24">
        <v>0</v>
      </c>
      <c r="G928" s="29">
        <f>'Hitung Per Bulan'!J928</f>
        <v>148749912</v>
      </c>
    </row>
    <row r="929" spans="1:7" x14ac:dyDescent="0.45">
      <c r="A929" t="s">
        <v>12</v>
      </c>
      <c r="B929" t="s">
        <v>37</v>
      </c>
      <c r="C929" t="s">
        <v>9</v>
      </c>
      <c r="D929" s="24">
        <v>1596468000</v>
      </c>
      <c r="E929" s="29" t="str">
        <f>'Hitung Per Bulan'!I929</f>
        <v/>
      </c>
      <c r="F929" s="24">
        <v>50000000</v>
      </c>
      <c r="G929" s="29" t="str">
        <f>'Hitung Per Bulan'!J929</f>
        <v/>
      </c>
    </row>
    <row r="930" spans="1:7" x14ac:dyDescent="0.45">
      <c r="A930" t="s">
        <v>13</v>
      </c>
      <c r="B930" t="s">
        <v>37</v>
      </c>
      <c r="C930" t="s">
        <v>9</v>
      </c>
      <c r="D930" s="24">
        <v>1166224000</v>
      </c>
      <c r="E930" s="29" t="str">
        <f>'Hitung Per Bulan'!I930</f>
        <v/>
      </c>
      <c r="F930" s="24">
        <v>147500000</v>
      </c>
      <c r="G930" s="29" t="str">
        <f>'Hitung Per Bulan'!J930</f>
        <v/>
      </c>
    </row>
    <row r="931" spans="1:7" x14ac:dyDescent="0.45">
      <c r="A931" t="s">
        <v>14</v>
      </c>
      <c r="B931" t="s">
        <v>37</v>
      </c>
      <c r="C931" t="s">
        <v>9</v>
      </c>
      <c r="D931" s="24">
        <v>457212000</v>
      </c>
      <c r="E931" s="29" t="str">
        <f>'Hitung Per Bulan'!I931</f>
        <v/>
      </c>
      <c r="F931" s="24">
        <v>50000000</v>
      </c>
      <c r="G931" s="29" t="str">
        <f>'Hitung Per Bulan'!J931</f>
        <v/>
      </c>
    </row>
    <row r="932" spans="1:7" x14ac:dyDescent="0.45">
      <c r="A932" t="s">
        <v>15</v>
      </c>
      <c r="B932" t="s">
        <v>37</v>
      </c>
      <c r="C932" t="s">
        <v>9</v>
      </c>
      <c r="D932" s="24">
        <v>100000000</v>
      </c>
      <c r="E932" s="29" t="str">
        <f>'Hitung Per Bulan'!I932</f>
        <v/>
      </c>
      <c r="F932" s="24">
        <v>1663840000</v>
      </c>
      <c r="G932" s="29" t="str">
        <f>'Hitung Per Bulan'!J932</f>
        <v/>
      </c>
    </row>
    <row r="933" spans="1:7" x14ac:dyDescent="0.45">
      <c r="A933" t="s">
        <v>16</v>
      </c>
      <c r="B933" t="s">
        <v>37</v>
      </c>
      <c r="C933" t="s">
        <v>9</v>
      </c>
      <c r="D933" s="24">
        <v>147500000</v>
      </c>
      <c r="E933" s="29" t="str">
        <f>'Hitung Per Bulan'!I933</f>
        <v/>
      </c>
      <c r="F933" s="24">
        <v>2498475000</v>
      </c>
      <c r="G933" s="29" t="str">
        <f>'Hitung Per Bulan'!J933</f>
        <v/>
      </c>
    </row>
    <row r="934" spans="1:7" x14ac:dyDescent="0.45">
      <c r="A934" t="s">
        <v>17</v>
      </c>
      <c r="B934" t="s">
        <v>37</v>
      </c>
      <c r="C934" t="s">
        <v>9</v>
      </c>
      <c r="D934" s="24">
        <v>0</v>
      </c>
      <c r="E934" s="29" t="str">
        <f>'Hitung Per Bulan'!I934</f>
        <v/>
      </c>
      <c r="F934" s="24">
        <v>3932755000</v>
      </c>
      <c r="G934" s="29" t="str">
        <f>'Hitung Per Bulan'!J934</f>
        <v/>
      </c>
    </row>
    <row r="935" spans="1:7" x14ac:dyDescent="0.45">
      <c r="A935" t="s">
        <v>18</v>
      </c>
      <c r="B935" t="s">
        <v>37</v>
      </c>
      <c r="C935" t="s">
        <v>9</v>
      </c>
      <c r="D935" s="24">
        <v>147500000</v>
      </c>
      <c r="E935" s="29" t="str">
        <f>'Hitung Per Bulan'!I935</f>
        <v/>
      </c>
      <c r="F935" s="24">
        <v>247500000</v>
      </c>
      <c r="G935" s="29" t="str">
        <f>'Hitung Per Bulan'!J935</f>
        <v/>
      </c>
    </row>
    <row r="936" spans="1:7" x14ac:dyDescent="0.45">
      <c r="A936" t="s">
        <v>19</v>
      </c>
      <c r="B936" t="s">
        <v>37</v>
      </c>
      <c r="C936" t="s">
        <v>9</v>
      </c>
      <c r="D936" s="24">
        <v>0</v>
      </c>
      <c r="E936" s="29" t="str">
        <f>'Hitung Per Bulan'!I936</f>
        <v/>
      </c>
      <c r="F936" s="24">
        <v>0</v>
      </c>
      <c r="G936" s="29" t="str">
        <f>'Hitung Per Bulan'!J936</f>
        <v/>
      </c>
    </row>
    <row r="937" spans="1:7" x14ac:dyDescent="0.45">
      <c r="A937" t="s">
        <v>20</v>
      </c>
      <c r="B937" t="s">
        <v>37</v>
      </c>
      <c r="C937" t="s">
        <v>9</v>
      </c>
      <c r="D937" s="24">
        <v>0</v>
      </c>
      <c r="E937" s="29" t="str">
        <f>'Hitung Per Bulan'!I937</f>
        <v/>
      </c>
      <c r="F937" s="24">
        <v>147500000</v>
      </c>
      <c r="G937" s="29" t="str">
        <f>'Hitung Per Bulan'!J937</f>
        <v/>
      </c>
    </row>
    <row r="938" spans="1:7" x14ac:dyDescent="0.45">
      <c r="A938" t="s">
        <v>7</v>
      </c>
      <c r="B938" t="s">
        <v>37</v>
      </c>
      <c r="C938" t="s">
        <v>21</v>
      </c>
      <c r="D938" s="24">
        <v>0</v>
      </c>
      <c r="E938" s="29">
        <f>'Hitung Per Bulan'!I938</f>
        <v>0</v>
      </c>
      <c r="F938" s="24">
        <v>0</v>
      </c>
      <c r="G938" s="29">
        <f>'Hitung Per Bulan'!J938</f>
        <v>0</v>
      </c>
    </row>
    <row r="939" spans="1:7" x14ac:dyDescent="0.45">
      <c r="A939" t="s">
        <v>10</v>
      </c>
      <c r="B939" t="s">
        <v>37</v>
      </c>
      <c r="C939" t="s">
        <v>21</v>
      </c>
      <c r="D939" s="24">
        <v>0</v>
      </c>
      <c r="E939" s="29">
        <f>'Hitung Per Bulan'!I939</f>
        <v>0</v>
      </c>
      <c r="F939" s="24">
        <v>0</v>
      </c>
      <c r="G939" s="29">
        <f>'Hitung Per Bulan'!J939</f>
        <v>0</v>
      </c>
    </row>
    <row r="940" spans="1:7" x14ac:dyDescent="0.45">
      <c r="A940" t="s">
        <v>11</v>
      </c>
      <c r="B940" t="s">
        <v>37</v>
      </c>
      <c r="C940" t="s">
        <v>21</v>
      </c>
      <c r="D940" s="24">
        <v>150000000</v>
      </c>
      <c r="E940" s="29">
        <f>'Hitung Per Bulan'!I940</f>
        <v>0</v>
      </c>
      <c r="F940" s="24">
        <v>150000000</v>
      </c>
      <c r="G940" s="29">
        <f>'Hitung Per Bulan'!J940</f>
        <v>0</v>
      </c>
    </row>
    <row r="941" spans="1:7" x14ac:dyDescent="0.45">
      <c r="A941" t="s">
        <v>12</v>
      </c>
      <c r="B941" t="s">
        <v>37</v>
      </c>
      <c r="C941" t="s">
        <v>21</v>
      </c>
      <c r="D941" s="24">
        <v>250000000</v>
      </c>
      <c r="E941" s="29" t="str">
        <f>'Hitung Per Bulan'!I941</f>
        <v/>
      </c>
      <c r="F941" s="24">
        <v>250000000</v>
      </c>
      <c r="G941" s="29" t="str">
        <f>'Hitung Per Bulan'!J941</f>
        <v/>
      </c>
    </row>
    <row r="942" spans="1:7" x14ac:dyDescent="0.45">
      <c r="A942" t="s">
        <v>13</v>
      </c>
      <c r="B942" t="s">
        <v>37</v>
      </c>
      <c r="C942" t="s">
        <v>21</v>
      </c>
      <c r="D942" s="24">
        <v>0</v>
      </c>
      <c r="E942" s="29" t="str">
        <f>'Hitung Per Bulan'!I942</f>
        <v/>
      </c>
      <c r="F942" s="24">
        <v>0</v>
      </c>
      <c r="G942" s="29" t="str">
        <f>'Hitung Per Bulan'!J942</f>
        <v/>
      </c>
    </row>
    <row r="943" spans="1:7" x14ac:dyDescent="0.45">
      <c r="A943" t="s">
        <v>14</v>
      </c>
      <c r="B943" t="s">
        <v>37</v>
      </c>
      <c r="C943" t="s">
        <v>21</v>
      </c>
      <c r="D943" s="24">
        <v>150000000</v>
      </c>
      <c r="E943" s="29" t="str">
        <f>'Hitung Per Bulan'!I943</f>
        <v/>
      </c>
      <c r="F943" s="24">
        <v>150000000</v>
      </c>
      <c r="G943" s="29" t="str">
        <f>'Hitung Per Bulan'!J943</f>
        <v/>
      </c>
    </row>
    <row r="944" spans="1:7" x14ac:dyDescent="0.45">
      <c r="A944" t="s">
        <v>15</v>
      </c>
      <c r="B944" t="s">
        <v>37</v>
      </c>
      <c r="C944" t="s">
        <v>21</v>
      </c>
      <c r="D944" s="24">
        <v>0</v>
      </c>
      <c r="E944" s="29" t="str">
        <f>'Hitung Per Bulan'!I944</f>
        <v/>
      </c>
      <c r="F944" s="24">
        <v>0</v>
      </c>
      <c r="G944" s="29" t="str">
        <f>'Hitung Per Bulan'!J944</f>
        <v/>
      </c>
    </row>
    <row r="945" spans="1:7" x14ac:dyDescent="0.45">
      <c r="A945" t="s">
        <v>16</v>
      </c>
      <c r="B945" t="s">
        <v>37</v>
      </c>
      <c r="C945" t="s">
        <v>21</v>
      </c>
      <c r="D945" s="24">
        <v>0</v>
      </c>
      <c r="E945" s="29" t="str">
        <f>'Hitung Per Bulan'!I945</f>
        <v/>
      </c>
      <c r="F945" s="24">
        <v>0</v>
      </c>
      <c r="G945" s="29" t="str">
        <f>'Hitung Per Bulan'!J945</f>
        <v/>
      </c>
    </row>
    <row r="946" spans="1:7" x14ac:dyDescent="0.45">
      <c r="A946" t="s">
        <v>17</v>
      </c>
      <c r="B946" t="s">
        <v>37</v>
      </c>
      <c r="C946" t="s">
        <v>21</v>
      </c>
      <c r="D946" s="24">
        <v>200000000</v>
      </c>
      <c r="E946" s="29" t="str">
        <f>'Hitung Per Bulan'!I946</f>
        <v/>
      </c>
      <c r="F946" s="24">
        <v>200000000</v>
      </c>
      <c r="G946" s="29" t="str">
        <f>'Hitung Per Bulan'!J946</f>
        <v/>
      </c>
    </row>
    <row r="947" spans="1:7" x14ac:dyDescent="0.45">
      <c r="A947" t="s">
        <v>18</v>
      </c>
      <c r="B947" t="s">
        <v>37</v>
      </c>
      <c r="C947" t="s">
        <v>21</v>
      </c>
      <c r="D947" s="24">
        <v>0</v>
      </c>
      <c r="E947" s="29" t="str">
        <f>'Hitung Per Bulan'!I947</f>
        <v/>
      </c>
      <c r="F947" s="24">
        <v>0</v>
      </c>
      <c r="G947" s="29" t="str">
        <f>'Hitung Per Bulan'!J947</f>
        <v/>
      </c>
    </row>
    <row r="948" spans="1:7" x14ac:dyDescent="0.45">
      <c r="A948" t="s">
        <v>19</v>
      </c>
      <c r="B948" t="s">
        <v>37</v>
      </c>
      <c r="C948" t="s">
        <v>21</v>
      </c>
      <c r="D948" s="24">
        <v>0</v>
      </c>
      <c r="E948" s="29" t="str">
        <f>'Hitung Per Bulan'!I948</f>
        <v/>
      </c>
      <c r="F948" s="24">
        <v>0</v>
      </c>
      <c r="G948" s="29" t="str">
        <f>'Hitung Per Bulan'!J948</f>
        <v/>
      </c>
    </row>
    <row r="949" spans="1:7" x14ac:dyDescent="0.45">
      <c r="A949" t="s">
        <v>20</v>
      </c>
      <c r="B949" t="s">
        <v>37</v>
      </c>
      <c r="C949" t="s">
        <v>21</v>
      </c>
      <c r="D949" s="24">
        <v>0</v>
      </c>
      <c r="E949" s="29" t="str">
        <f>'Hitung Per Bulan'!I949</f>
        <v/>
      </c>
      <c r="F949" s="24">
        <v>0</v>
      </c>
      <c r="G949" s="29" t="str">
        <f>'Hitung Per Bulan'!J949</f>
        <v/>
      </c>
    </row>
    <row r="950" spans="1:7" x14ac:dyDescent="0.45">
      <c r="A950" t="s">
        <v>7</v>
      </c>
      <c r="B950" t="s">
        <v>37</v>
      </c>
      <c r="C950" t="s">
        <v>22</v>
      </c>
      <c r="D950" s="24">
        <v>0</v>
      </c>
      <c r="E950" s="29">
        <f>'Hitung Per Bulan'!I950</f>
        <v>0</v>
      </c>
      <c r="F950" s="24">
        <v>0</v>
      </c>
      <c r="G950" s="29">
        <f>'Hitung Per Bulan'!J950</f>
        <v>0</v>
      </c>
    </row>
    <row r="951" spans="1:7" x14ac:dyDescent="0.45">
      <c r="A951" t="s">
        <v>10</v>
      </c>
      <c r="B951" t="s">
        <v>37</v>
      </c>
      <c r="C951" t="s">
        <v>22</v>
      </c>
      <c r="D951" s="24">
        <v>79200000</v>
      </c>
      <c r="E951" s="29">
        <f>'Hitung Per Bulan'!I951</f>
        <v>37804500</v>
      </c>
      <c r="F951" s="24">
        <v>79200000</v>
      </c>
      <c r="G951" s="29">
        <f>'Hitung Per Bulan'!J951</f>
        <v>0</v>
      </c>
    </row>
    <row r="952" spans="1:7" x14ac:dyDescent="0.45">
      <c r="A952" t="s">
        <v>11</v>
      </c>
      <c r="B952" t="s">
        <v>37</v>
      </c>
      <c r="C952" t="s">
        <v>22</v>
      </c>
      <c r="D952" s="24">
        <v>0</v>
      </c>
      <c r="E952" s="29">
        <f>'Hitung Per Bulan'!I952</f>
        <v>14403650</v>
      </c>
      <c r="F952" s="24">
        <v>0</v>
      </c>
      <c r="G952" s="29">
        <f>'Hitung Per Bulan'!J952</f>
        <v>0</v>
      </c>
    </row>
    <row r="953" spans="1:7" x14ac:dyDescent="0.45">
      <c r="A953" t="s">
        <v>12</v>
      </c>
      <c r="B953" t="s">
        <v>37</v>
      </c>
      <c r="C953" t="s">
        <v>22</v>
      </c>
      <c r="D953" s="24">
        <v>0</v>
      </c>
      <c r="E953" s="29" t="str">
        <f>'Hitung Per Bulan'!I953</f>
        <v/>
      </c>
      <c r="F953" s="24">
        <v>0</v>
      </c>
      <c r="G953" s="29" t="str">
        <f>'Hitung Per Bulan'!J953</f>
        <v/>
      </c>
    </row>
    <row r="954" spans="1:7" x14ac:dyDescent="0.45">
      <c r="A954" t="s">
        <v>13</v>
      </c>
      <c r="B954" t="s">
        <v>37</v>
      </c>
      <c r="C954" t="s">
        <v>22</v>
      </c>
      <c r="D954" s="24">
        <v>79200000</v>
      </c>
      <c r="E954" s="29" t="str">
        <f>'Hitung Per Bulan'!I954</f>
        <v/>
      </c>
      <c r="F954" s="24">
        <v>79200000</v>
      </c>
      <c r="G954" s="29" t="str">
        <f>'Hitung Per Bulan'!J954</f>
        <v/>
      </c>
    </row>
    <row r="955" spans="1:7" x14ac:dyDescent="0.45">
      <c r="A955" t="s">
        <v>14</v>
      </c>
      <c r="B955" t="s">
        <v>37</v>
      </c>
      <c r="C955" t="s">
        <v>22</v>
      </c>
      <c r="D955" s="24">
        <v>0</v>
      </c>
      <c r="E955" s="29" t="str">
        <f>'Hitung Per Bulan'!I955</f>
        <v/>
      </c>
      <c r="F955" s="24">
        <v>0</v>
      </c>
      <c r="G955" s="29" t="str">
        <f>'Hitung Per Bulan'!J955</f>
        <v/>
      </c>
    </row>
    <row r="956" spans="1:7" x14ac:dyDescent="0.45">
      <c r="A956" t="s">
        <v>15</v>
      </c>
      <c r="B956" t="s">
        <v>37</v>
      </c>
      <c r="C956" t="s">
        <v>22</v>
      </c>
      <c r="D956" s="24">
        <v>0</v>
      </c>
      <c r="E956" s="29" t="str">
        <f>'Hitung Per Bulan'!I956</f>
        <v/>
      </c>
      <c r="F956" s="24">
        <v>0</v>
      </c>
      <c r="G956" s="29" t="str">
        <f>'Hitung Per Bulan'!J956</f>
        <v/>
      </c>
    </row>
    <row r="957" spans="1:7" x14ac:dyDescent="0.45">
      <c r="A957" t="s">
        <v>16</v>
      </c>
      <c r="B957" t="s">
        <v>37</v>
      </c>
      <c r="C957" t="s">
        <v>22</v>
      </c>
      <c r="D957" s="24">
        <v>79200000</v>
      </c>
      <c r="E957" s="29" t="str">
        <f>'Hitung Per Bulan'!I957</f>
        <v/>
      </c>
      <c r="F957" s="24">
        <v>79200000</v>
      </c>
      <c r="G957" s="29" t="str">
        <f>'Hitung Per Bulan'!J957</f>
        <v/>
      </c>
    </row>
    <row r="958" spans="1:7" x14ac:dyDescent="0.45">
      <c r="A958" t="s">
        <v>17</v>
      </c>
      <c r="B958" t="s">
        <v>37</v>
      </c>
      <c r="C958" t="s">
        <v>22</v>
      </c>
      <c r="D958" s="24">
        <v>0</v>
      </c>
      <c r="E958" s="29" t="str">
        <f>'Hitung Per Bulan'!I958</f>
        <v/>
      </c>
      <c r="F958" s="24">
        <v>0</v>
      </c>
      <c r="G958" s="29" t="str">
        <f>'Hitung Per Bulan'!J958</f>
        <v/>
      </c>
    </row>
    <row r="959" spans="1:7" x14ac:dyDescent="0.45">
      <c r="A959" t="s">
        <v>18</v>
      </c>
      <c r="B959" t="s">
        <v>37</v>
      </c>
      <c r="C959" t="s">
        <v>22</v>
      </c>
      <c r="D959" s="24">
        <v>0</v>
      </c>
      <c r="E959" s="29" t="str">
        <f>'Hitung Per Bulan'!I959</f>
        <v/>
      </c>
      <c r="F959" s="24">
        <v>0</v>
      </c>
      <c r="G959" s="29" t="str">
        <f>'Hitung Per Bulan'!J959</f>
        <v/>
      </c>
    </row>
    <row r="960" spans="1:7" x14ac:dyDescent="0.45">
      <c r="A960" t="s">
        <v>19</v>
      </c>
      <c r="B960" t="s">
        <v>37</v>
      </c>
      <c r="C960" t="s">
        <v>22</v>
      </c>
      <c r="D960" s="24">
        <v>79200000</v>
      </c>
      <c r="E960" s="29" t="str">
        <f>'Hitung Per Bulan'!I960</f>
        <v/>
      </c>
      <c r="F960" s="24">
        <v>79200000</v>
      </c>
      <c r="G960" s="29" t="str">
        <f>'Hitung Per Bulan'!J960</f>
        <v/>
      </c>
    </row>
    <row r="961" spans="1:7" x14ac:dyDescent="0.45">
      <c r="A961" t="s">
        <v>20</v>
      </c>
      <c r="B961" t="s">
        <v>37</v>
      </c>
      <c r="C961" t="s">
        <v>22</v>
      </c>
      <c r="D961" s="24">
        <v>0</v>
      </c>
      <c r="E961" s="29" t="str">
        <f>'Hitung Per Bulan'!I961</f>
        <v/>
      </c>
      <c r="F961" s="24">
        <v>0</v>
      </c>
      <c r="G961" s="29" t="str">
        <f>'Hitung Per Bulan'!J961</f>
        <v/>
      </c>
    </row>
    <row r="962" spans="1:7" x14ac:dyDescent="0.45">
      <c r="A962" t="s">
        <v>7</v>
      </c>
      <c r="B962" t="s">
        <v>37</v>
      </c>
      <c r="C962" t="s">
        <v>23</v>
      </c>
      <c r="D962" s="24">
        <v>0</v>
      </c>
      <c r="E962" s="29">
        <f>'Hitung Per Bulan'!I962</f>
        <v>0</v>
      </c>
      <c r="F962" s="24">
        <v>0</v>
      </c>
      <c r="G962" s="29">
        <f>'Hitung Per Bulan'!J962</f>
        <v>0</v>
      </c>
    </row>
    <row r="963" spans="1:7" x14ac:dyDescent="0.45">
      <c r="A963" t="s">
        <v>10</v>
      </c>
      <c r="B963" t="s">
        <v>37</v>
      </c>
      <c r="C963" t="s">
        <v>23</v>
      </c>
      <c r="D963" s="24">
        <v>0</v>
      </c>
      <c r="E963" s="29">
        <f>'Hitung Per Bulan'!I963</f>
        <v>0</v>
      </c>
      <c r="F963" s="24">
        <v>0</v>
      </c>
      <c r="G963" s="29">
        <f>'Hitung Per Bulan'!J963</f>
        <v>0</v>
      </c>
    </row>
    <row r="964" spans="1:7" x14ac:dyDescent="0.45">
      <c r="A964" t="s">
        <v>11</v>
      </c>
      <c r="B964" t="s">
        <v>37</v>
      </c>
      <c r="C964" t="s">
        <v>23</v>
      </c>
      <c r="D964" s="24">
        <v>250000000</v>
      </c>
      <c r="E964" s="29">
        <f>'Hitung Per Bulan'!I964</f>
        <v>0</v>
      </c>
      <c r="F964" s="24">
        <v>250000000</v>
      </c>
      <c r="G964" s="29">
        <f>'Hitung Per Bulan'!J964</f>
        <v>0</v>
      </c>
    </row>
    <row r="965" spans="1:7" x14ac:dyDescent="0.45">
      <c r="A965" t="s">
        <v>12</v>
      </c>
      <c r="B965" t="s">
        <v>37</v>
      </c>
      <c r="C965" t="s">
        <v>23</v>
      </c>
      <c r="D965" s="24">
        <v>0</v>
      </c>
      <c r="E965" s="29" t="str">
        <f>'Hitung Per Bulan'!I965</f>
        <v/>
      </c>
      <c r="F965" s="24">
        <v>0</v>
      </c>
      <c r="G965" s="29" t="str">
        <f>'Hitung Per Bulan'!J965</f>
        <v/>
      </c>
    </row>
    <row r="966" spans="1:7" x14ac:dyDescent="0.45">
      <c r="A966" t="s">
        <v>13</v>
      </c>
      <c r="B966" t="s">
        <v>37</v>
      </c>
      <c r="C966" t="s">
        <v>23</v>
      </c>
      <c r="D966" s="24">
        <v>0</v>
      </c>
      <c r="E966" s="29" t="str">
        <f>'Hitung Per Bulan'!I966</f>
        <v/>
      </c>
      <c r="F966" s="24">
        <v>0</v>
      </c>
      <c r="G966" s="29" t="str">
        <f>'Hitung Per Bulan'!J966</f>
        <v/>
      </c>
    </row>
    <row r="967" spans="1:7" x14ac:dyDescent="0.45">
      <c r="A967" t="s">
        <v>14</v>
      </c>
      <c r="B967" t="s">
        <v>37</v>
      </c>
      <c r="C967" t="s">
        <v>23</v>
      </c>
      <c r="D967" s="24">
        <v>0</v>
      </c>
      <c r="E967" s="29" t="str">
        <f>'Hitung Per Bulan'!I967</f>
        <v/>
      </c>
      <c r="F967" s="24">
        <v>0</v>
      </c>
      <c r="G967" s="29" t="str">
        <f>'Hitung Per Bulan'!J967</f>
        <v/>
      </c>
    </row>
    <row r="968" spans="1:7" x14ac:dyDescent="0.45">
      <c r="A968" t="s">
        <v>15</v>
      </c>
      <c r="B968" t="s">
        <v>37</v>
      </c>
      <c r="C968" t="s">
        <v>23</v>
      </c>
      <c r="D968" s="24">
        <v>0</v>
      </c>
      <c r="E968" s="29" t="str">
        <f>'Hitung Per Bulan'!I968</f>
        <v/>
      </c>
      <c r="F968" s="24">
        <v>0</v>
      </c>
      <c r="G968" s="29" t="str">
        <f>'Hitung Per Bulan'!J968</f>
        <v/>
      </c>
    </row>
    <row r="969" spans="1:7" x14ac:dyDescent="0.45">
      <c r="A969" t="s">
        <v>16</v>
      </c>
      <c r="B969" t="s">
        <v>37</v>
      </c>
      <c r="C969" t="s">
        <v>23</v>
      </c>
      <c r="D969" s="24">
        <v>0</v>
      </c>
      <c r="E969" s="29" t="str">
        <f>'Hitung Per Bulan'!I969</f>
        <v/>
      </c>
      <c r="F969" s="24">
        <v>0</v>
      </c>
      <c r="G969" s="29" t="str">
        <f>'Hitung Per Bulan'!J969</f>
        <v/>
      </c>
    </row>
    <row r="970" spans="1:7" x14ac:dyDescent="0.45">
      <c r="A970" t="s">
        <v>17</v>
      </c>
      <c r="B970" t="s">
        <v>37</v>
      </c>
      <c r="C970" t="s">
        <v>23</v>
      </c>
      <c r="D970" s="24">
        <v>0</v>
      </c>
      <c r="E970" s="29" t="str">
        <f>'Hitung Per Bulan'!I970</f>
        <v/>
      </c>
      <c r="F970" s="24">
        <v>0</v>
      </c>
      <c r="G970" s="29" t="str">
        <f>'Hitung Per Bulan'!J970</f>
        <v/>
      </c>
    </row>
    <row r="971" spans="1:7" x14ac:dyDescent="0.45">
      <c r="A971" t="s">
        <v>18</v>
      </c>
      <c r="B971" t="s">
        <v>37</v>
      </c>
      <c r="C971" t="s">
        <v>23</v>
      </c>
      <c r="D971" s="24">
        <v>0</v>
      </c>
      <c r="E971" s="29" t="str">
        <f>'Hitung Per Bulan'!I971</f>
        <v/>
      </c>
      <c r="F971" s="24">
        <v>0</v>
      </c>
      <c r="G971" s="29" t="str">
        <f>'Hitung Per Bulan'!J971</f>
        <v/>
      </c>
    </row>
    <row r="972" spans="1:7" x14ac:dyDescent="0.45">
      <c r="A972" t="s">
        <v>19</v>
      </c>
      <c r="B972" t="s">
        <v>37</v>
      </c>
      <c r="C972" t="s">
        <v>23</v>
      </c>
      <c r="D972" s="24">
        <v>0</v>
      </c>
      <c r="E972" s="29" t="str">
        <f>'Hitung Per Bulan'!I972</f>
        <v/>
      </c>
      <c r="F972" s="24">
        <v>0</v>
      </c>
      <c r="G972" s="29" t="str">
        <f>'Hitung Per Bulan'!J972</f>
        <v/>
      </c>
    </row>
    <row r="973" spans="1:7" x14ac:dyDescent="0.45">
      <c r="A973" t="s">
        <v>20</v>
      </c>
      <c r="B973" t="s">
        <v>37</v>
      </c>
      <c r="C973" t="s">
        <v>23</v>
      </c>
      <c r="D973" s="24">
        <v>0</v>
      </c>
      <c r="E973" s="29" t="str">
        <f>'Hitung Per Bulan'!I973</f>
        <v/>
      </c>
      <c r="F973" s="24">
        <v>0</v>
      </c>
      <c r="G973" s="29" t="str">
        <f>'Hitung Per Bulan'!J973</f>
        <v/>
      </c>
    </row>
    <row r="974" spans="1:7" x14ac:dyDescent="0.45">
      <c r="A974" t="s">
        <v>7</v>
      </c>
      <c r="B974" t="s">
        <v>37</v>
      </c>
      <c r="C974" t="s">
        <v>24</v>
      </c>
      <c r="D974" s="24">
        <v>0</v>
      </c>
      <c r="E974" s="29">
        <f>'Hitung Per Bulan'!I974</f>
        <v>0</v>
      </c>
      <c r="F974" s="24">
        <v>0</v>
      </c>
      <c r="G974" s="29">
        <f>'Hitung Per Bulan'!J974</f>
        <v>0</v>
      </c>
    </row>
    <row r="975" spans="1:7" x14ac:dyDescent="0.45">
      <c r="A975" t="s">
        <v>10</v>
      </c>
      <c r="B975" t="s">
        <v>37</v>
      </c>
      <c r="C975" t="s">
        <v>24</v>
      </c>
      <c r="D975" s="24">
        <v>0</v>
      </c>
      <c r="E975" s="29">
        <f>'Hitung Per Bulan'!I975</f>
        <v>0</v>
      </c>
      <c r="F975" s="24">
        <v>0</v>
      </c>
      <c r="G975" s="29">
        <f>'Hitung Per Bulan'!J975</f>
        <v>0</v>
      </c>
    </row>
    <row r="976" spans="1:7" x14ac:dyDescent="0.45">
      <c r="A976" t="s">
        <v>11</v>
      </c>
      <c r="B976" t="s">
        <v>37</v>
      </c>
      <c r="C976" t="s">
        <v>24</v>
      </c>
      <c r="D976" s="24">
        <v>0</v>
      </c>
      <c r="E976" s="29">
        <f>'Hitung Per Bulan'!I976</f>
        <v>0</v>
      </c>
      <c r="F976" s="24">
        <v>0</v>
      </c>
      <c r="G976" s="29">
        <f>'Hitung Per Bulan'!J976</f>
        <v>0</v>
      </c>
    </row>
    <row r="977" spans="1:7" x14ac:dyDescent="0.45">
      <c r="A977" t="s">
        <v>12</v>
      </c>
      <c r="B977" t="s">
        <v>37</v>
      </c>
      <c r="C977" t="s">
        <v>24</v>
      </c>
      <c r="D977" s="24">
        <v>0</v>
      </c>
      <c r="E977" s="29" t="str">
        <f>'Hitung Per Bulan'!I977</f>
        <v/>
      </c>
      <c r="F977" s="24">
        <v>0</v>
      </c>
      <c r="G977" s="29" t="str">
        <f>'Hitung Per Bulan'!J977</f>
        <v/>
      </c>
    </row>
    <row r="978" spans="1:7" x14ac:dyDescent="0.45">
      <c r="A978" t="s">
        <v>13</v>
      </c>
      <c r="B978" t="s">
        <v>37</v>
      </c>
      <c r="C978" t="s">
        <v>24</v>
      </c>
      <c r="D978" s="24">
        <v>0</v>
      </c>
      <c r="E978" s="29" t="str">
        <f>'Hitung Per Bulan'!I978</f>
        <v/>
      </c>
      <c r="F978" s="24">
        <v>0</v>
      </c>
      <c r="G978" s="29" t="str">
        <f>'Hitung Per Bulan'!J978</f>
        <v/>
      </c>
    </row>
    <row r="979" spans="1:7" x14ac:dyDescent="0.45">
      <c r="A979" t="s">
        <v>14</v>
      </c>
      <c r="B979" t="s">
        <v>37</v>
      </c>
      <c r="C979" t="s">
        <v>24</v>
      </c>
      <c r="D979" s="24">
        <v>0</v>
      </c>
      <c r="E979" s="29" t="str">
        <f>'Hitung Per Bulan'!I979</f>
        <v/>
      </c>
      <c r="F979" s="24">
        <v>0</v>
      </c>
      <c r="G979" s="29" t="str">
        <f>'Hitung Per Bulan'!J979</f>
        <v/>
      </c>
    </row>
    <row r="980" spans="1:7" x14ac:dyDescent="0.45">
      <c r="A980" t="s">
        <v>15</v>
      </c>
      <c r="B980" t="s">
        <v>37</v>
      </c>
      <c r="C980" t="s">
        <v>24</v>
      </c>
      <c r="D980" s="24">
        <v>0</v>
      </c>
      <c r="E980" s="29" t="str">
        <f>'Hitung Per Bulan'!I980</f>
        <v/>
      </c>
      <c r="F980" s="24">
        <v>0</v>
      </c>
      <c r="G980" s="29" t="str">
        <f>'Hitung Per Bulan'!J980</f>
        <v/>
      </c>
    </row>
    <row r="981" spans="1:7" x14ac:dyDescent="0.45">
      <c r="A981" t="s">
        <v>16</v>
      </c>
      <c r="B981" t="s">
        <v>37</v>
      </c>
      <c r="C981" t="s">
        <v>24</v>
      </c>
      <c r="D981" s="24">
        <v>0</v>
      </c>
      <c r="E981" s="29" t="str">
        <f>'Hitung Per Bulan'!I981</f>
        <v/>
      </c>
      <c r="F981" s="24">
        <v>0</v>
      </c>
      <c r="G981" s="29" t="str">
        <f>'Hitung Per Bulan'!J981</f>
        <v/>
      </c>
    </row>
    <row r="982" spans="1:7" x14ac:dyDescent="0.45">
      <c r="A982" t="s">
        <v>17</v>
      </c>
      <c r="B982" t="s">
        <v>37</v>
      </c>
      <c r="C982" t="s">
        <v>24</v>
      </c>
      <c r="D982" s="24">
        <v>0</v>
      </c>
      <c r="E982" s="29" t="str">
        <f>'Hitung Per Bulan'!I982</f>
        <v/>
      </c>
      <c r="F982" s="24">
        <v>0</v>
      </c>
      <c r="G982" s="29" t="str">
        <f>'Hitung Per Bulan'!J982</f>
        <v/>
      </c>
    </row>
    <row r="983" spans="1:7" x14ac:dyDescent="0.45">
      <c r="A983" t="s">
        <v>18</v>
      </c>
      <c r="B983" t="s">
        <v>37</v>
      </c>
      <c r="C983" t="s">
        <v>24</v>
      </c>
      <c r="D983" s="24">
        <v>0</v>
      </c>
      <c r="E983" s="29" t="str">
        <f>'Hitung Per Bulan'!I983</f>
        <v/>
      </c>
      <c r="F983" s="24">
        <v>0</v>
      </c>
      <c r="G983" s="29" t="str">
        <f>'Hitung Per Bulan'!J983</f>
        <v/>
      </c>
    </row>
    <row r="984" spans="1:7" x14ac:dyDescent="0.45">
      <c r="A984" t="s">
        <v>19</v>
      </c>
      <c r="B984" t="s">
        <v>37</v>
      </c>
      <c r="C984" t="s">
        <v>24</v>
      </c>
      <c r="D984" s="24">
        <v>0</v>
      </c>
      <c r="E984" s="29" t="str">
        <f>'Hitung Per Bulan'!I984</f>
        <v/>
      </c>
      <c r="F984" s="24">
        <v>0</v>
      </c>
      <c r="G984" s="29" t="str">
        <f>'Hitung Per Bulan'!J984</f>
        <v/>
      </c>
    </row>
    <row r="985" spans="1:7" x14ac:dyDescent="0.45">
      <c r="A985" t="s">
        <v>20</v>
      </c>
      <c r="B985" t="s">
        <v>37</v>
      </c>
      <c r="C985" t="s">
        <v>24</v>
      </c>
      <c r="D985" s="24">
        <v>0</v>
      </c>
      <c r="E985" s="29" t="str">
        <f>'Hitung Per Bulan'!I985</f>
        <v/>
      </c>
      <c r="F985" s="24">
        <v>0</v>
      </c>
      <c r="G985" s="29" t="str">
        <f>'Hitung Per Bulan'!J985</f>
        <v/>
      </c>
    </row>
    <row r="986" spans="1:7" x14ac:dyDescent="0.45">
      <c r="A986" t="s">
        <v>7</v>
      </c>
      <c r="B986" t="s">
        <v>37</v>
      </c>
      <c r="C986" t="s">
        <v>25</v>
      </c>
      <c r="D986" s="24">
        <v>123852333.33333334</v>
      </c>
      <c r="E986" s="29">
        <f>'Hitung Per Bulan'!I986</f>
        <v>73891500</v>
      </c>
      <c r="F986" s="24">
        <v>123852333.33333334</v>
      </c>
      <c r="G986" s="29">
        <f>'Hitung Per Bulan'!J986</f>
        <v>5977500</v>
      </c>
    </row>
    <row r="987" spans="1:7" x14ac:dyDescent="0.45">
      <c r="A987" t="s">
        <v>10</v>
      </c>
      <c r="B987" t="s">
        <v>37</v>
      </c>
      <c r="C987" t="s">
        <v>25</v>
      </c>
      <c r="D987" s="24">
        <v>113852333.33333334</v>
      </c>
      <c r="E987" s="29">
        <f>'Hitung Per Bulan'!I987</f>
        <v>121455950</v>
      </c>
      <c r="F987" s="24">
        <v>113852333.33333334</v>
      </c>
      <c r="G987" s="29">
        <f>'Hitung Per Bulan'!J987</f>
        <v>91152500</v>
      </c>
    </row>
    <row r="988" spans="1:7" x14ac:dyDescent="0.45">
      <c r="A988" t="s">
        <v>11</v>
      </c>
      <c r="B988" t="s">
        <v>37</v>
      </c>
      <c r="C988" t="s">
        <v>25</v>
      </c>
      <c r="D988" s="24">
        <v>113852333.33333334</v>
      </c>
      <c r="E988" s="29">
        <f>'Hitung Per Bulan'!I988</f>
        <v>122435362</v>
      </c>
      <c r="F988" s="24">
        <v>113852333.33333334</v>
      </c>
      <c r="G988" s="29">
        <f>'Hitung Per Bulan'!J988</f>
        <v>70950362</v>
      </c>
    </row>
    <row r="989" spans="1:7" x14ac:dyDescent="0.45">
      <c r="A989" t="s">
        <v>12</v>
      </c>
      <c r="B989" t="s">
        <v>37</v>
      </c>
      <c r="C989" t="s">
        <v>25</v>
      </c>
      <c r="D989" s="24">
        <v>123852333.33333334</v>
      </c>
      <c r="E989" s="29" t="str">
        <f>'Hitung Per Bulan'!I989</f>
        <v/>
      </c>
      <c r="F989" s="24">
        <v>123852333.33333334</v>
      </c>
      <c r="G989" s="29" t="str">
        <f>'Hitung Per Bulan'!J989</f>
        <v/>
      </c>
    </row>
    <row r="990" spans="1:7" x14ac:dyDescent="0.45">
      <c r="A990" t="s">
        <v>13</v>
      </c>
      <c r="B990" t="s">
        <v>37</v>
      </c>
      <c r="C990" t="s">
        <v>25</v>
      </c>
      <c r="D990" s="24">
        <v>253852333.33333334</v>
      </c>
      <c r="E990" s="29" t="str">
        <f>'Hitung Per Bulan'!I990</f>
        <v/>
      </c>
      <c r="F990" s="24">
        <v>253852333.33333334</v>
      </c>
      <c r="G990" s="29" t="str">
        <f>'Hitung Per Bulan'!J990</f>
        <v/>
      </c>
    </row>
    <row r="991" spans="1:7" x14ac:dyDescent="0.45">
      <c r="A991" t="s">
        <v>14</v>
      </c>
      <c r="B991" t="s">
        <v>37</v>
      </c>
      <c r="C991" t="s">
        <v>25</v>
      </c>
      <c r="D991" s="24">
        <v>113853333.33333334</v>
      </c>
      <c r="E991" s="29" t="str">
        <f>'Hitung Per Bulan'!I991</f>
        <v/>
      </c>
      <c r="F991" s="24">
        <v>113853333.33333334</v>
      </c>
      <c r="G991" s="29" t="str">
        <f>'Hitung Per Bulan'!J991</f>
        <v/>
      </c>
    </row>
    <row r="992" spans="1:7" x14ac:dyDescent="0.45">
      <c r="A992" t="s">
        <v>15</v>
      </c>
      <c r="B992" t="s">
        <v>37</v>
      </c>
      <c r="C992" t="s">
        <v>25</v>
      </c>
      <c r="D992" s="24">
        <v>123852333.33333334</v>
      </c>
      <c r="E992" s="29" t="str">
        <f>'Hitung Per Bulan'!I992</f>
        <v/>
      </c>
      <c r="F992" s="24">
        <v>123852333.33333334</v>
      </c>
      <c r="G992" s="29" t="str">
        <f>'Hitung Per Bulan'!J992</f>
        <v/>
      </c>
    </row>
    <row r="993" spans="1:7" x14ac:dyDescent="0.45">
      <c r="A993" t="s">
        <v>16</v>
      </c>
      <c r="B993" t="s">
        <v>37</v>
      </c>
      <c r="C993" t="s">
        <v>25</v>
      </c>
      <c r="D993" s="24">
        <v>243852333.33333334</v>
      </c>
      <c r="E993" s="29" t="str">
        <f>'Hitung Per Bulan'!I993</f>
        <v/>
      </c>
      <c r="F993" s="24">
        <v>243852333.33333334</v>
      </c>
      <c r="G993" s="29" t="str">
        <f>'Hitung Per Bulan'!J993</f>
        <v/>
      </c>
    </row>
    <row r="994" spans="1:7" x14ac:dyDescent="0.45">
      <c r="A994" t="s">
        <v>17</v>
      </c>
      <c r="B994" t="s">
        <v>37</v>
      </c>
      <c r="C994" t="s">
        <v>25</v>
      </c>
      <c r="D994" s="24">
        <v>113853333.33333334</v>
      </c>
      <c r="E994" s="29" t="str">
        <f>'Hitung Per Bulan'!I994</f>
        <v/>
      </c>
      <c r="F994" s="24">
        <v>113853333.33333334</v>
      </c>
      <c r="G994" s="29" t="str">
        <f>'Hitung Per Bulan'!J994</f>
        <v/>
      </c>
    </row>
    <row r="995" spans="1:7" x14ac:dyDescent="0.45">
      <c r="A995" t="s">
        <v>18</v>
      </c>
      <c r="B995" t="s">
        <v>37</v>
      </c>
      <c r="C995" t="s">
        <v>25</v>
      </c>
      <c r="D995" s="24">
        <v>123852333.33333334</v>
      </c>
      <c r="E995" s="29" t="str">
        <f>'Hitung Per Bulan'!I995</f>
        <v/>
      </c>
      <c r="F995" s="24">
        <v>123852333.33333334</v>
      </c>
      <c r="G995" s="29" t="str">
        <f>'Hitung Per Bulan'!J995</f>
        <v/>
      </c>
    </row>
    <row r="996" spans="1:7" x14ac:dyDescent="0.45">
      <c r="A996" t="s">
        <v>19</v>
      </c>
      <c r="B996" t="s">
        <v>37</v>
      </c>
      <c r="C996" t="s">
        <v>25</v>
      </c>
      <c r="D996" s="24">
        <v>229852333.33333334</v>
      </c>
      <c r="E996" s="29" t="str">
        <f>'Hitung Per Bulan'!I996</f>
        <v/>
      </c>
      <c r="F996" s="24">
        <v>229852333.33333334</v>
      </c>
      <c r="G996" s="29" t="str">
        <f>'Hitung Per Bulan'!J996</f>
        <v/>
      </c>
    </row>
    <row r="997" spans="1:7" x14ac:dyDescent="0.45">
      <c r="A997" t="s">
        <v>20</v>
      </c>
      <c r="B997" t="s">
        <v>37</v>
      </c>
      <c r="C997" t="s">
        <v>25</v>
      </c>
      <c r="D997" s="24">
        <v>113853333.33333334</v>
      </c>
      <c r="E997" s="29" t="str">
        <f>'Hitung Per Bulan'!I997</f>
        <v/>
      </c>
      <c r="F997" s="24">
        <v>113853333.33333334</v>
      </c>
      <c r="G997" s="29" t="str">
        <f>'Hitung Per Bulan'!J997</f>
        <v/>
      </c>
    </row>
    <row r="998" spans="1:7" x14ac:dyDescent="0.45">
      <c r="A998" t="s">
        <v>7</v>
      </c>
      <c r="B998" t="s">
        <v>37</v>
      </c>
      <c r="C998" t="s">
        <v>26</v>
      </c>
      <c r="D998" s="24">
        <v>185833333.33333334</v>
      </c>
      <c r="E998" s="29">
        <f>'Hitung Per Bulan'!I998</f>
        <v>96928940</v>
      </c>
      <c r="F998" s="24">
        <v>185833333.33333334</v>
      </c>
      <c r="G998" s="29">
        <f>'Hitung Per Bulan'!J998</f>
        <v>96928940</v>
      </c>
    </row>
    <row r="999" spans="1:7" x14ac:dyDescent="0.45">
      <c r="A999" t="s">
        <v>10</v>
      </c>
      <c r="B999" t="s">
        <v>37</v>
      </c>
      <c r="C999" t="s">
        <v>26</v>
      </c>
      <c r="D999" s="24">
        <v>185833333.33333334</v>
      </c>
      <c r="E999" s="29">
        <f>'Hitung Per Bulan'!I999</f>
        <v>130722605</v>
      </c>
      <c r="F999" s="24">
        <v>185833333.33333334</v>
      </c>
      <c r="G999" s="29">
        <f>'Hitung Per Bulan'!J999</f>
        <v>121222605</v>
      </c>
    </row>
    <row r="1000" spans="1:7" x14ac:dyDescent="0.45">
      <c r="A1000" t="s">
        <v>11</v>
      </c>
      <c r="B1000" t="s">
        <v>37</v>
      </c>
      <c r="C1000" t="s">
        <v>26</v>
      </c>
      <c r="D1000" s="24">
        <v>185833333.33333334</v>
      </c>
      <c r="E1000" s="29">
        <f>'Hitung Per Bulan'!I1000</f>
        <v>121328273</v>
      </c>
      <c r="F1000" s="24">
        <v>185833333.33333334</v>
      </c>
      <c r="G1000" s="29">
        <f>'Hitung Per Bulan'!J1000</f>
        <v>111828273</v>
      </c>
    </row>
    <row r="1001" spans="1:7" x14ac:dyDescent="0.45">
      <c r="A1001" t="s">
        <v>12</v>
      </c>
      <c r="B1001" t="s">
        <v>37</v>
      </c>
      <c r="C1001" t="s">
        <v>26</v>
      </c>
      <c r="D1001" s="24">
        <v>185833333.33333334</v>
      </c>
      <c r="E1001" s="29" t="str">
        <f>'Hitung Per Bulan'!I1001</f>
        <v/>
      </c>
      <c r="F1001" s="24">
        <v>185833333.33333334</v>
      </c>
      <c r="G1001" s="29" t="str">
        <f>'Hitung Per Bulan'!J1001</f>
        <v/>
      </c>
    </row>
    <row r="1002" spans="1:7" x14ac:dyDescent="0.45">
      <c r="A1002" t="s">
        <v>13</v>
      </c>
      <c r="B1002" t="s">
        <v>37</v>
      </c>
      <c r="C1002" t="s">
        <v>26</v>
      </c>
      <c r="D1002" s="24">
        <v>185833333.33333334</v>
      </c>
      <c r="E1002" s="29" t="str">
        <f>'Hitung Per Bulan'!I1002</f>
        <v/>
      </c>
      <c r="F1002" s="24">
        <v>185833333.33333334</v>
      </c>
      <c r="G1002" s="29" t="str">
        <f>'Hitung Per Bulan'!J1002</f>
        <v/>
      </c>
    </row>
    <row r="1003" spans="1:7" x14ac:dyDescent="0.45">
      <c r="A1003" t="s">
        <v>14</v>
      </c>
      <c r="B1003" t="s">
        <v>37</v>
      </c>
      <c r="C1003" t="s">
        <v>26</v>
      </c>
      <c r="D1003" s="24">
        <v>185833333.33333334</v>
      </c>
      <c r="E1003" s="29" t="str">
        <f>'Hitung Per Bulan'!I1003</f>
        <v/>
      </c>
      <c r="F1003" s="24">
        <v>185833333.33333334</v>
      </c>
      <c r="G1003" s="29" t="str">
        <f>'Hitung Per Bulan'!J1003</f>
        <v/>
      </c>
    </row>
    <row r="1004" spans="1:7" x14ac:dyDescent="0.45">
      <c r="A1004" t="s">
        <v>15</v>
      </c>
      <c r="B1004" t="s">
        <v>37</v>
      </c>
      <c r="C1004" t="s">
        <v>26</v>
      </c>
      <c r="D1004" s="24">
        <v>185833333.33333334</v>
      </c>
      <c r="E1004" s="29" t="str">
        <f>'Hitung Per Bulan'!I1004</f>
        <v/>
      </c>
      <c r="F1004" s="24">
        <v>185833333.33333334</v>
      </c>
      <c r="G1004" s="29" t="str">
        <f>'Hitung Per Bulan'!J1004</f>
        <v/>
      </c>
    </row>
    <row r="1005" spans="1:7" x14ac:dyDescent="0.45">
      <c r="A1005" t="s">
        <v>16</v>
      </c>
      <c r="B1005" t="s">
        <v>37</v>
      </c>
      <c r="C1005" t="s">
        <v>26</v>
      </c>
      <c r="D1005" s="24">
        <v>185833333.33333334</v>
      </c>
      <c r="E1005" s="29" t="str">
        <f>'Hitung Per Bulan'!I1005</f>
        <v/>
      </c>
      <c r="F1005" s="24">
        <v>185833333.33333334</v>
      </c>
      <c r="G1005" s="29" t="str">
        <f>'Hitung Per Bulan'!J1005</f>
        <v/>
      </c>
    </row>
    <row r="1006" spans="1:7" x14ac:dyDescent="0.45">
      <c r="A1006" t="s">
        <v>17</v>
      </c>
      <c r="B1006" t="s">
        <v>37</v>
      </c>
      <c r="C1006" t="s">
        <v>26</v>
      </c>
      <c r="D1006" s="24">
        <v>185833333.33333334</v>
      </c>
      <c r="E1006" s="29" t="str">
        <f>'Hitung Per Bulan'!I1006</f>
        <v/>
      </c>
      <c r="F1006" s="24">
        <v>185833333.33333334</v>
      </c>
      <c r="G1006" s="29" t="str">
        <f>'Hitung Per Bulan'!J1006</f>
        <v/>
      </c>
    </row>
    <row r="1007" spans="1:7" x14ac:dyDescent="0.45">
      <c r="A1007" t="s">
        <v>18</v>
      </c>
      <c r="B1007" t="s">
        <v>37</v>
      </c>
      <c r="C1007" t="s">
        <v>26</v>
      </c>
      <c r="D1007" s="24">
        <v>185833333.33333334</v>
      </c>
      <c r="E1007" s="29" t="str">
        <f>'Hitung Per Bulan'!I1007</f>
        <v/>
      </c>
      <c r="F1007" s="24">
        <v>185833333.33333334</v>
      </c>
      <c r="G1007" s="29" t="str">
        <f>'Hitung Per Bulan'!J1007</f>
        <v/>
      </c>
    </row>
    <row r="1008" spans="1:7" x14ac:dyDescent="0.45">
      <c r="A1008" t="s">
        <v>19</v>
      </c>
      <c r="B1008" t="s">
        <v>37</v>
      </c>
      <c r="C1008" t="s">
        <v>26</v>
      </c>
      <c r="D1008" s="24">
        <v>185833333.33333334</v>
      </c>
      <c r="E1008" s="29" t="str">
        <f>'Hitung Per Bulan'!I1008</f>
        <v/>
      </c>
      <c r="F1008" s="24">
        <v>185833333.33333334</v>
      </c>
      <c r="G1008" s="29" t="str">
        <f>'Hitung Per Bulan'!J1008</f>
        <v/>
      </c>
    </row>
    <row r="1009" spans="1:7" x14ac:dyDescent="0.45">
      <c r="A1009" t="s">
        <v>20</v>
      </c>
      <c r="B1009" t="s">
        <v>37</v>
      </c>
      <c r="C1009" t="s">
        <v>26</v>
      </c>
      <c r="D1009" s="24">
        <v>185833333.33333334</v>
      </c>
      <c r="E1009" s="29" t="str">
        <f>'Hitung Per Bulan'!I1009</f>
        <v/>
      </c>
      <c r="F1009" s="24">
        <v>185833333.33333334</v>
      </c>
      <c r="G1009" s="29" t="str">
        <f>'Hitung Per Bulan'!J1009</f>
        <v/>
      </c>
    </row>
    <row r="1010" spans="1:7" x14ac:dyDescent="0.45">
      <c r="A1010" t="s">
        <v>7</v>
      </c>
      <c r="B1010" t="s">
        <v>38</v>
      </c>
      <c r="C1010" t="s">
        <v>9</v>
      </c>
      <c r="D1010" s="24">
        <v>20000000</v>
      </c>
      <c r="E1010" s="29">
        <f>'Hitung Per Bulan'!I1010</f>
        <v>114501830</v>
      </c>
      <c r="F1010" s="24">
        <v>0</v>
      </c>
      <c r="G1010" s="29">
        <f>'Hitung Per Bulan'!J1010</f>
        <v>0</v>
      </c>
    </row>
    <row r="1011" spans="1:7" x14ac:dyDescent="0.45">
      <c r="A1011" t="s">
        <v>10</v>
      </c>
      <c r="B1011" t="s">
        <v>38</v>
      </c>
      <c r="C1011" t="s">
        <v>9</v>
      </c>
      <c r="D1011" s="24">
        <v>0</v>
      </c>
      <c r="E1011" s="29">
        <f>'Hitung Per Bulan'!I1011</f>
        <v>13970000</v>
      </c>
      <c r="F1011" s="24">
        <v>20000000</v>
      </c>
      <c r="G1011" s="29">
        <f>'Hitung Per Bulan'!J1011</f>
        <v>0</v>
      </c>
    </row>
    <row r="1012" spans="1:7" x14ac:dyDescent="0.45">
      <c r="A1012" t="s">
        <v>11</v>
      </c>
      <c r="B1012" t="s">
        <v>38</v>
      </c>
      <c r="C1012" t="s">
        <v>9</v>
      </c>
      <c r="D1012" s="24">
        <v>55000000</v>
      </c>
      <c r="E1012" s="29">
        <f>'Hitung Per Bulan'!I1012</f>
        <v>355360000</v>
      </c>
      <c r="F1012" s="24">
        <v>0</v>
      </c>
      <c r="G1012" s="29">
        <f>'Hitung Per Bulan'!J1012</f>
        <v>65501830</v>
      </c>
    </row>
    <row r="1013" spans="1:7" x14ac:dyDescent="0.45">
      <c r="A1013" t="s">
        <v>12</v>
      </c>
      <c r="B1013" t="s">
        <v>38</v>
      </c>
      <c r="C1013" t="s">
        <v>9</v>
      </c>
      <c r="D1013" s="24">
        <v>461300000</v>
      </c>
      <c r="E1013" s="29" t="str">
        <f>'Hitung Per Bulan'!I1013</f>
        <v/>
      </c>
      <c r="F1013" s="24">
        <v>55000000</v>
      </c>
      <c r="G1013" s="29" t="str">
        <f>'Hitung Per Bulan'!J1013</f>
        <v/>
      </c>
    </row>
    <row r="1014" spans="1:7" x14ac:dyDescent="0.45">
      <c r="A1014" t="s">
        <v>13</v>
      </c>
      <c r="B1014" t="s">
        <v>38</v>
      </c>
      <c r="C1014" t="s">
        <v>9</v>
      </c>
      <c r="D1014" s="24">
        <v>412440000</v>
      </c>
      <c r="E1014" s="29" t="str">
        <f>'Hitung Per Bulan'!I1014</f>
        <v/>
      </c>
      <c r="F1014" s="24">
        <v>0</v>
      </c>
      <c r="G1014" s="29" t="str">
        <f>'Hitung Per Bulan'!J1014</f>
        <v/>
      </c>
    </row>
    <row r="1015" spans="1:7" x14ac:dyDescent="0.45">
      <c r="A1015" t="s">
        <v>14</v>
      </c>
      <c r="B1015" t="s">
        <v>38</v>
      </c>
      <c r="C1015" t="s">
        <v>9</v>
      </c>
      <c r="D1015" s="24">
        <v>130000000</v>
      </c>
      <c r="E1015" s="29" t="str">
        <f>'Hitung Per Bulan'!I1015</f>
        <v/>
      </c>
      <c r="F1015" s="24">
        <v>0</v>
      </c>
      <c r="G1015" s="29" t="str">
        <f>'Hitung Per Bulan'!J1015</f>
        <v/>
      </c>
    </row>
    <row r="1016" spans="1:7" x14ac:dyDescent="0.45">
      <c r="A1016" t="s">
        <v>15</v>
      </c>
      <c r="B1016" t="s">
        <v>38</v>
      </c>
      <c r="C1016" t="s">
        <v>9</v>
      </c>
      <c r="D1016" s="24">
        <v>683211000</v>
      </c>
      <c r="E1016" s="29" t="str">
        <f>'Hitung Per Bulan'!I1016</f>
        <v/>
      </c>
      <c r="F1016" s="24">
        <v>516300000</v>
      </c>
      <c r="G1016" s="29" t="str">
        <f>'Hitung Per Bulan'!J1016</f>
        <v/>
      </c>
    </row>
    <row r="1017" spans="1:7" x14ac:dyDescent="0.45">
      <c r="A1017" t="s">
        <v>16</v>
      </c>
      <c r="B1017" t="s">
        <v>38</v>
      </c>
      <c r="C1017" t="s">
        <v>9</v>
      </c>
      <c r="D1017" s="24">
        <v>0</v>
      </c>
      <c r="E1017" s="29" t="str">
        <f>'Hitung Per Bulan'!I1017</f>
        <v/>
      </c>
      <c r="F1017" s="24">
        <v>412440000</v>
      </c>
      <c r="G1017" s="29" t="str">
        <f>'Hitung Per Bulan'!J1017</f>
        <v/>
      </c>
    </row>
    <row r="1018" spans="1:7" x14ac:dyDescent="0.45">
      <c r="A1018" t="s">
        <v>17</v>
      </c>
      <c r="B1018" t="s">
        <v>38</v>
      </c>
      <c r="C1018" t="s">
        <v>9</v>
      </c>
      <c r="D1018" s="24">
        <v>55000000</v>
      </c>
      <c r="E1018" s="29" t="str">
        <f>'Hitung Per Bulan'!I1018</f>
        <v/>
      </c>
      <c r="F1018" s="24">
        <v>75000000</v>
      </c>
      <c r="G1018" s="29" t="str">
        <f>'Hitung Per Bulan'!J1018</f>
        <v/>
      </c>
    </row>
    <row r="1019" spans="1:7" x14ac:dyDescent="0.45">
      <c r="A1019" t="s">
        <v>18</v>
      </c>
      <c r="B1019" t="s">
        <v>38</v>
      </c>
      <c r="C1019" t="s">
        <v>9</v>
      </c>
      <c r="D1019" s="24">
        <v>0</v>
      </c>
      <c r="E1019" s="29" t="str">
        <f>'Hitung Per Bulan'!I1019</f>
        <v/>
      </c>
      <c r="F1019" s="24">
        <v>55000000</v>
      </c>
      <c r="G1019" s="29" t="str">
        <f>'Hitung Per Bulan'!J1019</f>
        <v/>
      </c>
    </row>
    <row r="1020" spans="1:7" x14ac:dyDescent="0.45">
      <c r="A1020" t="s">
        <v>19</v>
      </c>
      <c r="B1020" t="s">
        <v>38</v>
      </c>
      <c r="C1020" t="s">
        <v>9</v>
      </c>
      <c r="D1020" s="24">
        <v>0</v>
      </c>
      <c r="E1020" s="29" t="str">
        <f>'Hitung Per Bulan'!I1020</f>
        <v/>
      </c>
      <c r="F1020" s="24">
        <v>683211000</v>
      </c>
      <c r="G1020" s="29" t="str">
        <f>'Hitung Per Bulan'!J1020</f>
        <v/>
      </c>
    </row>
    <row r="1021" spans="1:7" x14ac:dyDescent="0.45">
      <c r="A1021" t="s">
        <v>20</v>
      </c>
      <c r="B1021" t="s">
        <v>38</v>
      </c>
      <c r="C1021" t="s">
        <v>9</v>
      </c>
      <c r="D1021" s="24">
        <v>55000000</v>
      </c>
      <c r="E1021" s="29" t="str">
        <f>'Hitung Per Bulan'!I1021</f>
        <v/>
      </c>
      <c r="F1021" s="24">
        <v>55000000</v>
      </c>
      <c r="G1021" s="29" t="str">
        <f>'Hitung Per Bulan'!J1021</f>
        <v/>
      </c>
    </row>
    <row r="1022" spans="1:7" x14ac:dyDescent="0.45">
      <c r="A1022" t="s">
        <v>7</v>
      </c>
      <c r="B1022" t="s">
        <v>38</v>
      </c>
      <c r="C1022" t="s">
        <v>21</v>
      </c>
      <c r="D1022" s="24">
        <v>0</v>
      </c>
      <c r="E1022" s="29">
        <f>'Hitung Per Bulan'!I1022</f>
        <v>0</v>
      </c>
      <c r="F1022" s="24">
        <v>0</v>
      </c>
      <c r="G1022" s="29">
        <f>'Hitung Per Bulan'!J1022</f>
        <v>0</v>
      </c>
    </row>
    <row r="1023" spans="1:7" x14ac:dyDescent="0.45">
      <c r="A1023" t="s">
        <v>10</v>
      </c>
      <c r="B1023" t="s">
        <v>38</v>
      </c>
      <c r="C1023" t="s">
        <v>21</v>
      </c>
      <c r="D1023" s="24">
        <v>0</v>
      </c>
      <c r="E1023" s="29">
        <f>'Hitung Per Bulan'!I1023</f>
        <v>0</v>
      </c>
      <c r="F1023" s="24">
        <v>0</v>
      </c>
      <c r="G1023" s="29">
        <f>'Hitung Per Bulan'!J1023</f>
        <v>0</v>
      </c>
    </row>
    <row r="1024" spans="1:7" x14ac:dyDescent="0.45">
      <c r="A1024" t="s">
        <v>11</v>
      </c>
      <c r="B1024" t="s">
        <v>38</v>
      </c>
      <c r="C1024" t="s">
        <v>21</v>
      </c>
      <c r="D1024" s="24">
        <v>0</v>
      </c>
      <c r="E1024" s="29">
        <f>'Hitung Per Bulan'!I1024</f>
        <v>0</v>
      </c>
      <c r="F1024" s="24">
        <v>0</v>
      </c>
      <c r="G1024" s="29">
        <f>'Hitung Per Bulan'!J1024</f>
        <v>0</v>
      </c>
    </row>
    <row r="1025" spans="1:7" x14ac:dyDescent="0.45">
      <c r="A1025" t="s">
        <v>12</v>
      </c>
      <c r="B1025" t="s">
        <v>38</v>
      </c>
      <c r="C1025" t="s">
        <v>21</v>
      </c>
      <c r="D1025" s="24">
        <v>0</v>
      </c>
      <c r="E1025" s="29" t="str">
        <f>'Hitung Per Bulan'!I1025</f>
        <v/>
      </c>
      <c r="F1025" s="24">
        <v>0</v>
      </c>
      <c r="G1025" s="29" t="str">
        <f>'Hitung Per Bulan'!J1025</f>
        <v/>
      </c>
    </row>
    <row r="1026" spans="1:7" x14ac:dyDescent="0.45">
      <c r="A1026" t="s">
        <v>13</v>
      </c>
      <c r="B1026" t="s">
        <v>38</v>
      </c>
      <c r="C1026" t="s">
        <v>21</v>
      </c>
      <c r="D1026" s="24">
        <v>0</v>
      </c>
      <c r="E1026" s="29" t="str">
        <f>'Hitung Per Bulan'!I1026</f>
        <v/>
      </c>
      <c r="F1026" s="24">
        <v>0</v>
      </c>
      <c r="G1026" s="29" t="str">
        <f>'Hitung Per Bulan'!J1026</f>
        <v/>
      </c>
    </row>
    <row r="1027" spans="1:7" x14ac:dyDescent="0.45">
      <c r="A1027" t="s">
        <v>14</v>
      </c>
      <c r="B1027" t="s">
        <v>38</v>
      </c>
      <c r="C1027" t="s">
        <v>21</v>
      </c>
      <c r="D1027" s="24">
        <v>0</v>
      </c>
      <c r="E1027" s="29" t="str">
        <f>'Hitung Per Bulan'!I1027</f>
        <v/>
      </c>
      <c r="F1027" s="24">
        <v>0</v>
      </c>
      <c r="G1027" s="29" t="str">
        <f>'Hitung Per Bulan'!J1027</f>
        <v/>
      </c>
    </row>
    <row r="1028" spans="1:7" x14ac:dyDescent="0.45">
      <c r="A1028" t="s">
        <v>15</v>
      </c>
      <c r="B1028" t="s">
        <v>38</v>
      </c>
      <c r="C1028" t="s">
        <v>21</v>
      </c>
      <c r="D1028" s="24">
        <v>0</v>
      </c>
      <c r="E1028" s="29" t="str">
        <f>'Hitung Per Bulan'!I1028</f>
        <v/>
      </c>
      <c r="F1028" s="24">
        <v>0</v>
      </c>
      <c r="G1028" s="29" t="str">
        <f>'Hitung Per Bulan'!J1028</f>
        <v/>
      </c>
    </row>
    <row r="1029" spans="1:7" x14ac:dyDescent="0.45">
      <c r="A1029" t="s">
        <v>16</v>
      </c>
      <c r="B1029" t="s">
        <v>38</v>
      </c>
      <c r="C1029" t="s">
        <v>21</v>
      </c>
      <c r="D1029" s="24">
        <v>0</v>
      </c>
      <c r="E1029" s="29" t="str">
        <f>'Hitung Per Bulan'!I1029</f>
        <v/>
      </c>
      <c r="F1029" s="24">
        <v>0</v>
      </c>
      <c r="G1029" s="29" t="str">
        <f>'Hitung Per Bulan'!J1029</f>
        <v/>
      </c>
    </row>
    <row r="1030" spans="1:7" x14ac:dyDescent="0.45">
      <c r="A1030" t="s">
        <v>17</v>
      </c>
      <c r="B1030" t="s">
        <v>38</v>
      </c>
      <c r="C1030" t="s">
        <v>21</v>
      </c>
      <c r="D1030" s="24">
        <v>0</v>
      </c>
      <c r="E1030" s="29" t="str">
        <f>'Hitung Per Bulan'!I1030</f>
        <v/>
      </c>
      <c r="F1030" s="24">
        <v>0</v>
      </c>
      <c r="G1030" s="29" t="str">
        <f>'Hitung Per Bulan'!J1030</f>
        <v/>
      </c>
    </row>
    <row r="1031" spans="1:7" x14ac:dyDescent="0.45">
      <c r="A1031" t="s">
        <v>18</v>
      </c>
      <c r="B1031" t="s">
        <v>38</v>
      </c>
      <c r="C1031" t="s">
        <v>21</v>
      </c>
      <c r="D1031" s="24">
        <v>0</v>
      </c>
      <c r="E1031" s="29" t="str">
        <f>'Hitung Per Bulan'!I1031</f>
        <v/>
      </c>
      <c r="F1031" s="24">
        <v>0</v>
      </c>
      <c r="G1031" s="29" t="str">
        <f>'Hitung Per Bulan'!J1031</f>
        <v/>
      </c>
    </row>
    <row r="1032" spans="1:7" x14ac:dyDescent="0.45">
      <c r="A1032" t="s">
        <v>19</v>
      </c>
      <c r="B1032" t="s">
        <v>38</v>
      </c>
      <c r="C1032" t="s">
        <v>21</v>
      </c>
      <c r="D1032" s="24">
        <v>0</v>
      </c>
      <c r="E1032" s="29" t="str">
        <f>'Hitung Per Bulan'!I1032</f>
        <v/>
      </c>
      <c r="F1032" s="24">
        <v>0</v>
      </c>
      <c r="G1032" s="29" t="str">
        <f>'Hitung Per Bulan'!J1032</f>
        <v/>
      </c>
    </row>
    <row r="1033" spans="1:7" x14ac:dyDescent="0.45">
      <c r="A1033" t="s">
        <v>20</v>
      </c>
      <c r="B1033" t="s">
        <v>38</v>
      </c>
      <c r="C1033" t="s">
        <v>21</v>
      </c>
      <c r="D1033" s="24">
        <v>0</v>
      </c>
      <c r="E1033" s="29" t="str">
        <f>'Hitung Per Bulan'!I1033</f>
        <v/>
      </c>
      <c r="F1033" s="24">
        <v>0</v>
      </c>
      <c r="G1033" s="29" t="str">
        <f>'Hitung Per Bulan'!J1033</f>
        <v/>
      </c>
    </row>
    <row r="1034" spans="1:7" x14ac:dyDescent="0.45">
      <c r="A1034" t="s">
        <v>7</v>
      </c>
      <c r="B1034" t="s">
        <v>38</v>
      </c>
      <c r="C1034" t="s">
        <v>22</v>
      </c>
      <c r="D1034" s="24">
        <v>0</v>
      </c>
      <c r="E1034" s="29">
        <f>'Hitung Per Bulan'!I1034</f>
        <v>6119400</v>
      </c>
      <c r="F1034" s="24">
        <v>11287500</v>
      </c>
      <c r="G1034" s="29">
        <f>'Hitung Per Bulan'!J1034</f>
        <v>0</v>
      </c>
    </row>
    <row r="1035" spans="1:7" x14ac:dyDescent="0.45">
      <c r="A1035" t="s">
        <v>10</v>
      </c>
      <c r="B1035" t="s">
        <v>38</v>
      </c>
      <c r="C1035" t="s">
        <v>22</v>
      </c>
      <c r="D1035" s="24">
        <v>0</v>
      </c>
      <c r="E1035" s="29">
        <f>'Hitung Per Bulan'!I1035</f>
        <v>0</v>
      </c>
      <c r="F1035" s="24">
        <v>0</v>
      </c>
      <c r="G1035" s="29">
        <f>'Hitung Per Bulan'!J1035</f>
        <v>0</v>
      </c>
    </row>
    <row r="1036" spans="1:7" x14ac:dyDescent="0.45">
      <c r="A1036" t="s">
        <v>11</v>
      </c>
      <c r="B1036" t="s">
        <v>38</v>
      </c>
      <c r="C1036" t="s">
        <v>22</v>
      </c>
      <c r="D1036" s="24">
        <v>11287500</v>
      </c>
      <c r="E1036" s="29">
        <f>'Hitung Per Bulan'!I1036</f>
        <v>6423200</v>
      </c>
      <c r="F1036" s="24">
        <v>0</v>
      </c>
      <c r="G1036" s="29">
        <f>'Hitung Per Bulan'!J1036</f>
        <v>6119400</v>
      </c>
    </row>
    <row r="1037" spans="1:7" x14ac:dyDescent="0.45">
      <c r="A1037" t="s">
        <v>12</v>
      </c>
      <c r="B1037" t="s">
        <v>38</v>
      </c>
      <c r="C1037" t="s">
        <v>22</v>
      </c>
      <c r="D1037" s="24">
        <v>0</v>
      </c>
      <c r="E1037" s="29" t="str">
        <f>'Hitung Per Bulan'!I1037</f>
        <v/>
      </c>
      <c r="F1037" s="24">
        <v>11287500</v>
      </c>
      <c r="G1037" s="29" t="str">
        <f>'Hitung Per Bulan'!J1037</f>
        <v/>
      </c>
    </row>
    <row r="1038" spans="1:7" x14ac:dyDescent="0.45">
      <c r="A1038" t="s">
        <v>13</v>
      </c>
      <c r="B1038" t="s">
        <v>38</v>
      </c>
      <c r="C1038" t="s">
        <v>22</v>
      </c>
      <c r="D1038" s="24">
        <v>0</v>
      </c>
      <c r="E1038" s="29" t="str">
        <f>'Hitung Per Bulan'!I1038</f>
        <v/>
      </c>
      <c r="F1038" s="24">
        <v>0</v>
      </c>
      <c r="G1038" s="29" t="str">
        <f>'Hitung Per Bulan'!J1038</f>
        <v/>
      </c>
    </row>
    <row r="1039" spans="1:7" x14ac:dyDescent="0.45">
      <c r="A1039" t="s">
        <v>14</v>
      </c>
      <c r="B1039" t="s">
        <v>38</v>
      </c>
      <c r="C1039" t="s">
        <v>22</v>
      </c>
      <c r="D1039" s="24">
        <v>11287500</v>
      </c>
      <c r="E1039" s="29" t="str">
        <f>'Hitung Per Bulan'!I1039</f>
        <v/>
      </c>
      <c r="F1039" s="24">
        <v>0</v>
      </c>
      <c r="G1039" s="29" t="str">
        <f>'Hitung Per Bulan'!J1039</f>
        <v/>
      </c>
    </row>
    <row r="1040" spans="1:7" x14ac:dyDescent="0.45">
      <c r="A1040" t="s">
        <v>15</v>
      </c>
      <c r="B1040" t="s">
        <v>38</v>
      </c>
      <c r="C1040" t="s">
        <v>22</v>
      </c>
      <c r="D1040" s="24">
        <v>0</v>
      </c>
      <c r="E1040" s="29" t="str">
        <f>'Hitung Per Bulan'!I1040</f>
        <v/>
      </c>
      <c r="F1040" s="24">
        <v>11287500</v>
      </c>
      <c r="G1040" s="29" t="str">
        <f>'Hitung Per Bulan'!J1040</f>
        <v/>
      </c>
    </row>
    <row r="1041" spans="1:7" x14ac:dyDescent="0.45">
      <c r="A1041" t="s">
        <v>16</v>
      </c>
      <c r="B1041" t="s">
        <v>38</v>
      </c>
      <c r="C1041" t="s">
        <v>22</v>
      </c>
      <c r="D1041" s="24">
        <v>0</v>
      </c>
      <c r="E1041" s="29" t="str">
        <f>'Hitung Per Bulan'!I1041</f>
        <v/>
      </c>
      <c r="F1041" s="24">
        <v>0</v>
      </c>
      <c r="G1041" s="29" t="str">
        <f>'Hitung Per Bulan'!J1041</f>
        <v/>
      </c>
    </row>
    <row r="1042" spans="1:7" x14ac:dyDescent="0.45">
      <c r="A1042" t="s">
        <v>17</v>
      </c>
      <c r="B1042" t="s">
        <v>38</v>
      </c>
      <c r="C1042" t="s">
        <v>22</v>
      </c>
      <c r="D1042" s="24">
        <v>11287500</v>
      </c>
      <c r="E1042" s="29" t="str">
        <f>'Hitung Per Bulan'!I1042</f>
        <v/>
      </c>
      <c r="F1042" s="24">
        <v>0</v>
      </c>
      <c r="G1042" s="29" t="str">
        <f>'Hitung Per Bulan'!J1042</f>
        <v/>
      </c>
    </row>
    <row r="1043" spans="1:7" x14ac:dyDescent="0.45">
      <c r="A1043" t="s">
        <v>18</v>
      </c>
      <c r="B1043" t="s">
        <v>38</v>
      </c>
      <c r="C1043" t="s">
        <v>22</v>
      </c>
      <c r="D1043" s="24">
        <v>0</v>
      </c>
      <c r="E1043" s="29" t="str">
        <f>'Hitung Per Bulan'!I1043</f>
        <v/>
      </c>
      <c r="F1043" s="24">
        <v>11287500</v>
      </c>
      <c r="G1043" s="29" t="str">
        <f>'Hitung Per Bulan'!J1043</f>
        <v/>
      </c>
    </row>
    <row r="1044" spans="1:7" x14ac:dyDescent="0.45">
      <c r="A1044" t="s">
        <v>19</v>
      </c>
      <c r="B1044" t="s">
        <v>38</v>
      </c>
      <c r="C1044" t="s">
        <v>22</v>
      </c>
      <c r="D1044" s="24">
        <v>0</v>
      </c>
      <c r="E1044" s="29" t="str">
        <f>'Hitung Per Bulan'!I1044</f>
        <v/>
      </c>
      <c r="F1044" s="24">
        <v>0</v>
      </c>
      <c r="G1044" s="29" t="str">
        <f>'Hitung Per Bulan'!J1044</f>
        <v/>
      </c>
    </row>
    <row r="1045" spans="1:7" x14ac:dyDescent="0.45">
      <c r="A1045" t="s">
        <v>20</v>
      </c>
      <c r="B1045" t="s">
        <v>38</v>
      </c>
      <c r="C1045" t="s">
        <v>22</v>
      </c>
      <c r="D1045" s="24">
        <v>11287500</v>
      </c>
      <c r="E1045" s="29" t="str">
        <f>'Hitung Per Bulan'!I1045</f>
        <v/>
      </c>
      <c r="F1045" s="24">
        <v>0</v>
      </c>
      <c r="G1045" s="29" t="str">
        <f>'Hitung Per Bulan'!J1045</f>
        <v/>
      </c>
    </row>
    <row r="1046" spans="1:7" x14ac:dyDescent="0.45">
      <c r="A1046" t="s">
        <v>7</v>
      </c>
      <c r="B1046" t="s">
        <v>38</v>
      </c>
      <c r="C1046" t="s">
        <v>23</v>
      </c>
      <c r="D1046" s="24">
        <v>0</v>
      </c>
      <c r="E1046" s="29">
        <f>'Hitung Per Bulan'!I1046</f>
        <v>0</v>
      </c>
      <c r="F1046" s="24">
        <v>0</v>
      </c>
      <c r="G1046" s="29">
        <f>'Hitung Per Bulan'!J1046</f>
        <v>0</v>
      </c>
    </row>
    <row r="1047" spans="1:7" x14ac:dyDescent="0.45">
      <c r="A1047" t="s">
        <v>10</v>
      </c>
      <c r="B1047" t="s">
        <v>38</v>
      </c>
      <c r="C1047" t="s">
        <v>23</v>
      </c>
      <c r="D1047" s="24">
        <v>15000000</v>
      </c>
      <c r="E1047" s="29">
        <f>'Hitung Per Bulan'!I1047</f>
        <v>9000000</v>
      </c>
      <c r="F1047" s="24">
        <v>0</v>
      </c>
      <c r="G1047" s="29">
        <f>'Hitung Per Bulan'!J1047</f>
        <v>0</v>
      </c>
    </row>
    <row r="1048" spans="1:7" x14ac:dyDescent="0.45">
      <c r="A1048" t="s">
        <v>11</v>
      </c>
      <c r="B1048" t="s">
        <v>38</v>
      </c>
      <c r="C1048" t="s">
        <v>23</v>
      </c>
      <c r="D1048" s="24">
        <v>0</v>
      </c>
      <c r="E1048" s="29">
        <f>'Hitung Per Bulan'!I1048</f>
        <v>0</v>
      </c>
      <c r="F1048" s="24">
        <v>15000000</v>
      </c>
      <c r="G1048" s="29">
        <f>'Hitung Per Bulan'!J1048</f>
        <v>0</v>
      </c>
    </row>
    <row r="1049" spans="1:7" x14ac:dyDescent="0.45">
      <c r="A1049" t="s">
        <v>12</v>
      </c>
      <c r="B1049" t="s">
        <v>38</v>
      </c>
      <c r="C1049" t="s">
        <v>23</v>
      </c>
      <c r="D1049" s="24">
        <v>0</v>
      </c>
      <c r="E1049" s="29" t="str">
        <f>'Hitung Per Bulan'!I1049</f>
        <v/>
      </c>
      <c r="F1049" s="24">
        <v>0</v>
      </c>
      <c r="G1049" s="29" t="str">
        <f>'Hitung Per Bulan'!J1049</f>
        <v/>
      </c>
    </row>
    <row r="1050" spans="1:7" x14ac:dyDescent="0.45">
      <c r="A1050" t="s">
        <v>13</v>
      </c>
      <c r="B1050" t="s">
        <v>38</v>
      </c>
      <c r="C1050" t="s">
        <v>23</v>
      </c>
      <c r="D1050" s="24">
        <v>15000000</v>
      </c>
      <c r="E1050" s="29" t="str">
        <f>'Hitung Per Bulan'!I1050</f>
        <v/>
      </c>
      <c r="F1050" s="24">
        <v>0</v>
      </c>
      <c r="G1050" s="29" t="str">
        <f>'Hitung Per Bulan'!J1050</f>
        <v/>
      </c>
    </row>
    <row r="1051" spans="1:7" x14ac:dyDescent="0.45">
      <c r="A1051" t="s">
        <v>14</v>
      </c>
      <c r="B1051" t="s">
        <v>38</v>
      </c>
      <c r="C1051" t="s">
        <v>23</v>
      </c>
      <c r="D1051" s="24">
        <v>0</v>
      </c>
      <c r="E1051" s="29" t="str">
        <f>'Hitung Per Bulan'!I1051</f>
        <v/>
      </c>
      <c r="F1051" s="24">
        <v>15000000</v>
      </c>
      <c r="G1051" s="29" t="str">
        <f>'Hitung Per Bulan'!J1051</f>
        <v/>
      </c>
    </row>
    <row r="1052" spans="1:7" x14ac:dyDescent="0.45">
      <c r="A1052" t="s">
        <v>15</v>
      </c>
      <c r="B1052" t="s">
        <v>38</v>
      </c>
      <c r="C1052" t="s">
        <v>23</v>
      </c>
      <c r="D1052" s="24">
        <v>0</v>
      </c>
      <c r="E1052" s="29" t="str">
        <f>'Hitung Per Bulan'!I1052</f>
        <v/>
      </c>
      <c r="F1052" s="24">
        <v>0</v>
      </c>
      <c r="G1052" s="29" t="str">
        <f>'Hitung Per Bulan'!J1052</f>
        <v/>
      </c>
    </row>
    <row r="1053" spans="1:7" x14ac:dyDescent="0.45">
      <c r="A1053" t="s">
        <v>16</v>
      </c>
      <c r="B1053" t="s">
        <v>38</v>
      </c>
      <c r="C1053" t="s">
        <v>23</v>
      </c>
      <c r="D1053" s="24">
        <v>15000000</v>
      </c>
      <c r="E1053" s="29" t="str">
        <f>'Hitung Per Bulan'!I1053</f>
        <v/>
      </c>
      <c r="F1053" s="24">
        <v>0</v>
      </c>
      <c r="G1053" s="29" t="str">
        <f>'Hitung Per Bulan'!J1053</f>
        <v/>
      </c>
    </row>
    <row r="1054" spans="1:7" x14ac:dyDescent="0.45">
      <c r="A1054" t="s">
        <v>17</v>
      </c>
      <c r="B1054" t="s">
        <v>38</v>
      </c>
      <c r="C1054" t="s">
        <v>23</v>
      </c>
      <c r="D1054" s="24">
        <v>0</v>
      </c>
      <c r="E1054" s="29" t="str">
        <f>'Hitung Per Bulan'!I1054</f>
        <v/>
      </c>
      <c r="F1054" s="24">
        <v>15000000</v>
      </c>
      <c r="G1054" s="29" t="str">
        <f>'Hitung Per Bulan'!J1054</f>
        <v/>
      </c>
    </row>
    <row r="1055" spans="1:7" x14ac:dyDescent="0.45">
      <c r="A1055" t="s">
        <v>18</v>
      </c>
      <c r="B1055" t="s">
        <v>38</v>
      </c>
      <c r="C1055" t="s">
        <v>23</v>
      </c>
      <c r="D1055" s="24">
        <v>0</v>
      </c>
      <c r="E1055" s="29" t="str">
        <f>'Hitung Per Bulan'!I1055</f>
        <v/>
      </c>
      <c r="F1055" s="24">
        <v>0</v>
      </c>
      <c r="G1055" s="29" t="str">
        <f>'Hitung Per Bulan'!J1055</f>
        <v/>
      </c>
    </row>
    <row r="1056" spans="1:7" x14ac:dyDescent="0.45">
      <c r="A1056" t="s">
        <v>19</v>
      </c>
      <c r="B1056" t="s">
        <v>38</v>
      </c>
      <c r="C1056" t="s">
        <v>23</v>
      </c>
      <c r="D1056" s="24">
        <v>15000000</v>
      </c>
      <c r="E1056" s="29" t="str">
        <f>'Hitung Per Bulan'!I1056</f>
        <v/>
      </c>
      <c r="F1056" s="24">
        <v>0</v>
      </c>
      <c r="G1056" s="29" t="str">
        <f>'Hitung Per Bulan'!J1056</f>
        <v/>
      </c>
    </row>
    <row r="1057" spans="1:7" x14ac:dyDescent="0.45">
      <c r="A1057" t="s">
        <v>20</v>
      </c>
      <c r="B1057" t="s">
        <v>38</v>
      </c>
      <c r="C1057" t="s">
        <v>23</v>
      </c>
      <c r="D1057" s="24">
        <v>0</v>
      </c>
      <c r="E1057" s="29" t="str">
        <f>'Hitung Per Bulan'!I1057</f>
        <v/>
      </c>
      <c r="F1057" s="24">
        <v>15000000</v>
      </c>
      <c r="G1057" s="29" t="str">
        <f>'Hitung Per Bulan'!J1057</f>
        <v/>
      </c>
    </row>
    <row r="1058" spans="1:7" x14ac:dyDescent="0.45">
      <c r="A1058" t="s">
        <v>7</v>
      </c>
      <c r="B1058" t="s">
        <v>38</v>
      </c>
      <c r="C1058" t="s">
        <v>24</v>
      </c>
      <c r="D1058" s="24">
        <v>0</v>
      </c>
      <c r="E1058" s="29">
        <f>'Hitung Per Bulan'!I1058</f>
        <v>0</v>
      </c>
      <c r="F1058" s="24">
        <v>0</v>
      </c>
      <c r="G1058" s="29">
        <f>'Hitung Per Bulan'!J1058</f>
        <v>0</v>
      </c>
    </row>
    <row r="1059" spans="1:7" x14ac:dyDescent="0.45">
      <c r="A1059" t="s">
        <v>10</v>
      </c>
      <c r="B1059" t="s">
        <v>38</v>
      </c>
      <c r="C1059" t="s">
        <v>24</v>
      </c>
      <c r="D1059" s="24">
        <v>0</v>
      </c>
      <c r="E1059" s="29">
        <f>'Hitung Per Bulan'!I1059</f>
        <v>0</v>
      </c>
      <c r="F1059" s="24">
        <v>0</v>
      </c>
      <c r="G1059" s="29">
        <f>'Hitung Per Bulan'!J1059</f>
        <v>0</v>
      </c>
    </row>
    <row r="1060" spans="1:7" x14ac:dyDescent="0.45">
      <c r="A1060" t="s">
        <v>11</v>
      </c>
      <c r="B1060" t="s">
        <v>38</v>
      </c>
      <c r="C1060" t="s">
        <v>24</v>
      </c>
      <c r="D1060" s="24">
        <v>0</v>
      </c>
      <c r="E1060" s="29">
        <f>'Hitung Per Bulan'!I1060</f>
        <v>0</v>
      </c>
      <c r="F1060" s="24">
        <v>0</v>
      </c>
      <c r="G1060" s="29">
        <f>'Hitung Per Bulan'!J1060</f>
        <v>0</v>
      </c>
    </row>
    <row r="1061" spans="1:7" x14ac:dyDescent="0.45">
      <c r="A1061" t="s">
        <v>12</v>
      </c>
      <c r="B1061" t="s">
        <v>38</v>
      </c>
      <c r="C1061" t="s">
        <v>24</v>
      </c>
      <c r="D1061" s="24">
        <v>0</v>
      </c>
      <c r="E1061" s="29" t="str">
        <f>'Hitung Per Bulan'!I1061</f>
        <v/>
      </c>
      <c r="F1061" s="24">
        <v>0</v>
      </c>
      <c r="G1061" s="29" t="str">
        <f>'Hitung Per Bulan'!J1061</f>
        <v/>
      </c>
    </row>
    <row r="1062" spans="1:7" x14ac:dyDescent="0.45">
      <c r="A1062" t="s">
        <v>13</v>
      </c>
      <c r="B1062" t="s">
        <v>38</v>
      </c>
      <c r="C1062" t="s">
        <v>24</v>
      </c>
      <c r="D1062" s="24">
        <v>0</v>
      </c>
      <c r="E1062" s="29" t="str">
        <f>'Hitung Per Bulan'!I1062</f>
        <v/>
      </c>
      <c r="F1062" s="24">
        <v>0</v>
      </c>
      <c r="G1062" s="29" t="str">
        <f>'Hitung Per Bulan'!J1062</f>
        <v/>
      </c>
    </row>
    <row r="1063" spans="1:7" x14ac:dyDescent="0.45">
      <c r="A1063" t="s">
        <v>14</v>
      </c>
      <c r="B1063" t="s">
        <v>38</v>
      </c>
      <c r="C1063" t="s">
        <v>24</v>
      </c>
      <c r="D1063" s="24">
        <v>0</v>
      </c>
      <c r="E1063" s="29" t="str">
        <f>'Hitung Per Bulan'!I1063</f>
        <v/>
      </c>
      <c r="F1063" s="24">
        <v>0</v>
      </c>
      <c r="G1063" s="29" t="str">
        <f>'Hitung Per Bulan'!J1063</f>
        <v/>
      </c>
    </row>
    <row r="1064" spans="1:7" x14ac:dyDescent="0.45">
      <c r="A1064" t="s">
        <v>15</v>
      </c>
      <c r="B1064" t="s">
        <v>38</v>
      </c>
      <c r="C1064" t="s">
        <v>24</v>
      </c>
      <c r="D1064" s="24">
        <v>0</v>
      </c>
      <c r="E1064" s="29" t="str">
        <f>'Hitung Per Bulan'!I1064</f>
        <v/>
      </c>
      <c r="F1064" s="24">
        <v>0</v>
      </c>
      <c r="G1064" s="29" t="str">
        <f>'Hitung Per Bulan'!J1064</f>
        <v/>
      </c>
    </row>
    <row r="1065" spans="1:7" x14ac:dyDescent="0.45">
      <c r="A1065" t="s">
        <v>16</v>
      </c>
      <c r="B1065" t="s">
        <v>38</v>
      </c>
      <c r="C1065" t="s">
        <v>24</v>
      </c>
      <c r="D1065" s="24">
        <v>0</v>
      </c>
      <c r="E1065" s="29" t="str">
        <f>'Hitung Per Bulan'!I1065</f>
        <v/>
      </c>
      <c r="F1065" s="24">
        <v>0</v>
      </c>
      <c r="G1065" s="29" t="str">
        <f>'Hitung Per Bulan'!J1065</f>
        <v/>
      </c>
    </row>
    <row r="1066" spans="1:7" x14ac:dyDescent="0.45">
      <c r="A1066" t="s">
        <v>17</v>
      </c>
      <c r="B1066" t="s">
        <v>38</v>
      </c>
      <c r="C1066" t="s">
        <v>24</v>
      </c>
      <c r="D1066" s="24">
        <v>0</v>
      </c>
      <c r="E1066" s="29" t="str">
        <f>'Hitung Per Bulan'!I1066</f>
        <v/>
      </c>
      <c r="F1066" s="24">
        <v>0</v>
      </c>
      <c r="G1066" s="29" t="str">
        <f>'Hitung Per Bulan'!J1066</f>
        <v/>
      </c>
    </row>
    <row r="1067" spans="1:7" x14ac:dyDescent="0.45">
      <c r="A1067" t="s">
        <v>18</v>
      </c>
      <c r="B1067" t="s">
        <v>38</v>
      </c>
      <c r="C1067" t="s">
        <v>24</v>
      </c>
      <c r="D1067" s="24">
        <v>0</v>
      </c>
      <c r="E1067" s="29" t="str">
        <f>'Hitung Per Bulan'!I1067</f>
        <v/>
      </c>
      <c r="F1067" s="24">
        <v>0</v>
      </c>
      <c r="G1067" s="29" t="str">
        <f>'Hitung Per Bulan'!J1067</f>
        <v/>
      </c>
    </row>
    <row r="1068" spans="1:7" x14ac:dyDescent="0.45">
      <c r="A1068" t="s">
        <v>19</v>
      </c>
      <c r="B1068" t="s">
        <v>38</v>
      </c>
      <c r="C1068" t="s">
        <v>24</v>
      </c>
      <c r="D1068" s="24">
        <v>0</v>
      </c>
      <c r="E1068" s="29" t="str">
        <f>'Hitung Per Bulan'!I1068</f>
        <v/>
      </c>
      <c r="F1068" s="24">
        <v>0</v>
      </c>
      <c r="G1068" s="29" t="str">
        <f>'Hitung Per Bulan'!J1068</f>
        <v/>
      </c>
    </row>
    <row r="1069" spans="1:7" x14ac:dyDescent="0.45">
      <c r="A1069" t="s">
        <v>20</v>
      </c>
      <c r="B1069" t="s">
        <v>38</v>
      </c>
      <c r="C1069" t="s">
        <v>24</v>
      </c>
      <c r="D1069" s="24">
        <v>0</v>
      </c>
      <c r="E1069" s="29" t="str">
        <f>'Hitung Per Bulan'!I1069</f>
        <v/>
      </c>
      <c r="F1069" s="24">
        <v>0</v>
      </c>
      <c r="G1069" s="29" t="str">
        <f>'Hitung Per Bulan'!J1069</f>
        <v/>
      </c>
    </row>
    <row r="1070" spans="1:7" x14ac:dyDescent="0.45">
      <c r="A1070" t="s">
        <v>7</v>
      </c>
      <c r="B1070" t="s">
        <v>38</v>
      </c>
      <c r="C1070" t="s">
        <v>25</v>
      </c>
      <c r="D1070" s="24">
        <v>11870000</v>
      </c>
      <c r="E1070" s="29">
        <f>'Hitung Per Bulan'!I1070</f>
        <v>3485900</v>
      </c>
      <c r="F1070" s="24">
        <v>11870000</v>
      </c>
      <c r="G1070" s="29">
        <f>'Hitung Per Bulan'!J1070</f>
        <v>2487500</v>
      </c>
    </row>
    <row r="1071" spans="1:7" x14ac:dyDescent="0.45">
      <c r="A1071" t="s">
        <v>10</v>
      </c>
      <c r="B1071" t="s">
        <v>38</v>
      </c>
      <c r="C1071" t="s">
        <v>25</v>
      </c>
      <c r="D1071" s="24">
        <v>17925000</v>
      </c>
      <c r="E1071" s="29">
        <f>'Hitung Per Bulan'!I1071</f>
        <v>3123150</v>
      </c>
      <c r="F1071" s="24">
        <v>16425000</v>
      </c>
      <c r="G1071" s="29">
        <f>'Hitung Per Bulan'!J1071</f>
        <v>3117150</v>
      </c>
    </row>
    <row r="1072" spans="1:7" x14ac:dyDescent="0.45">
      <c r="A1072" t="s">
        <v>11</v>
      </c>
      <c r="B1072" t="s">
        <v>38</v>
      </c>
      <c r="C1072" t="s">
        <v>25</v>
      </c>
      <c r="D1072" s="24">
        <v>14870000</v>
      </c>
      <c r="E1072" s="29">
        <f>'Hitung Per Bulan'!I1072</f>
        <v>12363300</v>
      </c>
      <c r="F1072" s="24">
        <v>16370000</v>
      </c>
      <c r="G1072" s="29">
        <f>'Hitung Per Bulan'!J1072</f>
        <v>3825000</v>
      </c>
    </row>
    <row r="1073" spans="1:7" x14ac:dyDescent="0.45">
      <c r="A1073" t="s">
        <v>12</v>
      </c>
      <c r="B1073" t="s">
        <v>38</v>
      </c>
      <c r="C1073" t="s">
        <v>25</v>
      </c>
      <c r="D1073" s="24">
        <v>11870000</v>
      </c>
      <c r="E1073" s="29" t="str">
        <f>'Hitung Per Bulan'!I1073</f>
        <v/>
      </c>
      <c r="F1073" s="24">
        <v>11870000</v>
      </c>
      <c r="G1073" s="29" t="str">
        <f>'Hitung Per Bulan'!J1073</f>
        <v/>
      </c>
    </row>
    <row r="1074" spans="1:7" x14ac:dyDescent="0.45">
      <c r="A1074" t="s">
        <v>13</v>
      </c>
      <c r="B1074" t="s">
        <v>38</v>
      </c>
      <c r="C1074" t="s">
        <v>25</v>
      </c>
      <c r="D1074" s="24">
        <v>85925000</v>
      </c>
      <c r="E1074" s="29" t="str">
        <f>'Hitung Per Bulan'!I1074</f>
        <v/>
      </c>
      <c r="F1074" s="24">
        <v>16425000</v>
      </c>
      <c r="G1074" s="29" t="str">
        <f>'Hitung Per Bulan'!J1074</f>
        <v/>
      </c>
    </row>
    <row r="1075" spans="1:7" x14ac:dyDescent="0.45">
      <c r="A1075" t="s">
        <v>14</v>
      </c>
      <c r="B1075" t="s">
        <v>38</v>
      </c>
      <c r="C1075" t="s">
        <v>25</v>
      </c>
      <c r="D1075" s="24">
        <v>85870000</v>
      </c>
      <c r="E1075" s="29" t="str">
        <f>'Hitung Per Bulan'!I1075</f>
        <v/>
      </c>
      <c r="F1075" s="24">
        <v>101370000</v>
      </c>
      <c r="G1075" s="29" t="str">
        <f>'Hitung Per Bulan'!J1075</f>
        <v/>
      </c>
    </row>
    <row r="1076" spans="1:7" x14ac:dyDescent="0.45">
      <c r="A1076" t="s">
        <v>15</v>
      </c>
      <c r="B1076" t="s">
        <v>38</v>
      </c>
      <c r="C1076" t="s">
        <v>25</v>
      </c>
      <c r="D1076" s="24">
        <v>66870000</v>
      </c>
      <c r="E1076" s="29" t="str">
        <f>'Hitung Per Bulan'!I1076</f>
        <v/>
      </c>
      <c r="F1076" s="24">
        <v>65870000</v>
      </c>
      <c r="G1076" s="29" t="str">
        <f>'Hitung Per Bulan'!J1076</f>
        <v/>
      </c>
    </row>
    <row r="1077" spans="1:7" x14ac:dyDescent="0.45">
      <c r="A1077" t="s">
        <v>16</v>
      </c>
      <c r="B1077" t="s">
        <v>38</v>
      </c>
      <c r="C1077" t="s">
        <v>25</v>
      </c>
      <c r="D1077" s="24">
        <v>17925000</v>
      </c>
      <c r="E1077" s="29" t="str">
        <f>'Hitung Per Bulan'!I1077</f>
        <v/>
      </c>
      <c r="F1077" s="24">
        <v>71425000</v>
      </c>
      <c r="G1077" s="29" t="str">
        <f>'Hitung Per Bulan'!J1077</f>
        <v/>
      </c>
    </row>
    <row r="1078" spans="1:7" x14ac:dyDescent="0.45">
      <c r="A1078" t="s">
        <v>17</v>
      </c>
      <c r="B1078" t="s">
        <v>38</v>
      </c>
      <c r="C1078" t="s">
        <v>25</v>
      </c>
      <c r="D1078" s="24">
        <v>14870000</v>
      </c>
      <c r="E1078" s="29" t="str">
        <f>'Hitung Per Bulan'!I1078</f>
        <v/>
      </c>
      <c r="F1078" s="24">
        <v>16370000</v>
      </c>
      <c r="G1078" s="29" t="str">
        <f>'Hitung Per Bulan'!J1078</f>
        <v/>
      </c>
    </row>
    <row r="1079" spans="1:7" x14ac:dyDescent="0.45">
      <c r="A1079" t="s">
        <v>18</v>
      </c>
      <c r="B1079" t="s">
        <v>38</v>
      </c>
      <c r="C1079" t="s">
        <v>25</v>
      </c>
      <c r="D1079" s="24">
        <v>11870000</v>
      </c>
      <c r="E1079" s="29" t="str">
        <f>'Hitung Per Bulan'!I1079</f>
        <v/>
      </c>
      <c r="F1079" s="24">
        <v>11870000</v>
      </c>
      <c r="G1079" s="29" t="str">
        <f>'Hitung Per Bulan'!J1079</f>
        <v/>
      </c>
    </row>
    <row r="1080" spans="1:7" x14ac:dyDescent="0.45">
      <c r="A1080" t="s">
        <v>19</v>
      </c>
      <c r="B1080" t="s">
        <v>38</v>
      </c>
      <c r="C1080" t="s">
        <v>25</v>
      </c>
      <c r="D1080" s="24">
        <v>17925000</v>
      </c>
      <c r="E1080" s="29" t="str">
        <f>'Hitung Per Bulan'!I1080</f>
        <v/>
      </c>
      <c r="F1080" s="24">
        <v>16425000</v>
      </c>
      <c r="G1080" s="29" t="str">
        <f>'Hitung Per Bulan'!J1080</f>
        <v/>
      </c>
    </row>
    <row r="1081" spans="1:7" x14ac:dyDescent="0.45">
      <c r="A1081" t="s">
        <v>20</v>
      </c>
      <c r="B1081" t="s">
        <v>38</v>
      </c>
      <c r="C1081" t="s">
        <v>25</v>
      </c>
      <c r="D1081" s="24">
        <v>14870000</v>
      </c>
      <c r="E1081" s="29" t="str">
        <f>'Hitung Per Bulan'!I1081</f>
        <v/>
      </c>
      <c r="F1081" s="24">
        <v>16370000</v>
      </c>
      <c r="G1081" s="29" t="str">
        <f>'Hitung Per Bulan'!J1081</f>
        <v/>
      </c>
    </row>
    <row r="1082" spans="1:7" x14ac:dyDescent="0.45">
      <c r="A1082" t="s">
        <v>7</v>
      </c>
      <c r="B1082" t="s">
        <v>38</v>
      </c>
      <c r="C1082" t="s">
        <v>26</v>
      </c>
      <c r="D1082" s="24">
        <v>0</v>
      </c>
      <c r="E1082" s="29">
        <f>'Hitung Per Bulan'!I1082</f>
        <v>0</v>
      </c>
      <c r="F1082" s="24">
        <v>0</v>
      </c>
      <c r="G1082" s="29">
        <f>'Hitung Per Bulan'!J1082</f>
        <v>0</v>
      </c>
    </row>
    <row r="1083" spans="1:7" x14ac:dyDescent="0.45">
      <c r="A1083" t="s">
        <v>10</v>
      </c>
      <c r="B1083" t="s">
        <v>38</v>
      </c>
      <c r="C1083" t="s">
        <v>26</v>
      </c>
      <c r="D1083" s="24">
        <v>0</v>
      </c>
      <c r="E1083" s="29">
        <f>'Hitung Per Bulan'!I1083</f>
        <v>0</v>
      </c>
      <c r="F1083" s="24">
        <v>0</v>
      </c>
      <c r="G1083" s="29">
        <f>'Hitung Per Bulan'!J1083</f>
        <v>0</v>
      </c>
    </row>
    <row r="1084" spans="1:7" x14ac:dyDescent="0.45">
      <c r="A1084" t="s">
        <v>11</v>
      </c>
      <c r="B1084" t="s">
        <v>38</v>
      </c>
      <c r="C1084" t="s">
        <v>26</v>
      </c>
      <c r="D1084" s="24">
        <v>0</v>
      </c>
      <c r="E1084" s="29">
        <f>'Hitung Per Bulan'!I1084</f>
        <v>0</v>
      </c>
      <c r="F1084" s="24">
        <v>0</v>
      </c>
      <c r="G1084" s="29">
        <f>'Hitung Per Bulan'!J1084</f>
        <v>0</v>
      </c>
    </row>
    <row r="1085" spans="1:7" x14ac:dyDescent="0.45">
      <c r="A1085" t="s">
        <v>12</v>
      </c>
      <c r="B1085" t="s">
        <v>38</v>
      </c>
      <c r="C1085" t="s">
        <v>26</v>
      </c>
      <c r="D1085" s="24">
        <v>0</v>
      </c>
      <c r="E1085" s="29" t="str">
        <f>'Hitung Per Bulan'!I1085</f>
        <v/>
      </c>
      <c r="F1085" s="24">
        <v>0</v>
      </c>
      <c r="G1085" s="29" t="str">
        <f>'Hitung Per Bulan'!J1085</f>
        <v/>
      </c>
    </row>
    <row r="1086" spans="1:7" x14ac:dyDescent="0.45">
      <c r="A1086" t="s">
        <v>13</v>
      </c>
      <c r="B1086" t="s">
        <v>38</v>
      </c>
      <c r="C1086" t="s">
        <v>26</v>
      </c>
      <c r="D1086" s="24">
        <v>0</v>
      </c>
      <c r="E1086" s="29" t="str">
        <f>'Hitung Per Bulan'!I1086</f>
        <v/>
      </c>
      <c r="F1086" s="24">
        <v>0</v>
      </c>
      <c r="G1086" s="29" t="str">
        <f>'Hitung Per Bulan'!J1086</f>
        <v/>
      </c>
    </row>
    <row r="1087" spans="1:7" x14ac:dyDescent="0.45">
      <c r="A1087" t="s">
        <v>14</v>
      </c>
      <c r="B1087" t="s">
        <v>38</v>
      </c>
      <c r="C1087" t="s">
        <v>26</v>
      </c>
      <c r="D1087" s="24">
        <v>0</v>
      </c>
      <c r="E1087" s="29" t="str">
        <f>'Hitung Per Bulan'!I1087</f>
        <v/>
      </c>
      <c r="F1087" s="24">
        <v>0</v>
      </c>
      <c r="G1087" s="29" t="str">
        <f>'Hitung Per Bulan'!J1087</f>
        <v/>
      </c>
    </row>
    <row r="1088" spans="1:7" x14ac:dyDescent="0.45">
      <c r="A1088" t="s">
        <v>15</v>
      </c>
      <c r="B1088" t="s">
        <v>38</v>
      </c>
      <c r="C1088" t="s">
        <v>26</v>
      </c>
      <c r="D1088" s="24">
        <v>0</v>
      </c>
      <c r="E1088" s="29" t="str">
        <f>'Hitung Per Bulan'!I1088</f>
        <v/>
      </c>
      <c r="F1088" s="24">
        <v>0</v>
      </c>
      <c r="G1088" s="29" t="str">
        <f>'Hitung Per Bulan'!J1088</f>
        <v/>
      </c>
    </row>
    <row r="1089" spans="1:7" x14ac:dyDescent="0.45">
      <c r="A1089" t="s">
        <v>16</v>
      </c>
      <c r="B1089" t="s">
        <v>38</v>
      </c>
      <c r="C1089" t="s">
        <v>26</v>
      </c>
      <c r="D1089" s="24">
        <v>0</v>
      </c>
      <c r="E1089" s="29" t="str">
        <f>'Hitung Per Bulan'!I1089</f>
        <v/>
      </c>
      <c r="F1089" s="24">
        <v>0</v>
      </c>
      <c r="G1089" s="29" t="str">
        <f>'Hitung Per Bulan'!J1089</f>
        <v/>
      </c>
    </row>
    <row r="1090" spans="1:7" x14ac:dyDescent="0.45">
      <c r="A1090" t="s">
        <v>17</v>
      </c>
      <c r="B1090" t="s">
        <v>38</v>
      </c>
      <c r="C1090" t="s">
        <v>26</v>
      </c>
      <c r="D1090" s="24">
        <v>0</v>
      </c>
      <c r="E1090" s="29" t="str">
        <f>'Hitung Per Bulan'!I1090</f>
        <v/>
      </c>
      <c r="F1090" s="24">
        <v>0</v>
      </c>
      <c r="G1090" s="29" t="str">
        <f>'Hitung Per Bulan'!J1090</f>
        <v/>
      </c>
    </row>
    <row r="1091" spans="1:7" x14ac:dyDescent="0.45">
      <c r="A1091" t="s">
        <v>18</v>
      </c>
      <c r="B1091" t="s">
        <v>38</v>
      </c>
      <c r="C1091" t="s">
        <v>26</v>
      </c>
      <c r="D1091" s="24">
        <v>0</v>
      </c>
      <c r="E1091" s="29" t="str">
        <f>'Hitung Per Bulan'!I1091</f>
        <v/>
      </c>
      <c r="F1091" s="24">
        <v>0</v>
      </c>
      <c r="G1091" s="29" t="str">
        <f>'Hitung Per Bulan'!J1091</f>
        <v/>
      </c>
    </row>
    <row r="1092" spans="1:7" x14ac:dyDescent="0.45">
      <c r="A1092" t="s">
        <v>19</v>
      </c>
      <c r="B1092" t="s">
        <v>38</v>
      </c>
      <c r="C1092" t="s">
        <v>26</v>
      </c>
      <c r="D1092" s="24">
        <v>0</v>
      </c>
      <c r="E1092" s="29" t="str">
        <f>'Hitung Per Bulan'!I1092</f>
        <v/>
      </c>
      <c r="F1092" s="24">
        <v>0</v>
      </c>
      <c r="G1092" s="29" t="str">
        <f>'Hitung Per Bulan'!J1092</f>
        <v/>
      </c>
    </row>
    <row r="1093" spans="1:7" x14ac:dyDescent="0.45">
      <c r="A1093" t="s">
        <v>20</v>
      </c>
      <c r="B1093" t="s">
        <v>38</v>
      </c>
      <c r="C1093" t="s">
        <v>26</v>
      </c>
      <c r="D1093" s="24">
        <v>0</v>
      </c>
      <c r="E1093" s="29" t="str">
        <f>'Hitung Per Bulan'!I1093</f>
        <v/>
      </c>
      <c r="F1093" s="24">
        <v>0</v>
      </c>
      <c r="G1093" s="29" t="str">
        <f>'Hitung Per Bulan'!J1093</f>
        <v/>
      </c>
    </row>
    <row r="1094" spans="1:7" x14ac:dyDescent="0.45">
      <c r="A1094" t="s">
        <v>7</v>
      </c>
      <c r="B1094" t="s">
        <v>39</v>
      </c>
      <c r="C1094" t="s">
        <v>9</v>
      </c>
      <c r="D1094" s="24">
        <v>0</v>
      </c>
      <c r="E1094" s="29">
        <f>'Hitung Per Bulan'!I1094</f>
        <v>0</v>
      </c>
      <c r="F1094" s="24">
        <v>0</v>
      </c>
      <c r="G1094" s="29">
        <f>'Hitung Per Bulan'!J1094</f>
        <v>0</v>
      </c>
    </row>
    <row r="1095" spans="1:7" x14ac:dyDescent="0.45">
      <c r="A1095" t="s">
        <v>10</v>
      </c>
      <c r="B1095" t="s">
        <v>39</v>
      </c>
      <c r="C1095" t="s">
        <v>9</v>
      </c>
      <c r="D1095" s="24">
        <v>0</v>
      </c>
      <c r="E1095" s="29">
        <f>'Hitung Per Bulan'!I1095</f>
        <v>0</v>
      </c>
      <c r="F1095" s="24">
        <v>0</v>
      </c>
      <c r="G1095" s="29">
        <f>'Hitung Per Bulan'!J1095</f>
        <v>0</v>
      </c>
    </row>
    <row r="1096" spans="1:7" x14ac:dyDescent="0.45">
      <c r="A1096" t="s">
        <v>11</v>
      </c>
      <c r="B1096" t="s">
        <v>39</v>
      </c>
      <c r="C1096" t="s">
        <v>9</v>
      </c>
      <c r="D1096" s="24">
        <v>0</v>
      </c>
      <c r="E1096" s="29">
        <f>'Hitung Per Bulan'!I1096</f>
        <v>7759691599</v>
      </c>
      <c r="F1096" s="24">
        <v>0</v>
      </c>
      <c r="G1096" s="29">
        <f>'Hitung Per Bulan'!J1096</f>
        <v>0</v>
      </c>
    </row>
    <row r="1097" spans="1:7" x14ac:dyDescent="0.45">
      <c r="A1097" t="s">
        <v>12</v>
      </c>
      <c r="B1097" t="s">
        <v>39</v>
      </c>
      <c r="C1097" t="s">
        <v>9</v>
      </c>
      <c r="D1097" s="24">
        <v>0</v>
      </c>
      <c r="E1097" s="29" t="str">
        <f>'Hitung Per Bulan'!I1097</f>
        <v/>
      </c>
      <c r="F1097" s="24">
        <v>0</v>
      </c>
      <c r="G1097" s="29" t="str">
        <f>'Hitung Per Bulan'!J1097</f>
        <v/>
      </c>
    </row>
    <row r="1098" spans="1:7" x14ac:dyDescent="0.45">
      <c r="A1098" t="s">
        <v>13</v>
      </c>
      <c r="B1098" t="s">
        <v>39</v>
      </c>
      <c r="C1098" t="s">
        <v>9</v>
      </c>
      <c r="D1098" s="24">
        <v>0</v>
      </c>
      <c r="E1098" s="29" t="str">
        <f>'Hitung Per Bulan'!I1098</f>
        <v/>
      </c>
      <c r="F1098" s="24">
        <v>0</v>
      </c>
      <c r="G1098" s="29" t="str">
        <f>'Hitung Per Bulan'!J1098</f>
        <v/>
      </c>
    </row>
    <row r="1099" spans="1:7" x14ac:dyDescent="0.45">
      <c r="A1099" t="s">
        <v>14</v>
      </c>
      <c r="B1099" t="s">
        <v>39</v>
      </c>
      <c r="C1099" t="s">
        <v>9</v>
      </c>
      <c r="D1099" s="24">
        <v>0</v>
      </c>
      <c r="E1099" s="29" t="str">
        <f>'Hitung Per Bulan'!I1099</f>
        <v/>
      </c>
      <c r="F1099" s="24">
        <v>0</v>
      </c>
      <c r="G1099" s="29" t="str">
        <f>'Hitung Per Bulan'!J1099</f>
        <v/>
      </c>
    </row>
    <row r="1100" spans="1:7" x14ac:dyDescent="0.45">
      <c r="A1100" t="s">
        <v>15</v>
      </c>
      <c r="B1100" t="s">
        <v>39</v>
      </c>
      <c r="C1100" t="s">
        <v>9</v>
      </c>
      <c r="D1100" s="24">
        <v>0</v>
      </c>
      <c r="E1100" s="29" t="str">
        <f>'Hitung Per Bulan'!I1100</f>
        <v/>
      </c>
      <c r="F1100" s="24">
        <v>0</v>
      </c>
      <c r="G1100" s="29" t="str">
        <f>'Hitung Per Bulan'!J1100</f>
        <v/>
      </c>
    </row>
    <row r="1101" spans="1:7" x14ac:dyDescent="0.45">
      <c r="A1101" t="s">
        <v>16</v>
      </c>
      <c r="B1101" t="s">
        <v>39</v>
      </c>
      <c r="C1101" t="s">
        <v>9</v>
      </c>
      <c r="D1101" s="24">
        <v>0</v>
      </c>
      <c r="E1101" s="29" t="str">
        <f>'Hitung Per Bulan'!I1101</f>
        <v/>
      </c>
      <c r="F1101" s="24">
        <v>0</v>
      </c>
      <c r="G1101" s="29" t="str">
        <f>'Hitung Per Bulan'!J1101</f>
        <v/>
      </c>
    </row>
    <row r="1102" spans="1:7" x14ac:dyDescent="0.45">
      <c r="A1102" t="s">
        <v>17</v>
      </c>
      <c r="B1102" t="s">
        <v>39</v>
      </c>
      <c r="C1102" t="s">
        <v>9</v>
      </c>
      <c r="D1102" s="24">
        <v>0</v>
      </c>
      <c r="E1102" s="29" t="str">
        <f>'Hitung Per Bulan'!I1102</f>
        <v/>
      </c>
      <c r="F1102" s="24">
        <v>0</v>
      </c>
      <c r="G1102" s="29" t="str">
        <f>'Hitung Per Bulan'!J1102</f>
        <v/>
      </c>
    </row>
    <row r="1103" spans="1:7" x14ac:dyDescent="0.45">
      <c r="A1103" t="s">
        <v>18</v>
      </c>
      <c r="B1103" t="s">
        <v>39</v>
      </c>
      <c r="C1103" t="s">
        <v>9</v>
      </c>
      <c r="D1103" s="24">
        <v>0</v>
      </c>
      <c r="E1103" s="29" t="str">
        <f>'Hitung Per Bulan'!I1103</f>
        <v/>
      </c>
      <c r="F1103" s="24">
        <v>0</v>
      </c>
      <c r="G1103" s="29" t="str">
        <f>'Hitung Per Bulan'!J1103</f>
        <v/>
      </c>
    </row>
    <row r="1104" spans="1:7" x14ac:dyDescent="0.45">
      <c r="A1104" t="s">
        <v>19</v>
      </c>
      <c r="B1104" t="s">
        <v>39</v>
      </c>
      <c r="C1104" t="s">
        <v>9</v>
      </c>
      <c r="D1104" s="24">
        <v>0</v>
      </c>
      <c r="E1104" s="29" t="str">
        <f>'Hitung Per Bulan'!I1104</f>
        <v/>
      </c>
      <c r="F1104" s="24">
        <v>0</v>
      </c>
      <c r="G1104" s="29" t="str">
        <f>'Hitung Per Bulan'!J1104</f>
        <v/>
      </c>
    </row>
    <row r="1105" spans="1:7" x14ac:dyDescent="0.45">
      <c r="A1105" t="s">
        <v>20</v>
      </c>
      <c r="B1105" t="s">
        <v>39</v>
      </c>
      <c r="C1105" t="s">
        <v>9</v>
      </c>
      <c r="D1105" s="24">
        <v>0</v>
      </c>
      <c r="E1105" s="29" t="str">
        <f>'Hitung Per Bulan'!I1105</f>
        <v/>
      </c>
      <c r="F1105" s="24">
        <v>0</v>
      </c>
      <c r="G1105" s="29" t="str">
        <f>'Hitung Per Bulan'!J1105</f>
        <v/>
      </c>
    </row>
    <row r="1106" spans="1:7" x14ac:dyDescent="0.45">
      <c r="A1106" t="s">
        <v>7</v>
      </c>
      <c r="B1106" t="s">
        <v>39</v>
      </c>
      <c r="C1106" t="s">
        <v>21</v>
      </c>
      <c r="D1106" s="24">
        <v>781668000</v>
      </c>
      <c r="E1106" s="29">
        <f>'Hitung Per Bulan'!I1106</f>
        <v>4033286500</v>
      </c>
      <c r="F1106" s="24">
        <v>0</v>
      </c>
      <c r="G1106" s="29">
        <f>'Hitung Per Bulan'!J1106</f>
        <v>0</v>
      </c>
    </row>
    <row r="1107" spans="1:7" x14ac:dyDescent="0.45">
      <c r="A1107" t="s">
        <v>10</v>
      </c>
      <c r="B1107" t="s">
        <v>39</v>
      </c>
      <c r="C1107" t="s">
        <v>21</v>
      </c>
      <c r="D1107" s="24">
        <v>660000000</v>
      </c>
      <c r="E1107" s="29">
        <f>'Hitung Per Bulan'!I1107</f>
        <v>4210736952</v>
      </c>
      <c r="F1107" s="24">
        <v>80000000</v>
      </c>
      <c r="G1107" s="29">
        <f>'Hitung Per Bulan'!J1107</f>
        <v>96556000</v>
      </c>
    </row>
    <row r="1108" spans="1:7" x14ac:dyDescent="0.45">
      <c r="A1108" t="s">
        <v>11</v>
      </c>
      <c r="B1108" t="s">
        <v>39</v>
      </c>
      <c r="C1108" t="s">
        <v>21</v>
      </c>
      <c r="D1108" s="24">
        <v>997950000</v>
      </c>
      <c r="E1108" s="29">
        <f>'Hitung Per Bulan'!I1108</f>
        <v>-2392957906</v>
      </c>
      <c r="F1108" s="24">
        <v>90000000</v>
      </c>
      <c r="G1108" s="29">
        <f>'Hitung Per Bulan'!J1108</f>
        <v>347918748</v>
      </c>
    </row>
    <row r="1109" spans="1:7" x14ac:dyDescent="0.45">
      <c r="A1109" t="s">
        <v>12</v>
      </c>
      <c r="B1109" t="s">
        <v>39</v>
      </c>
      <c r="C1109" t="s">
        <v>21</v>
      </c>
      <c r="D1109" s="24">
        <v>12352032000</v>
      </c>
      <c r="E1109" s="29" t="str">
        <f>'Hitung Per Bulan'!I1109</f>
        <v/>
      </c>
      <c r="F1109" s="24">
        <v>300000000</v>
      </c>
      <c r="G1109" s="29" t="str">
        <f>'Hitung Per Bulan'!J1109</f>
        <v/>
      </c>
    </row>
    <row r="1110" spans="1:7" x14ac:dyDescent="0.45">
      <c r="A1110" t="s">
        <v>13</v>
      </c>
      <c r="B1110" t="s">
        <v>39</v>
      </c>
      <c r="C1110" t="s">
        <v>21</v>
      </c>
      <c r="D1110" s="24">
        <v>2505262000</v>
      </c>
      <c r="E1110" s="29" t="str">
        <f>'Hitung Per Bulan'!I1110</f>
        <v/>
      </c>
      <c r="F1110" s="24">
        <v>288400000</v>
      </c>
      <c r="G1110" s="29" t="str">
        <f>'Hitung Per Bulan'!J1110</f>
        <v/>
      </c>
    </row>
    <row r="1111" spans="1:7" x14ac:dyDescent="0.45">
      <c r="A1111" t="s">
        <v>14</v>
      </c>
      <c r="B1111" t="s">
        <v>39</v>
      </c>
      <c r="C1111" t="s">
        <v>21</v>
      </c>
      <c r="D1111" s="24">
        <v>2623666000</v>
      </c>
      <c r="E1111" s="29" t="str">
        <f>'Hitung Per Bulan'!I1111</f>
        <v/>
      </c>
      <c r="F1111" s="24">
        <v>1190651000</v>
      </c>
      <c r="G1111" s="29" t="str">
        <f>'Hitung Per Bulan'!J1111</f>
        <v/>
      </c>
    </row>
    <row r="1112" spans="1:7" x14ac:dyDescent="0.45">
      <c r="A1112" t="s">
        <v>15</v>
      </c>
      <c r="B1112" t="s">
        <v>39</v>
      </c>
      <c r="C1112" t="s">
        <v>21</v>
      </c>
      <c r="D1112" s="24">
        <v>1447500000</v>
      </c>
      <c r="E1112" s="29" t="str">
        <f>'Hitung Per Bulan'!I1112</f>
        <v/>
      </c>
      <c r="F1112" s="24">
        <v>680000000</v>
      </c>
      <c r="G1112" s="29" t="str">
        <f>'Hitung Per Bulan'!J1112</f>
        <v/>
      </c>
    </row>
    <row r="1113" spans="1:7" x14ac:dyDescent="0.45">
      <c r="A1113" t="s">
        <v>16</v>
      </c>
      <c r="B1113" t="s">
        <v>39</v>
      </c>
      <c r="C1113" t="s">
        <v>21</v>
      </c>
      <c r="D1113" s="24">
        <v>1655000000</v>
      </c>
      <c r="E1113" s="29" t="str">
        <f>'Hitung Per Bulan'!I1113</f>
        <v/>
      </c>
      <c r="F1113" s="24">
        <v>3524356000</v>
      </c>
      <c r="G1113" s="29" t="str">
        <f>'Hitung Per Bulan'!J1113</f>
        <v/>
      </c>
    </row>
    <row r="1114" spans="1:7" x14ac:dyDescent="0.45">
      <c r="A1114" t="s">
        <v>17</v>
      </c>
      <c r="B1114" t="s">
        <v>39</v>
      </c>
      <c r="C1114" t="s">
        <v>21</v>
      </c>
      <c r="D1114" s="24">
        <v>2324500000</v>
      </c>
      <c r="E1114" s="29" t="str">
        <f>'Hitung Per Bulan'!I1114</f>
        <v/>
      </c>
      <c r="F1114" s="24">
        <v>3769450000</v>
      </c>
      <c r="G1114" s="29" t="str">
        <f>'Hitung Per Bulan'!J1114</f>
        <v/>
      </c>
    </row>
    <row r="1115" spans="1:7" x14ac:dyDescent="0.45">
      <c r="A1115" t="s">
        <v>18</v>
      </c>
      <c r="B1115" t="s">
        <v>39</v>
      </c>
      <c r="C1115" t="s">
        <v>21</v>
      </c>
      <c r="D1115" s="24">
        <v>2065000000</v>
      </c>
      <c r="E1115" s="29" t="str">
        <f>'Hitung Per Bulan'!I1115</f>
        <v/>
      </c>
      <c r="F1115" s="24">
        <v>9580221000</v>
      </c>
      <c r="G1115" s="29" t="str">
        <f>'Hitung Per Bulan'!J1115</f>
        <v/>
      </c>
    </row>
    <row r="1116" spans="1:7" x14ac:dyDescent="0.45">
      <c r="A1116" t="s">
        <v>19</v>
      </c>
      <c r="B1116" t="s">
        <v>39</v>
      </c>
      <c r="C1116" t="s">
        <v>21</v>
      </c>
      <c r="D1116" s="24">
        <v>349900000</v>
      </c>
      <c r="E1116" s="29" t="str">
        <f>'Hitung Per Bulan'!I1116</f>
        <v/>
      </c>
      <c r="F1116" s="24">
        <v>2624900000</v>
      </c>
      <c r="G1116" s="29" t="str">
        <f>'Hitung Per Bulan'!J1116</f>
        <v/>
      </c>
    </row>
    <row r="1117" spans="1:7" x14ac:dyDescent="0.45">
      <c r="A1117" t="s">
        <v>20</v>
      </c>
      <c r="B1117" t="s">
        <v>39</v>
      </c>
      <c r="C1117" t="s">
        <v>21</v>
      </c>
      <c r="D1117" s="24">
        <v>230000000</v>
      </c>
      <c r="E1117" s="29" t="str">
        <f>'Hitung Per Bulan'!I1117</f>
        <v/>
      </c>
      <c r="F1117" s="24">
        <v>5864500000</v>
      </c>
      <c r="G1117" s="29" t="str">
        <f>'Hitung Per Bulan'!J1117</f>
        <v/>
      </c>
    </row>
    <row r="1118" spans="1:7" x14ac:dyDescent="0.45">
      <c r="A1118" t="s">
        <v>7</v>
      </c>
      <c r="B1118" t="s">
        <v>39</v>
      </c>
      <c r="C1118" t="s">
        <v>22</v>
      </c>
      <c r="D1118" s="24">
        <v>0</v>
      </c>
      <c r="E1118" s="29">
        <f>'Hitung Per Bulan'!I1118</f>
        <v>82800000</v>
      </c>
      <c r="F1118" s="24">
        <v>0</v>
      </c>
      <c r="G1118" s="29">
        <f>'Hitung Per Bulan'!J1118</f>
        <v>0</v>
      </c>
    </row>
    <row r="1119" spans="1:7" x14ac:dyDescent="0.45">
      <c r="A1119" t="s">
        <v>10</v>
      </c>
      <c r="B1119" t="s">
        <v>39</v>
      </c>
      <c r="C1119" t="s">
        <v>22</v>
      </c>
      <c r="D1119" s="24">
        <v>254037000</v>
      </c>
      <c r="E1119" s="29">
        <f>'Hitung Per Bulan'!I1119</f>
        <v>45540000</v>
      </c>
      <c r="F1119" s="24">
        <v>0</v>
      </c>
      <c r="G1119" s="29">
        <f>'Hitung Per Bulan'!J1119</f>
        <v>82800000</v>
      </c>
    </row>
    <row r="1120" spans="1:7" x14ac:dyDescent="0.45">
      <c r="A1120" t="s">
        <v>11</v>
      </c>
      <c r="B1120" t="s">
        <v>39</v>
      </c>
      <c r="C1120" t="s">
        <v>22</v>
      </c>
      <c r="D1120" s="24">
        <v>0</v>
      </c>
      <c r="E1120" s="29">
        <f>'Hitung Per Bulan'!I1120</f>
        <v>34825000</v>
      </c>
      <c r="F1120" s="24">
        <v>254037000</v>
      </c>
      <c r="G1120" s="29">
        <f>'Hitung Per Bulan'!J1120</f>
        <v>45540000</v>
      </c>
    </row>
    <row r="1121" spans="1:7" x14ac:dyDescent="0.45">
      <c r="A1121" t="s">
        <v>12</v>
      </c>
      <c r="B1121" t="s">
        <v>39</v>
      </c>
      <c r="C1121" t="s">
        <v>22</v>
      </c>
      <c r="D1121" s="24">
        <v>0</v>
      </c>
      <c r="E1121" s="29" t="str">
        <f>'Hitung Per Bulan'!I1121</f>
        <v/>
      </c>
      <c r="F1121" s="24">
        <v>0</v>
      </c>
      <c r="G1121" s="29" t="str">
        <f>'Hitung Per Bulan'!J1121</f>
        <v/>
      </c>
    </row>
    <row r="1122" spans="1:7" x14ac:dyDescent="0.45">
      <c r="A1122" t="s">
        <v>13</v>
      </c>
      <c r="B1122" t="s">
        <v>39</v>
      </c>
      <c r="C1122" t="s">
        <v>22</v>
      </c>
      <c r="D1122" s="24">
        <v>254037000</v>
      </c>
      <c r="E1122" s="29" t="str">
        <f>'Hitung Per Bulan'!I1122</f>
        <v/>
      </c>
      <c r="F1122" s="24">
        <v>0</v>
      </c>
      <c r="G1122" s="29" t="str">
        <f>'Hitung Per Bulan'!J1122</f>
        <v/>
      </c>
    </row>
    <row r="1123" spans="1:7" x14ac:dyDescent="0.45">
      <c r="A1123" t="s">
        <v>14</v>
      </c>
      <c r="B1123" t="s">
        <v>39</v>
      </c>
      <c r="C1123" t="s">
        <v>22</v>
      </c>
      <c r="D1123" s="24">
        <v>0</v>
      </c>
      <c r="E1123" s="29" t="str">
        <f>'Hitung Per Bulan'!I1123</f>
        <v/>
      </c>
      <c r="F1123" s="24">
        <v>254037000</v>
      </c>
      <c r="G1123" s="29" t="str">
        <f>'Hitung Per Bulan'!J1123</f>
        <v/>
      </c>
    </row>
    <row r="1124" spans="1:7" x14ac:dyDescent="0.45">
      <c r="A1124" t="s">
        <v>15</v>
      </c>
      <c r="B1124" t="s">
        <v>39</v>
      </c>
      <c r="C1124" t="s">
        <v>22</v>
      </c>
      <c r="D1124" s="24">
        <v>0</v>
      </c>
      <c r="E1124" s="29" t="str">
        <f>'Hitung Per Bulan'!I1124</f>
        <v/>
      </c>
      <c r="F1124" s="24">
        <v>0</v>
      </c>
      <c r="G1124" s="29" t="str">
        <f>'Hitung Per Bulan'!J1124</f>
        <v/>
      </c>
    </row>
    <row r="1125" spans="1:7" x14ac:dyDescent="0.45">
      <c r="A1125" t="s">
        <v>16</v>
      </c>
      <c r="B1125" t="s">
        <v>39</v>
      </c>
      <c r="C1125" t="s">
        <v>22</v>
      </c>
      <c r="D1125" s="24">
        <v>254037000</v>
      </c>
      <c r="E1125" s="29" t="str">
        <f>'Hitung Per Bulan'!I1125</f>
        <v/>
      </c>
      <c r="F1125" s="24">
        <v>0</v>
      </c>
      <c r="G1125" s="29" t="str">
        <f>'Hitung Per Bulan'!J1125</f>
        <v/>
      </c>
    </row>
    <row r="1126" spans="1:7" x14ac:dyDescent="0.45">
      <c r="A1126" t="s">
        <v>17</v>
      </c>
      <c r="B1126" t="s">
        <v>39</v>
      </c>
      <c r="C1126" t="s">
        <v>22</v>
      </c>
      <c r="D1126" s="24">
        <v>0</v>
      </c>
      <c r="E1126" s="29" t="str">
        <f>'Hitung Per Bulan'!I1126</f>
        <v/>
      </c>
      <c r="F1126" s="24">
        <v>254037000</v>
      </c>
      <c r="G1126" s="29" t="str">
        <f>'Hitung Per Bulan'!J1126</f>
        <v/>
      </c>
    </row>
    <row r="1127" spans="1:7" x14ac:dyDescent="0.45">
      <c r="A1127" t="s">
        <v>18</v>
      </c>
      <c r="B1127" t="s">
        <v>39</v>
      </c>
      <c r="C1127" t="s">
        <v>22</v>
      </c>
      <c r="D1127" s="24">
        <v>0</v>
      </c>
      <c r="E1127" s="29" t="str">
        <f>'Hitung Per Bulan'!I1127</f>
        <v/>
      </c>
      <c r="F1127" s="24">
        <v>0</v>
      </c>
      <c r="G1127" s="29" t="str">
        <f>'Hitung Per Bulan'!J1127</f>
        <v/>
      </c>
    </row>
    <row r="1128" spans="1:7" x14ac:dyDescent="0.45">
      <c r="A1128" t="s">
        <v>19</v>
      </c>
      <c r="B1128" t="s">
        <v>39</v>
      </c>
      <c r="C1128" t="s">
        <v>22</v>
      </c>
      <c r="D1128" s="24">
        <v>254039000</v>
      </c>
      <c r="E1128" s="29" t="str">
        <f>'Hitung Per Bulan'!I1128</f>
        <v/>
      </c>
      <c r="F1128" s="24">
        <v>0</v>
      </c>
      <c r="G1128" s="29" t="str">
        <f>'Hitung Per Bulan'!J1128</f>
        <v/>
      </c>
    </row>
    <row r="1129" spans="1:7" x14ac:dyDescent="0.45">
      <c r="A1129" t="s">
        <v>20</v>
      </c>
      <c r="B1129" t="s">
        <v>39</v>
      </c>
      <c r="C1129" t="s">
        <v>22</v>
      </c>
      <c r="D1129" s="24">
        <v>0</v>
      </c>
      <c r="E1129" s="29" t="str">
        <f>'Hitung Per Bulan'!I1129</f>
        <v/>
      </c>
      <c r="F1129" s="24">
        <v>254039000</v>
      </c>
      <c r="G1129" s="29" t="str">
        <f>'Hitung Per Bulan'!J1129</f>
        <v/>
      </c>
    </row>
    <row r="1130" spans="1:7" x14ac:dyDescent="0.45">
      <c r="A1130" t="s">
        <v>7</v>
      </c>
      <c r="B1130" t="s">
        <v>39</v>
      </c>
      <c r="C1130" t="s">
        <v>23</v>
      </c>
      <c r="D1130" s="24">
        <v>0</v>
      </c>
      <c r="E1130" s="29">
        <f>'Hitung Per Bulan'!I1130</f>
        <v>0</v>
      </c>
      <c r="F1130" s="24">
        <v>0</v>
      </c>
      <c r="G1130" s="29">
        <f>'Hitung Per Bulan'!J1130</f>
        <v>0</v>
      </c>
    </row>
    <row r="1131" spans="1:7" x14ac:dyDescent="0.45">
      <c r="A1131" t="s">
        <v>10</v>
      </c>
      <c r="B1131" t="s">
        <v>39</v>
      </c>
      <c r="C1131" t="s">
        <v>23</v>
      </c>
      <c r="D1131" s="24">
        <v>0</v>
      </c>
      <c r="E1131" s="29">
        <f>'Hitung Per Bulan'!I1131</f>
        <v>12720000</v>
      </c>
      <c r="F1131" s="24">
        <v>0</v>
      </c>
      <c r="G1131" s="29">
        <f>'Hitung Per Bulan'!J1131</f>
        <v>0</v>
      </c>
    </row>
    <row r="1132" spans="1:7" x14ac:dyDescent="0.45">
      <c r="A1132" t="s">
        <v>11</v>
      </c>
      <c r="B1132" t="s">
        <v>39</v>
      </c>
      <c r="C1132" t="s">
        <v>23</v>
      </c>
      <c r="D1132" s="24">
        <v>0</v>
      </c>
      <c r="E1132" s="29">
        <f>'Hitung Per Bulan'!I1132</f>
        <v>0</v>
      </c>
      <c r="F1132" s="24">
        <v>0</v>
      </c>
      <c r="G1132" s="29">
        <f>'Hitung Per Bulan'!J1132</f>
        <v>12720000</v>
      </c>
    </row>
    <row r="1133" spans="1:7" x14ac:dyDescent="0.45">
      <c r="A1133" t="s">
        <v>12</v>
      </c>
      <c r="B1133" t="s">
        <v>39</v>
      </c>
      <c r="C1133" t="s">
        <v>23</v>
      </c>
      <c r="D1133" s="24">
        <v>0</v>
      </c>
      <c r="E1133" s="29" t="str">
        <f>'Hitung Per Bulan'!I1133</f>
        <v/>
      </c>
      <c r="F1133" s="24">
        <v>0</v>
      </c>
      <c r="G1133" s="29" t="str">
        <f>'Hitung Per Bulan'!J1133</f>
        <v/>
      </c>
    </row>
    <row r="1134" spans="1:7" x14ac:dyDescent="0.45">
      <c r="A1134" t="s">
        <v>13</v>
      </c>
      <c r="B1134" t="s">
        <v>39</v>
      </c>
      <c r="C1134" t="s">
        <v>23</v>
      </c>
      <c r="D1134" s="24">
        <v>0</v>
      </c>
      <c r="E1134" s="29" t="str">
        <f>'Hitung Per Bulan'!I1134</f>
        <v/>
      </c>
      <c r="F1134" s="24">
        <v>0</v>
      </c>
      <c r="G1134" s="29" t="str">
        <f>'Hitung Per Bulan'!J1134</f>
        <v/>
      </c>
    </row>
    <row r="1135" spans="1:7" x14ac:dyDescent="0.45">
      <c r="A1135" t="s">
        <v>14</v>
      </c>
      <c r="B1135" t="s">
        <v>39</v>
      </c>
      <c r="C1135" t="s">
        <v>23</v>
      </c>
      <c r="D1135" s="24">
        <v>0</v>
      </c>
      <c r="E1135" s="29" t="str">
        <f>'Hitung Per Bulan'!I1135</f>
        <v/>
      </c>
      <c r="F1135" s="24">
        <v>0</v>
      </c>
      <c r="G1135" s="29" t="str">
        <f>'Hitung Per Bulan'!J1135</f>
        <v/>
      </c>
    </row>
    <row r="1136" spans="1:7" x14ac:dyDescent="0.45">
      <c r="A1136" t="s">
        <v>15</v>
      </c>
      <c r="B1136" t="s">
        <v>39</v>
      </c>
      <c r="C1136" t="s">
        <v>23</v>
      </c>
      <c r="D1136" s="24">
        <v>50000000</v>
      </c>
      <c r="E1136" s="29" t="str">
        <f>'Hitung Per Bulan'!I1136</f>
        <v/>
      </c>
      <c r="F1136" s="24">
        <v>0</v>
      </c>
      <c r="G1136" s="29" t="str">
        <f>'Hitung Per Bulan'!J1136</f>
        <v/>
      </c>
    </row>
    <row r="1137" spans="1:7" x14ac:dyDescent="0.45">
      <c r="A1137" t="s">
        <v>16</v>
      </c>
      <c r="B1137" t="s">
        <v>39</v>
      </c>
      <c r="C1137" t="s">
        <v>23</v>
      </c>
      <c r="D1137" s="24">
        <v>0</v>
      </c>
      <c r="E1137" s="29" t="str">
        <f>'Hitung Per Bulan'!I1137</f>
        <v/>
      </c>
      <c r="F1137" s="24">
        <v>50000000</v>
      </c>
      <c r="G1137" s="29" t="str">
        <f>'Hitung Per Bulan'!J1137</f>
        <v/>
      </c>
    </row>
    <row r="1138" spans="1:7" x14ac:dyDescent="0.45">
      <c r="A1138" t="s">
        <v>17</v>
      </c>
      <c r="B1138" t="s">
        <v>39</v>
      </c>
      <c r="C1138" t="s">
        <v>23</v>
      </c>
      <c r="D1138" s="24">
        <v>50000000</v>
      </c>
      <c r="E1138" s="29" t="str">
        <f>'Hitung Per Bulan'!I1138</f>
        <v/>
      </c>
      <c r="F1138" s="24">
        <v>0</v>
      </c>
      <c r="G1138" s="29" t="str">
        <f>'Hitung Per Bulan'!J1138</f>
        <v/>
      </c>
    </row>
    <row r="1139" spans="1:7" x14ac:dyDescent="0.45">
      <c r="A1139" t="s">
        <v>18</v>
      </c>
      <c r="B1139" t="s">
        <v>39</v>
      </c>
      <c r="C1139" t="s">
        <v>23</v>
      </c>
      <c r="D1139" s="24">
        <v>0</v>
      </c>
      <c r="E1139" s="29" t="str">
        <f>'Hitung Per Bulan'!I1139</f>
        <v/>
      </c>
      <c r="F1139" s="24">
        <v>50000000</v>
      </c>
      <c r="G1139" s="29" t="str">
        <f>'Hitung Per Bulan'!J1139</f>
        <v/>
      </c>
    </row>
    <row r="1140" spans="1:7" x14ac:dyDescent="0.45">
      <c r="A1140" t="s">
        <v>19</v>
      </c>
      <c r="B1140" t="s">
        <v>39</v>
      </c>
      <c r="C1140" t="s">
        <v>23</v>
      </c>
      <c r="D1140" s="24">
        <v>0</v>
      </c>
      <c r="E1140" s="29" t="str">
        <f>'Hitung Per Bulan'!I1140</f>
        <v/>
      </c>
      <c r="F1140" s="24">
        <v>0</v>
      </c>
      <c r="G1140" s="29" t="str">
        <f>'Hitung Per Bulan'!J1140</f>
        <v/>
      </c>
    </row>
    <row r="1141" spans="1:7" x14ac:dyDescent="0.45">
      <c r="A1141" t="s">
        <v>20</v>
      </c>
      <c r="B1141" t="s">
        <v>39</v>
      </c>
      <c r="C1141" t="s">
        <v>23</v>
      </c>
      <c r="D1141" s="24">
        <v>0</v>
      </c>
      <c r="E1141" s="29" t="str">
        <f>'Hitung Per Bulan'!I1141</f>
        <v/>
      </c>
      <c r="F1141" s="24">
        <v>0</v>
      </c>
      <c r="G1141" s="29" t="str">
        <f>'Hitung Per Bulan'!J1141</f>
        <v/>
      </c>
    </row>
    <row r="1142" spans="1:7" x14ac:dyDescent="0.45">
      <c r="A1142" t="s">
        <v>7</v>
      </c>
      <c r="B1142" t="s">
        <v>39</v>
      </c>
      <c r="C1142" t="s">
        <v>24</v>
      </c>
      <c r="D1142" s="24">
        <v>0</v>
      </c>
      <c r="E1142" s="29">
        <f>'Hitung Per Bulan'!I1142</f>
        <v>0</v>
      </c>
      <c r="F1142" s="24">
        <v>0</v>
      </c>
      <c r="G1142" s="29">
        <f>'Hitung Per Bulan'!J1142</f>
        <v>0</v>
      </c>
    </row>
    <row r="1143" spans="1:7" x14ac:dyDescent="0.45">
      <c r="A1143" t="s">
        <v>10</v>
      </c>
      <c r="B1143" t="s">
        <v>39</v>
      </c>
      <c r="C1143" t="s">
        <v>24</v>
      </c>
      <c r="D1143" s="24">
        <v>0</v>
      </c>
      <c r="E1143" s="29">
        <f>'Hitung Per Bulan'!I1143</f>
        <v>0</v>
      </c>
      <c r="F1143" s="24">
        <v>0</v>
      </c>
      <c r="G1143" s="29">
        <f>'Hitung Per Bulan'!J1143</f>
        <v>0</v>
      </c>
    </row>
    <row r="1144" spans="1:7" x14ac:dyDescent="0.45">
      <c r="A1144" t="s">
        <v>11</v>
      </c>
      <c r="B1144" t="s">
        <v>39</v>
      </c>
      <c r="C1144" t="s">
        <v>24</v>
      </c>
      <c r="D1144" s="24">
        <v>0</v>
      </c>
      <c r="E1144" s="29">
        <f>'Hitung Per Bulan'!I1144</f>
        <v>0</v>
      </c>
      <c r="F1144" s="24">
        <v>0</v>
      </c>
      <c r="G1144" s="29">
        <f>'Hitung Per Bulan'!J1144</f>
        <v>0</v>
      </c>
    </row>
    <row r="1145" spans="1:7" x14ac:dyDescent="0.45">
      <c r="A1145" t="s">
        <v>12</v>
      </c>
      <c r="B1145" t="s">
        <v>39</v>
      </c>
      <c r="C1145" t="s">
        <v>24</v>
      </c>
      <c r="D1145" s="24">
        <v>0</v>
      </c>
      <c r="E1145" s="29" t="str">
        <f>'Hitung Per Bulan'!I1145</f>
        <v/>
      </c>
      <c r="F1145" s="24">
        <v>0</v>
      </c>
      <c r="G1145" s="29" t="str">
        <f>'Hitung Per Bulan'!J1145</f>
        <v/>
      </c>
    </row>
    <row r="1146" spans="1:7" x14ac:dyDescent="0.45">
      <c r="A1146" t="s">
        <v>13</v>
      </c>
      <c r="B1146" t="s">
        <v>39</v>
      </c>
      <c r="C1146" t="s">
        <v>24</v>
      </c>
      <c r="D1146" s="24">
        <v>0</v>
      </c>
      <c r="E1146" s="29" t="str">
        <f>'Hitung Per Bulan'!I1146</f>
        <v/>
      </c>
      <c r="F1146" s="24">
        <v>0</v>
      </c>
      <c r="G1146" s="29" t="str">
        <f>'Hitung Per Bulan'!J1146</f>
        <v/>
      </c>
    </row>
    <row r="1147" spans="1:7" x14ac:dyDescent="0.45">
      <c r="A1147" t="s">
        <v>14</v>
      </c>
      <c r="B1147" t="s">
        <v>39</v>
      </c>
      <c r="C1147" t="s">
        <v>24</v>
      </c>
      <c r="D1147" s="24">
        <v>0</v>
      </c>
      <c r="E1147" s="29" t="str">
        <f>'Hitung Per Bulan'!I1147</f>
        <v/>
      </c>
      <c r="F1147" s="24">
        <v>0</v>
      </c>
      <c r="G1147" s="29" t="str">
        <f>'Hitung Per Bulan'!J1147</f>
        <v/>
      </c>
    </row>
    <row r="1148" spans="1:7" x14ac:dyDescent="0.45">
      <c r="A1148" t="s">
        <v>15</v>
      </c>
      <c r="B1148" t="s">
        <v>39</v>
      </c>
      <c r="C1148" t="s">
        <v>24</v>
      </c>
      <c r="D1148" s="24">
        <v>0</v>
      </c>
      <c r="E1148" s="29" t="str">
        <f>'Hitung Per Bulan'!I1148</f>
        <v/>
      </c>
      <c r="F1148" s="24">
        <v>0</v>
      </c>
      <c r="G1148" s="29" t="str">
        <f>'Hitung Per Bulan'!J1148</f>
        <v/>
      </c>
    </row>
    <row r="1149" spans="1:7" x14ac:dyDescent="0.45">
      <c r="A1149" t="s">
        <v>16</v>
      </c>
      <c r="B1149" t="s">
        <v>39</v>
      </c>
      <c r="C1149" t="s">
        <v>24</v>
      </c>
      <c r="D1149" s="24">
        <v>0</v>
      </c>
      <c r="E1149" s="29" t="str">
        <f>'Hitung Per Bulan'!I1149</f>
        <v/>
      </c>
      <c r="F1149" s="24">
        <v>0</v>
      </c>
      <c r="G1149" s="29" t="str">
        <f>'Hitung Per Bulan'!J1149</f>
        <v/>
      </c>
    </row>
    <row r="1150" spans="1:7" x14ac:dyDescent="0.45">
      <c r="A1150" t="s">
        <v>17</v>
      </c>
      <c r="B1150" t="s">
        <v>39</v>
      </c>
      <c r="C1150" t="s">
        <v>24</v>
      </c>
      <c r="D1150" s="24">
        <v>0</v>
      </c>
      <c r="E1150" s="29" t="str">
        <f>'Hitung Per Bulan'!I1150</f>
        <v/>
      </c>
      <c r="F1150" s="24">
        <v>0</v>
      </c>
      <c r="G1150" s="29" t="str">
        <f>'Hitung Per Bulan'!J1150</f>
        <v/>
      </c>
    </row>
    <row r="1151" spans="1:7" x14ac:dyDescent="0.45">
      <c r="A1151" t="s">
        <v>18</v>
      </c>
      <c r="B1151" t="s">
        <v>39</v>
      </c>
      <c r="C1151" t="s">
        <v>24</v>
      </c>
      <c r="D1151" s="24">
        <v>0</v>
      </c>
      <c r="E1151" s="29" t="str">
        <f>'Hitung Per Bulan'!I1151</f>
        <v/>
      </c>
      <c r="F1151" s="24">
        <v>0</v>
      </c>
      <c r="G1151" s="29" t="str">
        <f>'Hitung Per Bulan'!J1151</f>
        <v/>
      </c>
    </row>
    <row r="1152" spans="1:7" x14ac:dyDescent="0.45">
      <c r="A1152" t="s">
        <v>19</v>
      </c>
      <c r="B1152" t="s">
        <v>39</v>
      </c>
      <c r="C1152" t="s">
        <v>24</v>
      </c>
      <c r="D1152" s="24">
        <v>0</v>
      </c>
      <c r="E1152" s="29" t="str">
        <f>'Hitung Per Bulan'!I1152</f>
        <v/>
      </c>
      <c r="F1152" s="24">
        <v>0</v>
      </c>
      <c r="G1152" s="29" t="str">
        <f>'Hitung Per Bulan'!J1152</f>
        <v/>
      </c>
    </row>
    <row r="1153" spans="1:7" x14ac:dyDescent="0.45">
      <c r="A1153" t="s">
        <v>20</v>
      </c>
      <c r="B1153" t="s">
        <v>39</v>
      </c>
      <c r="C1153" t="s">
        <v>24</v>
      </c>
      <c r="D1153" s="24">
        <v>0</v>
      </c>
      <c r="E1153" s="29" t="str">
        <f>'Hitung Per Bulan'!I1153</f>
        <v/>
      </c>
      <c r="F1153" s="24">
        <v>0</v>
      </c>
      <c r="G1153" s="29" t="str">
        <f>'Hitung Per Bulan'!J1153</f>
        <v/>
      </c>
    </row>
    <row r="1154" spans="1:7" x14ac:dyDescent="0.45">
      <c r="A1154" t="s">
        <v>7</v>
      </c>
      <c r="B1154" t="s">
        <v>39</v>
      </c>
      <c r="C1154" t="s">
        <v>25</v>
      </c>
      <c r="D1154" s="24">
        <v>183078000</v>
      </c>
      <c r="E1154" s="29">
        <f>'Hitung Per Bulan'!I1154</f>
        <v>142025182</v>
      </c>
      <c r="F1154" s="24">
        <v>178078000</v>
      </c>
      <c r="G1154" s="29">
        <f>'Hitung Per Bulan'!J1154</f>
        <v>20219062</v>
      </c>
    </row>
    <row r="1155" spans="1:7" x14ac:dyDescent="0.45">
      <c r="A1155" t="s">
        <v>10</v>
      </c>
      <c r="B1155" t="s">
        <v>39</v>
      </c>
      <c r="C1155" t="s">
        <v>25</v>
      </c>
      <c r="D1155" s="24">
        <v>278078000</v>
      </c>
      <c r="E1155" s="29">
        <f>'Hitung Per Bulan'!I1155</f>
        <v>130923900</v>
      </c>
      <c r="F1155" s="24">
        <v>183078000</v>
      </c>
      <c r="G1155" s="29">
        <f>'Hitung Per Bulan'!J1155</f>
        <v>163539770</v>
      </c>
    </row>
    <row r="1156" spans="1:7" x14ac:dyDescent="0.45">
      <c r="A1156" t="s">
        <v>11</v>
      </c>
      <c r="B1156" t="s">
        <v>39</v>
      </c>
      <c r="C1156" t="s">
        <v>25</v>
      </c>
      <c r="D1156" s="24">
        <v>232846000</v>
      </c>
      <c r="E1156" s="29">
        <f>'Hitung Per Bulan'!I1156</f>
        <v>257143834</v>
      </c>
      <c r="F1156" s="24">
        <v>286078000</v>
      </c>
      <c r="G1156" s="29">
        <f>'Hitung Per Bulan'!J1156</f>
        <v>126378095</v>
      </c>
    </row>
    <row r="1157" spans="1:7" x14ac:dyDescent="0.45">
      <c r="A1157" t="s">
        <v>12</v>
      </c>
      <c r="B1157" t="s">
        <v>39</v>
      </c>
      <c r="C1157" t="s">
        <v>25</v>
      </c>
      <c r="D1157" s="24">
        <v>282233000</v>
      </c>
      <c r="E1157" s="29" t="str">
        <f>'Hitung Per Bulan'!I1157</f>
        <v/>
      </c>
      <c r="F1157" s="24">
        <v>224846000</v>
      </c>
      <c r="G1157" s="29" t="str">
        <f>'Hitung Per Bulan'!J1157</f>
        <v/>
      </c>
    </row>
    <row r="1158" spans="1:7" x14ac:dyDescent="0.45">
      <c r="A1158" t="s">
        <v>13</v>
      </c>
      <c r="B1158" t="s">
        <v>39</v>
      </c>
      <c r="C1158" t="s">
        <v>25</v>
      </c>
      <c r="D1158" s="24">
        <v>200078000</v>
      </c>
      <c r="E1158" s="29" t="str">
        <f>'Hitung Per Bulan'!I1158</f>
        <v/>
      </c>
      <c r="F1158" s="24">
        <v>282233000</v>
      </c>
      <c r="G1158" s="29" t="str">
        <f>'Hitung Per Bulan'!J1158</f>
        <v/>
      </c>
    </row>
    <row r="1159" spans="1:7" x14ac:dyDescent="0.45">
      <c r="A1159" t="s">
        <v>14</v>
      </c>
      <c r="B1159" t="s">
        <v>39</v>
      </c>
      <c r="C1159" t="s">
        <v>25</v>
      </c>
      <c r="D1159" s="24">
        <v>318078000</v>
      </c>
      <c r="E1159" s="29" t="str">
        <f>'Hitung Per Bulan'!I1159</f>
        <v/>
      </c>
      <c r="F1159" s="24">
        <v>240078000</v>
      </c>
      <c r="G1159" s="29" t="str">
        <f>'Hitung Per Bulan'!J1159</f>
        <v/>
      </c>
    </row>
    <row r="1160" spans="1:7" x14ac:dyDescent="0.45">
      <c r="A1160" t="s">
        <v>15</v>
      </c>
      <c r="B1160" t="s">
        <v>39</v>
      </c>
      <c r="C1160" t="s">
        <v>25</v>
      </c>
      <c r="D1160" s="24">
        <v>228078000</v>
      </c>
      <c r="E1160" s="29" t="str">
        <f>'Hitung Per Bulan'!I1160</f>
        <v/>
      </c>
      <c r="F1160" s="24">
        <v>278078000</v>
      </c>
      <c r="G1160" s="29" t="str">
        <f>'Hitung Per Bulan'!J1160</f>
        <v/>
      </c>
    </row>
    <row r="1161" spans="1:7" x14ac:dyDescent="0.45">
      <c r="A1161" t="s">
        <v>16</v>
      </c>
      <c r="B1161" t="s">
        <v>39</v>
      </c>
      <c r="C1161" t="s">
        <v>25</v>
      </c>
      <c r="D1161" s="24">
        <v>896057000</v>
      </c>
      <c r="E1161" s="29" t="str">
        <f>'Hitung Per Bulan'!I1161</f>
        <v/>
      </c>
      <c r="F1161" s="24">
        <v>228078000</v>
      </c>
      <c r="G1161" s="29" t="str">
        <f>'Hitung Per Bulan'!J1161</f>
        <v/>
      </c>
    </row>
    <row r="1162" spans="1:7" x14ac:dyDescent="0.45">
      <c r="A1162" t="s">
        <v>17</v>
      </c>
      <c r="B1162" t="s">
        <v>39</v>
      </c>
      <c r="C1162" t="s">
        <v>25</v>
      </c>
      <c r="D1162" s="24">
        <v>190078000</v>
      </c>
      <c r="E1162" s="29" t="str">
        <f>'Hitung Per Bulan'!I1162</f>
        <v/>
      </c>
      <c r="F1162" s="24">
        <v>245078000</v>
      </c>
      <c r="G1162" s="29" t="str">
        <f>'Hitung Per Bulan'!J1162</f>
        <v/>
      </c>
    </row>
    <row r="1163" spans="1:7" x14ac:dyDescent="0.45">
      <c r="A1163" t="s">
        <v>18</v>
      </c>
      <c r="B1163" t="s">
        <v>39</v>
      </c>
      <c r="C1163" t="s">
        <v>25</v>
      </c>
      <c r="D1163" s="24">
        <v>329274000</v>
      </c>
      <c r="E1163" s="29" t="str">
        <f>'Hitung Per Bulan'!I1163</f>
        <v/>
      </c>
      <c r="F1163" s="24">
        <v>202533000</v>
      </c>
      <c r="G1163" s="29" t="str">
        <f>'Hitung Per Bulan'!J1163</f>
        <v/>
      </c>
    </row>
    <row r="1164" spans="1:7" x14ac:dyDescent="0.45">
      <c r="A1164" t="s">
        <v>19</v>
      </c>
      <c r="B1164" t="s">
        <v>39</v>
      </c>
      <c r="C1164" t="s">
        <v>25</v>
      </c>
      <c r="D1164" s="24">
        <v>178088000</v>
      </c>
      <c r="E1164" s="29" t="str">
        <f>'Hitung Per Bulan'!I1164</f>
        <v/>
      </c>
      <c r="F1164" s="24">
        <v>309829000</v>
      </c>
      <c r="G1164" s="29" t="str">
        <f>'Hitung Per Bulan'!J1164</f>
        <v/>
      </c>
    </row>
    <row r="1165" spans="1:7" x14ac:dyDescent="0.45">
      <c r="A1165" t="s">
        <v>20</v>
      </c>
      <c r="B1165" t="s">
        <v>39</v>
      </c>
      <c r="C1165" t="s">
        <v>25</v>
      </c>
      <c r="D1165" s="24">
        <v>178084000</v>
      </c>
      <c r="E1165" s="29" t="str">
        <f>'Hitung Per Bulan'!I1165</f>
        <v/>
      </c>
      <c r="F1165" s="24">
        <v>836063000</v>
      </c>
      <c r="G1165" s="29" t="str">
        <f>'Hitung Per Bulan'!J1165</f>
        <v/>
      </c>
    </row>
    <row r="1166" spans="1:7" x14ac:dyDescent="0.45">
      <c r="A1166" t="s">
        <v>7</v>
      </c>
      <c r="B1166" t="s">
        <v>39</v>
      </c>
      <c r="C1166" t="s">
        <v>26</v>
      </c>
      <c r="D1166" s="24">
        <v>213333000</v>
      </c>
      <c r="E1166" s="29">
        <f>'Hitung Per Bulan'!I1166</f>
        <v>268881303</v>
      </c>
      <c r="F1166" s="24">
        <v>213333000</v>
      </c>
      <c r="G1166" s="29">
        <f>'Hitung Per Bulan'!J1166</f>
        <v>268553262</v>
      </c>
    </row>
    <row r="1167" spans="1:7" x14ac:dyDescent="0.45">
      <c r="A1167" t="s">
        <v>10</v>
      </c>
      <c r="B1167" t="s">
        <v>39</v>
      </c>
      <c r="C1167" t="s">
        <v>26</v>
      </c>
      <c r="D1167" s="24">
        <v>213333000</v>
      </c>
      <c r="E1167" s="29">
        <f>'Hitung Per Bulan'!I1167</f>
        <v>186153806</v>
      </c>
      <c r="F1167" s="24">
        <v>213333000</v>
      </c>
      <c r="G1167" s="29">
        <f>'Hitung Per Bulan'!J1167</f>
        <v>178077441</v>
      </c>
    </row>
    <row r="1168" spans="1:7" x14ac:dyDescent="0.45">
      <c r="A1168" t="s">
        <v>11</v>
      </c>
      <c r="B1168" t="s">
        <v>39</v>
      </c>
      <c r="C1168" t="s">
        <v>26</v>
      </c>
      <c r="D1168" s="24">
        <v>213333000</v>
      </c>
      <c r="E1168" s="29">
        <f>'Hitung Per Bulan'!I1168</f>
        <v>174396994</v>
      </c>
      <c r="F1168" s="24">
        <v>213333000</v>
      </c>
      <c r="G1168" s="29">
        <f>'Hitung Per Bulan'!J1168</f>
        <v>161417367</v>
      </c>
    </row>
    <row r="1169" spans="1:7" x14ac:dyDescent="0.45">
      <c r="A1169" t="s">
        <v>12</v>
      </c>
      <c r="B1169" t="s">
        <v>39</v>
      </c>
      <c r="C1169" t="s">
        <v>26</v>
      </c>
      <c r="D1169" s="24">
        <v>213333000</v>
      </c>
      <c r="E1169" s="29" t="str">
        <f>'Hitung Per Bulan'!I1169</f>
        <v/>
      </c>
      <c r="F1169" s="24">
        <v>213333000</v>
      </c>
      <c r="G1169" s="29" t="str">
        <f>'Hitung Per Bulan'!J1169</f>
        <v/>
      </c>
    </row>
    <row r="1170" spans="1:7" x14ac:dyDescent="0.45">
      <c r="A1170" t="s">
        <v>13</v>
      </c>
      <c r="B1170" t="s">
        <v>39</v>
      </c>
      <c r="C1170" t="s">
        <v>26</v>
      </c>
      <c r="D1170" s="24">
        <v>213333000</v>
      </c>
      <c r="E1170" s="29" t="str">
        <f>'Hitung Per Bulan'!I1170</f>
        <v/>
      </c>
      <c r="F1170" s="24">
        <v>213333000</v>
      </c>
      <c r="G1170" s="29" t="str">
        <f>'Hitung Per Bulan'!J1170</f>
        <v/>
      </c>
    </row>
    <row r="1171" spans="1:7" x14ac:dyDescent="0.45">
      <c r="A1171" t="s">
        <v>14</v>
      </c>
      <c r="B1171" t="s">
        <v>39</v>
      </c>
      <c r="C1171" t="s">
        <v>26</v>
      </c>
      <c r="D1171" s="24">
        <v>213333000</v>
      </c>
      <c r="E1171" s="29" t="str">
        <f>'Hitung Per Bulan'!I1171</f>
        <v/>
      </c>
      <c r="F1171" s="24">
        <v>213333000</v>
      </c>
      <c r="G1171" s="29" t="str">
        <f>'Hitung Per Bulan'!J1171</f>
        <v/>
      </c>
    </row>
    <row r="1172" spans="1:7" x14ac:dyDescent="0.45">
      <c r="A1172" t="s">
        <v>15</v>
      </c>
      <c r="B1172" t="s">
        <v>39</v>
      </c>
      <c r="C1172" t="s">
        <v>26</v>
      </c>
      <c r="D1172" s="24">
        <v>213333000</v>
      </c>
      <c r="E1172" s="29" t="str">
        <f>'Hitung Per Bulan'!I1172</f>
        <v/>
      </c>
      <c r="F1172" s="24">
        <v>213333000</v>
      </c>
      <c r="G1172" s="29" t="str">
        <f>'Hitung Per Bulan'!J1172</f>
        <v/>
      </c>
    </row>
    <row r="1173" spans="1:7" x14ac:dyDescent="0.45">
      <c r="A1173" t="s">
        <v>16</v>
      </c>
      <c r="B1173" t="s">
        <v>39</v>
      </c>
      <c r="C1173" t="s">
        <v>26</v>
      </c>
      <c r="D1173" s="24">
        <v>213333000</v>
      </c>
      <c r="E1173" s="29" t="str">
        <f>'Hitung Per Bulan'!I1173</f>
        <v/>
      </c>
      <c r="F1173" s="24">
        <v>213333000</v>
      </c>
      <c r="G1173" s="29" t="str">
        <f>'Hitung Per Bulan'!J1173</f>
        <v/>
      </c>
    </row>
    <row r="1174" spans="1:7" x14ac:dyDescent="0.45">
      <c r="A1174" t="s">
        <v>17</v>
      </c>
      <c r="B1174" t="s">
        <v>39</v>
      </c>
      <c r="C1174" t="s">
        <v>26</v>
      </c>
      <c r="D1174" s="24">
        <v>213333000</v>
      </c>
      <c r="E1174" s="29" t="str">
        <f>'Hitung Per Bulan'!I1174</f>
        <v/>
      </c>
      <c r="F1174" s="24">
        <v>213333000</v>
      </c>
      <c r="G1174" s="29" t="str">
        <f>'Hitung Per Bulan'!J1174</f>
        <v/>
      </c>
    </row>
    <row r="1175" spans="1:7" x14ac:dyDescent="0.45">
      <c r="A1175" t="s">
        <v>18</v>
      </c>
      <c r="B1175" t="s">
        <v>39</v>
      </c>
      <c r="C1175" t="s">
        <v>26</v>
      </c>
      <c r="D1175" s="24">
        <v>213333000</v>
      </c>
      <c r="E1175" s="29" t="str">
        <f>'Hitung Per Bulan'!I1175</f>
        <v/>
      </c>
      <c r="F1175" s="24">
        <v>213333000</v>
      </c>
      <c r="G1175" s="29" t="str">
        <f>'Hitung Per Bulan'!J1175</f>
        <v/>
      </c>
    </row>
    <row r="1176" spans="1:7" x14ac:dyDescent="0.45">
      <c r="A1176" t="s">
        <v>19</v>
      </c>
      <c r="B1176" t="s">
        <v>39</v>
      </c>
      <c r="C1176" t="s">
        <v>26</v>
      </c>
      <c r="D1176" s="24">
        <v>213333000</v>
      </c>
      <c r="E1176" s="29" t="str">
        <f>'Hitung Per Bulan'!I1176</f>
        <v/>
      </c>
      <c r="F1176" s="24">
        <v>213333000</v>
      </c>
      <c r="G1176" s="29" t="str">
        <f>'Hitung Per Bulan'!J1176</f>
        <v/>
      </c>
    </row>
    <row r="1177" spans="1:7" x14ac:dyDescent="0.45">
      <c r="A1177" t="s">
        <v>20</v>
      </c>
      <c r="B1177" t="s">
        <v>39</v>
      </c>
      <c r="C1177" t="s">
        <v>26</v>
      </c>
      <c r="D1177" s="24">
        <v>213337000</v>
      </c>
      <c r="E1177" s="29" t="str">
        <f>'Hitung Per Bulan'!I1177</f>
        <v/>
      </c>
      <c r="F1177" s="24">
        <v>213337000</v>
      </c>
      <c r="G1177" s="29" t="str">
        <f>'Hitung Per Bulan'!J1177</f>
        <v/>
      </c>
    </row>
    <row r="1178" spans="1:7" x14ac:dyDescent="0.45">
      <c r="A1178" t="s">
        <v>7</v>
      </c>
      <c r="B1178" t="s">
        <v>40</v>
      </c>
      <c r="C1178" t="s">
        <v>9</v>
      </c>
      <c r="D1178" s="24">
        <v>100000000</v>
      </c>
      <c r="E1178" s="29">
        <f>'Hitung Per Bulan'!I1178</f>
        <v>9143456586</v>
      </c>
      <c r="F1178" s="24">
        <v>0</v>
      </c>
      <c r="G1178" s="29">
        <f>'Hitung Per Bulan'!J1178</f>
        <v>0</v>
      </c>
    </row>
    <row r="1179" spans="1:7" x14ac:dyDescent="0.45">
      <c r="A1179" t="s">
        <v>10</v>
      </c>
      <c r="B1179" t="s">
        <v>40</v>
      </c>
      <c r="C1179" t="s">
        <v>9</v>
      </c>
      <c r="D1179" s="24">
        <v>720600000</v>
      </c>
      <c r="E1179" s="29">
        <f>'Hitung Per Bulan'!I1179</f>
        <v>477983925</v>
      </c>
      <c r="F1179" s="24">
        <v>100000000</v>
      </c>
      <c r="G1179" s="29">
        <f>'Hitung Per Bulan'!J1179</f>
        <v>166766116</v>
      </c>
    </row>
    <row r="1180" spans="1:7" x14ac:dyDescent="0.45">
      <c r="A1180" t="s">
        <v>11</v>
      </c>
      <c r="B1180" t="s">
        <v>40</v>
      </c>
      <c r="C1180" t="s">
        <v>9</v>
      </c>
      <c r="D1180" s="24">
        <v>12889972000</v>
      </c>
      <c r="E1180" s="29">
        <f>'Hitung Per Bulan'!I1180</f>
        <v>13536388216</v>
      </c>
      <c r="F1180" s="24">
        <v>100000000</v>
      </c>
      <c r="G1180" s="29">
        <f>'Hitung Per Bulan'!J1180</f>
        <v>603050931</v>
      </c>
    </row>
    <row r="1181" spans="1:7" x14ac:dyDescent="0.45">
      <c r="A1181" t="s">
        <v>12</v>
      </c>
      <c r="B1181" t="s">
        <v>40</v>
      </c>
      <c r="C1181" t="s">
        <v>9</v>
      </c>
      <c r="D1181" s="24">
        <v>2342762000</v>
      </c>
      <c r="E1181" s="29" t="str">
        <f>'Hitung Per Bulan'!I1181</f>
        <v/>
      </c>
      <c r="F1181" s="24">
        <v>400000000</v>
      </c>
      <c r="G1181" s="29" t="str">
        <f>'Hitung Per Bulan'!J1181</f>
        <v/>
      </c>
    </row>
    <row r="1182" spans="1:7" x14ac:dyDescent="0.45">
      <c r="A1182" t="s">
        <v>13</v>
      </c>
      <c r="B1182" t="s">
        <v>40</v>
      </c>
      <c r="C1182" t="s">
        <v>9</v>
      </c>
      <c r="D1182" s="24">
        <v>4570752000</v>
      </c>
      <c r="E1182" s="29" t="str">
        <f>'Hitung Per Bulan'!I1182</f>
        <v/>
      </c>
      <c r="F1182" s="24">
        <v>1255838000</v>
      </c>
      <c r="G1182" s="29" t="str">
        <f>'Hitung Per Bulan'!J1182</f>
        <v/>
      </c>
    </row>
    <row r="1183" spans="1:7" x14ac:dyDescent="0.45">
      <c r="A1183" t="s">
        <v>14</v>
      </c>
      <c r="B1183" t="s">
        <v>40</v>
      </c>
      <c r="C1183" t="s">
        <v>9</v>
      </c>
      <c r="D1183" s="24">
        <v>3338000000</v>
      </c>
      <c r="E1183" s="29" t="str">
        <f>'Hitung Per Bulan'!I1183</f>
        <v/>
      </c>
      <c r="F1183" s="24">
        <v>2086687000</v>
      </c>
      <c r="G1183" s="29" t="str">
        <f>'Hitung Per Bulan'!J1183</f>
        <v/>
      </c>
    </row>
    <row r="1184" spans="1:7" x14ac:dyDescent="0.45">
      <c r="A1184" t="s">
        <v>15</v>
      </c>
      <c r="B1184" t="s">
        <v>40</v>
      </c>
      <c r="C1184" t="s">
        <v>9</v>
      </c>
      <c r="D1184" s="24">
        <v>3740485000</v>
      </c>
      <c r="E1184" s="29" t="str">
        <f>'Hitung Per Bulan'!I1184</f>
        <v/>
      </c>
      <c r="F1184" s="24">
        <v>1503128000</v>
      </c>
      <c r="G1184" s="29" t="str">
        <f>'Hitung Per Bulan'!J1184</f>
        <v/>
      </c>
    </row>
    <row r="1185" spans="1:7" x14ac:dyDescent="0.45">
      <c r="A1185" t="s">
        <v>16</v>
      </c>
      <c r="B1185" t="s">
        <v>40</v>
      </c>
      <c r="C1185" t="s">
        <v>9</v>
      </c>
      <c r="D1185" s="24">
        <v>957197000</v>
      </c>
      <c r="E1185" s="29" t="str">
        <f>'Hitung Per Bulan'!I1185</f>
        <v/>
      </c>
      <c r="F1185" s="24">
        <v>463000000</v>
      </c>
      <c r="G1185" s="29" t="str">
        <f>'Hitung Per Bulan'!J1185</f>
        <v/>
      </c>
    </row>
    <row r="1186" spans="1:7" x14ac:dyDescent="0.45">
      <c r="A1186" t="s">
        <v>17</v>
      </c>
      <c r="B1186" t="s">
        <v>40</v>
      </c>
      <c r="C1186" t="s">
        <v>9</v>
      </c>
      <c r="D1186" s="24">
        <v>700784000</v>
      </c>
      <c r="E1186" s="29" t="str">
        <f>'Hitung Per Bulan'!I1186</f>
        <v/>
      </c>
      <c r="F1186" s="24">
        <v>5434938000</v>
      </c>
      <c r="G1186" s="29" t="str">
        <f>'Hitung Per Bulan'!J1186</f>
        <v/>
      </c>
    </row>
    <row r="1187" spans="1:7" x14ac:dyDescent="0.45">
      <c r="A1187" t="s">
        <v>18</v>
      </c>
      <c r="B1187" t="s">
        <v>40</v>
      </c>
      <c r="C1187" t="s">
        <v>9</v>
      </c>
      <c r="D1187" s="24">
        <v>600000000</v>
      </c>
      <c r="E1187" s="29" t="str">
        <f>'Hitung Per Bulan'!I1187</f>
        <v/>
      </c>
      <c r="F1187" s="24">
        <v>6916826000</v>
      </c>
      <c r="G1187" s="29" t="str">
        <f>'Hitung Per Bulan'!J1187</f>
        <v/>
      </c>
    </row>
    <row r="1188" spans="1:7" x14ac:dyDescent="0.45">
      <c r="A1188" t="s">
        <v>19</v>
      </c>
      <c r="B1188" t="s">
        <v>40</v>
      </c>
      <c r="C1188" t="s">
        <v>9</v>
      </c>
      <c r="D1188" s="24">
        <v>264698000</v>
      </c>
      <c r="E1188" s="29" t="str">
        <f>'Hitung Per Bulan'!I1188</f>
        <v/>
      </c>
      <c r="F1188" s="24">
        <v>8663150000</v>
      </c>
      <c r="G1188" s="29" t="str">
        <f>'Hitung Per Bulan'!J1188</f>
        <v/>
      </c>
    </row>
    <row r="1189" spans="1:7" x14ac:dyDescent="0.45">
      <c r="A1189" t="s">
        <v>20</v>
      </c>
      <c r="B1189" t="s">
        <v>40</v>
      </c>
      <c r="C1189" t="s">
        <v>9</v>
      </c>
      <c r="D1189" s="24">
        <v>100000000</v>
      </c>
      <c r="E1189" s="29" t="str">
        <f>'Hitung Per Bulan'!I1189</f>
        <v/>
      </c>
      <c r="F1189" s="24">
        <v>3401683000</v>
      </c>
      <c r="G1189" s="29" t="str">
        <f>'Hitung Per Bulan'!J1189</f>
        <v/>
      </c>
    </row>
    <row r="1190" spans="1:7" x14ac:dyDescent="0.45">
      <c r="A1190" t="s">
        <v>7</v>
      </c>
      <c r="B1190" t="s">
        <v>40</v>
      </c>
      <c r="C1190" t="s">
        <v>21</v>
      </c>
      <c r="D1190" s="24">
        <v>0</v>
      </c>
      <c r="E1190" s="29">
        <f>'Hitung Per Bulan'!I1190</f>
        <v>0</v>
      </c>
      <c r="F1190" s="24">
        <v>0</v>
      </c>
      <c r="G1190" s="29">
        <f>'Hitung Per Bulan'!J1190</f>
        <v>0</v>
      </c>
    </row>
    <row r="1191" spans="1:7" x14ac:dyDescent="0.45">
      <c r="A1191" t="s">
        <v>10</v>
      </c>
      <c r="B1191" t="s">
        <v>40</v>
      </c>
      <c r="C1191" t="s">
        <v>21</v>
      </c>
      <c r="D1191" s="24">
        <v>0</v>
      </c>
      <c r="E1191" s="29">
        <f>'Hitung Per Bulan'!I1191</f>
        <v>0</v>
      </c>
      <c r="F1191" s="24">
        <v>0</v>
      </c>
      <c r="G1191" s="29">
        <f>'Hitung Per Bulan'!J1191</f>
        <v>0</v>
      </c>
    </row>
    <row r="1192" spans="1:7" x14ac:dyDescent="0.45">
      <c r="A1192" t="s">
        <v>11</v>
      </c>
      <c r="B1192" t="s">
        <v>40</v>
      </c>
      <c r="C1192" t="s">
        <v>21</v>
      </c>
      <c r="D1192" s="24">
        <v>0</v>
      </c>
      <c r="E1192" s="29">
        <f>'Hitung Per Bulan'!I1192</f>
        <v>4951687</v>
      </c>
      <c r="F1192" s="24">
        <v>0</v>
      </c>
      <c r="G1192" s="29">
        <f>'Hitung Per Bulan'!J1192</f>
        <v>0</v>
      </c>
    </row>
    <row r="1193" spans="1:7" x14ac:dyDescent="0.45">
      <c r="A1193" t="s">
        <v>12</v>
      </c>
      <c r="B1193" t="s">
        <v>40</v>
      </c>
      <c r="C1193" t="s">
        <v>21</v>
      </c>
      <c r="D1193" s="24">
        <v>0</v>
      </c>
      <c r="E1193" s="29" t="str">
        <f>'Hitung Per Bulan'!I1193</f>
        <v/>
      </c>
      <c r="F1193" s="24">
        <v>0</v>
      </c>
      <c r="G1193" s="29" t="str">
        <f>'Hitung Per Bulan'!J1193</f>
        <v/>
      </c>
    </row>
    <row r="1194" spans="1:7" x14ac:dyDescent="0.45">
      <c r="A1194" t="s">
        <v>13</v>
      </c>
      <c r="B1194" t="s">
        <v>40</v>
      </c>
      <c r="C1194" t="s">
        <v>21</v>
      </c>
      <c r="D1194" s="24">
        <v>0</v>
      </c>
      <c r="E1194" s="29" t="str">
        <f>'Hitung Per Bulan'!I1194</f>
        <v/>
      </c>
      <c r="F1194" s="24">
        <v>0</v>
      </c>
      <c r="G1194" s="29" t="str">
        <f>'Hitung Per Bulan'!J1194</f>
        <v/>
      </c>
    </row>
    <row r="1195" spans="1:7" x14ac:dyDescent="0.45">
      <c r="A1195" t="s">
        <v>14</v>
      </c>
      <c r="B1195" t="s">
        <v>40</v>
      </c>
      <c r="C1195" t="s">
        <v>21</v>
      </c>
      <c r="D1195" s="24">
        <v>0</v>
      </c>
      <c r="E1195" s="29" t="str">
        <f>'Hitung Per Bulan'!I1195</f>
        <v/>
      </c>
      <c r="F1195" s="24">
        <v>0</v>
      </c>
      <c r="G1195" s="29" t="str">
        <f>'Hitung Per Bulan'!J1195</f>
        <v/>
      </c>
    </row>
    <row r="1196" spans="1:7" x14ac:dyDescent="0.45">
      <c r="A1196" t="s">
        <v>15</v>
      </c>
      <c r="B1196" t="s">
        <v>40</v>
      </c>
      <c r="C1196" t="s">
        <v>21</v>
      </c>
      <c r="D1196" s="24">
        <v>0</v>
      </c>
      <c r="E1196" s="29" t="str">
        <f>'Hitung Per Bulan'!I1196</f>
        <v/>
      </c>
      <c r="F1196" s="24">
        <v>0</v>
      </c>
      <c r="G1196" s="29" t="str">
        <f>'Hitung Per Bulan'!J1196</f>
        <v/>
      </c>
    </row>
    <row r="1197" spans="1:7" x14ac:dyDescent="0.45">
      <c r="A1197" t="s">
        <v>16</v>
      </c>
      <c r="B1197" t="s">
        <v>40</v>
      </c>
      <c r="C1197" t="s">
        <v>21</v>
      </c>
      <c r="D1197" s="24">
        <v>150000000</v>
      </c>
      <c r="E1197" s="29" t="str">
        <f>'Hitung Per Bulan'!I1197</f>
        <v/>
      </c>
      <c r="F1197" s="24">
        <v>0</v>
      </c>
      <c r="G1197" s="29" t="str">
        <f>'Hitung Per Bulan'!J1197</f>
        <v/>
      </c>
    </row>
    <row r="1198" spans="1:7" x14ac:dyDescent="0.45">
      <c r="A1198" t="s">
        <v>17</v>
      </c>
      <c r="B1198" t="s">
        <v>40</v>
      </c>
      <c r="C1198" t="s">
        <v>21</v>
      </c>
      <c r="D1198" s="24">
        <v>0</v>
      </c>
      <c r="E1198" s="29" t="str">
        <f>'Hitung Per Bulan'!I1198</f>
        <v/>
      </c>
      <c r="F1198" s="24">
        <v>0</v>
      </c>
      <c r="G1198" s="29" t="str">
        <f>'Hitung Per Bulan'!J1198</f>
        <v/>
      </c>
    </row>
    <row r="1199" spans="1:7" x14ac:dyDescent="0.45">
      <c r="A1199" t="s">
        <v>18</v>
      </c>
      <c r="B1199" t="s">
        <v>40</v>
      </c>
      <c r="C1199" t="s">
        <v>21</v>
      </c>
      <c r="D1199" s="24">
        <v>0</v>
      </c>
      <c r="E1199" s="29" t="str">
        <f>'Hitung Per Bulan'!I1199</f>
        <v/>
      </c>
      <c r="F1199" s="24">
        <v>150000000</v>
      </c>
      <c r="G1199" s="29" t="str">
        <f>'Hitung Per Bulan'!J1199</f>
        <v/>
      </c>
    </row>
    <row r="1200" spans="1:7" x14ac:dyDescent="0.45">
      <c r="A1200" t="s">
        <v>19</v>
      </c>
      <c r="B1200" t="s">
        <v>40</v>
      </c>
      <c r="C1200" t="s">
        <v>21</v>
      </c>
      <c r="D1200" s="24">
        <v>150000000</v>
      </c>
      <c r="E1200" s="29" t="str">
        <f>'Hitung Per Bulan'!I1200</f>
        <v/>
      </c>
      <c r="F1200" s="24">
        <v>0</v>
      </c>
      <c r="G1200" s="29" t="str">
        <f>'Hitung Per Bulan'!J1200</f>
        <v/>
      </c>
    </row>
    <row r="1201" spans="1:7" x14ac:dyDescent="0.45">
      <c r="A1201" t="s">
        <v>20</v>
      </c>
      <c r="B1201" t="s">
        <v>40</v>
      </c>
      <c r="C1201" t="s">
        <v>21</v>
      </c>
      <c r="D1201" s="24">
        <v>0</v>
      </c>
      <c r="E1201" s="29" t="str">
        <f>'Hitung Per Bulan'!I1201</f>
        <v/>
      </c>
      <c r="F1201" s="24">
        <v>150000000</v>
      </c>
      <c r="G1201" s="29" t="str">
        <f>'Hitung Per Bulan'!J1201</f>
        <v/>
      </c>
    </row>
    <row r="1202" spans="1:7" x14ac:dyDescent="0.45">
      <c r="A1202" t="s">
        <v>7</v>
      </c>
      <c r="B1202" t="s">
        <v>40</v>
      </c>
      <c r="C1202" t="s">
        <v>22</v>
      </c>
      <c r="D1202" s="24">
        <v>0</v>
      </c>
      <c r="E1202" s="29">
        <f>'Hitung Per Bulan'!I1202</f>
        <v>32200000</v>
      </c>
      <c r="F1202" s="24">
        <v>0</v>
      </c>
      <c r="G1202" s="29">
        <f>'Hitung Per Bulan'!J1202</f>
        <v>0</v>
      </c>
    </row>
    <row r="1203" spans="1:7" x14ac:dyDescent="0.45">
      <c r="A1203" t="s">
        <v>10</v>
      </c>
      <c r="B1203" t="s">
        <v>40</v>
      </c>
      <c r="C1203" t="s">
        <v>22</v>
      </c>
      <c r="D1203" s="24">
        <v>0</v>
      </c>
      <c r="E1203" s="29">
        <f>'Hitung Per Bulan'!I1203</f>
        <v>0</v>
      </c>
      <c r="F1203" s="24">
        <v>0</v>
      </c>
      <c r="G1203" s="29">
        <f>'Hitung Per Bulan'!J1203</f>
        <v>32200000</v>
      </c>
    </row>
    <row r="1204" spans="1:7" x14ac:dyDescent="0.45">
      <c r="A1204" t="s">
        <v>11</v>
      </c>
      <c r="B1204" t="s">
        <v>40</v>
      </c>
      <c r="C1204" t="s">
        <v>22</v>
      </c>
      <c r="D1204" s="24">
        <v>28597000</v>
      </c>
      <c r="E1204" s="29">
        <f>'Hitung Per Bulan'!I1204</f>
        <v>39385000</v>
      </c>
      <c r="F1204" s="24">
        <v>23831000</v>
      </c>
      <c r="G1204" s="29">
        <f>'Hitung Per Bulan'!J1204</f>
        <v>0</v>
      </c>
    </row>
    <row r="1205" spans="1:7" x14ac:dyDescent="0.45">
      <c r="A1205" t="s">
        <v>12</v>
      </c>
      <c r="B1205" t="s">
        <v>40</v>
      </c>
      <c r="C1205" t="s">
        <v>22</v>
      </c>
      <c r="D1205" s="24">
        <v>28597000</v>
      </c>
      <c r="E1205" s="29" t="str">
        <f>'Hitung Per Bulan'!I1205</f>
        <v/>
      </c>
      <c r="F1205" s="24">
        <v>23831000</v>
      </c>
      <c r="G1205" s="29" t="str">
        <f>'Hitung Per Bulan'!J1205</f>
        <v/>
      </c>
    </row>
    <row r="1206" spans="1:7" x14ac:dyDescent="0.45">
      <c r="A1206" t="s">
        <v>13</v>
      </c>
      <c r="B1206" t="s">
        <v>40</v>
      </c>
      <c r="C1206" t="s">
        <v>22</v>
      </c>
      <c r="D1206" s="24">
        <v>28597000</v>
      </c>
      <c r="E1206" s="29" t="str">
        <f>'Hitung Per Bulan'!I1206</f>
        <v/>
      </c>
      <c r="F1206" s="24">
        <v>23831000</v>
      </c>
      <c r="G1206" s="29" t="str">
        <f>'Hitung Per Bulan'!J1206</f>
        <v/>
      </c>
    </row>
    <row r="1207" spans="1:7" x14ac:dyDescent="0.45">
      <c r="A1207" t="s">
        <v>14</v>
      </c>
      <c r="B1207" t="s">
        <v>40</v>
      </c>
      <c r="C1207" t="s">
        <v>22</v>
      </c>
      <c r="D1207" s="24">
        <v>28597000</v>
      </c>
      <c r="E1207" s="29" t="str">
        <f>'Hitung Per Bulan'!I1207</f>
        <v/>
      </c>
      <c r="F1207" s="24">
        <v>23831000</v>
      </c>
      <c r="G1207" s="29" t="str">
        <f>'Hitung Per Bulan'!J1207</f>
        <v/>
      </c>
    </row>
    <row r="1208" spans="1:7" x14ac:dyDescent="0.45">
      <c r="A1208" t="s">
        <v>15</v>
      </c>
      <c r="B1208" t="s">
        <v>40</v>
      </c>
      <c r="C1208" t="s">
        <v>22</v>
      </c>
      <c r="D1208" s="24">
        <v>28597000</v>
      </c>
      <c r="E1208" s="29" t="str">
        <f>'Hitung Per Bulan'!I1208</f>
        <v/>
      </c>
      <c r="F1208" s="24">
        <v>47662000</v>
      </c>
      <c r="G1208" s="29" t="str">
        <f>'Hitung Per Bulan'!J1208</f>
        <v/>
      </c>
    </row>
    <row r="1209" spans="1:7" x14ac:dyDescent="0.45">
      <c r="A1209" t="s">
        <v>16</v>
      </c>
      <c r="B1209" t="s">
        <v>40</v>
      </c>
      <c r="C1209" t="s">
        <v>22</v>
      </c>
      <c r="D1209" s="24">
        <v>28597000</v>
      </c>
      <c r="E1209" s="29" t="str">
        <f>'Hitung Per Bulan'!I1209</f>
        <v/>
      </c>
      <c r="F1209" s="24">
        <v>23831000</v>
      </c>
      <c r="G1209" s="29" t="str">
        <f>'Hitung Per Bulan'!J1209</f>
        <v/>
      </c>
    </row>
    <row r="1210" spans="1:7" x14ac:dyDescent="0.45">
      <c r="A1210" t="s">
        <v>17</v>
      </c>
      <c r="B1210" t="s">
        <v>40</v>
      </c>
      <c r="C1210" t="s">
        <v>22</v>
      </c>
      <c r="D1210" s="24">
        <v>28597000</v>
      </c>
      <c r="E1210" s="29" t="str">
        <f>'Hitung Per Bulan'!I1210</f>
        <v/>
      </c>
      <c r="F1210" s="24">
        <v>23831000</v>
      </c>
      <c r="G1210" s="29" t="str">
        <f>'Hitung Per Bulan'!J1210</f>
        <v/>
      </c>
    </row>
    <row r="1211" spans="1:7" x14ac:dyDescent="0.45">
      <c r="A1211" t="s">
        <v>18</v>
      </c>
      <c r="B1211" t="s">
        <v>40</v>
      </c>
      <c r="C1211" t="s">
        <v>22</v>
      </c>
      <c r="D1211" s="24">
        <v>28597000</v>
      </c>
      <c r="E1211" s="29" t="str">
        <f>'Hitung Per Bulan'!I1211</f>
        <v/>
      </c>
      <c r="F1211" s="24">
        <v>23831000</v>
      </c>
      <c r="G1211" s="29" t="str">
        <f>'Hitung Per Bulan'!J1211</f>
        <v/>
      </c>
    </row>
    <row r="1212" spans="1:7" x14ac:dyDescent="0.45">
      <c r="A1212" t="s">
        <v>19</v>
      </c>
      <c r="B1212" t="s">
        <v>40</v>
      </c>
      <c r="C1212" t="s">
        <v>22</v>
      </c>
      <c r="D1212" s="24">
        <v>28597000</v>
      </c>
      <c r="E1212" s="29" t="str">
        <f>'Hitung Per Bulan'!I1212</f>
        <v/>
      </c>
      <c r="F1212" s="24">
        <v>23831000</v>
      </c>
      <c r="G1212" s="29" t="str">
        <f>'Hitung Per Bulan'!J1212</f>
        <v/>
      </c>
    </row>
    <row r="1213" spans="1:7" x14ac:dyDescent="0.45">
      <c r="A1213" t="s">
        <v>20</v>
      </c>
      <c r="B1213" t="s">
        <v>40</v>
      </c>
      <c r="C1213" t="s">
        <v>22</v>
      </c>
      <c r="D1213" s="24">
        <v>28599000</v>
      </c>
      <c r="E1213" s="29" t="str">
        <f>'Hitung Per Bulan'!I1213</f>
        <v/>
      </c>
      <c r="F1213" s="24">
        <v>47662000</v>
      </c>
      <c r="G1213" s="29" t="str">
        <f>'Hitung Per Bulan'!J1213</f>
        <v/>
      </c>
    </row>
    <row r="1214" spans="1:7" x14ac:dyDescent="0.45">
      <c r="A1214" t="s">
        <v>7</v>
      </c>
      <c r="B1214" t="s">
        <v>40</v>
      </c>
      <c r="C1214" t="s">
        <v>23</v>
      </c>
      <c r="D1214" s="24">
        <v>0</v>
      </c>
      <c r="E1214" s="29">
        <f>'Hitung Per Bulan'!I1214</f>
        <v>18435000</v>
      </c>
      <c r="F1214" s="24">
        <v>0</v>
      </c>
      <c r="G1214" s="29">
        <f>'Hitung Per Bulan'!J1214</f>
        <v>0</v>
      </c>
    </row>
    <row r="1215" spans="1:7" x14ac:dyDescent="0.45">
      <c r="A1215" t="s">
        <v>10</v>
      </c>
      <c r="B1215" t="s">
        <v>40</v>
      </c>
      <c r="C1215" t="s">
        <v>23</v>
      </c>
      <c r="D1215" s="24">
        <v>0</v>
      </c>
      <c r="E1215" s="29">
        <f>'Hitung Per Bulan'!I1215</f>
        <v>64735000</v>
      </c>
      <c r="F1215" s="24">
        <v>0</v>
      </c>
      <c r="G1215" s="29">
        <f>'Hitung Per Bulan'!J1215</f>
        <v>18435000</v>
      </c>
    </row>
    <row r="1216" spans="1:7" x14ac:dyDescent="0.45">
      <c r="A1216" t="s">
        <v>11</v>
      </c>
      <c r="B1216" t="s">
        <v>40</v>
      </c>
      <c r="C1216" t="s">
        <v>23</v>
      </c>
      <c r="D1216" s="24">
        <v>0</v>
      </c>
      <c r="E1216" s="29">
        <f>'Hitung Per Bulan'!I1216</f>
        <v>100000000</v>
      </c>
      <c r="F1216" s="24">
        <v>0</v>
      </c>
      <c r="G1216" s="29">
        <f>'Hitung Per Bulan'!J1216</f>
        <v>64735000</v>
      </c>
    </row>
    <row r="1217" spans="1:7" x14ac:dyDescent="0.45">
      <c r="A1217" t="s">
        <v>12</v>
      </c>
      <c r="B1217" t="s">
        <v>40</v>
      </c>
      <c r="C1217" t="s">
        <v>23</v>
      </c>
      <c r="D1217" s="24">
        <v>0</v>
      </c>
      <c r="E1217" s="29" t="str">
        <f>'Hitung Per Bulan'!I1217</f>
        <v/>
      </c>
      <c r="F1217" s="24">
        <v>0</v>
      </c>
      <c r="G1217" s="29" t="str">
        <f>'Hitung Per Bulan'!J1217</f>
        <v/>
      </c>
    </row>
    <row r="1218" spans="1:7" x14ac:dyDescent="0.45">
      <c r="A1218" t="s">
        <v>13</v>
      </c>
      <c r="B1218" t="s">
        <v>40</v>
      </c>
      <c r="C1218" t="s">
        <v>23</v>
      </c>
      <c r="D1218" s="24">
        <v>130000000</v>
      </c>
      <c r="E1218" s="29" t="str">
        <f>'Hitung Per Bulan'!I1218</f>
        <v/>
      </c>
      <c r="F1218" s="24">
        <v>0</v>
      </c>
      <c r="G1218" s="29" t="str">
        <f>'Hitung Per Bulan'!J1218</f>
        <v/>
      </c>
    </row>
    <row r="1219" spans="1:7" x14ac:dyDescent="0.45">
      <c r="A1219" t="s">
        <v>14</v>
      </c>
      <c r="B1219" t="s">
        <v>40</v>
      </c>
      <c r="C1219" t="s">
        <v>23</v>
      </c>
      <c r="D1219" s="24">
        <v>0</v>
      </c>
      <c r="E1219" s="29" t="str">
        <f>'Hitung Per Bulan'!I1219</f>
        <v/>
      </c>
      <c r="F1219" s="24">
        <v>0</v>
      </c>
      <c r="G1219" s="29" t="str">
        <f>'Hitung Per Bulan'!J1219</f>
        <v/>
      </c>
    </row>
    <row r="1220" spans="1:7" x14ac:dyDescent="0.45">
      <c r="A1220" t="s">
        <v>15</v>
      </c>
      <c r="B1220" t="s">
        <v>40</v>
      </c>
      <c r="C1220" t="s">
        <v>23</v>
      </c>
      <c r="D1220" s="24">
        <v>0</v>
      </c>
      <c r="E1220" s="29" t="str">
        <f>'Hitung Per Bulan'!I1220</f>
        <v/>
      </c>
      <c r="F1220" s="24">
        <v>0</v>
      </c>
      <c r="G1220" s="29" t="str">
        <f>'Hitung Per Bulan'!J1220</f>
        <v/>
      </c>
    </row>
    <row r="1221" spans="1:7" x14ac:dyDescent="0.45">
      <c r="A1221" t="s">
        <v>16</v>
      </c>
      <c r="B1221" t="s">
        <v>40</v>
      </c>
      <c r="C1221" t="s">
        <v>23</v>
      </c>
      <c r="D1221" s="24">
        <v>350000000</v>
      </c>
      <c r="E1221" s="29" t="str">
        <f>'Hitung Per Bulan'!I1221</f>
        <v/>
      </c>
      <c r="F1221" s="24">
        <v>130000000</v>
      </c>
      <c r="G1221" s="29" t="str">
        <f>'Hitung Per Bulan'!J1221</f>
        <v/>
      </c>
    </row>
    <row r="1222" spans="1:7" x14ac:dyDescent="0.45">
      <c r="A1222" t="s">
        <v>17</v>
      </c>
      <c r="B1222" t="s">
        <v>40</v>
      </c>
      <c r="C1222" t="s">
        <v>23</v>
      </c>
      <c r="D1222" s="24">
        <v>0</v>
      </c>
      <c r="E1222" s="29" t="str">
        <f>'Hitung Per Bulan'!I1222</f>
        <v/>
      </c>
      <c r="F1222" s="24">
        <v>0</v>
      </c>
      <c r="G1222" s="29" t="str">
        <f>'Hitung Per Bulan'!J1222</f>
        <v/>
      </c>
    </row>
    <row r="1223" spans="1:7" x14ac:dyDescent="0.45">
      <c r="A1223" t="s">
        <v>18</v>
      </c>
      <c r="B1223" t="s">
        <v>40</v>
      </c>
      <c r="C1223" t="s">
        <v>23</v>
      </c>
      <c r="D1223" s="24">
        <v>0</v>
      </c>
      <c r="E1223" s="29" t="str">
        <f>'Hitung Per Bulan'!I1223</f>
        <v/>
      </c>
      <c r="F1223" s="24">
        <v>350000000</v>
      </c>
      <c r="G1223" s="29" t="str">
        <f>'Hitung Per Bulan'!J1223</f>
        <v/>
      </c>
    </row>
    <row r="1224" spans="1:7" x14ac:dyDescent="0.45">
      <c r="A1224" t="s">
        <v>19</v>
      </c>
      <c r="B1224" t="s">
        <v>40</v>
      </c>
      <c r="C1224" t="s">
        <v>23</v>
      </c>
      <c r="D1224" s="24">
        <v>165000000</v>
      </c>
      <c r="E1224" s="29" t="str">
        <f>'Hitung Per Bulan'!I1224</f>
        <v/>
      </c>
      <c r="F1224" s="24">
        <v>0</v>
      </c>
      <c r="G1224" s="29" t="str">
        <f>'Hitung Per Bulan'!J1224</f>
        <v/>
      </c>
    </row>
    <row r="1225" spans="1:7" x14ac:dyDescent="0.45">
      <c r="A1225" t="s">
        <v>20</v>
      </c>
      <c r="B1225" t="s">
        <v>40</v>
      </c>
      <c r="C1225" t="s">
        <v>23</v>
      </c>
      <c r="D1225" s="24">
        <v>0</v>
      </c>
      <c r="E1225" s="29" t="str">
        <f>'Hitung Per Bulan'!I1225</f>
        <v/>
      </c>
      <c r="F1225" s="24">
        <v>165000000</v>
      </c>
      <c r="G1225" s="29" t="str">
        <f>'Hitung Per Bulan'!J1225</f>
        <v/>
      </c>
    </row>
    <row r="1226" spans="1:7" x14ac:dyDescent="0.45">
      <c r="A1226" t="s">
        <v>7</v>
      </c>
      <c r="B1226" t="s">
        <v>40</v>
      </c>
      <c r="C1226" t="s">
        <v>24</v>
      </c>
      <c r="D1226" s="24">
        <v>0</v>
      </c>
      <c r="E1226" s="29">
        <f>'Hitung Per Bulan'!I1226</f>
        <v>0</v>
      </c>
      <c r="F1226" s="24">
        <v>0</v>
      </c>
      <c r="G1226" s="29">
        <f>'Hitung Per Bulan'!J1226</f>
        <v>0</v>
      </c>
    </row>
    <row r="1227" spans="1:7" x14ac:dyDescent="0.45">
      <c r="A1227" t="s">
        <v>10</v>
      </c>
      <c r="B1227" t="s">
        <v>40</v>
      </c>
      <c r="C1227" t="s">
        <v>24</v>
      </c>
      <c r="D1227" s="24">
        <v>0</v>
      </c>
      <c r="E1227" s="29">
        <f>'Hitung Per Bulan'!I1227</f>
        <v>0</v>
      </c>
      <c r="F1227" s="24">
        <v>0</v>
      </c>
      <c r="G1227" s="29">
        <f>'Hitung Per Bulan'!J1227</f>
        <v>0</v>
      </c>
    </row>
    <row r="1228" spans="1:7" x14ac:dyDescent="0.45">
      <c r="A1228" t="s">
        <v>11</v>
      </c>
      <c r="B1228" t="s">
        <v>40</v>
      </c>
      <c r="C1228" t="s">
        <v>24</v>
      </c>
      <c r="D1228" s="24">
        <v>0</v>
      </c>
      <c r="E1228" s="29">
        <f>'Hitung Per Bulan'!I1228</f>
        <v>0</v>
      </c>
      <c r="F1228" s="24">
        <v>0</v>
      </c>
      <c r="G1228" s="29">
        <f>'Hitung Per Bulan'!J1228</f>
        <v>0</v>
      </c>
    </row>
    <row r="1229" spans="1:7" x14ac:dyDescent="0.45">
      <c r="A1229" t="s">
        <v>12</v>
      </c>
      <c r="B1229" t="s">
        <v>40</v>
      </c>
      <c r="C1229" t="s">
        <v>24</v>
      </c>
      <c r="D1229" s="24">
        <v>0</v>
      </c>
      <c r="E1229" s="29" t="str">
        <f>'Hitung Per Bulan'!I1229</f>
        <v/>
      </c>
      <c r="F1229" s="24">
        <v>0</v>
      </c>
      <c r="G1229" s="29" t="str">
        <f>'Hitung Per Bulan'!J1229</f>
        <v/>
      </c>
    </row>
    <row r="1230" spans="1:7" x14ac:dyDescent="0.45">
      <c r="A1230" t="s">
        <v>13</v>
      </c>
      <c r="B1230" t="s">
        <v>40</v>
      </c>
      <c r="C1230" t="s">
        <v>24</v>
      </c>
      <c r="D1230" s="24">
        <v>0</v>
      </c>
      <c r="E1230" s="29" t="str">
        <f>'Hitung Per Bulan'!I1230</f>
        <v/>
      </c>
      <c r="F1230" s="24">
        <v>0</v>
      </c>
      <c r="G1230" s="29" t="str">
        <f>'Hitung Per Bulan'!J1230</f>
        <v/>
      </c>
    </row>
    <row r="1231" spans="1:7" x14ac:dyDescent="0.45">
      <c r="A1231" t="s">
        <v>14</v>
      </c>
      <c r="B1231" t="s">
        <v>40</v>
      </c>
      <c r="C1231" t="s">
        <v>24</v>
      </c>
      <c r="D1231" s="24">
        <v>0</v>
      </c>
      <c r="E1231" s="29" t="str">
        <f>'Hitung Per Bulan'!I1231</f>
        <v/>
      </c>
      <c r="F1231" s="24">
        <v>0</v>
      </c>
      <c r="G1231" s="29" t="str">
        <f>'Hitung Per Bulan'!J1231</f>
        <v/>
      </c>
    </row>
    <row r="1232" spans="1:7" x14ac:dyDescent="0.45">
      <c r="A1232" t="s">
        <v>15</v>
      </c>
      <c r="B1232" t="s">
        <v>40</v>
      </c>
      <c r="C1232" t="s">
        <v>24</v>
      </c>
      <c r="D1232" s="24">
        <v>0</v>
      </c>
      <c r="E1232" s="29" t="str">
        <f>'Hitung Per Bulan'!I1232</f>
        <v/>
      </c>
      <c r="F1232" s="24">
        <v>0</v>
      </c>
      <c r="G1232" s="29" t="str">
        <f>'Hitung Per Bulan'!J1232</f>
        <v/>
      </c>
    </row>
    <row r="1233" spans="1:7" x14ac:dyDescent="0.45">
      <c r="A1233" t="s">
        <v>16</v>
      </c>
      <c r="B1233" t="s">
        <v>40</v>
      </c>
      <c r="C1233" t="s">
        <v>24</v>
      </c>
      <c r="D1233" s="24">
        <v>0</v>
      </c>
      <c r="E1233" s="29" t="str">
        <f>'Hitung Per Bulan'!I1233</f>
        <v/>
      </c>
      <c r="F1233" s="24">
        <v>0</v>
      </c>
      <c r="G1233" s="29" t="str">
        <f>'Hitung Per Bulan'!J1233</f>
        <v/>
      </c>
    </row>
    <row r="1234" spans="1:7" x14ac:dyDescent="0.45">
      <c r="A1234" t="s">
        <v>17</v>
      </c>
      <c r="B1234" t="s">
        <v>40</v>
      </c>
      <c r="C1234" t="s">
        <v>24</v>
      </c>
      <c r="D1234" s="24">
        <v>0</v>
      </c>
      <c r="E1234" s="29" t="str">
        <f>'Hitung Per Bulan'!I1234</f>
        <v/>
      </c>
      <c r="F1234" s="24">
        <v>0</v>
      </c>
      <c r="G1234" s="29" t="str">
        <f>'Hitung Per Bulan'!J1234</f>
        <v/>
      </c>
    </row>
    <row r="1235" spans="1:7" x14ac:dyDescent="0.45">
      <c r="A1235" t="s">
        <v>18</v>
      </c>
      <c r="B1235" t="s">
        <v>40</v>
      </c>
      <c r="C1235" t="s">
        <v>24</v>
      </c>
      <c r="D1235" s="24">
        <v>0</v>
      </c>
      <c r="E1235" s="29" t="str">
        <f>'Hitung Per Bulan'!I1235</f>
        <v/>
      </c>
      <c r="F1235" s="24">
        <v>0</v>
      </c>
      <c r="G1235" s="29" t="str">
        <f>'Hitung Per Bulan'!J1235</f>
        <v/>
      </c>
    </row>
    <row r="1236" spans="1:7" x14ac:dyDescent="0.45">
      <c r="A1236" t="s">
        <v>19</v>
      </c>
      <c r="B1236" t="s">
        <v>40</v>
      </c>
      <c r="C1236" t="s">
        <v>24</v>
      </c>
      <c r="D1236" s="24">
        <v>0</v>
      </c>
      <c r="E1236" s="29" t="str">
        <f>'Hitung Per Bulan'!I1236</f>
        <v/>
      </c>
      <c r="F1236" s="24">
        <v>0</v>
      </c>
      <c r="G1236" s="29" t="str">
        <f>'Hitung Per Bulan'!J1236</f>
        <v/>
      </c>
    </row>
    <row r="1237" spans="1:7" x14ac:dyDescent="0.45">
      <c r="A1237" t="s">
        <v>20</v>
      </c>
      <c r="B1237" t="s">
        <v>40</v>
      </c>
      <c r="C1237" t="s">
        <v>24</v>
      </c>
      <c r="D1237" s="24">
        <v>0</v>
      </c>
      <c r="E1237" s="29" t="str">
        <f>'Hitung Per Bulan'!I1237</f>
        <v/>
      </c>
      <c r="F1237" s="24">
        <v>0</v>
      </c>
      <c r="G1237" s="29" t="str">
        <f>'Hitung Per Bulan'!J1237</f>
        <v/>
      </c>
    </row>
    <row r="1238" spans="1:7" x14ac:dyDescent="0.45">
      <c r="A1238" t="s">
        <v>7</v>
      </c>
      <c r="B1238" t="s">
        <v>40</v>
      </c>
      <c r="C1238" t="s">
        <v>25</v>
      </c>
      <c r="D1238" s="24">
        <v>48354000</v>
      </c>
      <c r="E1238" s="29">
        <f>'Hitung Per Bulan'!I1238</f>
        <v>78887534</v>
      </c>
      <c r="F1238" s="24">
        <v>0</v>
      </c>
      <c r="G1238" s="29">
        <f>'Hitung Per Bulan'!J1238</f>
        <v>17317500</v>
      </c>
    </row>
    <row r="1239" spans="1:7" x14ac:dyDescent="0.45">
      <c r="A1239" t="s">
        <v>10</v>
      </c>
      <c r="B1239" t="s">
        <v>40</v>
      </c>
      <c r="C1239" t="s">
        <v>25</v>
      </c>
      <c r="D1239" s="24">
        <v>98291000</v>
      </c>
      <c r="E1239" s="29">
        <f>'Hitung Per Bulan'!I1239</f>
        <v>37118745</v>
      </c>
      <c r="F1239" s="24">
        <v>49253000</v>
      </c>
      <c r="G1239" s="29">
        <f>'Hitung Per Bulan'!J1239</f>
        <v>97688779</v>
      </c>
    </row>
    <row r="1240" spans="1:7" x14ac:dyDescent="0.45">
      <c r="A1240" t="s">
        <v>11</v>
      </c>
      <c r="B1240" t="s">
        <v>40</v>
      </c>
      <c r="C1240" t="s">
        <v>25</v>
      </c>
      <c r="D1240" s="24">
        <v>145006000</v>
      </c>
      <c r="E1240" s="29">
        <f>'Hitung Per Bulan'!I1240</f>
        <v>118207390</v>
      </c>
      <c r="F1240" s="24">
        <v>117649000</v>
      </c>
      <c r="G1240" s="29">
        <f>'Hitung Per Bulan'!J1240</f>
        <v>43060000</v>
      </c>
    </row>
    <row r="1241" spans="1:7" x14ac:dyDescent="0.45">
      <c r="A1241" t="s">
        <v>12</v>
      </c>
      <c r="B1241" t="s">
        <v>40</v>
      </c>
      <c r="C1241" t="s">
        <v>25</v>
      </c>
      <c r="D1241" s="24">
        <v>118885000</v>
      </c>
      <c r="E1241" s="29" t="str">
        <f>'Hitung Per Bulan'!I1241</f>
        <v/>
      </c>
      <c r="F1241" s="24">
        <v>157715000</v>
      </c>
      <c r="G1241" s="29" t="str">
        <f>'Hitung Per Bulan'!J1241</f>
        <v/>
      </c>
    </row>
    <row r="1242" spans="1:7" x14ac:dyDescent="0.45">
      <c r="A1242" t="s">
        <v>13</v>
      </c>
      <c r="B1242" t="s">
        <v>40</v>
      </c>
      <c r="C1242" t="s">
        <v>25</v>
      </c>
      <c r="D1242" s="24">
        <v>119285000</v>
      </c>
      <c r="E1242" s="29" t="str">
        <f>'Hitung Per Bulan'!I1242</f>
        <v/>
      </c>
      <c r="F1242" s="24">
        <v>110812000</v>
      </c>
      <c r="G1242" s="29" t="str">
        <f>'Hitung Per Bulan'!J1242</f>
        <v/>
      </c>
    </row>
    <row r="1243" spans="1:7" x14ac:dyDescent="0.45">
      <c r="A1243" t="s">
        <v>14</v>
      </c>
      <c r="B1243" t="s">
        <v>40</v>
      </c>
      <c r="C1243" t="s">
        <v>25</v>
      </c>
      <c r="D1243" s="24">
        <v>76431000</v>
      </c>
      <c r="E1243" s="29" t="str">
        <f>'Hitung Per Bulan'!I1243</f>
        <v/>
      </c>
      <c r="F1243" s="24">
        <v>147281000</v>
      </c>
      <c r="G1243" s="29" t="str">
        <f>'Hitung Per Bulan'!J1243</f>
        <v/>
      </c>
    </row>
    <row r="1244" spans="1:7" x14ac:dyDescent="0.45">
      <c r="A1244" t="s">
        <v>15</v>
      </c>
      <c r="B1244" t="s">
        <v>40</v>
      </c>
      <c r="C1244" t="s">
        <v>25</v>
      </c>
      <c r="D1244" s="24">
        <v>70435000</v>
      </c>
      <c r="E1244" s="29" t="str">
        <f>'Hitung Per Bulan'!I1244</f>
        <v/>
      </c>
      <c r="F1244" s="24">
        <v>92765000</v>
      </c>
      <c r="G1244" s="29" t="str">
        <f>'Hitung Per Bulan'!J1244</f>
        <v/>
      </c>
    </row>
    <row r="1245" spans="1:7" x14ac:dyDescent="0.45">
      <c r="A1245" t="s">
        <v>16</v>
      </c>
      <c r="B1245" t="s">
        <v>40</v>
      </c>
      <c r="C1245" t="s">
        <v>25</v>
      </c>
      <c r="D1245" s="24">
        <v>153559000</v>
      </c>
      <c r="E1245" s="29" t="str">
        <f>'Hitung Per Bulan'!I1245</f>
        <v/>
      </c>
      <c r="F1245" s="24">
        <v>80150000</v>
      </c>
      <c r="G1245" s="29" t="str">
        <f>'Hitung Per Bulan'!J1245</f>
        <v/>
      </c>
    </row>
    <row r="1246" spans="1:7" x14ac:dyDescent="0.45">
      <c r="A1246" t="s">
        <v>17</v>
      </c>
      <c r="B1246" t="s">
        <v>40</v>
      </c>
      <c r="C1246" t="s">
        <v>25</v>
      </c>
      <c r="D1246" s="24">
        <v>515308000</v>
      </c>
      <c r="E1246" s="29" t="str">
        <f>'Hitung Per Bulan'!I1246</f>
        <v/>
      </c>
      <c r="F1246" s="24">
        <v>122196000</v>
      </c>
      <c r="G1246" s="29" t="str">
        <f>'Hitung Per Bulan'!J1246</f>
        <v/>
      </c>
    </row>
    <row r="1247" spans="1:7" x14ac:dyDescent="0.45">
      <c r="A1247" t="s">
        <v>18</v>
      </c>
      <c r="B1247" t="s">
        <v>40</v>
      </c>
      <c r="C1247" t="s">
        <v>25</v>
      </c>
      <c r="D1247" s="24">
        <v>213688000</v>
      </c>
      <c r="E1247" s="29" t="str">
        <f>'Hitung Per Bulan'!I1247</f>
        <v/>
      </c>
      <c r="F1247" s="24">
        <v>470142000</v>
      </c>
      <c r="G1247" s="29" t="str">
        <f>'Hitung Per Bulan'!J1247</f>
        <v/>
      </c>
    </row>
    <row r="1248" spans="1:7" x14ac:dyDescent="0.45">
      <c r="A1248" t="s">
        <v>19</v>
      </c>
      <c r="B1248" t="s">
        <v>40</v>
      </c>
      <c r="C1248" t="s">
        <v>25</v>
      </c>
      <c r="D1248" s="24">
        <v>518156000</v>
      </c>
      <c r="E1248" s="29" t="str">
        <f>'Hitung Per Bulan'!I1248</f>
        <v/>
      </c>
      <c r="F1248" s="24">
        <v>179167000</v>
      </c>
      <c r="G1248" s="29" t="str">
        <f>'Hitung Per Bulan'!J1248</f>
        <v/>
      </c>
    </row>
    <row r="1249" spans="1:7" x14ac:dyDescent="0.45">
      <c r="A1249" t="s">
        <v>20</v>
      </c>
      <c r="B1249" t="s">
        <v>40</v>
      </c>
      <c r="C1249" t="s">
        <v>25</v>
      </c>
      <c r="D1249" s="24">
        <v>323825000</v>
      </c>
      <c r="E1249" s="29" t="str">
        <f>'Hitung Per Bulan'!I1249</f>
        <v/>
      </c>
      <c r="F1249" s="24">
        <v>874093000</v>
      </c>
      <c r="G1249" s="29" t="str">
        <f>'Hitung Per Bulan'!J1249</f>
        <v/>
      </c>
    </row>
    <row r="1250" spans="1:7" x14ac:dyDescent="0.45">
      <c r="A1250" t="s">
        <v>7</v>
      </c>
      <c r="B1250" t="s">
        <v>40</v>
      </c>
      <c r="C1250" t="s">
        <v>26</v>
      </c>
      <c r="D1250" s="24">
        <v>128276000</v>
      </c>
      <c r="E1250" s="29">
        <f>'Hitung Per Bulan'!I1250</f>
        <v>122102415</v>
      </c>
      <c r="F1250" s="24">
        <v>0</v>
      </c>
      <c r="G1250" s="29">
        <f>'Hitung Per Bulan'!J1250</f>
        <v>116102415</v>
      </c>
    </row>
    <row r="1251" spans="1:7" x14ac:dyDescent="0.45">
      <c r="A1251" t="s">
        <v>10</v>
      </c>
      <c r="B1251" t="s">
        <v>40</v>
      </c>
      <c r="C1251" t="s">
        <v>26</v>
      </c>
      <c r="D1251" s="24">
        <v>128276000</v>
      </c>
      <c r="E1251" s="29">
        <f>'Hitung Per Bulan'!I1251</f>
        <v>108945350</v>
      </c>
      <c r="F1251" s="24">
        <v>128276000</v>
      </c>
      <c r="G1251" s="29">
        <f>'Hitung Per Bulan'!J1251</f>
        <v>114601656</v>
      </c>
    </row>
    <row r="1252" spans="1:7" x14ac:dyDescent="0.45">
      <c r="A1252" t="s">
        <v>11</v>
      </c>
      <c r="B1252" t="s">
        <v>40</v>
      </c>
      <c r="C1252" t="s">
        <v>26</v>
      </c>
      <c r="D1252" s="24">
        <v>128276000</v>
      </c>
      <c r="E1252" s="29">
        <f>'Hitung Per Bulan'!I1252</f>
        <v>106702765</v>
      </c>
      <c r="F1252" s="24">
        <v>128276000</v>
      </c>
      <c r="G1252" s="29">
        <f>'Hitung Per Bulan'!J1252</f>
        <v>100396805</v>
      </c>
    </row>
    <row r="1253" spans="1:7" x14ac:dyDescent="0.45">
      <c r="A1253" t="s">
        <v>12</v>
      </c>
      <c r="B1253" t="s">
        <v>40</v>
      </c>
      <c r="C1253" t="s">
        <v>26</v>
      </c>
      <c r="D1253" s="24">
        <v>128276000</v>
      </c>
      <c r="E1253" s="29" t="str">
        <f>'Hitung Per Bulan'!I1253</f>
        <v/>
      </c>
      <c r="F1253" s="24">
        <v>128276000</v>
      </c>
      <c r="G1253" s="29" t="str">
        <f>'Hitung Per Bulan'!J1253</f>
        <v/>
      </c>
    </row>
    <row r="1254" spans="1:7" x14ac:dyDescent="0.45">
      <c r="A1254" t="s">
        <v>13</v>
      </c>
      <c r="B1254" t="s">
        <v>40</v>
      </c>
      <c r="C1254" t="s">
        <v>26</v>
      </c>
      <c r="D1254" s="24">
        <v>128276000</v>
      </c>
      <c r="E1254" s="29" t="str">
        <f>'Hitung Per Bulan'!I1254</f>
        <v/>
      </c>
      <c r="F1254" s="24">
        <v>128276000</v>
      </c>
      <c r="G1254" s="29" t="str">
        <f>'Hitung Per Bulan'!J1254</f>
        <v/>
      </c>
    </row>
    <row r="1255" spans="1:7" x14ac:dyDescent="0.45">
      <c r="A1255" t="s">
        <v>14</v>
      </c>
      <c r="B1255" t="s">
        <v>40</v>
      </c>
      <c r="C1255" t="s">
        <v>26</v>
      </c>
      <c r="D1255" s="24">
        <v>128276000</v>
      </c>
      <c r="E1255" s="29" t="str">
        <f>'Hitung Per Bulan'!I1255</f>
        <v/>
      </c>
      <c r="F1255" s="24">
        <v>128276000</v>
      </c>
      <c r="G1255" s="29" t="str">
        <f>'Hitung Per Bulan'!J1255</f>
        <v/>
      </c>
    </row>
    <row r="1256" spans="1:7" x14ac:dyDescent="0.45">
      <c r="A1256" t="s">
        <v>15</v>
      </c>
      <c r="B1256" t="s">
        <v>40</v>
      </c>
      <c r="C1256" t="s">
        <v>26</v>
      </c>
      <c r="D1256" s="24">
        <v>128276000</v>
      </c>
      <c r="E1256" s="29" t="str">
        <f>'Hitung Per Bulan'!I1256</f>
        <v/>
      </c>
      <c r="F1256" s="24">
        <v>128276000</v>
      </c>
      <c r="G1256" s="29" t="str">
        <f>'Hitung Per Bulan'!J1256</f>
        <v/>
      </c>
    </row>
    <row r="1257" spans="1:7" x14ac:dyDescent="0.45">
      <c r="A1257" t="s">
        <v>16</v>
      </c>
      <c r="B1257" t="s">
        <v>40</v>
      </c>
      <c r="C1257" t="s">
        <v>26</v>
      </c>
      <c r="D1257" s="24">
        <v>128276000</v>
      </c>
      <c r="E1257" s="29" t="str">
        <f>'Hitung Per Bulan'!I1257</f>
        <v/>
      </c>
      <c r="F1257" s="24">
        <v>128276000</v>
      </c>
      <c r="G1257" s="29" t="str">
        <f>'Hitung Per Bulan'!J1257</f>
        <v/>
      </c>
    </row>
    <row r="1258" spans="1:7" x14ac:dyDescent="0.45">
      <c r="A1258" t="s">
        <v>17</v>
      </c>
      <c r="B1258" t="s">
        <v>40</v>
      </c>
      <c r="C1258" t="s">
        <v>26</v>
      </c>
      <c r="D1258" s="24">
        <v>128276000</v>
      </c>
      <c r="E1258" s="29" t="str">
        <f>'Hitung Per Bulan'!I1258</f>
        <v/>
      </c>
      <c r="F1258" s="24">
        <v>128276000</v>
      </c>
      <c r="G1258" s="29" t="str">
        <f>'Hitung Per Bulan'!J1258</f>
        <v/>
      </c>
    </row>
    <row r="1259" spans="1:7" x14ac:dyDescent="0.45">
      <c r="A1259" t="s">
        <v>18</v>
      </c>
      <c r="B1259" t="s">
        <v>40</v>
      </c>
      <c r="C1259" t="s">
        <v>26</v>
      </c>
      <c r="D1259" s="24">
        <v>128276000</v>
      </c>
      <c r="E1259" s="29" t="str">
        <f>'Hitung Per Bulan'!I1259</f>
        <v/>
      </c>
      <c r="F1259" s="24">
        <v>128276000</v>
      </c>
      <c r="G1259" s="29" t="str">
        <f>'Hitung Per Bulan'!J1259</f>
        <v/>
      </c>
    </row>
    <row r="1260" spans="1:7" x14ac:dyDescent="0.45">
      <c r="A1260" t="s">
        <v>19</v>
      </c>
      <c r="B1260" t="s">
        <v>40</v>
      </c>
      <c r="C1260" t="s">
        <v>26</v>
      </c>
      <c r="D1260" s="24">
        <v>128276000</v>
      </c>
      <c r="E1260" s="29" t="str">
        <f>'Hitung Per Bulan'!I1260</f>
        <v/>
      </c>
      <c r="F1260" s="24">
        <v>128276000</v>
      </c>
      <c r="G1260" s="29" t="str">
        <f>'Hitung Per Bulan'!J1260</f>
        <v/>
      </c>
    </row>
    <row r="1261" spans="1:7" x14ac:dyDescent="0.45">
      <c r="A1261" t="s">
        <v>20</v>
      </c>
      <c r="B1261" t="s">
        <v>40</v>
      </c>
      <c r="C1261" t="s">
        <v>26</v>
      </c>
      <c r="D1261" s="24">
        <v>128279000</v>
      </c>
      <c r="E1261" s="29" t="str">
        <f>'Hitung Per Bulan'!I1261</f>
        <v/>
      </c>
      <c r="F1261" s="24">
        <v>256555000</v>
      </c>
      <c r="G1261" s="29" t="str">
        <f>'Hitung Per Bulan'!J1261</f>
        <v/>
      </c>
    </row>
  </sheetData>
  <sheetProtection algorithmName="SHA-512" hashValue="kr0AXfgCb1xatWYK6+nwWWJkpRbouAMu5vrksBvgm3kUuw2VGYopLyUP70v44yexIsPFQl0IZ+TbgTvSFRDeeQ==" saltValue="cj2t6NZqRR7NCICegVsjlQ==" spinCount="100000" sheet="1" objects="1" scenarios="1"/>
  <autoFilter ref="A1:G1261" xr:uid="{00000000-0001-0000-0000-000000000000}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4AEF-1C4C-4F92-8899-5E9D187D053C}">
  <dimension ref="A1:P1261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4" sqref="L4"/>
    </sheetView>
  </sheetViews>
  <sheetFormatPr defaultRowHeight="14.25" zeroHeight="1" x14ac:dyDescent="0.45"/>
  <cols>
    <col min="1" max="1" width="7" customWidth="1"/>
    <col min="2" max="2" width="14" customWidth="1"/>
    <col min="3" max="3" width="22" customWidth="1"/>
    <col min="4" max="4" width="19" style="28" hidden="1" customWidth="1"/>
    <col min="5" max="5" width="19" style="4" hidden="1" customWidth="1"/>
    <col min="6" max="6" width="20" style="24" hidden="1" customWidth="1"/>
    <col min="7" max="7" width="17" style="4" hidden="1" customWidth="1"/>
    <col min="8" max="8" width="2.59765625" hidden="1" customWidth="1"/>
    <col min="9" max="10" width="19" style="22" customWidth="1"/>
    <col min="11" max="11" width="2.59765625" customWidth="1"/>
    <col min="12" max="12" width="19" style="4" customWidth="1"/>
    <col min="13" max="13" width="17" style="4" customWidth="1"/>
    <col min="15" max="16" width="14.33203125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21" t="s">
        <v>3</v>
      </c>
      <c r="E1" s="2" t="s">
        <v>4</v>
      </c>
      <c r="F1" s="21" t="s">
        <v>5</v>
      </c>
      <c r="G1" s="2" t="s">
        <v>6</v>
      </c>
      <c r="I1" s="22" t="s">
        <v>4</v>
      </c>
      <c r="J1" s="22" t="s">
        <v>6</v>
      </c>
      <c r="L1" s="69" t="s">
        <v>49</v>
      </c>
      <c r="M1" s="69" t="s">
        <v>50</v>
      </c>
      <c r="N1" s="22"/>
      <c r="O1" s="72"/>
      <c r="P1" s="72"/>
    </row>
    <row r="2" spans="1:16" x14ac:dyDescent="0.45">
      <c r="A2" t="s">
        <v>7</v>
      </c>
      <c r="B2" t="s">
        <v>8</v>
      </c>
      <c r="C2" t="s">
        <v>9</v>
      </c>
      <c r="D2" s="23">
        <v>100000000</v>
      </c>
      <c r="E2" s="3">
        <v>84845467162</v>
      </c>
      <c r="F2" s="23">
        <v>50000000</v>
      </c>
      <c r="G2" s="3">
        <v>0</v>
      </c>
      <c r="I2" s="22">
        <f>IF(L2="","",L2)</f>
        <v>84845467162</v>
      </c>
      <c r="J2" s="22">
        <f>IF(M2="","",M2)</f>
        <v>0</v>
      </c>
      <c r="L2" s="3">
        <v>84845467162</v>
      </c>
      <c r="M2" s="3">
        <v>0</v>
      </c>
    </row>
    <row r="3" spans="1:16" x14ac:dyDescent="0.45">
      <c r="A3" t="s">
        <v>10</v>
      </c>
      <c r="B3" t="s">
        <v>8</v>
      </c>
      <c r="C3" t="s">
        <v>9</v>
      </c>
      <c r="D3" s="24">
        <v>23567624816</v>
      </c>
      <c r="E3" s="4">
        <v>59570632314</v>
      </c>
      <c r="F3" s="24">
        <v>50000000</v>
      </c>
      <c r="G3" s="4">
        <v>0</v>
      </c>
      <c r="I3" s="25">
        <f>IF(L3="","",L3-L2)</f>
        <v>59570632314</v>
      </c>
      <c r="J3" s="25">
        <f>IF(M3="","",M3-M2)</f>
        <v>0</v>
      </c>
      <c r="L3" s="4">
        <v>144416099476</v>
      </c>
      <c r="M3" s="4">
        <v>0</v>
      </c>
    </row>
    <row r="4" spans="1:16" x14ac:dyDescent="0.45">
      <c r="A4" t="s">
        <v>11</v>
      </c>
      <c r="B4" t="s">
        <v>8</v>
      </c>
      <c r="C4" t="s">
        <v>9</v>
      </c>
      <c r="D4" s="23">
        <v>227166881580</v>
      </c>
      <c r="E4" s="3">
        <v>46052581309</v>
      </c>
      <c r="F4" s="23">
        <v>34189485820</v>
      </c>
      <c r="G4" s="3">
        <v>34085923118</v>
      </c>
      <c r="I4" s="25">
        <f t="shared" ref="I4:J13" si="0">IF(L4="","",L4-L3)</f>
        <v>144879653762</v>
      </c>
      <c r="J4" s="25">
        <f t="shared" si="0"/>
        <v>48109844280</v>
      </c>
      <c r="L4" s="29">
        <f>SUMIFS(Pivot_!C:C,Pivot_!A:A,'Hitung Per Bulan'!B4,Pivot_!B:B,'Hitung Per Bulan'!C4)</f>
        <v>289295753238</v>
      </c>
      <c r="M4" s="29">
        <f>SUMIFS(Pivot_!D:D,Pivot_!A:A,'Hitung Per Bulan'!B4,Pivot_!B:B,'Hitung Per Bulan'!C4)</f>
        <v>48109844280</v>
      </c>
    </row>
    <row r="5" spans="1:16" x14ac:dyDescent="0.45">
      <c r="A5" t="s">
        <v>12</v>
      </c>
      <c r="B5" t="s">
        <v>8</v>
      </c>
      <c r="C5" t="s">
        <v>9</v>
      </c>
      <c r="D5" s="23">
        <v>59269584722</v>
      </c>
      <c r="E5" s="3" t="s">
        <v>41</v>
      </c>
      <c r="F5" s="23">
        <v>150000000</v>
      </c>
      <c r="G5" s="3" t="s">
        <v>41</v>
      </c>
      <c r="I5" s="25" t="str">
        <f t="shared" si="0"/>
        <v/>
      </c>
      <c r="J5" s="25" t="str">
        <f t="shared" si="0"/>
        <v/>
      </c>
      <c r="L5" s="29"/>
      <c r="M5" s="29"/>
      <c r="O5" s="72"/>
      <c r="P5" s="72"/>
    </row>
    <row r="6" spans="1:16" x14ac:dyDescent="0.45">
      <c r="A6" t="s">
        <v>13</v>
      </c>
      <c r="B6" t="s">
        <v>8</v>
      </c>
      <c r="C6" t="s">
        <v>9</v>
      </c>
      <c r="D6" s="23">
        <v>2449082158</v>
      </c>
      <c r="E6" s="3" t="s">
        <v>41</v>
      </c>
      <c r="F6" s="23">
        <v>270862500</v>
      </c>
      <c r="G6" s="3" t="s">
        <v>41</v>
      </c>
      <c r="I6" s="25" t="str">
        <f t="shared" si="0"/>
        <v/>
      </c>
      <c r="J6" s="25" t="str">
        <f t="shared" si="0"/>
        <v/>
      </c>
      <c r="L6" s="3"/>
      <c r="M6" s="3"/>
    </row>
    <row r="7" spans="1:16" x14ac:dyDescent="0.45">
      <c r="A7" t="s">
        <v>14</v>
      </c>
      <c r="B7" t="s">
        <v>8</v>
      </c>
      <c r="C7" t="s">
        <v>9</v>
      </c>
      <c r="D7" s="23">
        <v>4232140778</v>
      </c>
      <c r="E7" s="3" t="s">
        <v>41</v>
      </c>
      <c r="F7" s="23">
        <v>1144232361</v>
      </c>
      <c r="G7" s="3" t="s">
        <v>41</v>
      </c>
      <c r="I7" s="25" t="str">
        <f t="shared" si="0"/>
        <v/>
      </c>
      <c r="J7" s="25" t="str">
        <f t="shared" si="0"/>
        <v/>
      </c>
      <c r="L7" s="3"/>
      <c r="M7" s="3"/>
    </row>
    <row r="8" spans="1:16" x14ac:dyDescent="0.45">
      <c r="A8" t="s">
        <v>15</v>
      </c>
      <c r="B8" t="s">
        <v>8</v>
      </c>
      <c r="C8" t="s">
        <v>9</v>
      </c>
      <c r="D8" s="23">
        <v>150000000</v>
      </c>
      <c r="E8" s="3" t="s">
        <v>41</v>
      </c>
      <c r="F8" s="23">
        <v>12808685000</v>
      </c>
      <c r="G8" s="3" t="s">
        <v>41</v>
      </c>
      <c r="I8" s="25" t="str">
        <f t="shared" si="0"/>
        <v/>
      </c>
      <c r="J8" s="25" t="str">
        <f t="shared" si="0"/>
        <v/>
      </c>
      <c r="L8" s="3"/>
      <c r="M8" s="3"/>
    </row>
    <row r="9" spans="1:16" x14ac:dyDescent="0.45">
      <c r="A9" t="s">
        <v>16</v>
      </c>
      <c r="B9" t="s">
        <v>8</v>
      </c>
      <c r="C9" t="s">
        <v>9</v>
      </c>
      <c r="D9" s="23">
        <v>150000000</v>
      </c>
      <c r="E9" s="3" t="s">
        <v>41</v>
      </c>
      <c r="F9" s="23">
        <v>30371398896</v>
      </c>
      <c r="G9" s="3" t="s">
        <v>41</v>
      </c>
      <c r="I9" s="25" t="str">
        <f t="shared" si="0"/>
        <v/>
      </c>
      <c r="J9" s="25" t="str">
        <f t="shared" si="0"/>
        <v/>
      </c>
      <c r="L9" s="3"/>
      <c r="M9" s="3"/>
    </row>
    <row r="10" spans="1:16" x14ac:dyDescent="0.45">
      <c r="A10" t="s">
        <v>17</v>
      </c>
      <c r="B10" t="s">
        <v>8</v>
      </c>
      <c r="C10" t="s">
        <v>9</v>
      </c>
      <c r="D10" s="23">
        <v>150000000</v>
      </c>
      <c r="E10" s="3" t="s">
        <v>41</v>
      </c>
      <c r="F10" s="23">
        <v>32919933000</v>
      </c>
      <c r="G10" s="3" t="s">
        <v>41</v>
      </c>
      <c r="I10" s="25" t="str">
        <f t="shared" si="0"/>
        <v/>
      </c>
      <c r="J10" s="25" t="str">
        <f t="shared" si="0"/>
        <v/>
      </c>
      <c r="L10" s="3"/>
      <c r="M10" s="3"/>
    </row>
    <row r="11" spans="1:16" x14ac:dyDescent="0.45">
      <c r="A11" t="s">
        <v>18</v>
      </c>
      <c r="B11" t="s">
        <v>8</v>
      </c>
      <c r="C11" t="s">
        <v>9</v>
      </c>
      <c r="D11" s="23">
        <v>150000000</v>
      </c>
      <c r="E11" s="3" t="s">
        <v>41</v>
      </c>
      <c r="F11" s="23">
        <v>61587805112</v>
      </c>
      <c r="G11" s="3" t="s">
        <v>41</v>
      </c>
      <c r="I11" s="25" t="str">
        <f t="shared" si="0"/>
        <v/>
      </c>
      <c r="J11" s="25" t="str">
        <f t="shared" si="0"/>
        <v/>
      </c>
      <c r="L11" s="3"/>
      <c r="M11" s="3"/>
    </row>
    <row r="12" spans="1:16" x14ac:dyDescent="0.45">
      <c r="A12" t="s">
        <v>19</v>
      </c>
      <c r="B12" t="s">
        <v>8</v>
      </c>
      <c r="C12" t="s">
        <v>9</v>
      </c>
      <c r="D12" s="23">
        <v>122077000</v>
      </c>
      <c r="E12" s="3" t="s">
        <v>41</v>
      </c>
      <c r="F12" s="23">
        <v>35148562865</v>
      </c>
      <c r="G12" s="3" t="s">
        <v>41</v>
      </c>
      <c r="I12" s="25" t="str">
        <f t="shared" si="0"/>
        <v/>
      </c>
      <c r="J12" s="25" t="str">
        <f t="shared" si="0"/>
        <v/>
      </c>
      <c r="L12" s="3"/>
      <c r="M12" s="3"/>
    </row>
    <row r="13" spans="1:16" x14ac:dyDescent="0.45">
      <c r="A13" t="s">
        <v>20</v>
      </c>
      <c r="B13" t="s">
        <v>8</v>
      </c>
      <c r="C13" t="s">
        <v>9</v>
      </c>
      <c r="D13" s="23">
        <v>55000000</v>
      </c>
      <c r="E13" s="3" t="s">
        <v>41</v>
      </c>
      <c r="F13" s="23">
        <v>108871425778</v>
      </c>
      <c r="G13" s="3" t="s">
        <v>41</v>
      </c>
      <c r="I13" s="25" t="str">
        <f t="shared" si="0"/>
        <v/>
      </c>
      <c r="J13" s="25" t="str">
        <f t="shared" si="0"/>
        <v/>
      </c>
      <c r="L13" s="3"/>
      <c r="M13" s="3"/>
    </row>
    <row r="14" spans="1:16" x14ac:dyDescent="0.45">
      <c r="A14" t="s">
        <v>7</v>
      </c>
      <c r="B14" t="s">
        <v>8</v>
      </c>
      <c r="C14" t="s">
        <v>21</v>
      </c>
      <c r="D14" s="27">
        <v>0</v>
      </c>
      <c r="E14" s="3">
        <v>0</v>
      </c>
      <c r="F14" s="23">
        <v>0</v>
      </c>
      <c r="G14" s="3">
        <v>0</v>
      </c>
      <c r="I14" s="22">
        <f t="shared" ref="I14:J14" si="1">IF(L14="","",L14)</f>
        <v>0</v>
      </c>
      <c r="J14" s="22">
        <f t="shared" si="1"/>
        <v>0</v>
      </c>
      <c r="L14" s="3">
        <v>0</v>
      </c>
      <c r="M14" s="3">
        <v>0</v>
      </c>
    </row>
    <row r="15" spans="1:16" x14ac:dyDescent="0.45">
      <c r="A15" t="s">
        <v>10</v>
      </c>
      <c r="B15" t="s">
        <v>8</v>
      </c>
      <c r="C15" t="s">
        <v>21</v>
      </c>
      <c r="D15" s="28">
        <v>0</v>
      </c>
      <c r="E15" s="4">
        <v>0</v>
      </c>
      <c r="F15" s="24">
        <v>0</v>
      </c>
      <c r="G15" s="4">
        <v>0</v>
      </c>
      <c r="I15" s="25">
        <f t="shared" ref="I15:J78" si="2">IF(L15="","",L15-L14)</f>
        <v>0</v>
      </c>
      <c r="J15" s="25">
        <f t="shared" si="2"/>
        <v>0</v>
      </c>
      <c r="L15" s="4">
        <v>0</v>
      </c>
      <c r="M15" s="4">
        <v>0</v>
      </c>
    </row>
    <row r="16" spans="1:16" x14ac:dyDescent="0.45">
      <c r="A16" t="s">
        <v>11</v>
      </c>
      <c r="B16" t="s">
        <v>8</v>
      </c>
      <c r="C16" t="s">
        <v>21</v>
      </c>
      <c r="D16" s="27">
        <v>0</v>
      </c>
      <c r="E16" s="3">
        <v>0</v>
      </c>
      <c r="F16" s="23">
        <v>0</v>
      </c>
      <c r="G16" s="3">
        <v>0</v>
      </c>
      <c r="I16" s="25">
        <f t="shared" si="2"/>
        <v>0</v>
      </c>
      <c r="J16" s="25">
        <f t="shared" si="2"/>
        <v>0</v>
      </c>
      <c r="L16" s="29">
        <f>SUMIFS(Pivot_!C:C,Pivot_!A:A,'Hitung Per Bulan'!B16,Pivot_!B:B,'Hitung Per Bulan'!C16)</f>
        <v>0</v>
      </c>
      <c r="M16" s="29">
        <f>SUMIFS(Pivot_!D:D,Pivot_!A:A,'Hitung Per Bulan'!B16,Pivot_!B:B,'Hitung Per Bulan'!C16)</f>
        <v>0</v>
      </c>
    </row>
    <row r="17" spans="1:16" x14ac:dyDescent="0.45">
      <c r="A17" t="s">
        <v>12</v>
      </c>
      <c r="B17" t="s">
        <v>8</v>
      </c>
      <c r="C17" t="s">
        <v>21</v>
      </c>
      <c r="D17" s="27">
        <v>0</v>
      </c>
      <c r="E17" s="3" t="s">
        <v>41</v>
      </c>
      <c r="F17" s="23">
        <v>0</v>
      </c>
      <c r="G17" s="3" t="s">
        <v>41</v>
      </c>
      <c r="I17" s="25" t="str">
        <f t="shared" si="2"/>
        <v/>
      </c>
      <c r="J17" s="25" t="str">
        <f t="shared" si="2"/>
        <v/>
      </c>
      <c r="L17" s="29"/>
      <c r="M17" s="29"/>
      <c r="O17" s="72"/>
      <c r="P17" s="72"/>
    </row>
    <row r="18" spans="1:16" x14ac:dyDescent="0.45">
      <c r="A18" t="s">
        <v>13</v>
      </c>
      <c r="B18" t="s">
        <v>8</v>
      </c>
      <c r="C18" t="s">
        <v>21</v>
      </c>
      <c r="D18" s="27">
        <v>0</v>
      </c>
      <c r="E18" s="3" t="s">
        <v>41</v>
      </c>
      <c r="F18" s="23">
        <v>0</v>
      </c>
      <c r="G18" s="3" t="s">
        <v>41</v>
      </c>
      <c r="I18" s="25" t="str">
        <f t="shared" si="2"/>
        <v/>
      </c>
      <c r="J18" s="25" t="str">
        <f t="shared" si="2"/>
        <v/>
      </c>
      <c r="L18" s="3"/>
      <c r="M18" s="3"/>
    </row>
    <row r="19" spans="1:16" x14ac:dyDescent="0.45">
      <c r="A19" t="s">
        <v>14</v>
      </c>
      <c r="B19" t="s">
        <v>8</v>
      </c>
      <c r="C19" t="s">
        <v>21</v>
      </c>
      <c r="D19" s="27">
        <v>0</v>
      </c>
      <c r="E19" s="3" t="s">
        <v>41</v>
      </c>
      <c r="F19" s="23">
        <v>0</v>
      </c>
      <c r="G19" s="3" t="s">
        <v>41</v>
      </c>
      <c r="I19" s="25" t="str">
        <f t="shared" si="2"/>
        <v/>
      </c>
      <c r="J19" s="25" t="str">
        <f t="shared" si="2"/>
        <v/>
      </c>
      <c r="L19" s="3"/>
      <c r="M19" s="3"/>
    </row>
    <row r="20" spans="1:16" x14ac:dyDescent="0.45">
      <c r="A20" t="s">
        <v>15</v>
      </c>
      <c r="B20" t="s">
        <v>8</v>
      </c>
      <c r="C20" t="s">
        <v>21</v>
      </c>
      <c r="D20" s="27">
        <v>0</v>
      </c>
      <c r="E20" s="3" t="s">
        <v>41</v>
      </c>
      <c r="F20" s="23">
        <v>0</v>
      </c>
      <c r="G20" s="3" t="s">
        <v>41</v>
      </c>
      <c r="I20" s="25" t="str">
        <f t="shared" si="2"/>
        <v/>
      </c>
      <c r="J20" s="25" t="str">
        <f t="shared" si="2"/>
        <v/>
      </c>
      <c r="L20" s="3"/>
      <c r="M20" s="3"/>
    </row>
    <row r="21" spans="1:16" x14ac:dyDescent="0.45">
      <c r="A21" t="s">
        <v>16</v>
      </c>
      <c r="B21" t="s">
        <v>8</v>
      </c>
      <c r="C21" t="s">
        <v>21</v>
      </c>
      <c r="D21" s="27">
        <v>0</v>
      </c>
      <c r="E21" s="3" t="s">
        <v>41</v>
      </c>
      <c r="F21" s="23">
        <v>0</v>
      </c>
      <c r="G21" s="3" t="s">
        <v>41</v>
      </c>
      <c r="I21" s="25" t="str">
        <f t="shared" si="2"/>
        <v/>
      </c>
      <c r="J21" s="25" t="str">
        <f t="shared" si="2"/>
        <v/>
      </c>
      <c r="L21" s="3"/>
      <c r="M21" s="3"/>
    </row>
    <row r="22" spans="1:16" x14ac:dyDescent="0.45">
      <c r="A22" t="s">
        <v>17</v>
      </c>
      <c r="B22" t="s">
        <v>8</v>
      </c>
      <c r="C22" t="s">
        <v>21</v>
      </c>
      <c r="D22" s="27">
        <v>0</v>
      </c>
      <c r="E22" s="3" t="s">
        <v>41</v>
      </c>
      <c r="F22" s="23">
        <v>0</v>
      </c>
      <c r="G22" s="3" t="s">
        <v>41</v>
      </c>
      <c r="I22" s="25" t="str">
        <f t="shared" si="2"/>
        <v/>
      </c>
      <c r="J22" s="25" t="str">
        <f t="shared" si="2"/>
        <v/>
      </c>
      <c r="L22" s="3"/>
      <c r="M22" s="3"/>
    </row>
    <row r="23" spans="1:16" x14ac:dyDescent="0.45">
      <c r="A23" t="s">
        <v>18</v>
      </c>
      <c r="B23" t="s">
        <v>8</v>
      </c>
      <c r="C23" t="s">
        <v>21</v>
      </c>
      <c r="D23" s="27">
        <v>0</v>
      </c>
      <c r="E23" s="3" t="s">
        <v>41</v>
      </c>
      <c r="F23" s="23">
        <v>0</v>
      </c>
      <c r="G23" s="3" t="s">
        <v>41</v>
      </c>
      <c r="I23" s="25" t="str">
        <f t="shared" si="2"/>
        <v/>
      </c>
      <c r="J23" s="25" t="str">
        <f t="shared" si="2"/>
        <v/>
      </c>
      <c r="L23" s="3"/>
      <c r="M23" s="3"/>
    </row>
    <row r="24" spans="1:16" x14ac:dyDescent="0.45">
      <c r="A24" t="s">
        <v>19</v>
      </c>
      <c r="B24" t="s">
        <v>8</v>
      </c>
      <c r="C24" t="s">
        <v>21</v>
      </c>
      <c r="D24" s="27">
        <v>0</v>
      </c>
      <c r="E24" s="3" t="s">
        <v>41</v>
      </c>
      <c r="F24" s="23">
        <v>0</v>
      </c>
      <c r="G24" s="3" t="s">
        <v>41</v>
      </c>
      <c r="I24" s="25" t="str">
        <f t="shared" si="2"/>
        <v/>
      </c>
      <c r="J24" s="25" t="str">
        <f t="shared" si="2"/>
        <v/>
      </c>
      <c r="L24" s="3"/>
      <c r="M24" s="3"/>
    </row>
    <row r="25" spans="1:16" x14ac:dyDescent="0.45">
      <c r="A25" t="s">
        <v>20</v>
      </c>
      <c r="B25" t="s">
        <v>8</v>
      </c>
      <c r="C25" t="s">
        <v>21</v>
      </c>
      <c r="D25" s="27">
        <v>0</v>
      </c>
      <c r="E25" s="3" t="s">
        <v>41</v>
      </c>
      <c r="F25" s="23">
        <v>0</v>
      </c>
      <c r="G25" s="3" t="s">
        <v>41</v>
      </c>
      <c r="I25" s="25" t="str">
        <f t="shared" si="2"/>
        <v/>
      </c>
      <c r="J25" s="25" t="str">
        <f t="shared" si="2"/>
        <v/>
      </c>
      <c r="L25" s="3"/>
      <c r="M25" s="3"/>
    </row>
    <row r="26" spans="1:16" x14ac:dyDescent="0.45">
      <c r="A26" t="s">
        <v>7</v>
      </c>
      <c r="B26" t="s">
        <v>8</v>
      </c>
      <c r="C26" t="s">
        <v>22</v>
      </c>
      <c r="D26" s="27">
        <v>0</v>
      </c>
      <c r="E26" s="3">
        <v>0</v>
      </c>
      <c r="F26" s="23">
        <v>0</v>
      </c>
      <c r="G26" s="3">
        <v>0</v>
      </c>
      <c r="I26" s="22">
        <f t="shared" ref="I26:J26" si="3">IF(L26="","",L26)</f>
        <v>0</v>
      </c>
      <c r="J26" s="22">
        <f t="shared" si="3"/>
        <v>0</v>
      </c>
      <c r="L26" s="3">
        <v>0</v>
      </c>
      <c r="M26" s="3">
        <v>0</v>
      </c>
    </row>
    <row r="27" spans="1:16" x14ac:dyDescent="0.45">
      <c r="A27" t="s">
        <v>10</v>
      </c>
      <c r="B27" t="s">
        <v>8</v>
      </c>
      <c r="C27" t="s">
        <v>22</v>
      </c>
      <c r="D27" s="28">
        <v>0</v>
      </c>
      <c r="E27" s="4">
        <v>0</v>
      </c>
      <c r="F27" s="24">
        <v>0</v>
      </c>
      <c r="G27" s="4">
        <v>0</v>
      </c>
      <c r="I27" s="25">
        <f t="shared" ref="I27:J27" si="4">IF(L27="","",L27-L26)</f>
        <v>0</v>
      </c>
      <c r="J27" s="25">
        <f t="shared" si="4"/>
        <v>0</v>
      </c>
      <c r="L27" s="4">
        <v>0</v>
      </c>
      <c r="M27" s="4">
        <v>0</v>
      </c>
    </row>
    <row r="28" spans="1:16" x14ac:dyDescent="0.45">
      <c r="A28" t="s">
        <v>11</v>
      </c>
      <c r="B28" t="s">
        <v>8</v>
      </c>
      <c r="C28" t="s">
        <v>22</v>
      </c>
      <c r="D28" s="27">
        <v>0</v>
      </c>
      <c r="E28" s="3">
        <v>0</v>
      </c>
      <c r="F28" s="23">
        <v>0</v>
      </c>
      <c r="G28" s="3">
        <v>0</v>
      </c>
      <c r="I28" s="25">
        <f t="shared" si="2"/>
        <v>0</v>
      </c>
      <c r="J28" s="25">
        <f t="shared" si="2"/>
        <v>0</v>
      </c>
      <c r="L28" s="29">
        <f>SUMIFS(Pivot_!C:C,Pivot_!A:A,'Hitung Per Bulan'!B28,Pivot_!B:B,'Hitung Per Bulan'!C28)</f>
        <v>0</v>
      </c>
      <c r="M28" s="29">
        <f>SUMIFS(Pivot_!D:D,Pivot_!A:A,'Hitung Per Bulan'!B28,Pivot_!B:B,'Hitung Per Bulan'!C28)</f>
        <v>0</v>
      </c>
    </row>
    <row r="29" spans="1:16" x14ac:dyDescent="0.45">
      <c r="A29" t="s">
        <v>12</v>
      </c>
      <c r="B29" t="s">
        <v>8</v>
      </c>
      <c r="C29" t="s">
        <v>22</v>
      </c>
      <c r="D29" s="27">
        <v>0</v>
      </c>
      <c r="E29" s="3" t="s">
        <v>41</v>
      </c>
      <c r="F29" s="23">
        <v>0</v>
      </c>
      <c r="G29" s="3" t="s">
        <v>41</v>
      </c>
      <c r="I29" s="25" t="str">
        <f t="shared" si="2"/>
        <v/>
      </c>
      <c r="J29" s="25" t="str">
        <f t="shared" si="2"/>
        <v/>
      </c>
      <c r="L29" s="29"/>
      <c r="M29" s="29"/>
      <c r="O29" s="72"/>
      <c r="P29" s="72"/>
    </row>
    <row r="30" spans="1:16" x14ac:dyDescent="0.45">
      <c r="A30" t="s">
        <v>13</v>
      </c>
      <c r="B30" t="s">
        <v>8</v>
      </c>
      <c r="C30" t="s">
        <v>22</v>
      </c>
      <c r="D30" s="27">
        <v>0</v>
      </c>
      <c r="E30" s="3" t="s">
        <v>41</v>
      </c>
      <c r="F30" s="23">
        <v>0</v>
      </c>
      <c r="G30" s="3" t="s">
        <v>41</v>
      </c>
      <c r="I30" s="25" t="str">
        <f t="shared" si="2"/>
        <v/>
      </c>
      <c r="J30" s="25" t="str">
        <f t="shared" si="2"/>
        <v/>
      </c>
      <c r="L30" s="3"/>
      <c r="M30" s="3"/>
    </row>
    <row r="31" spans="1:16" x14ac:dyDescent="0.45">
      <c r="A31" t="s">
        <v>14</v>
      </c>
      <c r="B31" t="s">
        <v>8</v>
      </c>
      <c r="C31" t="s">
        <v>22</v>
      </c>
      <c r="D31" s="27">
        <v>0</v>
      </c>
      <c r="E31" s="3" t="s">
        <v>41</v>
      </c>
      <c r="F31" s="23">
        <v>0</v>
      </c>
      <c r="G31" s="3" t="s">
        <v>41</v>
      </c>
      <c r="I31" s="25" t="str">
        <f t="shared" si="2"/>
        <v/>
      </c>
      <c r="J31" s="25" t="str">
        <f t="shared" si="2"/>
        <v/>
      </c>
      <c r="L31" s="3"/>
      <c r="M31" s="3"/>
    </row>
    <row r="32" spans="1:16" x14ac:dyDescent="0.45">
      <c r="A32" t="s">
        <v>15</v>
      </c>
      <c r="B32" t="s">
        <v>8</v>
      </c>
      <c r="C32" t="s">
        <v>22</v>
      </c>
      <c r="D32" s="27">
        <v>0</v>
      </c>
      <c r="E32" s="3" t="s">
        <v>41</v>
      </c>
      <c r="F32" s="23">
        <v>0</v>
      </c>
      <c r="G32" s="3" t="s">
        <v>41</v>
      </c>
      <c r="I32" s="25" t="str">
        <f t="shared" si="2"/>
        <v/>
      </c>
      <c r="J32" s="25" t="str">
        <f t="shared" si="2"/>
        <v/>
      </c>
      <c r="L32" s="3"/>
      <c r="M32" s="3"/>
    </row>
    <row r="33" spans="1:16" x14ac:dyDescent="0.45">
      <c r="A33" t="s">
        <v>16</v>
      </c>
      <c r="B33" t="s">
        <v>8</v>
      </c>
      <c r="C33" t="s">
        <v>22</v>
      </c>
      <c r="D33" s="27">
        <v>0</v>
      </c>
      <c r="E33" s="3" t="s">
        <v>41</v>
      </c>
      <c r="F33" s="23">
        <v>0</v>
      </c>
      <c r="G33" s="3" t="s">
        <v>41</v>
      </c>
      <c r="I33" s="25" t="str">
        <f t="shared" si="2"/>
        <v/>
      </c>
      <c r="J33" s="25" t="str">
        <f t="shared" si="2"/>
        <v/>
      </c>
      <c r="L33" s="3"/>
      <c r="M33" s="3"/>
    </row>
    <row r="34" spans="1:16" x14ac:dyDescent="0.45">
      <c r="A34" t="s">
        <v>17</v>
      </c>
      <c r="B34" t="s">
        <v>8</v>
      </c>
      <c r="C34" t="s">
        <v>22</v>
      </c>
      <c r="D34" s="27">
        <v>0</v>
      </c>
      <c r="E34" s="3" t="s">
        <v>41</v>
      </c>
      <c r="F34" s="23">
        <v>0</v>
      </c>
      <c r="G34" s="3" t="s">
        <v>41</v>
      </c>
      <c r="I34" s="25" t="str">
        <f t="shared" si="2"/>
        <v/>
      </c>
      <c r="J34" s="25" t="str">
        <f t="shared" si="2"/>
        <v/>
      </c>
      <c r="L34" s="3"/>
      <c r="M34" s="3"/>
    </row>
    <row r="35" spans="1:16" x14ac:dyDescent="0.45">
      <c r="A35" t="s">
        <v>18</v>
      </c>
      <c r="B35" t="s">
        <v>8</v>
      </c>
      <c r="C35" t="s">
        <v>22</v>
      </c>
      <c r="D35" s="27">
        <v>0</v>
      </c>
      <c r="E35" s="3" t="s">
        <v>41</v>
      </c>
      <c r="F35" s="23">
        <v>0</v>
      </c>
      <c r="G35" s="3" t="s">
        <v>41</v>
      </c>
      <c r="I35" s="25" t="str">
        <f t="shared" si="2"/>
        <v/>
      </c>
      <c r="J35" s="25" t="str">
        <f t="shared" si="2"/>
        <v/>
      </c>
      <c r="L35" s="3"/>
      <c r="M35" s="3"/>
    </row>
    <row r="36" spans="1:16" x14ac:dyDescent="0.45">
      <c r="A36" t="s">
        <v>19</v>
      </c>
      <c r="B36" t="s">
        <v>8</v>
      </c>
      <c r="C36" t="s">
        <v>22</v>
      </c>
      <c r="D36" s="27">
        <v>0</v>
      </c>
      <c r="E36" s="3" t="s">
        <v>41</v>
      </c>
      <c r="F36" s="23">
        <v>0</v>
      </c>
      <c r="G36" s="3" t="s">
        <v>41</v>
      </c>
      <c r="I36" s="25" t="str">
        <f t="shared" si="2"/>
        <v/>
      </c>
      <c r="J36" s="25" t="str">
        <f t="shared" si="2"/>
        <v/>
      </c>
      <c r="L36" s="3"/>
      <c r="M36" s="3"/>
    </row>
    <row r="37" spans="1:16" x14ac:dyDescent="0.45">
      <c r="A37" t="s">
        <v>20</v>
      </c>
      <c r="B37" t="s">
        <v>8</v>
      </c>
      <c r="C37" t="s">
        <v>22</v>
      </c>
      <c r="D37" s="27">
        <v>0</v>
      </c>
      <c r="E37" s="3" t="s">
        <v>41</v>
      </c>
      <c r="F37" s="23">
        <v>0</v>
      </c>
      <c r="G37" s="3" t="s">
        <v>41</v>
      </c>
      <c r="I37" s="25" t="str">
        <f t="shared" si="2"/>
        <v/>
      </c>
      <c r="J37" s="25" t="str">
        <f t="shared" si="2"/>
        <v/>
      </c>
      <c r="L37" s="3"/>
      <c r="M37" s="3"/>
    </row>
    <row r="38" spans="1:16" x14ac:dyDescent="0.45">
      <c r="A38" t="s">
        <v>7</v>
      </c>
      <c r="B38" t="s">
        <v>8</v>
      </c>
      <c r="C38" t="s">
        <v>23</v>
      </c>
      <c r="D38" s="27">
        <v>0</v>
      </c>
      <c r="E38" s="3">
        <v>0</v>
      </c>
      <c r="F38" s="23">
        <v>0</v>
      </c>
      <c r="G38" s="3">
        <v>0</v>
      </c>
      <c r="I38" s="22">
        <f t="shared" ref="I38:J38" si="5">IF(L38="","",L38)</f>
        <v>0</v>
      </c>
      <c r="J38" s="22">
        <f t="shared" si="5"/>
        <v>0</v>
      </c>
      <c r="L38" s="3">
        <v>0</v>
      </c>
      <c r="M38" s="3">
        <v>0</v>
      </c>
    </row>
    <row r="39" spans="1:16" x14ac:dyDescent="0.45">
      <c r="A39" t="s">
        <v>10</v>
      </c>
      <c r="B39" t="s">
        <v>8</v>
      </c>
      <c r="C39" t="s">
        <v>23</v>
      </c>
      <c r="D39" s="28">
        <v>0</v>
      </c>
      <c r="E39" s="4">
        <v>0</v>
      </c>
      <c r="F39" s="24">
        <v>0</v>
      </c>
      <c r="G39" s="4">
        <v>0</v>
      </c>
      <c r="I39" s="25">
        <f t="shared" ref="I39:J39" si="6">IF(L39="","",L39-L38)</f>
        <v>0</v>
      </c>
      <c r="J39" s="25">
        <f t="shared" si="6"/>
        <v>0</v>
      </c>
      <c r="L39" s="4">
        <v>0</v>
      </c>
      <c r="M39" s="4">
        <v>0</v>
      </c>
    </row>
    <row r="40" spans="1:16" x14ac:dyDescent="0.45">
      <c r="A40" t="s">
        <v>11</v>
      </c>
      <c r="B40" t="s">
        <v>8</v>
      </c>
      <c r="C40" t="s">
        <v>23</v>
      </c>
      <c r="D40" s="27">
        <v>0</v>
      </c>
      <c r="E40" s="3">
        <v>0</v>
      </c>
      <c r="F40" s="23">
        <v>0</v>
      </c>
      <c r="G40" s="3">
        <v>0</v>
      </c>
      <c r="I40" s="25">
        <f t="shared" si="2"/>
        <v>42457000</v>
      </c>
      <c r="J40" s="25">
        <f t="shared" si="2"/>
        <v>0</v>
      </c>
      <c r="L40" s="29">
        <f>SUMIFS(Pivot_!C:C,Pivot_!A:A,'Hitung Per Bulan'!B40,Pivot_!B:B,'Hitung Per Bulan'!C40)</f>
        <v>42457000</v>
      </c>
      <c r="M40" s="29">
        <f>SUMIFS(Pivot_!D:D,Pivot_!A:A,'Hitung Per Bulan'!B40,Pivot_!B:B,'Hitung Per Bulan'!C40)</f>
        <v>0</v>
      </c>
    </row>
    <row r="41" spans="1:16" x14ac:dyDescent="0.45">
      <c r="A41" t="s">
        <v>12</v>
      </c>
      <c r="B41" t="s">
        <v>8</v>
      </c>
      <c r="C41" t="s">
        <v>23</v>
      </c>
      <c r="D41" s="27">
        <v>0</v>
      </c>
      <c r="E41" s="3" t="s">
        <v>41</v>
      </c>
      <c r="F41" s="23">
        <v>0</v>
      </c>
      <c r="G41" s="3" t="s">
        <v>41</v>
      </c>
      <c r="I41" s="25" t="str">
        <f t="shared" si="2"/>
        <v/>
      </c>
      <c r="J41" s="25" t="str">
        <f t="shared" si="2"/>
        <v/>
      </c>
      <c r="L41" s="29"/>
      <c r="M41" s="29"/>
      <c r="O41" s="72"/>
      <c r="P41" s="72"/>
    </row>
    <row r="42" spans="1:16" x14ac:dyDescent="0.45">
      <c r="A42" t="s">
        <v>13</v>
      </c>
      <c r="B42" t="s">
        <v>8</v>
      </c>
      <c r="C42" t="s">
        <v>23</v>
      </c>
      <c r="D42" s="27">
        <v>0</v>
      </c>
      <c r="E42" s="3" t="s">
        <v>41</v>
      </c>
      <c r="F42" s="23">
        <v>0</v>
      </c>
      <c r="G42" s="3" t="s">
        <v>41</v>
      </c>
      <c r="I42" s="25" t="str">
        <f t="shared" si="2"/>
        <v/>
      </c>
      <c r="J42" s="25" t="str">
        <f t="shared" si="2"/>
        <v/>
      </c>
      <c r="L42" s="3"/>
      <c r="M42" s="3"/>
    </row>
    <row r="43" spans="1:16" x14ac:dyDescent="0.45">
      <c r="A43" t="s">
        <v>14</v>
      </c>
      <c r="B43" t="s">
        <v>8</v>
      </c>
      <c r="C43" t="s">
        <v>23</v>
      </c>
      <c r="D43" s="27">
        <v>1600000000</v>
      </c>
      <c r="E43" s="3" t="s">
        <v>41</v>
      </c>
      <c r="F43" s="23">
        <v>0</v>
      </c>
      <c r="G43" s="3" t="s">
        <v>41</v>
      </c>
      <c r="I43" s="25" t="str">
        <f t="shared" si="2"/>
        <v/>
      </c>
      <c r="J43" s="25" t="str">
        <f t="shared" si="2"/>
        <v/>
      </c>
      <c r="L43" s="3"/>
      <c r="M43" s="3"/>
    </row>
    <row r="44" spans="1:16" x14ac:dyDescent="0.45">
      <c r="A44" t="s">
        <v>15</v>
      </c>
      <c r="B44" t="s">
        <v>8</v>
      </c>
      <c r="C44" t="s">
        <v>23</v>
      </c>
      <c r="D44" s="27">
        <v>0</v>
      </c>
      <c r="E44" s="3" t="s">
        <v>41</v>
      </c>
      <c r="F44" s="23">
        <v>0</v>
      </c>
      <c r="G44" s="3" t="s">
        <v>41</v>
      </c>
      <c r="I44" s="25" t="str">
        <f t="shared" si="2"/>
        <v/>
      </c>
      <c r="J44" s="25" t="str">
        <f t="shared" si="2"/>
        <v/>
      </c>
      <c r="L44" s="3"/>
      <c r="M44" s="3"/>
    </row>
    <row r="45" spans="1:16" x14ac:dyDescent="0.45">
      <c r="A45" t="s">
        <v>16</v>
      </c>
      <c r="B45" t="s">
        <v>8</v>
      </c>
      <c r="C45" t="s">
        <v>23</v>
      </c>
      <c r="D45" s="27">
        <v>0</v>
      </c>
      <c r="E45" s="3" t="s">
        <v>41</v>
      </c>
      <c r="F45" s="23">
        <v>1600000000</v>
      </c>
      <c r="G45" s="3" t="s">
        <v>41</v>
      </c>
      <c r="I45" s="25" t="str">
        <f t="shared" si="2"/>
        <v/>
      </c>
      <c r="J45" s="25" t="str">
        <f t="shared" si="2"/>
        <v/>
      </c>
      <c r="L45" s="3"/>
      <c r="M45" s="3"/>
    </row>
    <row r="46" spans="1:16" x14ac:dyDescent="0.45">
      <c r="A46" t="s">
        <v>17</v>
      </c>
      <c r="B46" t="s">
        <v>8</v>
      </c>
      <c r="C46" t="s">
        <v>23</v>
      </c>
      <c r="D46" s="27">
        <v>0</v>
      </c>
      <c r="E46" s="3" t="s">
        <v>41</v>
      </c>
      <c r="F46" s="23">
        <v>0</v>
      </c>
      <c r="G46" s="3" t="s">
        <v>41</v>
      </c>
      <c r="I46" s="25" t="str">
        <f t="shared" si="2"/>
        <v/>
      </c>
      <c r="J46" s="25" t="str">
        <f t="shared" si="2"/>
        <v/>
      </c>
      <c r="L46" s="3"/>
      <c r="M46" s="3"/>
    </row>
    <row r="47" spans="1:16" x14ac:dyDescent="0.45">
      <c r="A47" t="s">
        <v>18</v>
      </c>
      <c r="B47" t="s">
        <v>8</v>
      </c>
      <c r="C47" t="s">
        <v>23</v>
      </c>
      <c r="D47" s="27">
        <v>0</v>
      </c>
      <c r="E47" s="3" t="s">
        <v>41</v>
      </c>
      <c r="F47" s="23">
        <v>0</v>
      </c>
      <c r="G47" s="3" t="s">
        <v>41</v>
      </c>
      <c r="I47" s="25" t="str">
        <f t="shared" si="2"/>
        <v/>
      </c>
      <c r="J47" s="25" t="str">
        <f t="shared" si="2"/>
        <v/>
      </c>
      <c r="L47" s="3"/>
      <c r="M47" s="3"/>
    </row>
    <row r="48" spans="1:16" x14ac:dyDescent="0.45">
      <c r="A48" t="s">
        <v>19</v>
      </c>
      <c r="B48" t="s">
        <v>8</v>
      </c>
      <c r="C48" t="s">
        <v>23</v>
      </c>
      <c r="D48" s="27">
        <v>0</v>
      </c>
      <c r="E48" s="3" t="s">
        <v>41</v>
      </c>
      <c r="F48" s="23">
        <v>0</v>
      </c>
      <c r="G48" s="3" t="s">
        <v>41</v>
      </c>
      <c r="I48" s="25" t="str">
        <f t="shared" si="2"/>
        <v/>
      </c>
      <c r="J48" s="25" t="str">
        <f t="shared" si="2"/>
        <v/>
      </c>
      <c r="L48" s="3"/>
      <c r="M48" s="3"/>
    </row>
    <row r="49" spans="1:16" x14ac:dyDescent="0.45">
      <c r="A49" t="s">
        <v>20</v>
      </c>
      <c r="B49" t="s">
        <v>8</v>
      </c>
      <c r="C49" t="s">
        <v>23</v>
      </c>
      <c r="D49" s="27">
        <v>0</v>
      </c>
      <c r="E49" s="3" t="s">
        <v>41</v>
      </c>
      <c r="F49" s="23">
        <v>0</v>
      </c>
      <c r="G49" s="3" t="s">
        <v>41</v>
      </c>
      <c r="I49" s="25" t="str">
        <f t="shared" si="2"/>
        <v/>
      </c>
      <c r="J49" s="25" t="str">
        <f t="shared" si="2"/>
        <v/>
      </c>
      <c r="L49" s="3"/>
      <c r="M49" s="3"/>
    </row>
    <row r="50" spans="1:16" x14ac:dyDescent="0.45">
      <c r="A50" t="s">
        <v>7</v>
      </c>
      <c r="B50" t="s">
        <v>8</v>
      </c>
      <c r="C50" t="s">
        <v>24</v>
      </c>
      <c r="D50" s="27">
        <v>0</v>
      </c>
      <c r="E50" s="3">
        <v>0</v>
      </c>
      <c r="F50" s="23">
        <v>0</v>
      </c>
      <c r="G50" s="3">
        <v>0</v>
      </c>
      <c r="I50" s="22">
        <f t="shared" ref="I50:J50" si="7">IF(L50="","",L50)</f>
        <v>0</v>
      </c>
      <c r="J50" s="22">
        <f t="shared" si="7"/>
        <v>0</v>
      </c>
      <c r="L50" s="3">
        <v>0</v>
      </c>
      <c r="M50" s="3">
        <v>0</v>
      </c>
    </row>
    <row r="51" spans="1:16" x14ac:dyDescent="0.45">
      <c r="A51" t="s">
        <v>10</v>
      </c>
      <c r="B51" t="s">
        <v>8</v>
      </c>
      <c r="C51" t="s">
        <v>24</v>
      </c>
      <c r="D51" s="28">
        <v>0</v>
      </c>
      <c r="E51" s="4">
        <v>20986164</v>
      </c>
      <c r="F51" s="24">
        <v>0</v>
      </c>
      <c r="G51" s="4">
        <v>0</v>
      </c>
      <c r="I51" s="25">
        <f t="shared" ref="I51:J51" si="8">IF(L51="","",L51-L50)</f>
        <v>20986164</v>
      </c>
      <c r="J51" s="25">
        <f t="shared" si="8"/>
        <v>0</v>
      </c>
      <c r="L51" s="4">
        <v>20986164</v>
      </c>
      <c r="M51" s="4">
        <v>0</v>
      </c>
    </row>
    <row r="52" spans="1:16" x14ac:dyDescent="0.45">
      <c r="A52" t="s">
        <v>11</v>
      </c>
      <c r="B52" t="s">
        <v>8</v>
      </c>
      <c r="C52" t="s">
        <v>24</v>
      </c>
      <c r="D52" s="27">
        <v>0</v>
      </c>
      <c r="E52" s="3">
        <v>0</v>
      </c>
      <c r="F52" s="23">
        <v>0</v>
      </c>
      <c r="G52" s="3">
        <v>0</v>
      </c>
      <c r="I52" s="25">
        <f t="shared" si="2"/>
        <v>0</v>
      </c>
      <c r="J52" s="25">
        <f t="shared" si="2"/>
        <v>0</v>
      </c>
      <c r="L52" s="29">
        <f>SUMIFS(Pivot_!C:C,Pivot_!A:A,'Hitung Per Bulan'!B52,Pivot_!B:B,'Hitung Per Bulan'!C52)</f>
        <v>20986164</v>
      </c>
      <c r="M52" s="29">
        <f>SUMIFS(Pivot_!D:D,Pivot_!A:A,'Hitung Per Bulan'!B52,Pivot_!B:B,'Hitung Per Bulan'!C52)</f>
        <v>0</v>
      </c>
    </row>
    <row r="53" spans="1:16" x14ac:dyDescent="0.45">
      <c r="A53" t="s">
        <v>12</v>
      </c>
      <c r="B53" t="s">
        <v>8</v>
      </c>
      <c r="C53" t="s">
        <v>24</v>
      </c>
      <c r="D53" s="27">
        <v>0</v>
      </c>
      <c r="E53" s="3" t="s">
        <v>41</v>
      </c>
      <c r="F53" s="23">
        <v>0</v>
      </c>
      <c r="G53" s="3" t="s">
        <v>41</v>
      </c>
      <c r="I53" s="25" t="str">
        <f t="shared" si="2"/>
        <v/>
      </c>
      <c r="J53" s="25" t="str">
        <f t="shared" si="2"/>
        <v/>
      </c>
      <c r="L53" s="29"/>
      <c r="M53" s="29"/>
      <c r="O53" s="72"/>
      <c r="P53" s="72"/>
    </row>
    <row r="54" spans="1:16" x14ac:dyDescent="0.45">
      <c r="A54" t="s">
        <v>13</v>
      </c>
      <c r="B54" t="s">
        <v>8</v>
      </c>
      <c r="C54" t="s">
        <v>24</v>
      </c>
      <c r="D54" s="27">
        <v>500000000</v>
      </c>
      <c r="E54" s="3" t="s">
        <v>41</v>
      </c>
      <c r="F54" s="23">
        <v>0</v>
      </c>
      <c r="G54" s="3" t="s">
        <v>41</v>
      </c>
      <c r="I54" s="25" t="str">
        <f t="shared" si="2"/>
        <v/>
      </c>
      <c r="J54" s="25" t="str">
        <f t="shared" si="2"/>
        <v/>
      </c>
      <c r="L54" s="3"/>
      <c r="M54" s="3"/>
    </row>
    <row r="55" spans="1:16" x14ac:dyDescent="0.45">
      <c r="A55" t="s">
        <v>14</v>
      </c>
      <c r="B55" t="s">
        <v>8</v>
      </c>
      <c r="C55" t="s">
        <v>24</v>
      </c>
      <c r="D55" s="27">
        <v>0</v>
      </c>
      <c r="E55" s="3" t="s">
        <v>41</v>
      </c>
      <c r="F55" s="23">
        <v>0</v>
      </c>
      <c r="G55" s="3" t="s">
        <v>41</v>
      </c>
      <c r="I55" s="25" t="str">
        <f t="shared" si="2"/>
        <v/>
      </c>
      <c r="J55" s="25" t="str">
        <f t="shared" si="2"/>
        <v/>
      </c>
      <c r="L55" s="3"/>
      <c r="M55" s="3"/>
    </row>
    <row r="56" spans="1:16" x14ac:dyDescent="0.45">
      <c r="A56" t="s">
        <v>15</v>
      </c>
      <c r="B56" t="s">
        <v>8</v>
      </c>
      <c r="C56" t="s">
        <v>24</v>
      </c>
      <c r="D56" s="27">
        <v>0</v>
      </c>
      <c r="E56" s="3" t="s">
        <v>41</v>
      </c>
      <c r="F56" s="23">
        <v>500000000</v>
      </c>
      <c r="G56" s="3" t="s">
        <v>41</v>
      </c>
      <c r="I56" s="25" t="str">
        <f t="shared" si="2"/>
        <v/>
      </c>
      <c r="J56" s="25" t="str">
        <f t="shared" si="2"/>
        <v/>
      </c>
      <c r="L56" s="3"/>
      <c r="M56" s="3"/>
    </row>
    <row r="57" spans="1:16" x14ac:dyDescent="0.45">
      <c r="A57" t="s">
        <v>16</v>
      </c>
      <c r="B57" t="s">
        <v>8</v>
      </c>
      <c r="C57" t="s">
        <v>24</v>
      </c>
      <c r="D57" s="27">
        <v>0</v>
      </c>
      <c r="E57" s="3" t="s">
        <v>41</v>
      </c>
      <c r="F57" s="23">
        <v>0</v>
      </c>
      <c r="G57" s="3" t="s">
        <v>41</v>
      </c>
      <c r="I57" s="25" t="str">
        <f t="shared" si="2"/>
        <v/>
      </c>
      <c r="J57" s="25" t="str">
        <f t="shared" si="2"/>
        <v/>
      </c>
      <c r="L57" s="3"/>
      <c r="M57" s="3"/>
    </row>
    <row r="58" spans="1:16" x14ac:dyDescent="0.45">
      <c r="A58" t="s">
        <v>17</v>
      </c>
      <c r="B58" t="s">
        <v>8</v>
      </c>
      <c r="C58" t="s">
        <v>24</v>
      </c>
      <c r="D58" s="27">
        <v>0</v>
      </c>
      <c r="E58" s="3" t="s">
        <v>41</v>
      </c>
      <c r="F58" s="23">
        <v>0</v>
      </c>
      <c r="G58" s="3" t="s">
        <v>41</v>
      </c>
      <c r="I58" s="25" t="str">
        <f t="shared" si="2"/>
        <v/>
      </c>
      <c r="J58" s="25" t="str">
        <f t="shared" si="2"/>
        <v/>
      </c>
      <c r="L58" s="3"/>
      <c r="M58" s="3"/>
    </row>
    <row r="59" spans="1:16" x14ac:dyDescent="0.45">
      <c r="A59" t="s">
        <v>18</v>
      </c>
      <c r="B59" t="s">
        <v>8</v>
      </c>
      <c r="C59" t="s">
        <v>24</v>
      </c>
      <c r="D59" s="27">
        <v>0</v>
      </c>
      <c r="E59" s="3" t="s">
        <v>41</v>
      </c>
      <c r="F59" s="23">
        <v>0</v>
      </c>
      <c r="G59" s="3" t="s">
        <v>41</v>
      </c>
      <c r="I59" s="25" t="str">
        <f t="shared" si="2"/>
        <v/>
      </c>
      <c r="J59" s="25" t="str">
        <f t="shared" si="2"/>
        <v/>
      </c>
      <c r="L59" s="3"/>
      <c r="M59" s="3"/>
    </row>
    <row r="60" spans="1:16" x14ac:dyDescent="0.45">
      <c r="A60" t="s">
        <v>19</v>
      </c>
      <c r="B60" t="s">
        <v>8</v>
      </c>
      <c r="C60" t="s">
        <v>24</v>
      </c>
      <c r="D60" s="27">
        <v>0</v>
      </c>
      <c r="E60" s="3" t="s">
        <v>41</v>
      </c>
      <c r="F60" s="23">
        <v>0</v>
      </c>
      <c r="G60" s="3" t="s">
        <v>41</v>
      </c>
      <c r="I60" s="25" t="str">
        <f t="shared" si="2"/>
        <v/>
      </c>
      <c r="J60" s="25" t="str">
        <f t="shared" si="2"/>
        <v/>
      </c>
      <c r="L60" s="3"/>
      <c r="M60" s="3"/>
    </row>
    <row r="61" spans="1:16" x14ac:dyDescent="0.45">
      <c r="A61" t="s">
        <v>20</v>
      </c>
      <c r="B61" t="s">
        <v>8</v>
      </c>
      <c r="C61" t="s">
        <v>24</v>
      </c>
      <c r="D61" s="27">
        <v>0</v>
      </c>
      <c r="E61" s="3" t="s">
        <v>41</v>
      </c>
      <c r="F61" s="23">
        <v>0</v>
      </c>
      <c r="G61" s="3" t="s">
        <v>41</v>
      </c>
      <c r="I61" s="25" t="str">
        <f t="shared" si="2"/>
        <v/>
      </c>
      <c r="J61" s="25" t="str">
        <f t="shared" si="2"/>
        <v/>
      </c>
      <c r="L61" s="3"/>
      <c r="M61" s="3"/>
    </row>
    <row r="62" spans="1:16" x14ac:dyDescent="0.45">
      <c r="A62" t="s">
        <v>7</v>
      </c>
      <c r="B62" t="s">
        <v>8</v>
      </c>
      <c r="C62" t="s">
        <v>25</v>
      </c>
      <c r="D62" s="27">
        <v>163000000</v>
      </c>
      <c r="E62" s="3">
        <v>186171889</v>
      </c>
      <c r="F62" s="23">
        <v>113000000</v>
      </c>
      <c r="G62" s="3">
        <v>121841700</v>
      </c>
      <c r="I62" s="22">
        <f t="shared" ref="I62:J62" si="9">IF(L62="","",L62)</f>
        <v>186171889</v>
      </c>
      <c r="J62" s="22">
        <f t="shared" si="9"/>
        <v>121841700</v>
      </c>
      <c r="L62" s="3">
        <v>186171889</v>
      </c>
      <c r="M62" s="3">
        <v>121841700</v>
      </c>
    </row>
    <row r="63" spans="1:16" x14ac:dyDescent="0.45">
      <c r="A63" t="s">
        <v>10</v>
      </c>
      <c r="B63" t="s">
        <v>8</v>
      </c>
      <c r="C63" t="s">
        <v>25</v>
      </c>
      <c r="D63" s="28">
        <v>243000000</v>
      </c>
      <c r="E63" s="4">
        <v>171284525</v>
      </c>
      <c r="F63" s="24">
        <v>243000000</v>
      </c>
      <c r="G63" s="4">
        <v>143833500</v>
      </c>
      <c r="I63" s="25">
        <f t="shared" ref="I63:J63" si="10">IF(L63="","",L63-L62)</f>
        <v>171284525</v>
      </c>
      <c r="J63" s="25">
        <f t="shared" si="10"/>
        <v>143833500</v>
      </c>
      <c r="L63" s="4">
        <v>357456414</v>
      </c>
      <c r="M63" s="4">
        <v>265675200</v>
      </c>
    </row>
    <row r="64" spans="1:16" x14ac:dyDescent="0.45">
      <c r="A64" t="s">
        <v>11</v>
      </c>
      <c r="B64" t="s">
        <v>8</v>
      </c>
      <c r="C64" t="s">
        <v>25</v>
      </c>
      <c r="D64" s="27">
        <v>443000000</v>
      </c>
      <c r="E64" s="3">
        <v>17675000</v>
      </c>
      <c r="F64" s="23">
        <v>243000000</v>
      </c>
      <c r="G64" s="3">
        <v>17675000</v>
      </c>
      <c r="I64" s="25">
        <f t="shared" si="2"/>
        <v>61678750</v>
      </c>
      <c r="J64" s="25">
        <f t="shared" si="2"/>
        <v>62518750</v>
      </c>
      <c r="L64" s="29">
        <f>SUMIFS(Pivot_!C:C,Pivot_!A:A,'Hitung Per Bulan'!B64,Pivot_!B:B,'Hitung Per Bulan'!C64)</f>
        <v>419135164</v>
      </c>
      <c r="M64" s="29">
        <f>SUMIFS(Pivot_!D:D,Pivot_!A:A,'Hitung Per Bulan'!B64,Pivot_!B:B,'Hitung Per Bulan'!C64)</f>
        <v>328193950</v>
      </c>
    </row>
    <row r="65" spans="1:16" x14ac:dyDescent="0.45">
      <c r="A65" t="s">
        <v>12</v>
      </c>
      <c r="B65" t="s">
        <v>8</v>
      </c>
      <c r="C65" t="s">
        <v>25</v>
      </c>
      <c r="D65" s="27">
        <v>2493000000</v>
      </c>
      <c r="E65" s="3" t="s">
        <v>41</v>
      </c>
      <c r="F65" s="23">
        <v>1243000000</v>
      </c>
      <c r="G65" s="3" t="s">
        <v>41</v>
      </c>
      <c r="I65" s="25" t="str">
        <f t="shared" si="2"/>
        <v/>
      </c>
      <c r="J65" s="25" t="str">
        <f t="shared" si="2"/>
        <v/>
      </c>
      <c r="L65" s="29"/>
      <c r="M65" s="29"/>
      <c r="O65" s="72"/>
      <c r="P65" s="72"/>
    </row>
    <row r="66" spans="1:16" x14ac:dyDescent="0.45">
      <c r="A66" t="s">
        <v>13</v>
      </c>
      <c r="B66" t="s">
        <v>8</v>
      </c>
      <c r="C66" t="s">
        <v>25</v>
      </c>
      <c r="D66" s="27">
        <v>593000000</v>
      </c>
      <c r="E66" s="3" t="s">
        <v>41</v>
      </c>
      <c r="F66" s="23">
        <v>2093000000</v>
      </c>
      <c r="G66" s="3" t="s">
        <v>41</v>
      </c>
      <c r="I66" s="25" t="str">
        <f t="shared" si="2"/>
        <v/>
      </c>
      <c r="J66" s="25" t="str">
        <f t="shared" si="2"/>
        <v/>
      </c>
      <c r="L66" s="3"/>
      <c r="M66" s="3"/>
    </row>
    <row r="67" spans="1:16" x14ac:dyDescent="0.45">
      <c r="A67" t="s">
        <v>14</v>
      </c>
      <c r="B67" t="s">
        <v>8</v>
      </c>
      <c r="C67" t="s">
        <v>25</v>
      </c>
      <c r="D67" s="27">
        <v>1513000000</v>
      </c>
      <c r="E67" s="3" t="s">
        <v>41</v>
      </c>
      <c r="F67" s="23">
        <v>1043000000</v>
      </c>
      <c r="G67" s="3" t="s">
        <v>41</v>
      </c>
      <c r="I67" s="25" t="str">
        <f t="shared" si="2"/>
        <v/>
      </c>
      <c r="J67" s="25" t="str">
        <f t="shared" si="2"/>
        <v/>
      </c>
      <c r="L67" s="3"/>
      <c r="M67" s="3"/>
    </row>
    <row r="68" spans="1:16" x14ac:dyDescent="0.45">
      <c r="A68" t="s">
        <v>15</v>
      </c>
      <c r="B68" t="s">
        <v>8</v>
      </c>
      <c r="C68" t="s">
        <v>25</v>
      </c>
      <c r="D68" s="27">
        <v>943000000</v>
      </c>
      <c r="E68" s="3" t="s">
        <v>41</v>
      </c>
      <c r="F68" s="23">
        <v>963000000</v>
      </c>
      <c r="G68" s="3" t="s">
        <v>41</v>
      </c>
      <c r="I68" s="25" t="str">
        <f t="shared" si="2"/>
        <v/>
      </c>
      <c r="J68" s="25" t="str">
        <f t="shared" si="2"/>
        <v/>
      </c>
      <c r="L68" s="3"/>
      <c r="M68" s="3"/>
    </row>
    <row r="69" spans="1:16" x14ac:dyDescent="0.45">
      <c r="A69" t="s">
        <v>16</v>
      </c>
      <c r="B69" t="s">
        <v>8</v>
      </c>
      <c r="C69" t="s">
        <v>25</v>
      </c>
      <c r="D69" s="27">
        <v>543000000</v>
      </c>
      <c r="E69" s="3" t="s">
        <v>41</v>
      </c>
      <c r="F69" s="23">
        <v>443000000</v>
      </c>
      <c r="G69" s="3" t="s">
        <v>41</v>
      </c>
      <c r="I69" s="25" t="str">
        <f t="shared" si="2"/>
        <v/>
      </c>
      <c r="J69" s="25" t="str">
        <f t="shared" si="2"/>
        <v/>
      </c>
      <c r="L69" s="3"/>
      <c r="M69" s="3"/>
    </row>
    <row r="70" spans="1:16" x14ac:dyDescent="0.45">
      <c r="A70" t="s">
        <v>17</v>
      </c>
      <c r="B70" t="s">
        <v>8</v>
      </c>
      <c r="C70" t="s">
        <v>25</v>
      </c>
      <c r="D70" s="27">
        <v>293000000</v>
      </c>
      <c r="E70" s="3" t="s">
        <v>41</v>
      </c>
      <c r="F70" s="23">
        <v>493000000</v>
      </c>
      <c r="G70" s="3" t="s">
        <v>41</v>
      </c>
      <c r="I70" s="25" t="str">
        <f t="shared" si="2"/>
        <v/>
      </c>
      <c r="J70" s="25" t="str">
        <f t="shared" si="2"/>
        <v/>
      </c>
      <c r="L70" s="3"/>
      <c r="M70" s="3"/>
    </row>
    <row r="71" spans="1:16" x14ac:dyDescent="0.45">
      <c r="A71" t="s">
        <v>18</v>
      </c>
      <c r="B71" t="s">
        <v>8</v>
      </c>
      <c r="C71" t="s">
        <v>25</v>
      </c>
      <c r="D71" s="27">
        <v>413000000</v>
      </c>
      <c r="E71" s="3" t="s">
        <v>41</v>
      </c>
      <c r="F71" s="23">
        <v>663000000</v>
      </c>
      <c r="G71" s="3" t="s">
        <v>41</v>
      </c>
      <c r="I71" s="25" t="str">
        <f t="shared" si="2"/>
        <v/>
      </c>
      <c r="J71" s="25" t="str">
        <f t="shared" si="2"/>
        <v/>
      </c>
      <c r="L71" s="3"/>
      <c r="M71" s="3"/>
    </row>
    <row r="72" spans="1:16" x14ac:dyDescent="0.45">
      <c r="A72" t="s">
        <v>19</v>
      </c>
      <c r="B72" t="s">
        <v>8</v>
      </c>
      <c r="C72" t="s">
        <v>25</v>
      </c>
      <c r="D72" s="27">
        <v>193000000</v>
      </c>
      <c r="E72" s="3" t="s">
        <v>41</v>
      </c>
      <c r="F72" s="23">
        <v>293000000</v>
      </c>
      <c r="G72" s="3" t="s">
        <v>41</v>
      </c>
      <c r="I72" s="25" t="str">
        <f t="shared" si="2"/>
        <v/>
      </c>
      <c r="J72" s="25" t="str">
        <f t="shared" si="2"/>
        <v/>
      </c>
      <c r="L72" s="3"/>
      <c r="M72" s="3"/>
    </row>
    <row r="73" spans="1:16" x14ac:dyDescent="0.45">
      <c r="A73" t="s">
        <v>20</v>
      </c>
      <c r="B73" t="s">
        <v>8</v>
      </c>
      <c r="C73" t="s">
        <v>25</v>
      </c>
      <c r="D73" s="27">
        <v>113000000</v>
      </c>
      <c r="E73" s="3" t="s">
        <v>41</v>
      </c>
      <c r="F73" s="23">
        <v>113000000</v>
      </c>
      <c r="G73" s="3" t="s">
        <v>41</v>
      </c>
      <c r="I73" s="25" t="str">
        <f t="shared" si="2"/>
        <v/>
      </c>
      <c r="J73" s="25" t="str">
        <f t="shared" si="2"/>
        <v/>
      </c>
      <c r="L73" s="3"/>
      <c r="M73" s="3"/>
    </row>
    <row r="74" spans="1:16" x14ac:dyDescent="0.45">
      <c r="A74" t="s">
        <v>7</v>
      </c>
      <c r="B74" t="s">
        <v>8</v>
      </c>
      <c r="C74" t="s">
        <v>26</v>
      </c>
      <c r="D74" s="27">
        <v>310000000</v>
      </c>
      <c r="E74" s="3">
        <v>275097724</v>
      </c>
      <c r="F74" s="23">
        <v>310000000</v>
      </c>
      <c r="G74" s="3">
        <v>275097724</v>
      </c>
      <c r="I74" s="22">
        <f t="shared" ref="I74:J74" si="11">IF(L74="","",L74)</f>
        <v>275097724</v>
      </c>
      <c r="J74" s="22">
        <f t="shared" si="11"/>
        <v>275097724</v>
      </c>
      <c r="L74" s="3">
        <v>275097724</v>
      </c>
      <c r="M74" s="3">
        <v>275097724</v>
      </c>
    </row>
    <row r="75" spans="1:16" x14ac:dyDescent="0.45">
      <c r="A75" t="s">
        <v>10</v>
      </c>
      <c r="B75" t="s">
        <v>8</v>
      </c>
      <c r="C75" t="s">
        <v>26</v>
      </c>
      <c r="D75" s="28">
        <v>310000000</v>
      </c>
      <c r="E75" s="4">
        <v>626594334</v>
      </c>
      <c r="F75" s="24">
        <v>310000000</v>
      </c>
      <c r="G75" s="4">
        <v>626594334</v>
      </c>
      <c r="I75" s="25">
        <f t="shared" ref="I75:J75" si="12">IF(L75="","",L75-L74)</f>
        <v>626594334</v>
      </c>
      <c r="J75" s="25">
        <f t="shared" si="12"/>
        <v>626594334</v>
      </c>
      <c r="L75" s="4">
        <v>901692058</v>
      </c>
      <c r="M75" s="4">
        <v>901692058</v>
      </c>
    </row>
    <row r="76" spans="1:16" x14ac:dyDescent="0.45">
      <c r="A76" t="s">
        <v>11</v>
      </c>
      <c r="B76" t="s">
        <v>8</v>
      </c>
      <c r="C76" t="s">
        <v>26</v>
      </c>
      <c r="D76" s="27">
        <v>310000000</v>
      </c>
      <c r="E76" s="3">
        <v>222548548</v>
      </c>
      <c r="F76" s="23">
        <v>310000000</v>
      </c>
      <c r="G76" s="3">
        <v>0</v>
      </c>
      <c r="I76" s="25">
        <f t="shared" si="2"/>
        <v>66225547</v>
      </c>
      <c r="J76" s="25">
        <f t="shared" si="2"/>
        <v>66225547</v>
      </c>
      <c r="L76" s="29">
        <f>SUMIFS(Pivot_!C:C,Pivot_!A:A,'Hitung Per Bulan'!B76,Pivot_!B:B,'Hitung Per Bulan'!C76)</f>
        <v>967917605</v>
      </c>
      <c r="M76" s="29">
        <f>SUMIFS(Pivot_!D:D,Pivot_!A:A,'Hitung Per Bulan'!B76,Pivot_!B:B,'Hitung Per Bulan'!C76)</f>
        <v>967917605</v>
      </c>
    </row>
    <row r="77" spans="1:16" x14ac:dyDescent="0.45">
      <c r="A77" t="s">
        <v>12</v>
      </c>
      <c r="B77" t="s">
        <v>8</v>
      </c>
      <c r="C77" t="s">
        <v>26</v>
      </c>
      <c r="D77" s="27">
        <v>420000000</v>
      </c>
      <c r="E77" s="3" t="s">
        <v>41</v>
      </c>
      <c r="F77" s="23">
        <v>420000000</v>
      </c>
      <c r="G77" s="3" t="s">
        <v>41</v>
      </c>
      <c r="I77" s="25" t="str">
        <f t="shared" si="2"/>
        <v/>
      </c>
      <c r="J77" s="25" t="str">
        <f t="shared" si="2"/>
        <v/>
      </c>
      <c r="L77" s="29"/>
      <c r="M77" s="29"/>
      <c r="O77" s="72"/>
      <c r="P77" s="72"/>
    </row>
    <row r="78" spans="1:16" x14ac:dyDescent="0.45">
      <c r="A78" t="s">
        <v>13</v>
      </c>
      <c r="B78" t="s">
        <v>8</v>
      </c>
      <c r="C78" t="s">
        <v>26</v>
      </c>
      <c r="D78" s="27">
        <v>420000000</v>
      </c>
      <c r="E78" s="3" t="s">
        <v>41</v>
      </c>
      <c r="F78" s="23">
        <v>420000000</v>
      </c>
      <c r="G78" s="3" t="s">
        <v>41</v>
      </c>
      <c r="I78" s="25" t="str">
        <f t="shared" si="2"/>
        <v/>
      </c>
      <c r="J78" s="25" t="str">
        <f t="shared" si="2"/>
        <v/>
      </c>
      <c r="L78" s="3"/>
      <c r="M78" s="3"/>
    </row>
    <row r="79" spans="1:16" x14ac:dyDescent="0.45">
      <c r="A79" t="s">
        <v>14</v>
      </c>
      <c r="B79" t="s">
        <v>8</v>
      </c>
      <c r="C79" t="s">
        <v>26</v>
      </c>
      <c r="D79" s="27">
        <v>420000000</v>
      </c>
      <c r="E79" s="3" t="s">
        <v>41</v>
      </c>
      <c r="F79" s="23">
        <v>420000000</v>
      </c>
      <c r="G79" s="3" t="s">
        <v>41</v>
      </c>
      <c r="I79" s="25" t="str">
        <f t="shared" ref="I79:J142" si="13">IF(L79="","",L79-L78)</f>
        <v/>
      </c>
      <c r="J79" s="25" t="str">
        <f t="shared" si="13"/>
        <v/>
      </c>
      <c r="L79" s="3"/>
      <c r="M79" s="3"/>
    </row>
    <row r="80" spans="1:16" x14ac:dyDescent="0.45">
      <c r="A80" t="s">
        <v>15</v>
      </c>
      <c r="B80" t="s">
        <v>8</v>
      </c>
      <c r="C80" t="s">
        <v>26</v>
      </c>
      <c r="D80" s="27">
        <v>420000000</v>
      </c>
      <c r="E80" s="3" t="s">
        <v>41</v>
      </c>
      <c r="F80" s="23">
        <v>420000000</v>
      </c>
      <c r="G80" s="3" t="s">
        <v>41</v>
      </c>
      <c r="I80" s="25" t="str">
        <f t="shared" si="13"/>
        <v/>
      </c>
      <c r="J80" s="25" t="str">
        <f t="shared" si="13"/>
        <v/>
      </c>
      <c r="L80" s="3"/>
      <c r="M80" s="3"/>
    </row>
    <row r="81" spans="1:16" x14ac:dyDescent="0.45">
      <c r="A81" t="s">
        <v>16</v>
      </c>
      <c r="B81" t="s">
        <v>8</v>
      </c>
      <c r="C81" t="s">
        <v>26</v>
      </c>
      <c r="D81" s="27">
        <v>370000000</v>
      </c>
      <c r="E81" s="3" t="s">
        <v>41</v>
      </c>
      <c r="F81" s="23">
        <v>370000000</v>
      </c>
      <c r="G81" s="3" t="s">
        <v>41</v>
      </c>
      <c r="I81" s="25" t="str">
        <f t="shared" si="13"/>
        <v/>
      </c>
      <c r="J81" s="25" t="str">
        <f t="shared" si="13"/>
        <v/>
      </c>
      <c r="L81" s="3"/>
      <c r="M81" s="3"/>
    </row>
    <row r="82" spans="1:16" x14ac:dyDescent="0.45">
      <c r="A82" t="s">
        <v>17</v>
      </c>
      <c r="B82" t="s">
        <v>8</v>
      </c>
      <c r="C82" t="s">
        <v>26</v>
      </c>
      <c r="D82" s="27">
        <v>400000000</v>
      </c>
      <c r="E82" s="3" t="s">
        <v>41</v>
      </c>
      <c r="F82" s="23">
        <v>400000000</v>
      </c>
      <c r="G82" s="3" t="s">
        <v>41</v>
      </c>
      <c r="I82" s="25" t="str">
        <f t="shared" si="13"/>
        <v/>
      </c>
      <c r="J82" s="25" t="str">
        <f t="shared" si="13"/>
        <v/>
      </c>
      <c r="L82" s="3"/>
      <c r="M82" s="3"/>
    </row>
    <row r="83" spans="1:16" x14ac:dyDescent="0.45">
      <c r="A83" t="s">
        <v>18</v>
      </c>
      <c r="B83" t="s">
        <v>8</v>
      </c>
      <c r="C83" t="s">
        <v>26</v>
      </c>
      <c r="D83" s="27">
        <v>400000000</v>
      </c>
      <c r="E83" s="3" t="s">
        <v>41</v>
      </c>
      <c r="F83" s="23">
        <v>400000000</v>
      </c>
      <c r="G83" s="3" t="s">
        <v>41</v>
      </c>
      <c r="I83" s="25" t="str">
        <f t="shared" si="13"/>
        <v/>
      </c>
      <c r="J83" s="25" t="str">
        <f t="shared" si="13"/>
        <v/>
      </c>
      <c r="L83" s="3"/>
      <c r="M83" s="3"/>
    </row>
    <row r="84" spans="1:16" x14ac:dyDescent="0.45">
      <c r="A84" t="s">
        <v>19</v>
      </c>
      <c r="B84" t="s">
        <v>8</v>
      </c>
      <c r="C84" t="s">
        <v>26</v>
      </c>
      <c r="D84" s="27">
        <v>400000000</v>
      </c>
      <c r="E84" s="3" t="s">
        <v>41</v>
      </c>
      <c r="F84" s="23">
        <v>400000000</v>
      </c>
      <c r="G84" s="3" t="s">
        <v>41</v>
      </c>
      <c r="I84" s="25" t="str">
        <f t="shared" si="13"/>
        <v/>
      </c>
      <c r="J84" s="25" t="str">
        <f t="shared" si="13"/>
        <v/>
      </c>
      <c r="L84" s="3"/>
      <c r="M84" s="3"/>
    </row>
    <row r="85" spans="1:16" x14ac:dyDescent="0.45">
      <c r="A85" t="s">
        <v>20</v>
      </c>
      <c r="B85" t="s">
        <v>8</v>
      </c>
      <c r="C85" t="s">
        <v>26</v>
      </c>
      <c r="D85" s="27">
        <v>320000000</v>
      </c>
      <c r="E85" s="3" t="s">
        <v>41</v>
      </c>
      <c r="F85" s="23">
        <v>320000000</v>
      </c>
      <c r="G85" s="3" t="s">
        <v>41</v>
      </c>
      <c r="I85" s="25" t="str">
        <f t="shared" si="13"/>
        <v/>
      </c>
      <c r="J85" s="25" t="str">
        <f t="shared" si="13"/>
        <v/>
      </c>
      <c r="L85" s="3"/>
      <c r="M85" s="3"/>
    </row>
    <row r="86" spans="1:16" x14ac:dyDescent="0.45">
      <c r="A86" t="s">
        <v>7</v>
      </c>
      <c r="B86" t="s">
        <v>27</v>
      </c>
      <c r="C86" t="s">
        <v>9</v>
      </c>
      <c r="D86" s="27">
        <v>4665461000</v>
      </c>
      <c r="E86" s="3">
        <v>6757574628</v>
      </c>
      <c r="F86" s="23">
        <v>0</v>
      </c>
      <c r="G86" s="3">
        <v>0</v>
      </c>
      <c r="I86" s="22">
        <f t="shared" ref="I86:J86" si="14">IF(L86="","",L86)</f>
        <v>6757574628</v>
      </c>
      <c r="J86" s="22">
        <f t="shared" si="14"/>
        <v>0</v>
      </c>
      <c r="L86" s="3">
        <v>6757574628</v>
      </c>
      <c r="M86" s="3">
        <v>0</v>
      </c>
    </row>
    <row r="87" spans="1:16" x14ac:dyDescent="0.45">
      <c r="A87" t="s">
        <v>10</v>
      </c>
      <c r="B87" t="s">
        <v>27</v>
      </c>
      <c r="C87" t="s">
        <v>9</v>
      </c>
      <c r="D87" s="28">
        <v>11366334000</v>
      </c>
      <c r="E87" s="4">
        <v>10678407138</v>
      </c>
      <c r="F87" s="24">
        <v>25000000</v>
      </c>
      <c r="G87" s="4">
        <v>0</v>
      </c>
      <c r="I87" s="25">
        <f t="shared" ref="I87:J87" si="15">IF(L87="","",L87-L86)</f>
        <v>10678407138</v>
      </c>
      <c r="J87" s="25">
        <f t="shared" si="15"/>
        <v>0</v>
      </c>
      <c r="L87" s="4">
        <v>17435981766</v>
      </c>
      <c r="M87" s="4">
        <v>0</v>
      </c>
    </row>
    <row r="88" spans="1:16" x14ac:dyDescent="0.45">
      <c r="A88" t="s">
        <v>11</v>
      </c>
      <c r="B88" t="s">
        <v>27</v>
      </c>
      <c r="C88" t="s">
        <v>9</v>
      </c>
      <c r="D88" s="27">
        <v>2740514000</v>
      </c>
      <c r="E88" s="3">
        <v>2389907781</v>
      </c>
      <c r="F88" s="23">
        <v>190000000</v>
      </c>
      <c r="G88" s="3">
        <v>89970000</v>
      </c>
      <c r="I88" s="25">
        <f t="shared" si="13"/>
        <v>3830357281</v>
      </c>
      <c r="J88" s="25">
        <f t="shared" si="13"/>
        <v>704063152</v>
      </c>
      <c r="L88" s="29">
        <f>SUMIFS(Pivot_!C:C,Pivot_!A:A,'Hitung Per Bulan'!B88,Pivot_!B:B,'Hitung Per Bulan'!C88)</f>
        <v>21266339047</v>
      </c>
      <c r="M88" s="29">
        <f>SUMIFS(Pivot_!D:D,Pivot_!A:A,'Hitung Per Bulan'!B88,Pivot_!B:B,'Hitung Per Bulan'!C88)</f>
        <v>704063152</v>
      </c>
    </row>
    <row r="89" spans="1:16" x14ac:dyDescent="0.45">
      <c r="A89" t="s">
        <v>12</v>
      </c>
      <c r="B89" t="s">
        <v>27</v>
      </c>
      <c r="C89" t="s">
        <v>9</v>
      </c>
      <c r="D89" s="27">
        <v>6894664000</v>
      </c>
      <c r="E89" s="3" t="s">
        <v>41</v>
      </c>
      <c r="F89" s="23">
        <v>395000000</v>
      </c>
      <c r="G89" s="3" t="s">
        <v>41</v>
      </c>
      <c r="I89" s="25" t="str">
        <f t="shared" si="13"/>
        <v/>
      </c>
      <c r="J89" s="25" t="str">
        <f t="shared" si="13"/>
        <v/>
      </c>
      <c r="L89" s="29"/>
      <c r="M89" s="29"/>
      <c r="O89" s="72"/>
      <c r="P89" s="72"/>
    </row>
    <row r="90" spans="1:16" x14ac:dyDescent="0.45">
      <c r="A90" t="s">
        <v>13</v>
      </c>
      <c r="B90" t="s">
        <v>27</v>
      </c>
      <c r="C90" t="s">
        <v>9</v>
      </c>
      <c r="D90" s="27">
        <v>8472689000</v>
      </c>
      <c r="E90" s="3" t="s">
        <v>41</v>
      </c>
      <c r="F90" s="23">
        <v>265000000</v>
      </c>
      <c r="G90" s="3" t="s">
        <v>41</v>
      </c>
      <c r="I90" s="25" t="str">
        <f t="shared" si="13"/>
        <v/>
      </c>
      <c r="J90" s="25" t="str">
        <f t="shared" si="13"/>
        <v/>
      </c>
      <c r="L90" s="3"/>
      <c r="M90" s="3"/>
    </row>
    <row r="91" spans="1:16" x14ac:dyDescent="0.45">
      <c r="A91" t="s">
        <v>14</v>
      </c>
      <c r="B91" t="s">
        <v>27</v>
      </c>
      <c r="C91" t="s">
        <v>9</v>
      </c>
      <c r="D91" s="27">
        <v>4435000000</v>
      </c>
      <c r="E91" s="3" t="s">
        <v>41</v>
      </c>
      <c r="F91" s="23">
        <v>522951000</v>
      </c>
      <c r="G91" s="3" t="s">
        <v>41</v>
      </c>
      <c r="I91" s="25" t="str">
        <f t="shared" si="13"/>
        <v/>
      </c>
      <c r="J91" s="25" t="str">
        <f t="shared" si="13"/>
        <v/>
      </c>
      <c r="L91" s="3"/>
      <c r="M91" s="3"/>
    </row>
    <row r="92" spans="1:16" x14ac:dyDescent="0.45">
      <c r="A92" t="s">
        <v>15</v>
      </c>
      <c r="B92" t="s">
        <v>27</v>
      </c>
      <c r="C92" t="s">
        <v>9</v>
      </c>
      <c r="D92" s="27">
        <v>4737908000</v>
      </c>
      <c r="E92" s="3" t="s">
        <v>41</v>
      </c>
      <c r="F92" s="23">
        <v>715000000</v>
      </c>
      <c r="G92" s="3" t="s">
        <v>41</v>
      </c>
      <c r="I92" s="25" t="str">
        <f t="shared" si="13"/>
        <v/>
      </c>
      <c r="J92" s="25" t="str">
        <f t="shared" si="13"/>
        <v/>
      </c>
      <c r="L92" s="3"/>
      <c r="M92" s="3"/>
    </row>
    <row r="93" spans="1:16" x14ac:dyDescent="0.45">
      <c r="A93" t="s">
        <v>16</v>
      </c>
      <c r="B93" t="s">
        <v>27</v>
      </c>
      <c r="C93" t="s">
        <v>9</v>
      </c>
      <c r="D93" s="27">
        <v>3937205000</v>
      </c>
      <c r="E93" s="3" t="s">
        <v>41</v>
      </c>
      <c r="F93" s="23">
        <v>3151788000</v>
      </c>
      <c r="G93" s="3" t="s">
        <v>41</v>
      </c>
      <c r="I93" s="25" t="str">
        <f t="shared" si="13"/>
        <v/>
      </c>
      <c r="J93" s="25" t="str">
        <f t="shared" si="13"/>
        <v/>
      </c>
      <c r="L93" s="3"/>
      <c r="M93" s="3"/>
    </row>
    <row r="94" spans="1:16" x14ac:dyDescent="0.45">
      <c r="A94" t="s">
        <v>17</v>
      </c>
      <c r="B94" t="s">
        <v>27</v>
      </c>
      <c r="C94" t="s">
        <v>9</v>
      </c>
      <c r="D94" s="27">
        <v>2045000000</v>
      </c>
      <c r="E94" s="3" t="s">
        <v>41</v>
      </c>
      <c r="F94" s="23">
        <v>2748727000</v>
      </c>
      <c r="G94" s="3" t="s">
        <v>41</v>
      </c>
      <c r="I94" s="25" t="str">
        <f t="shared" si="13"/>
        <v/>
      </c>
      <c r="J94" s="25" t="str">
        <f t="shared" si="13"/>
        <v/>
      </c>
      <c r="L94" s="3"/>
      <c r="M94" s="3"/>
    </row>
    <row r="95" spans="1:16" x14ac:dyDescent="0.45">
      <c r="A95" t="s">
        <v>18</v>
      </c>
      <c r="B95" t="s">
        <v>27</v>
      </c>
      <c r="C95" t="s">
        <v>9</v>
      </c>
      <c r="D95" s="27">
        <v>315000000</v>
      </c>
      <c r="E95" s="3" t="s">
        <v>41</v>
      </c>
      <c r="F95" s="23">
        <v>5334544000</v>
      </c>
      <c r="G95" s="3" t="s">
        <v>41</v>
      </c>
      <c r="I95" s="25" t="str">
        <f t="shared" si="13"/>
        <v/>
      </c>
      <c r="J95" s="25" t="str">
        <f t="shared" si="13"/>
        <v/>
      </c>
      <c r="L95" s="3"/>
      <c r="M95" s="3"/>
    </row>
    <row r="96" spans="1:16" x14ac:dyDescent="0.45">
      <c r="A96" t="s">
        <v>19</v>
      </c>
      <c r="B96" t="s">
        <v>27</v>
      </c>
      <c r="C96" t="s">
        <v>9</v>
      </c>
      <c r="D96" s="27">
        <v>520000000</v>
      </c>
      <c r="E96" s="3" t="s">
        <v>41</v>
      </c>
      <c r="F96" s="23">
        <v>17620156000</v>
      </c>
      <c r="G96" s="3" t="s">
        <v>41</v>
      </c>
      <c r="I96" s="25" t="str">
        <f t="shared" si="13"/>
        <v/>
      </c>
      <c r="J96" s="25" t="str">
        <f t="shared" si="13"/>
        <v/>
      </c>
      <c r="L96" s="3"/>
      <c r="M96" s="3"/>
    </row>
    <row r="97" spans="1:16" x14ac:dyDescent="0.45">
      <c r="A97" t="s">
        <v>20</v>
      </c>
      <c r="B97" t="s">
        <v>27</v>
      </c>
      <c r="C97" t="s">
        <v>9</v>
      </c>
      <c r="D97" s="27">
        <v>125000000</v>
      </c>
      <c r="E97" s="3" t="s">
        <v>41</v>
      </c>
      <c r="F97" s="23">
        <v>19286609000</v>
      </c>
      <c r="G97" s="3" t="s">
        <v>41</v>
      </c>
      <c r="I97" s="25" t="str">
        <f t="shared" si="13"/>
        <v/>
      </c>
      <c r="J97" s="25" t="str">
        <f t="shared" si="13"/>
        <v/>
      </c>
      <c r="L97" s="3"/>
      <c r="M97" s="3"/>
    </row>
    <row r="98" spans="1:16" x14ac:dyDescent="0.45">
      <c r="A98" t="s">
        <v>7</v>
      </c>
      <c r="B98" t="s">
        <v>27</v>
      </c>
      <c r="C98" t="s">
        <v>21</v>
      </c>
      <c r="D98" s="27">
        <v>35000000</v>
      </c>
      <c r="E98" s="3">
        <v>34500000</v>
      </c>
      <c r="F98" s="23">
        <v>0</v>
      </c>
      <c r="G98" s="3">
        <v>0</v>
      </c>
      <c r="I98" s="22">
        <f t="shared" ref="I98:J98" si="16">IF(L98="","",L98)</f>
        <v>34500000</v>
      </c>
      <c r="J98" s="22">
        <f t="shared" si="16"/>
        <v>0</v>
      </c>
      <c r="L98" s="3">
        <v>34500000</v>
      </c>
      <c r="M98" s="3">
        <v>0</v>
      </c>
    </row>
    <row r="99" spans="1:16" x14ac:dyDescent="0.45">
      <c r="A99" t="s">
        <v>10</v>
      </c>
      <c r="B99" t="s">
        <v>27</v>
      </c>
      <c r="C99" t="s">
        <v>21</v>
      </c>
      <c r="D99" s="28">
        <v>635000000</v>
      </c>
      <c r="E99" s="4">
        <v>113020000</v>
      </c>
      <c r="F99" s="24">
        <v>35000000</v>
      </c>
      <c r="G99" s="4">
        <v>34500000</v>
      </c>
      <c r="I99" s="25">
        <f t="shared" ref="I99:J99" si="17">IF(L99="","",L99-L98)</f>
        <v>113020000</v>
      </c>
      <c r="J99" s="25">
        <f t="shared" si="17"/>
        <v>34500000</v>
      </c>
      <c r="L99" s="4">
        <v>147520000</v>
      </c>
      <c r="M99" s="4">
        <v>34500000</v>
      </c>
    </row>
    <row r="100" spans="1:16" x14ac:dyDescent="0.45">
      <c r="A100" t="s">
        <v>11</v>
      </c>
      <c r="B100" t="s">
        <v>27</v>
      </c>
      <c r="C100" t="s">
        <v>21</v>
      </c>
      <c r="D100" s="27">
        <v>85000000</v>
      </c>
      <c r="E100" s="3">
        <v>34500000</v>
      </c>
      <c r="F100" s="23">
        <v>135000000</v>
      </c>
      <c r="G100" s="3">
        <v>0</v>
      </c>
      <c r="I100" s="25">
        <f t="shared" si="13"/>
        <v>383400000</v>
      </c>
      <c r="J100" s="25">
        <f t="shared" si="13"/>
        <v>34500000</v>
      </c>
      <c r="L100" s="29">
        <f>SUMIFS(Pivot_!C:C,Pivot_!A:A,'Hitung Per Bulan'!B100,Pivot_!B:B,'Hitung Per Bulan'!C100)</f>
        <v>530920000</v>
      </c>
      <c r="M100" s="29">
        <f>SUMIFS(Pivot_!D:D,Pivot_!A:A,'Hitung Per Bulan'!B100,Pivot_!B:B,'Hitung Per Bulan'!C100)</f>
        <v>69000000</v>
      </c>
    </row>
    <row r="101" spans="1:16" x14ac:dyDescent="0.45">
      <c r="A101" t="s">
        <v>12</v>
      </c>
      <c r="B101" t="s">
        <v>27</v>
      </c>
      <c r="C101" t="s">
        <v>21</v>
      </c>
      <c r="D101" s="27">
        <v>1635000000</v>
      </c>
      <c r="E101" s="3" t="s">
        <v>41</v>
      </c>
      <c r="F101" s="23">
        <v>85000000</v>
      </c>
      <c r="G101" s="3" t="s">
        <v>41</v>
      </c>
      <c r="I101" s="25" t="str">
        <f t="shared" si="13"/>
        <v/>
      </c>
      <c r="J101" s="25" t="str">
        <f t="shared" si="13"/>
        <v/>
      </c>
      <c r="L101" s="29"/>
      <c r="M101" s="29"/>
      <c r="O101" s="72"/>
      <c r="P101" s="72"/>
    </row>
    <row r="102" spans="1:16" x14ac:dyDescent="0.45">
      <c r="A102" t="s">
        <v>13</v>
      </c>
      <c r="B102" t="s">
        <v>27</v>
      </c>
      <c r="C102" t="s">
        <v>21</v>
      </c>
      <c r="D102" s="27">
        <v>335000000</v>
      </c>
      <c r="E102" s="3" t="s">
        <v>41</v>
      </c>
      <c r="F102" s="23">
        <v>185000000</v>
      </c>
      <c r="G102" s="3" t="s">
        <v>41</v>
      </c>
      <c r="I102" s="25" t="str">
        <f t="shared" si="13"/>
        <v/>
      </c>
      <c r="J102" s="25" t="str">
        <f t="shared" si="13"/>
        <v/>
      </c>
      <c r="L102" s="3"/>
      <c r="M102" s="3"/>
    </row>
    <row r="103" spans="1:16" x14ac:dyDescent="0.45">
      <c r="A103" t="s">
        <v>14</v>
      </c>
      <c r="B103" t="s">
        <v>27</v>
      </c>
      <c r="C103" t="s">
        <v>21</v>
      </c>
      <c r="D103" s="27">
        <v>685000000</v>
      </c>
      <c r="E103" s="3" t="s">
        <v>41</v>
      </c>
      <c r="F103" s="23">
        <v>85000000</v>
      </c>
      <c r="G103" s="3" t="s">
        <v>41</v>
      </c>
      <c r="I103" s="25" t="str">
        <f t="shared" si="13"/>
        <v/>
      </c>
      <c r="J103" s="25" t="str">
        <f t="shared" si="13"/>
        <v/>
      </c>
      <c r="L103" s="3"/>
      <c r="M103" s="3"/>
    </row>
    <row r="104" spans="1:16" x14ac:dyDescent="0.45">
      <c r="A104" t="s">
        <v>15</v>
      </c>
      <c r="B104" t="s">
        <v>27</v>
      </c>
      <c r="C104" t="s">
        <v>21</v>
      </c>
      <c r="D104" s="27">
        <v>885000000</v>
      </c>
      <c r="E104" s="3" t="s">
        <v>41</v>
      </c>
      <c r="F104" s="23">
        <v>685000000</v>
      </c>
      <c r="G104" s="3" t="s">
        <v>41</v>
      </c>
      <c r="I104" s="25" t="str">
        <f t="shared" si="13"/>
        <v/>
      </c>
      <c r="J104" s="25" t="str">
        <f t="shared" si="13"/>
        <v/>
      </c>
      <c r="L104" s="3"/>
      <c r="M104" s="3"/>
    </row>
    <row r="105" spans="1:16" x14ac:dyDescent="0.45">
      <c r="A105" t="s">
        <v>16</v>
      </c>
      <c r="B105" t="s">
        <v>27</v>
      </c>
      <c r="C105" t="s">
        <v>21</v>
      </c>
      <c r="D105" s="27">
        <v>685000000</v>
      </c>
      <c r="E105" s="3" t="s">
        <v>41</v>
      </c>
      <c r="F105" s="23">
        <v>1285000000</v>
      </c>
      <c r="G105" s="3" t="s">
        <v>41</v>
      </c>
      <c r="I105" s="25" t="str">
        <f t="shared" si="13"/>
        <v/>
      </c>
      <c r="J105" s="25" t="str">
        <f t="shared" si="13"/>
        <v/>
      </c>
      <c r="L105" s="3"/>
      <c r="M105" s="3"/>
    </row>
    <row r="106" spans="1:16" x14ac:dyDescent="0.45">
      <c r="A106" t="s">
        <v>17</v>
      </c>
      <c r="B106" t="s">
        <v>27</v>
      </c>
      <c r="C106" t="s">
        <v>21</v>
      </c>
      <c r="D106" s="27">
        <v>535000000</v>
      </c>
      <c r="E106" s="3" t="s">
        <v>41</v>
      </c>
      <c r="F106" s="23">
        <v>185000000</v>
      </c>
      <c r="G106" s="3" t="s">
        <v>41</v>
      </c>
      <c r="I106" s="25" t="str">
        <f t="shared" si="13"/>
        <v/>
      </c>
      <c r="J106" s="25" t="str">
        <f t="shared" si="13"/>
        <v/>
      </c>
      <c r="L106" s="3"/>
      <c r="M106" s="3"/>
    </row>
    <row r="107" spans="1:16" x14ac:dyDescent="0.45">
      <c r="A107" t="s">
        <v>18</v>
      </c>
      <c r="B107" t="s">
        <v>27</v>
      </c>
      <c r="C107" t="s">
        <v>21</v>
      </c>
      <c r="D107" s="27">
        <v>635000000</v>
      </c>
      <c r="E107" s="3" t="s">
        <v>41</v>
      </c>
      <c r="F107" s="23">
        <v>585000000</v>
      </c>
      <c r="G107" s="3" t="s">
        <v>41</v>
      </c>
      <c r="I107" s="25" t="str">
        <f t="shared" si="13"/>
        <v/>
      </c>
      <c r="J107" s="25" t="str">
        <f t="shared" si="13"/>
        <v/>
      </c>
      <c r="L107" s="3"/>
      <c r="M107" s="3"/>
    </row>
    <row r="108" spans="1:16" x14ac:dyDescent="0.45">
      <c r="A108" t="s">
        <v>19</v>
      </c>
      <c r="B108" t="s">
        <v>27</v>
      </c>
      <c r="C108" t="s">
        <v>21</v>
      </c>
      <c r="D108" s="27">
        <v>85000000</v>
      </c>
      <c r="E108" s="3" t="s">
        <v>41</v>
      </c>
      <c r="F108" s="23">
        <v>985000000</v>
      </c>
      <c r="G108" s="3" t="s">
        <v>41</v>
      </c>
      <c r="I108" s="25" t="str">
        <f t="shared" si="13"/>
        <v/>
      </c>
      <c r="J108" s="25" t="str">
        <f t="shared" si="13"/>
        <v/>
      </c>
      <c r="L108" s="3"/>
      <c r="M108" s="3"/>
    </row>
    <row r="109" spans="1:16" x14ac:dyDescent="0.45">
      <c r="A109" t="s">
        <v>20</v>
      </c>
      <c r="B109" t="s">
        <v>27</v>
      </c>
      <c r="C109" t="s">
        <v>21</v>
      </c>
      <c r="D109" s="27">
        <v>135000000</v>
      </c>
      <c r="E109" s="3" t="s">
        <v>41</v>
      </c>
      <c r="F109" s="23">
        <v>2120000000</v>
      </c>
      <c r="G109" s="3" t="s">
        <v>41</v>
      </c>
      <c r="I109" s="25" t="str">
        <f t="shared" si="13"/>
        <v/>
      </c>
      <c r="J109" s="25" t="str">
        <f t="shared" si="13"/>
        <v/>
      </c>
      <c r="L109" s="3"/>
      <c r="M109" s="3"/>
    </row>
    <row r="110" spans="1:16" x14ac:dyDescent="0.45">
      <c r="A110" t="s">
        <v>7</v>
      </c>
      <c r="B110" t="s">
        <v>27</v>
      </c>
      <c r="C110" t="s">
        <v>22</v>
      </c>
      <c r="D110" s="27">
        <v>15017750</v>
      </c>
      <c r="E110" s="3">
        <v>0</v>
      </c>
      <c r="F110" s="23">
        <v>0</v>
      </c>
      <c r="G110" s="3">
        <v>0</v>
      </c>
      <c r="I110" s="22">
        <f t="shared" ref="I110:J110" si="18">IF(L110="","",L110)</f>
        <v>0</v>
      </c>
      <c r="J110" s="22">
        <f t="shared" si="18"/>
        <v>0</v>
      </c>
      <c r="L110" s="3">
        <v>0</v>
      </c>
      <c r="M110" s="3">
        <v>0</v>
      </c>
    </row>
    <row r="111" spans="1:16" x14ac:dyDescent="0.45">
      <c r="A111" t="s">
        <v>10</v>
      </c>
      <c r="B111" t="s">
        <v>27</v>
      </c>
      <c r="C111" t="s">
        <v>22</v>
      </c>
      <c r="D111" s="28">
        <v>15017750</v>
      </c>
      <c r="E111" s="4">
        <v>0</v>
      </c>
      <c r="F111" s="24">
        <v>15017750</v>
      </c>
      <c r="G111" s="4">
        <v>0</v>
      </c>
      <c r="I111" s="25">
        <f t="shared" ref="I111:J111" si="19">IF(L111="","",L111-L110)</f>
        <v>0</v>
      </c>
      <c r="J111" s="25">
        <f t="shared" si="19"/>
        <v>0</v>
      </c>
      <c r="L111" s="4">
        <v>0</v>
      </c>
      <c r="M111" s="4">
        <v>0</v>
      </c>
    </row>
    <row r="112" spans="1:16" x14ac:dyDescent="0.45">
      <c r="A112" t="s">
        <v>11</v>
      </c>
      <c r="B112" t="s">
        <v>27</v>
      </c>
      <c r="C112" t="s">
        <v>22</v>
      </c>
      <c r="D112" s="27">
        <v>15017750</v>
      </c>
      <c r="E112" s="3">
        <v>0</v>
      </c>
      <c r="F112" s="23">
        <v>15017750</v>
      </c>
      <c r="G112" s="3">
        <v>0</v>
      </c>
      <c r="I112" s="25">
        <f t="shared" si="13"/>
        <v>28710000</v>
      </c>
      <c r="J112" s="25">
        <f t="shared" si="13"/>
        <v>0</v>
      </c>
      <c r="L112" s="29">
        <f>SUMIFS(Pivot_!C:C,Pivot_!A:A,'Hitung Per Bulan'!B112,Pivot_!B:B,'Hitung Per Bulan'!C112)</f>
        <v>28710000</v>
      </c>
      <c r="M112" s="29">
        <f>SUMIFS(Pivot_!D:D,Pivot_!A:A,'Hitung Per Bulan'!B112,Pivot_!B:B,'Hitung Per Bulan'!C112)</f>
        <v>0</v>
      </c>
    </row>
    <row r="113" spans="1:16" x14ac:dyDescent="0.45">
      <c r="A113" t="s">
        <v>12</v>
      </c>
      <c r="B113" t="s">
        <v>27</v>
      </c>
      <c r="C113" t="s">
        <v>22</v>
      </c>
      <c r="D113" s="27">
        <v>15017750</v>
      </c>
      <c r="E113" s="3" t="s">
        <v>41</v>
      </c>
      <c r="F113" s="23">
        <v>15017750</v>
      </c>
      <c r="G113" s="3" t="s">
        <v>41</v>
      </c>
      <c r="I113" s="25" t="str">
        <f t="shared" si="13"/>
        <v/>
      </c>
      <c r="J113" s="25" t="str">
        <f t="shared" si="13"/>
        <v/>
      </c>
      <c r="L113" s="29"/>
      <c r="M113" s="29"/>
      <c r="O113" s="72"/>
      <c r="P113" s="72"/>
    </row>
    <row r="114" spans="1:16" x14ac:dyDescent="0.45">
      <c r="A114" t="s">
        <v>13</v>
      </c>
      <c r="B114" t="s">
        <v>27</v>
      </c>
      <c r="C114" t="s">
        <v>22</v>
      </c>
      <c r="D114" s="27">
        <v>15017750</v>
      </c>
      <c r="E114" s="3" t="s">
        <v>41</v>
      </c>
      <c r="F114" s="23">
        <v>15017750</v>
      </c>
      <c r="G114" s="3" t="s">
        <v>41</v>
      </c>
      <c r="I114" s="25" t="str">
        <f t="shared" si="13"/>
        <v/>
      </c>
      <c r="J114" s="25" t="str">
        <f t="shared" si="13"/>
        <v/>
      </c>
      <c r="L114" s="3"/>
      <c r="M114" s="3"/>
    </row>
    <row r="115" spans="1:16" x14ac:dyDescent="0.45">
      <c r="A115" t="s">
        <v>14</v>
      </c>
      <c r="B115" t="s">
        <v>27</v>
      </c>
      <c r="C115" t="s">
        <v>22</v>
      </c>
      <c r="D115" s="27">
        <v>15017750</v>
      </c>
      <c r="E115" s="3" t="s">
        <v>41</v>
      </c>
      <c r="F115" s="23">
        <v>15017750</v>
      </c>
      <c r="G115" s="3" t="s">
        <v>41</v>
      </c>
      <c r="I115" s="25" t="str">
        <f t="shared" si="13"/>
        <v/>
      </c>
      <c r="J115" s="25" t="str">
        <f t="shared" si="13"/>
        <v/>
      </c>
      <c r="L115" s="3"/>
      <c r="M115" s="3"/>
    </row>
    <row r="116" spans="1:16" x14ac:dyDescent="0.45">
      <c r="A116" t="s">
        <v>15</v>
      </c>
      <c r="B116" t="s">
        <v>27</v>
      </c>
      <c r="C116" t="s">
        <v>22</v>
      </c>
      <c r="D116" s="27">
        <v>15017750</v>
      </c>
      <c r="E116" s="3" t="s">
        <v>41</v>
      </c>
      <c r="F116" s="23">
        <v>15017750</v>
      </c>
      <c r="G116" s="3" t="s">
        <v>41</v>
      </c>
      <c r="I116" s="25" t="str">
        <f t="shared" si="13"/>
        <v/>
      </c>
      <c r="J116" s="25" t="str">
        <f t="shared" si="13"/>
        <v/>
      </c>
      <c r="L116" s="3"/>
      <c r="M116" s="3"/>
    </row>
    <row r="117" spans="1:16" x14ac:dyDescent="0.45">
      <c r="A117" t="s">
        <v>16</v>
      </c>
      <c r="B117" t="s">
        <v>27</v>
      </c>
      <c r="C117" t="s">
        <v>22</v>
      </c>
      <c r="D117" s="27">
        <v>15017750</v>
      </c>
      <c r="E117" s="3" t="s">
        <v>41</v>
      </c>
      <c r="F117" s="23">
        <v>15017750</v>
      </c>
      <c r="G117" s="3" t="s">
        <v>41</v>
      </c>
      <c r="I117" s="25" t="str">
        <f t="shared" si="13"/>
        <v/>
      </c>
      <c r="J117" s="25" t="str">
        <f t="shared" si="13"/>
        <v/>
      </c>
      <c r="L117" s="3"/>
      <c r="M117" s="3"/>
    </row>
    <row r="118" spans="1:16" x14ac:dyDescent="0.45">
      <c r="A118" t="s">
        <v>17</v>
      </c>
      <c r="B118" t="s">
        <v>27</v>
      </c>
      <c r="C118" t="s">
        <v>22</v>
      </c>
      <c r="D118" s="27">
        <v>15017750</v>
      </c>
      <c r="E118" s="3" t="s">
        <v>41</v>
      </c>
      <c r="F118" s="23">
        <v>15017750</v>
      </c>
      <c r="G118" s="3" t="s">
        <v>41</v>
      </c>
      <c r="I118" s="25" t="str">
        <f t="shared" si="13"/>
        <v/>
      </c>
      <c r="J118" s="25" t="str">
        <f t="shared" si="13"/>
        <v/>
      </c>
      <c r="L118" s="3"/>
      <c r="M118" s="3"/>
    </row>
    <row r="119" spans="1:16" x14ac:dyDescent="0.45">
      <c r="A119" t="s">
        <v>18</v>
      </c>
      <c r="B119" t="s">
        <v>27</v>
      </c>
      <c r="C119" t="s">
        <v>22</v>
      </c>
      <c r="D119" s="27">
        <v>15017750</v>
      </c>
      <c r="E119" s="3" t="s">
        <v>41</v>
      </c>
      <c r="F119" s="23">
        <v>15017750</v>
      </c>
      <c r="G119" s="3" t="s">
        <v>41</v>
      </c>
      <c r="I119" s="25" t="str">
        <f t="shared" si="13"/>
        <v/>
      </c>
      <c r="J119" s="25" t="str">
        <f t="shared" si="13"/>
        <v/>
      </c>
      <c r="L119" s="3"/>
      <c r="M119" s="3"/>
    </row>
    <row r="120" spans="1:16" x14ac:dyDescent="0.45">
      <c r="A120" t="s">
        <v>19</v>
      </c>
      <c r="B120" t="s">
        <v>27</v>
      </c>
      <c r="C120" t="s">
        <v>22</v>
      </c>
      <c r="D120" s="27">
        <v>15017750</v>
      </c>
      <c r="E120" s="3" t="s">
        <v>41</v>
      </c>
      <c r="F120" s="23">
        <v>15017750</v>
      </c>
      <c r="G120" s="3" t="s">
        <v>41</v>
      </c>
      <c r="I120" s="25" t="str">
        <f t="shared" si="13"/>
        <v/>
      </c>
      <c r="J120" s="25" t="str">
        <f t="shared" si="13"/>
        <v/>
      </c>
      <c r="L120" s="3"/>
      <c r="M120" s="3"/>
    </row>
    <row r="121" spans="1:16" x14ac:dyDescent="0.45">
      <c r="A121" t="s">
        <v>20</v>
      </c>
      <c r="B121" t="s">
        <v>27</v>
      </c>
      <c r="C121" t="s">
        <v>22</v>
      </c>
      <c r="D121" s="27">
        <v>14804750</v>
      </c>
      <c r="E121" s="3" t="s">
        <v>41</v>
      </c>
      <c r="F121" s="23">
        <v>29822500</v>
      </c>
      <c r="G121" s="3" t="s">
        <v>41</v>
      </c>
      <c r="I121" s="25" t="str">
        <f t="shared" si="13"/>
        <v/>
      </c>
      <c r="J121" s="25" t="str">
        <f t="shared" si="13"/>
        <v/>
      </c>
      <c r="L121" s="3"/>
      <c r="M121" s="3"/>
    </row>
    <row r="122" spans="1:16" x14ac:dyDescent="0.45">
      <c r="A122" t="s">
        <v>7</v>
      </c>
      <c r="B122" t="s">
        <v>27</v>
      </c>
      <c r="C122" t="s">
        <v>23</v>
      </c>
      <c r="D122" s="27">
        <v>0</v>
      </c>
      <c r="E122" s="3">
        <v>0</v>
      </c>
      <c r="F122" s="23">
        <v>0</v>
      </c>
      <c r="G122" s="3">
        <v>0</v>
      </c>
      <c r="I122" s="22">
        <f t="shared" ref="I122:J122" si="20">IF(L122="","",L122)</f>
        <v>0</v>
      </c>
      <c r="J122" s="22">
        <f t="shared" si="20"/>
        <v>0</v>
      </c>
      <c r="L122" s="3">
        <v>0</v>
      </c>
      <c r="M122" s="3">
        <v>0</v>
      </c>
    </row>
    <row r="123" spans="1:16" x14ac:dyDescent="0.45">
      <c r="A123" t="s">
        <v>10</v>
      </c>
      <c r="B123" t="s">
        <v>27</v>
      </c>
      <c r="C123" t="s">
        <v>23</v>
      </c>
      <c r="D123" s="28">
        <v>0</v>
      </c>
      <c r="E123" s="4">
        <v>0</v>
      </c>
      <c r="F123" s="24">
        <v>0</v>
      </c>
      <c r="G123" s="4">
        <v>0</v>
      </c>
      <c r="I123" s="25">
        <f t="shared" ref="I123:J123" si="21">IF(L123="","",L123-L122)</f>
        <v>0</v>
      </c>
      <c r="J123" s="25">
        <f t="shared" si="21"/>
        <v>0</v>
      </c>
      <c r="L123" s="4">
        <v>0</v>
      </c>
      <c r="M123" s="4">
        <v>0</v>
      </c>
    </row>
    <row r="124" spans="1:16" x14ac:dyDescent="0.45">
      <c r="A124" t="s">
        <v>11</v>
      </c>
      <c r="B124" t="s">
        <v>27</v>
      </c>
      <c r="C124" t="s">
        <v>23</v>
      </c>
      <c r="D124" s="27">
        <v>0</v>
      </c>
      <c r="E124" s="3">
        <v>0</v>
      </c>
      <c r="F124" s="23">
        <v>0</v>
      </c>
      <c r="G124" s="3">
        <v>0</v>
      </c>
      <c r="I124" s="25">
        <f t="shared" si="13"/>
        <v>0</v>
      </c>
      <c r="J124" s="25">
        <f t="shared" si="13"/>
        <v>0</v>
      </c>
      <c r="L124" s="29">
        <f>SUMIFS(Pivot_!C:C,Pivot_!A:A,'Hitung Per Bulan'!B124,Pivot_!B:B,'Hitung Per Bulan'!C124)</f>
        <v>0</v>
      </c>
      <c r="M124" s="29">
        <f>SUMIFS(Pivot_!D:D,Pivot_!A:A,'Hitung Per Bulan'!B124,Pivot_!B:B,'Hitung Per Bulan'!C124)</f>
        <v>0</v>
      </c>
    </row>
    <row r="125" spans="1:16" x14ac:dyDescent="0.45">
      <c r="A125" t="s">
        <v>12</v>
      </c>
      <c r="B125" t="s">
        <v>27</v>
      </c>
      <c r="C125" t="s">
        <v>23</v>
      </c>
      <c r="D125" s="27">
        <v>0</v>
      </c>
      <c r="E125" s="3" t="s">
        <v>41</v>
      </c>
      <c r="F125" s="23">
        <v>0</v>
      </c>
      <c r="G125" s="3" t="s">
        <v>41</v>
      </c>
      <c r="I125" s="25" t="str">
        <f t="shared" si="13"/>
        <v/>
      </c>
      <c r="J125" s="25" t="str">
        <f t="shared" si="13"/>
        <v/>
      </c>
      <c r="L125" s="29"/>
      <c r="M125" s="29"/>
      <c r="O125" s="72"/>
      <c r="P125" s="72"/>
    </row>
    <row r="126" spans="1:16" x14ac:dyDescent="0.45">
      <c r="A126" t="s">
        <v>13</v>
      </c>
      <c r="B126" t="s">
        <v>27</v>
      </c>
      <c r="C126" t="s">
        <v>23</v>
      </c>
      <c r="D126" s="27">
        <v>200000000</v>
      </c>
      <c r="E126" s="3" t="s">
        <v>41</v>
      </c>
      <c r="F126" s="23">
        <v>0</v>
      </c>
      <c r="G126" s="3" t="s">
        <v>41</v>
      </c>
      <c r="I126" s="25" t="str">
        <f t="shared" si="13"/>
        <v/>
      </c>
      <c r="J126" s="25" t="str">
        <f t="shared" si="13"/>
        <v/>
      </c>
      <c r="L126" s="3"/>
      <c r="M126" s="3"/>
    </row>
    <row r="127" spans="1:16" x14ac:dyDescent="0.45">
      <c r="A127" t="s">
        <v>14</v>
      </c>
      <c r="B127" t="s">
        <v>27</v>
      </c>
      <c r="C127" t="s">
        <v>23</v>
      </c>
      <c r="D127" s="27">
        <v>0</v>
      </c>
      <c r="E127" s="3" t="s">
        <v>41</v>
      </c>
      <c r="F127" s="23">
        <v>0</v>
      </c>
      <c r="G127" s="3" t="s">
        <v>41</v>
      </c>
      <c r="I127" s="25" t="str">
        <f t="shared" si="13"/>
        <v/>
      </c>
      <c r="J127" s="25" t="str">
        <f t="shared" si="13"/>
        <v/>
      </c>
      <c r="L127" s="3"/>
      <c r="M127" s="3"/>
    </row>
    <row r="128" spans="1:16" x14ac:dyDescent="0.45">
      <c r="A128" t="s">
        <v>15</v>
      </c>
      <c r="B128" t="s">
        <v>27</v>
      </c>
      <c r="C128" t="s">
        <v>23</v>
      </c>
      <c r="D128" s="27">
        <v>0</v>
      </c>
      <c r="E128" s="3" t="s">
        <v>41</v>
      </c>
      <c r="F128" s="23">
        <v>0</v>
      </c>
      <c r="G128" s="3" t="s">
        <v>41</v>
      </c>
      <c r="I128" s="25" t="str">
        <f t="shared" si="13"/>
        <v/>
      </c>
      <c r="J128" s="25" t="str">
        <f t="shared" si="13"/>
        <v/>
      </c>
      <c r="L128" s="3"/>
      <c r="M128" s="3"/>
    </row>
    <row r="129" spans="1:16" x14ac:dyDescent="0.45">
      <c r="A129" t="s">
        <v>16</v>
      </c>
      <c r="B129" t="s">
        <v>27</v>
      </c>
      <c r="C129" t="s">
        <v>23</v>
      </c>
      <c r="D129" s="27">
        <v>0</v>
      </c>
      <c r="E129" s="3" t="s">
        <v>41</v>
      </c>
      <c r="F129" s="23">
        <v>0</v>
      </c>
      <c r="G129" s="3" t="s">
        <v>41</v>
      </c>
      <c r="I129" s="25" t="str">
        <f t="shared" si="13"/>
        <v/>
      </c>
      <c r="J129" s="25" t="str">
        <f t="shared" si="13"/>
        <v/>
      </c>
      <c r="L129" s="3"/>
      <c r="M129" s="3"/>
    </row>
    <row r="130" spans="1:16" x14ac:dyDescent="0.45">
      <c r="A130" t="s">
        <v>17</v>
      </c>
      <c r="B130" t="s">
        <v>27</v>
      </c>
      <c r="C130" t="s">
        <v>23</v>
      </c>
      <c r="D130" s="27">
        <v>0</v>
      </c>
      <c r="E130" s="3" t="s">
        <v>41</v>
      </c>
      <c r="F130" s="23">
        <v>200000000</v>
      </c>
      <c r="G130" s="3" t="s">
        <v>41</v>
      </c>
      <c r="I130" s="25" t="str">
        <f t="shared" si="13"/>
        <v/>
      </c>
      <c r="J130" s="25" t="str">
        <f t="shared" si="13"/>
        <v/>
      </c>
      <c r="L130" s="3"/>
      <c r="M130" s="3"/>
    </row>
    <row r="131" spans="1:16" x14ac:dyDescent="0.45">
      <c r="A131" t="s">
        <v>18</v>
      </c>
      <c r="B131" t="s">
        <v>27</v>
      </c>
      <c r="C131" t="s">
        <v>23</v>
      </c>
      <c r="D131" s="27">
        <v>0</v>
      </c>
      <c r="E131" s="3" t="s">
        <v>41</v>
      </c>
      <c r="F131" s="23">
        <v>0</v>
      </c>
      <c r="G131" s="3" t="s">
        <v>41</v>
      </c>
      <c r="I131" s="25" t="str">
        <f t="shared" si="13"/>
        <v/>
      </c>
      <c r="J131" s="25" t="str">
        <f t="shared" si="13"/>
        <v/>
      </c>
      <c r="L131" s="3"/>
      <c r="M131" s="3"/>
    </row>
    <row r="132" spans="1:16" x14ac:dyDescent="0.45">
      <c r="A132" t="s">
        <v>19</v>
      </c>
      <c r="B132" t="s">
        <v>27</v>
      </c>
      <c r="C132" t="s">
        <v>23</v>
      </c>
      <c r="D132" s="27">
        <v>200000000</v>
      </c>
      <c r="E132" s="3" t="s">
        <v>41</v>
      </c>
      <c r="F132" s="23">
        <v>0</v>
      </c>
      <c r="G132" s="3" t="s">
        <v>41</v>
      </c>
      <c r="I132" s="25" t="str">
        <f t="shared" si="13"/>
        <v/>
      </c>
      <c r="J132" s="25" t="str">
        <f t="shared" si="13"/>
        <v/>
      </c>
      <c r="L132" s="3"/>
      <c r="M132" s="3"/>
    </row>
    <row r="133" spans="1:16" x14ac:dyDescent="0.45">
      <c r="A133" t="s">
        <v>20</v>
      </c>
      <c r="B133" t="s">
        <v>27</v>
      </c>
      <c r="C133" t="s">
        <v>23</v>
      </c>
      <c r="D133" s="27">
        <v>0</v>
      </c>
      <c r="E133" s="3" t="s">
        <v>41</v>
      </c>
      <c r="F133" s="23">
        <v>200000000</v>
      </c>
      <c r="G133" s="3" t="s">
        <v>41</v>
      </c>
      <c r="I133" s="25" t="str">
        <f t="shared" si="13"/>
        <v/>
      </c>
      <c r="J133" s="25" t="str">
        <f t="shared" si="13"/>
        <v/>
      </c>
      <c r="L133" s="3"/>
      <c r="M133" s="3"/>
    </row>
    <row r="134" spans="1:16" x14ac:dyDescent="0.45">
      <c r="A134" t="s">
        <v>7</v>
      </c>
      <c r="B134" t="s">
        <v>27</v>
      </c>
      <c r="C134" t="s">
        <v>24</v>
      </c>
      <c r="D134" s="27">
        <v>0</v>
      </c>
      <c r="E134" s="3">
        <v>0</v>
      </c>
      <c r="F134" s="23">
        <v>0</v>
      </c>
      <c r="G134" s="3">
        <v>0</v>
      </c>
      <c r="I134" s="22">
        <f t="shared" ref="I134:J134" si="22">IF(L134="","",L134)</f>
        <v>0</v>
      </c>
      <c r="J134" s="22">
        <f t="shared" si="22"/>
        <v>0</v>
      </c>
      <c r="L134" s="3">
        <v>0</v>
      </c>
      <c r="M134" s="3">
        <v>0</v>
      </c>
    </row>
    <row r="135" spans="1:16" x14ac:dyDescent="0.45">
      <c r="A135" t="s">
        <v>10</v>
      </c>
      <c r="B135" t="s">
        <v>27</v>
      </c>
      <c r="C135" t="s">
        <v>24</v>
      </c>
      <c r="D135" s="28">
        <v>0</v>
      </c>
      <c r="E135" s="4">
        <v>0</v>
      </c>
      <c r="F135" s="24">
        <v>0</v>
      </c>
      <c r="G135" s="4">
        <v>0</v>
      </c>
      <c r="I135" s="25">
        <f t="shared" ref="I135:J135" si="23">IF(L135="","",L135-L134)</f>
        <v>0</v>
      </c>
      <c r="J135" s="25">
        <f t="shared" si="23"/>
        <v>0</v>
      </c>
      <c r="L135" s="4">
        <v>0</v>
      </c>
      <c r="M135" s="4">
        <v>0</v>
      </c>
    </row>
    <row r="136" spans="1:16" x14ac:dyDescent="0.45">
      <c r="A136" t="s">
        <v>11</v>
      </c>
      <c r="B136" t="s">
        <v>27</v>
      </c>
      <c r="C136" t="s">
        <v>24</v>
      </c>
      <c r="D136" s="27">
        <v>0</v>
      </c>
      <c r="E136" s="3">
        <v>0</v>
      </c>
      <c r="F136" s="23">
        <v>0</v>
      </c>
      <c r="G136" s="3">
        <v>0</v>
      </c>
      <c r="I136" s="25">
        <f t="shared" si="13"/>
        <v>0</v>
      </c>
      <c r="J136" s="25">
        <f t="shared" si="13"/>
        <v>0</v>
      </c>
      <c r="L136" s="29">
        <f>SUMIFS(Pivot_!C:C,Pivot_!A:A,'Hitung Per Bulan'!B136,Pivot_!B:B,'Hitung Per Bulan'!C136)</f>
        <v>0</v>
      </c>
      <c r="M136" s="29">
        <f>SUMIFS(Pivot_!D:D,Pivot_!A:A,'Hitung Per Bulan'!B136,Pivot_!B:B,'Hitung Per Bulan'!C136)</f>
        <v>0</v>
      </c>
    </row>
    <row r="137" spans="1:16" x14ac:dyDescent="0.45">
      <c r="A137" t="s">
        <v>12</v>
      </c>
      <c r="B137" t="s">
        <v>27</v>
      </c>
      <c r="C137" t="s">
        <v>24</v>
      </c>
      <c r="D137" s="27">
        <v>0</v>
      </c>
      <c r="E137" s="3" t="s">
        <v>41</v>
      </c>
      <c r="F137" s="23">
        <v>0</v>
      </c>
      <c r="G137" s="3" t="s">
        <v>41</v>
      </c>
      <c r="I137" s="25" t="str">
        <f t="shared" si="13"/>
        <v/>
      </c>
      <c r="J137" s="25" t="str">
        <f t="shared" si="13"/>
        <v/>
      </c>
      <c r="L137" s="29"/>
      <c r="M137" s="29"/>
      <c r="O137" s="72"/>
      <c r="P137" s="72"/>
    </row>
    <row r="138" spans="1:16" x14ac:dyDescent="0.45">
      <c r="A138" t="s">
        <v>13</v>
      </c>
      <c r="B138" t="s">
        <v>27</v>
      </c>
      <c r="C138" t="s">
        <v>24</v>
      </c>
      <c r="D138" s="27">
        <v>0</v>
      </c>
      <c r="E138" s="3" t="s">
        <v>41</v>
      </c>
      <c r="F138" s="23">
        <v>0</v>
      </c>
      <c r="G138" s="3" t="s">
        <v>41</v>
      </c>
      <c r="I138" s="25" t="str">
        <f t="shared" si="13"/>
        <v/>
      </c>
      <c r="J138" s="25" t="str">
        <f t="shared" si="13"/>
        <v/>
      </c>
      <c r="L138" s="3"/>
      <c r="M138" s="3"/>
    </row>
    <row r="139" spans="1:16" x14ac:dyDescent="0.45">
      <c r="A139" t="s">
        <v>14</v>
      </c>
      <c r="B139" t="s">
        <v>27</v>
      </c>
      <c r="C139" t="s">
        <v>24</v>
      </c>
      <c r="D139" s="27">
        <v>0</v>
      </c>
      <c r="E139" s="3" t="s">
        <v>41</v>
      </c>
      <c r="F139" s="23">
        <v>0</v>
      </c>
      <c r="G139" s="3" t="s">
        <v>41</v>
      </c>
      <c r="I139" s="25" t="str">
        <f t="shared" si="13"/>
        <v/>
      </c>
      <c r="J139" s="25" t="str">
        <f t="shared" si="13"/>
        <v/>
      </c>
      <c r="L139" s="3"/>
      <c r="M139" s="3"/>
    </row>
    <row r="140" spans="1:16" x14ac:dyDescent="0.45">
      <c r="A140" t="s">
        <v>15</v>
      </c>
      <c r="B140" t="s">
        <v>27</v>
      </c>
      <c r="C140" t="s">
        <v>24</v>
      </c>
      <c r="D140" s="27">
        <v>0</v>
      </c>
      <c r="E140" s="3" t="s">
        <v>41</v>
      </c>
      <c r="F140" s="23">
        <v>0</v>
      </c>
      <c r="G140" s="3" t="s">
        <v>41</v>
      </c>
      <c r="I140" s="25" t="str">
        <f t="shared" si="13"/>
        <v/>
      </c>
      <c r="J140" s="25" t="str">
        <f t="shared" si="13"/>
        <v/>
      </c>
      <c r="L140" s="3"/>
      <c r="M140" s="3"/>
    </row>
    <row r="141" spans="1:16" x14ac:dyDescent="0.45">
      <c r="A141" t="s">
        <v>16</v>
      </c>
      <c r="B141" t="s">
        <v>27</v>
      </c>
      <c r="C141" t="s">
        <v>24</v>
      </c>
      <c r="D141" s="27">
        <v>0</v>
      </c>
      <c r="E141" s="3" t="s">
        <v>41</v>
      </c>
      <c r="F141" s="23">
        <v>0</v>
      </c>
      <c r="G141" s="3" t="s">
        <v>41</v>
      </c>
      <c r="I141" s="25" t="str">
        <f t="shared" si="13"/>
        <v/>
      </c>
      <c r="J141" s="25" t="str">
        <f t="shared" si="13"/>
        <v/>
      </c>
      <c r="L141" s="3"/>
      <c r="M141" s="3"/>
    </row>
    <row r="142" spans="1:16" x14ac:dyDescent="0.45">
      <c r="A142" t="s">
        <v>17</v>
      </c>
      <c r="B142" t="s">
        <v>27</v>
      </c>
      <c r="C142" t="s">
        <v>24</v>
      </c>
      <c r="D142" s="27">
        <v>0</v>
      </c>
      <c r="E142" s="3" t="s">
        <v>41</v>
      </c>
      <c r="F142" s="23">
        <v>0</v>
      </c>
      <c r="G142" s="3" t="s">
        <v>41</v>
      </c>
      <c r="I142" s="25" t="str">
        <f t="shared" si="13"/>
        <v/>
      </c>
      <c r="J142" s="25" t="str">
        <f t="shared" si="13"/>
        <v/>
      </c>
      <c r="L142" s="3"/>
      <c r="M142" s="3"/>
    </row>
    <row r="143" spans="1:16" x14ac:dyDescent="0.45">
      <c r="A143" t="s">
        <v>18</v>
      </c>
      <c r="B143" t="s">
        <v>27</v>
      </c>
      <c r="C143" t="s">
        <v>24</v>
      </c>
      <c r="D143" s="27">
        <v>0</v>
      </c>
      <c r="E143" s="3" t="s">
        <v>41</v>
      </c>
      <c r="F143" s="23">
        <v>0</v>
      </c>
      <c r="G143" s="3" t="s">
        <v>41</v>
      </c>
      <c r="I143" s="25" t="str">
        <f t="shared" ref="I143:J205" si="24">IF(L143="","",L143-L142)</f>
        <v/>
      </c>
      <c r="J143" s="25" t="str">
        <f t="shared" si="24"/>
        <v/>
      </c>
      <c r="L143" s="3"/>
      <c r="M143" s="3"/>
    </row>
    <row r="144" spans="1:16" x14ac:dyDescent="0.45">
      <c r="A144" t="s">
        <v>19</v>
      </c>
      <c r="B144" t="s">
        <v>27</v>
      </c>
      <c r="C144" t="s">
        <v>24</v>
      </c>
      <c r="D144" s="27">
        <v>0</v>
      </c>
      <c r="E144" s="3" t="s">
        <v>41</v>
      </c>
      <c r="F144" s="23">
        <v>0</v>
      </c>
      <c r="G144" s="3" t="s">
        <v>41</v>
      </c>
      <c r="I144" s="25" t="str">
        <f t="shared" si="24"/>
        <v/>
      </c>
      <c r="J144" s="25" t="str">
        <f t="shared" si="24"/>
        <v/>
      </c>
      <c r="L144" s="3"/>
      <c r="M144" s="3"/>
    </row>
    <row r="145" spans="1:16" x14ac:dyDescent="0.45">
      <c r="A145" t="s">
        <v>20</v>
      </c>
      <c r="B145" t="s">
        <v>27</v>
      </c>
      <c r="C145" t="s">
        <v>24</v>
      </c>
      <c r="D145" s="27">
        <v>0</v>
      </c>
      <c r="E145" s="3" t="s">
        <v>41</v>
      </c>
      <c r="F145" s="23">
        <v>0</v>
      </c>
      <c r="G145" s="3" t="s">
        <v>41</v>
      </c>
      <c r="I145" s="25" t="str">
        <f t="shared" si="24"/>
        <v/>
      </c>
      <c r="J145" s="25" t="str">
        <f t="shared" si="24"/>
        <v/>
      </c>
      <c r="L145" s="3"/>
      <c r="M145" s="3"/>
    </row>
    <row r="146" spans="1:16" x14ac:dyDescent="0.45">
      <c r="A146" t="s">
        <v>7</v>
      </c>
      <c r="B146" t="s">
        <v>27</v>
      </c>
      <c r="C146" t="s">
        <v>25</v>
      </c>
      <c r="D146" s="27">
        <v>78140000</v>
      </c>
      <c r="E146" s="3">
        <v>99858450</v>
      </c>
      <c r="F146" s="23">
        <v>52140000</v>
      </c>
      <c r="G146" s="3">
        <v>27147500</v>
      </c>
      <c r="I146" s="22">
        <f t="shared" ref="I146:J146" si="25">IF(L146="","",L146)</f>
        <v>99858450</v>
      </c>
      <c r="J146" s="22">
        <f t="shared" si="25"/>
        <v>27147500</v>
      </c>
      <c r="L146" s="3">
        <v>99858450</v>
      </c>
      <c r="M146" s="3">
        <v>27147500</v>
      </c>
    </row>
    <row r="147" spans="1:16" x14ac:dyDescent="0.45">
      <c r="A147" t="s">
        <v>10</v>
      </c>
      <c r="B147" t="s">
        <v>27</v>
      </c>
      <c r="C147" t="s">
        <v>25</v>
      </c>
      <c r="D147" s="28">
        <v>128140000</v>
      </c>
      <c r="E147" s="4">
        <v>70819316</v>
      </c>
      <c r="F147" s="24">
        <v>78140000</v>
      </c>
      <c r="G147" s="4">
        <v>86687950</v>
      </c>
      <c r="I147" s="25">
        <f t="shared" ref="I147:J147" si="26">IF(L147="","",L147-L146)</f>
        <v>70819316</v>
      </c>
      <c r="J147" s="25">
        <f t="shared" si="26"/>
        <v>86687950</v>
      </c>
      <c r="L147" s="4">
        <v>170677766</v>
      </c>
      <c r="M147" s="4">
        <v>113835450</v>
      </c>
    </row>
    <row r="148" spans="1:16" x14ac:dyDescent="0.45">
      <c r="A148" t="s">
        <v>11</v>
      </c>
      <c r="B148" t="s">
        <v>27</v>
      </c>
      <c r="C148" t="s">
        <v>25</v>
      </c>
      <c r="D148" s="27">
        <v>123140000</v>
      </c>
      <c r="E148" s="3">
        <v>89402275</v>
      </c>
      <c r="F148" s="23">
        <v>88140000</v>
      </c>
      <c r="G148" s="3">
        <v>16207500</v>
      </c>
      <c r="I148" s="25">
        <f t="shared" si="24"/>
        <v>421373245</v>
      </c>
      <c r="J148" s="25">
        <f t="shared" si="24"/>
        <v>94035325</v>
      </c>
      <c r="L148" s="29">
        <f>SUMIFS(Pivot_!C:C,Pivot_!A:A,'Hitung Per Bulan'!B148,Pivot_!B:B,'Hitung Per Bulan'!C148)</f>
        <v>592051011</v>
      </c>
      <c r="M148" s="29">
        <f>SUMIFS(Pivot_!D:D,Pivot_!A:A,'Hitung Per Bulan'!B148,Pivot_!B:B,'Hitung Per Bulan'!C148)</f>
        <v>207870775</v>
      </c>
    </row>
    <row r="149" spans="1:16" x14ac:dyDescent="0.45">
      <c r="A149" t="s">
        <v>12</v>
      </c>
      <c r="B149" t="s">
        <v>27</v>
      </c>
      <c r="C149" t="s">
        <v>25</v>
      </c>
      <c r="D149" s="27">
        <v>503140000</v>
      </c>
      <c r="E149" s="3" t="s">
        <v>41</v>
      </c>
      <c r="F149" s="23">
        <v>123140000</v>
      </c>
      <c r="G149" s="3" t="s">
        <v>41</v>
      </c>
      <c r="I149" s="25" t="str">
        <f t="shared" si="24"/>
        <v/>
      </c>
      <c r="J149" s="25" t="str">
        <f t="shared" si="24"/>
        <v/>
      </c>
      <c r="L149" s="29"/>
      <c r="M149" s="29"/>
      <c r="O149" s="72"/>
      <c r="P149" s="72"/>
    </row>
    <row r="150" spans="1:16" x14ac:dyDescent="0.45">
      <c r="A150" t="s">
        <v>13</v>
      </c>
      <c r="B150" t="s">
        <v>27</v>
      </c>
      <c r="C150" t="s">
        <v>25</v>
      </c>
      <c r="D150" s="27">
        <v>315120000</v>
      </c>
      <c r="E150" s="3" t="s">
        <v>41</v>
      </c>
      <c r="F150" s="23">
        <v>178140000</v>
      </c>
      <c r="G150" s="3" t="s">
        <v>41</v>
      </c>
      <c r="I150" s="25" t="str">
        <f t="shared" si="24"/>
        <v/>
      </c>
      <c r="J150" s="25" t="str">
        <f t="shared" si="24"/>
        <v/>
      </c>
      <c r="L150" s="3"/>
      <c r="M150" s="3"/>
    </row>
    <row r="151" spans="1:16" x14ac:dyDescent="0.45">
      <c r="A151" t="s">
        <v>14</v>
      </c>
      <c r="B151" t="s">
        <v>27</v>
      </c>
      <c r="C151" t="s">
        <v>25</v>
      </c>
      <c r="D151" s="27">
        <v>88140000</v>
      </c>
      <c r="E151" s="3" t="s">
        <v>41</v>
      </c>
      <c r="F151" s="23">
        <v>480120000</v>
      </c>
      <c r="G151" s="3" t="s">
        <v>41</v>
      </c>
      <c r="I151" s="25" t="str">
        <f t="shared" si="24"/>
        <v/>
      </c>
      <c r="J151" s="25" t="str">
        <f t="shared" si="24"/>
        <v/>
      </c>
      <c r="L151" s="3"/>
      <c r="M151" s="3"/>
    </row>
    <row r="152" spans="1:16" x14ac:dyDescent="0.45">
      <c r="A152" t="s">
        <v>15</v>
      </c>
      <c r="B152" t="s">
        <v>27</v>
      </c>
      <c r="C152" t="s">
        <v>25</v>
      </c>
      <c r="D152" s="27">
        <v>88140000</v>
      </c>
      <c r="E152" s="3" t="s">
        <v>41</v>
      </c>
      <c r="F152" s="23">
        <v>88140000</v>
      </c>
      <c r="G152" s="3" t="s">
        <v>41</v>
      </c>
      <c r="I152" s="25" t="str">
        <f t="shared" si="24"/>
        <v/>
      </c>
      <c r="J152" s="25" t="str">
        <f t="shared" si="24"/>
        <v/>
      </c>
      <c r="L152" s="3"/>
      <c r="M152" s="3"/>
    </row>
    <row r="153" spans="1:16" x14ac:dyDescent="0.45">
      <c r="A153" t="s">
        <v>16</v>
      </c>
      <c r="B153" t="s">
        <v>27</v>
      </c>
      <c r="C153" t="s">
        <v>25</v>
      </c>
      <c r="D153" s="27">
        <v>401140000</v>
      </c>
      <c r="E153" s="3" t="s">
        <v>41</v>
      </c>
      <c r="F153" s="23">
        <v>328140000</v>
      </c>
      <c r="G153" s="3" t="s">
        <v>41</v>
      </c>
      <c r="I153" s="25" t="str">
        <f t="shared" si="24"/>
        <v/>
      </c>
      <c r="J153" s="25" t="str">
        <f t="shared" si="24"/>
        <v/>
      </c>
      <c r="L153" s="3"/>
      <c r="M153" s="3"/>
    </row>
    <row r="154" spans="1:16" x14ac:dyDescent="0.45">
      <c r="A154" t="s">
        <v>17</v>
      </c>
      <c r="B154" t="s">
        <v>27</v>
      </c>
      <c r="C154" t="s">
        <v>25</v>
      </c>
      <c r="D154" s="27">
        <v>483946000</v>
      </c>
      <c r="E154" s="3" t="s">
        <v>41</v>
      </c>
      <c r="F154" s="23">
        <v>161140000</v>
      </c>
      <c r="G154" s="3" t="s">
        <v>41</v>
      </c>
      <c r="I154" s="25" t="str">
        <f t="shared" si="24"/>
        <v/>
      </c>
      <c r="J154" s="25" t="str">
        <f t="shared" si="24"/>
        <v/>
      </c>
      <c r="L154" s="3"/>
      <c r="M154" s="3"/>
    </row>
    <row r="155" spans="1:16" x14ac:dyDescent="0.45">
      <c r="A155" t="s">
        <v>18</v>
      </c>
      <c r="B155" t="s">
        <v>27</v>
      </c>
      <c r="C155" t="s">
        <v>25</v>
      </c>
      <c r="D155" s="27">
        <v>124060000</v>
      </c>
      <c r="E155" s="3" t="s">
        <v>41</v>
      </c>
      <c r="F155" s="23">
        <v>116560000</v>
      </c>
      <c r="G155" s="3" t="s">
        <v>41</v>
      </c>
      <c r="I155" s="25" t="str">
        <f t="shared" si="24"/>
        <v/>
      </c>
      <c r="J155" s="25" t="str">
        <f t="shared" si="24"/>
        <v/>
      </c>
      <c r="L155" s="3"/>
      <c r="M155" s="3"/>
    </row>
    <row r="156" spans="1:16" x14ac:dyDescent="0.45">
      <c r="A156" t="s">
        <v>19</v>
      </c>
      <c r="B156" t="s">
        <v>27</v>
      </c>
      <c r="C156" t="s">
        <v>25</v>
      </c>
      <c r="D156" s="27">
        <v>125640000</v>
      </c>
      <c r="E156" s="3" t="s">
        <v>41</v>
      </c>
      <c r="F156" s="23">
        <v>295640000</v>
      </c>
      <c r="G156" s="3" t="s">
        <v>41</v>
      </c>
      <c r="I156" s="25" t="str">
        <f t="shared" si="24"/>
        <v/>
      </c>
      <c r="J156" s="25" t="str">
        <f t="shared" si="24"/>
        <v/>
      </c>
      <c r="L156" s="3"/>
      <c r="M156" s="3"/>
    </row>
    <row r="157" spans="1:16" x14ac:dyDescent="0.45">
      <c r="A157" t="s">
        <v>20</v>
      </c>
      <c r="B157" t="s">
        <v>27</v>
      </c>
      <c r="C157" t="s">
        <v>25</v>
      </c>
      <c r="D157" s="27">
        <v>102260000</v>
      </c>
      <c r="E157" s="3" t="s">
        <v>41</v>
      </c>
      <c r="F157" s="23">
        <v>571566000</v>
      </c>
      <c r="G157" s="3" t="s">
        <v>41</v>
      </c>
      <c r="I157" s="25" t="str">
        <f t="shared" si="24"/>
        <v/>
      </c>
      <c r="J157" s="25" t="str">
        <f t="shared" si="24"/>
        <v/>
      </c>
      <c r="L157" s="3"/>
      <c r="M157" s="3"/>
    </row>
    <row r="158" spans="1:16" x14ac:dyDescent="0.45">
      <c r="A158" t="s">
        <v>7</v>
      </c>
      <c r="B158" t="s">
        <v>27</v>
      </c>
      <c r="C158" t="s">
        <v>26</v>
      </c>
      <c r="D158" s="27">
        <v>291666000</v>
      </c>
      <c r="E158" s="3">
        <v>243961748</v>
      </c>
      <c r="F158" s="23">
        <v>291666000</v>
      </c>
      <c r="G158" s="3">
        <v>243961748</v>
      </c>
      <c r="I158" s="22">
        <f t="shared" ref="I158:J158" si="27">IF(L158="","",L158)</f>
        <v>243961748</v>
      </c>
      <c r="J158" s="22">
        <f t="shared" si="27"/>
        <v>243961748</v>
      </c>
      <c r="L158" s="3">
        <v>243961748</v>
      </c>
      <c r="M158" s="3">
        <v>243961748</v>
      </c>
    </row>
    <row r="159" spans="1:16" x14ac:dyDescent="0.45">
      <c r="A159" t="s">
        <v>10</v>
      </c>
      <c r="B159" t="s">
        <v>27</v>
      </c>
      <c r="C159" t="s">
        <v>26</v>
      </c>
      <c r="D159" s="28">
        <v>291666000</v>
      </c>
      <c r="E159" s="4">
        <v>222698232</v>
      </c>
      <c r="F159" s="24">
        <v>291666000</v>
      </c>
      <c r="G159" s="4">
        <v>222698232</v>
      </c>
      <c r="I159" s="25">
        <f t="shared" ref="I159:J159" si="28">IF(L159="","",L159-L158)</f>
        <v>222698232</v>
      </c>
      <c r="J159" s="25">
        <f t="shared" si="28"/>
        <v>222698232</v>
      </c>
      <c r="L159" s="4">
        <v>466659980</v>
      </c>
      <c r="M159" s="4">
        <v>466659980</v>
      </c>
    </row>
    <row r="160" spans="1:16" x14ac:dyDescent="0.45">
      <c r="A160" t="s">
        <v>11</v>
      </c>
      <c r="B160" t="s">
        <v>27</v>
      </c>
      <c r="C160" t="s">
        <v>26</v>
      </c>
      <c r="D160" s="27">
        <v>291666000</v>
      </c>
      <c r="E160" s="3">
        <v>0</v>
      </c>
      <c r="F160" s="23">
        <v>291666000</v>
      </c>
      <c r="G160" s="3">
        <v>0</v>
      </c>
      <c r="I160" s="25">
        <f t="shared" si="24"/>
        <v>208609967</v>
      </c>
      <c r="J160" s="25">
        <f t="shared" si="24"/>
        <v>208609967</v>
      </c>
      <c r="L160" s="29">
        <f>SUMIFS(Pivot_!C:C,Pivot_!A:A,'Hitung Per Bulan'!B160,Pivot_!B:B,'Hitung Per Bulan'!C160)</f>
        <v>675269947</v>
      </c>
      <c r="M160" s="29">
        <f>SUMIFS(Pivot_!D:D,Pivot_!A:A,'Hitung Per Bulan'!B160,Pivot_!B:B,'Hitung Per Bulan'!C160)</f>
        <v>675269947</v>
      </c>
    </row>
    <row r="161" spans="1:16" x14ac:dyDescent="0.45">
      <c r="A161" t="s">
        <v>12</v>
      </c>
      <c r="B161" t="s">
        <v>27</v>
      </c>
      <c r="C161" t="s">
        <v>26</v>
      </c>
      <c r="D161" s="27">
        <v>291666000</v>
      </c>
      <c r="E161" s="3" t="s">
        <v>41</v>
      </c>
      <c r="F161" s="23">
        <v>291666000</v>
      </c>
      <c r="G161" s="3" t="s">
        <v>41</v>
      </c>
      <c r="I161" s="25" t="str">
        <f t="shared" si="24"/>
        <v/>
      </c>
      <c r="J161" s="25" t="str">
        <f t="shared" si="24"/>
        <v/>
      </c>
      <c r="L161" s="29"/>
      <c r="M161" s="29"/>
      <c r="O161" s="72"/>
      <c r="P161" s="72"/>
    </row>
    <row r="162" spans="1:16" x14ac:dyDescent="0.45">
      <c r="A162" t="s">
        <v>13</v>
      </c>
      <c r="B162" t="s">
        <v>27</v>
      </c>
      <c r="C162" t="s">
        <v>26</v>
      </c>
      <c r="D162" s="27">
        <v>291666000</v>
      </c>
      <c r="E162" s="3" t="s">
        <v>41</v>
      </c>
      <c r="F162" s="23">
        <v>291666000</v>
      </c>
      <c r="G162" s="3" t="s">
        <v>41</v>
      </c>
      <c r="I162" s="25" t="str">
        <f t="shared" si="24"/>
        <v/>
      </c>
      <c r="J162" s="25" t="str">
        <f t="shared" si="24"/>
        <v/>
      </c>
      <c r="L162" s="3"/>
      <c r="M162" s="3"/>
    </row>
    <row r="163" spans="1:16" x14ac:dyDescent="0.45">
      <c r="A163" t="s">
        <v>14</v>
      </c>
      <c r="B163" t="s">
        <v>27</v>
      </c>
      <c r="C163" t="s">
        <v>26</v>
      </c>
      <c r="D163" s="27">
        <v>291666000</v>
      </c>
      <c r="E163" s="3" t="s">
        <v>41</v>
      </c>
      <c r="F163" s="23">
        <v>291666000</v>
      </c>
      <c r="G163" s="3" t="s">
        <v>41</v>
      </c>
      <c r="I163" s="25" t="str">
        <f t="shared" si="24"/>
        <v/>
      </c>
      <c r="J163" s="25" t="str">
        <f t="shared" si="24"/>
        <v/>
      </c>
      <c r="L163" s="3"/>
      <c r="M163" s="3"/>
    </row>
    <row r="164" spans="1:16" x14ac:dyDescent="0.45">
      <c r="A164" t="s">
        <v>15</v>
      </c>
      <c r="B164" t="s">
        <v>27</v>
      </c>
      <c r="C164" t="s">
        <v>26</v>
      </c>
      <c r="D164" s="27">
        <v>291666000</v>
      </c>
      <c r="E164" s="3" t="s">
        <v>41</v>
      </c>
      <c r="F164" s="23">
        <v>291666000</v>
      </c>
      <c r="G164" s="3" t="s">
        <v>41</v>
      </c>
      <c r="I164" s="25" t="str">
        <f t="shared" si="24"/>
        <v/>
      </c>
      <c r="J164" s="25" t="str">
        <f t="shared" si="24"/>
        <v/>
      </c>
      <c r="L164" s="3"/>
      <c r="M164" s="3"/>
    </row>
    <row r="165" spans="1:16" x14ac:dyDescent="0.45">
      <c r="A165" t="s">
        <v>16</v>
      </c>
      <c r="B165" t="s">
        <v>27</v>
      </c>
      <c r="C165" t="s">
        <v>26</v>
      </c>
      <c r="D165" s="27">
        <v>291666000</v>
      </c>
      <c r="E165" s="3" t="s">
        <v>41</v>
      </c>
      <c r="F165" s="23">
        <v>291666000</v>
      </c>
      <c r="G165" s="3" t="s">
        <v>41</v>
      </c>
      <c r="I165" s="25" t="str">
        <f t="shared" si="24"/>
        <v/>
      </c>
      <c r="J165" s="25" t="str">
        <f t="shared" si="24"/>
        <v/>
      </c>
      <c r="L165" s="3"/>
      <c r="M165" s="3"/>
    </row>
    <row r="166" spans="1:16" x14ac:dyDescent="0.45">
      <c r="A166" t="s">
        <v>17</v>
      </c>
      <c r="B166" t="s">
        <v>27</v>
      </c>
      <c r="C166" t="s">
        <v>26</v>
      </c>
      <c r="D166" s="27">
        <v>291666000</v>
      </c>
      <c r="E166" s="3" t="s">
        <v>41</v>
      </c>
      <c r="F166" s="23">
        <v>291666000</v>
      </c>
      <c r="G166" s="3" t="s">
        <v>41</v>
      </c>
      <c r="I166" s="25" t="str">
        <f t="shared" si="24"/>
        <v/>
      </c>
      <c r="J166" s="25" t="str">
        <f t="shared" si="24"/>
        <v/>
      </c>
      <c r="L166" s="3"/>
      <c r="M166" s="3"/>
    </row>
    <row r="167" spans="1:16" x14ac:dyDescent="0.45">
      <c r="A167" t="s">
        <v>18</v>
      </c>
      <c r="B167" t="s">
        <v>27</v>
      </c>
      <c r="C167" t="s">
        <v>26</v>
      </c>
      <c r="D167" s="27">
        <v>291666000</v>
      </c>
      <c r="E167" s="3" t="s">
        <v>41</v>
      </c>
      <c r="F167" s="23">
        <v>291666000</v>
      </c>
      <c r="G167" s="3" t="s">
        <v>41</v>
      </c>
      <c r="I167" s="25" t="str">
        <f t="shared" si="24"/>
        <v/>
      </c>
      <c r="J167" s="25" t="str">
        <f t="shared" si="24"/>
        <v/>
      </c>
      <c r="L167" s="3"/>
      <c r="M167" s="3"/>
    </row>
    <row r="168" spans="1:16" x14ac:dyDescent="0.45">
      <c r="A168" t="s">
        <v>19</v>
      </c>
      <c r="B168" t="s">
        <v>27</v>
      </c>
      <c r="C168" t="s">
        <v>26</v>
      </c>
      <c r="D168" s="27">
        <v>291666000</v>
      </c>
      <c r="E168" s="3" t="s">
        <v>41</v>
      </c>
      <c r="F168" s="23">
        <v>291666000</v>
      </c>
      <c r="G168" s="3" t="s">
        <v>41</v>
      </c>
      <c r="I168" s="25" t="str">
        <f t="shared" si="24"/>
        <v/>
      </c>
      <c r="J168" s="25" t="str">
        <f t="shared" si="24"/>
        <v/>
      </c>
      <c r="L168" s="3"/>
      <c r="M168" s="3"/>
    </row>
    <row r="169" spans="1:16" x14ac:dyDescent="0.45">
      <c r="A169" t="s">
        <v>20</v>
      </c>
      <c r="B169" t="s">
        <v>27</v>
      </c>
      <c r="C169" t="s">
        <v>26</v>
      </c>
      <c r="D169" s="27">
        <v>291674000</v>
      </c>
      <c r="E169" s="3" t="s">
        <v>41</v>
      </c>
      <c r="F169" s="23">
        <v>291674000</v>
      </c>
      <c r="G169" s="3" t="s">
        <v>41</v>
      </c>
      <c r="I169" s="25" t="str">
        <f t="shared" si="24"/>
        <v/>
      </c>
      <c r="J169" s="25" t="str">
        <f t="shared" si="24"/>
        <v/>
      </c>
      <c r="L169" s="3"/>
      <c r="M169" s="3"/>
    </row>
    <row r="170" spans="1:16" x14ac:dyDescent="0.45">
      <c r="A170" t="s">
        <v>7</v>
      </c>
      <c r="B170" t="s">
        <v>28</v>
      </c>
      <c r="C170" t="s">
        <v>9</v>
      </c>
      <c r="D170" s="27">
        <v>24114094667</v>
      </c>
      <c r="E170" s="3">
        <v>450857274</v>
      </c>
      <c r="F170" s="23">
        <v>0</v>
      </c>
      <c r="G170" s="3">
        <v>0</v>
      </c>
      <c r="I170" s="22">
        <f t="shared" ref="I170:J170" si="29">IF(L170="","",L170)</f>
        <v>450857274</v>
      </c>
      <c r="J170" s="22">
        <f t="shared" si="29"/>
        <v>0</v>
      </c>
      <c r="L170" s="3">
        <v>450857274</v>
      </c>
      <c r="M170" s="3">
        <v>0</v>
      </c>
    </row>
    <row r="171" spans="1:16" x14ac:dyDescent="0.45">
      <c r="A171" t="s">
        <v>10</v>
      </c>
      <c r="B171" t="s">
        <v>28</v>
      </c>
      <c r="C171" t="s">
        <v>9</v>
      </c>
      <c r="D171" s="28">
        <v>3125397667</v>
      </c>
      <c r="E171" s="4">
        <v>25211824009</v>
      </c>
      <c r="F171" s="24">
        <v>194371000</v>
      </c>
      <c r="G171" s="4">
        <v>457037427</v>
      </c>
      <c r="I171" s="25">
        <f t="shared" ref="I171:J171" si="30">IF(L171="","",L171-L170)</f>
        <v>25211824009</v>
      </c>
      <c r="J171" s="25">
        <f t="shared" si="30"/>
        <v>457037427</v>
      </c>
      <c r="L171" s="4">
        <v>25662681283</v>
      </c>
      <c r="M171" s="4">
        <v>457037427</v>
      </c>
    </row>
    <row r="172" spans="1:16" x14ac:dyDescent="0.45">
      <c r="A172" t="s">
        <v>11</v>
      </c>
      <c r="B172" t="s">
        <v>28</v>
      </c>
      <c r="C172" t="s">
        <v>9</v>
      </c>
      <c r="D172" s="27">
        <v>353351000</v>
      </c>
      <c r="E172" s="3">
        <v>557084481</v>
      </c>
      <c r="F172" s="23">
        <v>194371000</v>
      </c>
      <c r="G172" s="3">
        <v>4230631181</v>
      </c>
      <c r="I172" s="25">
        <f t="shared" si="24"/>
        <v>2640927066</v>
      </c>
      <c r="J172" s="25">
        <f t="shared" si="24"/>
        <v>9175653217</v>
      </c>
      <c r="L172" s="29">
        <f>SUMIFS(Pivot_!C:C,Pivot_!A:A,'Hitung Per Bulan'!B172,Pivot_!B:B,'Hitung Per Bulan'!C172)</f>
        <v>28303608349</v>
      </c>
      <c r="M172" s="29">
        <f>SUMIFS(Pivot_!D:D,Pivot_!A:A,'Hitung Per Bulan'!B172,Pivot_!B:B,'Hitung Per Bulan'!C172)</f>
        <v>9632690644</v>
      </c>
    </row>
    <row r="173" spans="1:16" x14ac:dyDescent="0.45">
      <c r="A173" t="s">
        <v>12</v>
      </c>
      <c r="B173" t="s">
        <v>28</v>
      </c>
      <c r="C173" t="s">
        <v>9</v>
      </c>
      <c r="D173" s="27">
        <v>1333955667</v>
      </c>
      <c r="E173" s="3" t="s">
        <v>41</v>
      </c>
      <c r="F173" s="23">
        <v>694781000</v>
      </c>
      <c r="G173" s="3" t="s">
        <v>41</v>
      </c>
      <c r="I173" s="25" t="str">
        <f t="shared" si="24"/>
        <v/>
      </c>
      <c r="J173" s="25" t="str">
        <f t="shared" si="24"/>
        <v/>
      </c>
      <c r="L173" s="29"/>
      <c r="M173" s="29"/>
      <c r="O173" s="72"/>
      <c r="P173" s="72"/>
    </row>
    <row r="174" spans="1:16" x14ac:dyDescent="0.45">
      <c r="A174" t="s">
        <v>13</v>
      </c>
      <c r="B174" t="s">
        <v>28</v>
      </c>
      <c r="C174" t="s">
        <v>9</v>
      </c>
      <c r="D174" s="27">
        <v>2268107667</v>
      </c>
      <c r="E174" s="3" t="s">
        <v>41</v>
      </c>
      <c r="F174" s="23">
        <v>1386632000</v>
      </c>
      <c r="G174" s="3" t="s">
        <v>41</v>
      </c>
      <c r="I174" s="25" t="str">
        <f t="shared" si="24"/>
        <v/>
      </c>
      <c r="J174" s="25" t="str">
        <f t="shared" si="24"/>
        <v/>
      </c>
      <c r="L174" s="3"/>
      <c r="M174" s="3"/>
    </row>
    <row r="175" spans="1:16" x14ac:dyDescent="0.45">
      <c r="A175" t="s">
        <v>14</v>
      </c>
      <c r="B175" t="s">
        <v>28</v>
      </c>
      <c r="C175" t="s">
        <v>9</v>
      </c>
      <c r="D175" s="27">
        <v>2362976667</v>
      </c>
      <c r="E175" s="3" t="s">
        <v>41</v>
      </c>
      <c r="F175" s="23">
        <v>908992000</v>
      </c>
      <c r="G175" s="3" t="s">
        <v>41</v>
      </c>
      <c r="I175" s="25" t="str">
        <f t="shared" si="24"/>
        <v/>
      </c>
      <c r="J175" s="25" t="str">
        <f t="shared" si="24"/>
        <v/>
      </c>
      <c r="L175" s="3"/>
      <c r="M175" s="3"/>
    </row>
    <row r="176" spans="1:16" x14ac:dyDescent="0.45">
      <c r="A176" t="s">
        <v>15</v>
      </c>
      <c r="B176" t="s">
        <v>28</v>
      </c>
      <c r="C176" t="s">
        <v>9</v>
      </c>
      <c r="D176" s="27">
        <v>2424464667</v>
      </c>
      <c r="E176" s="3" t="s">
        <v>41</v>
      </c>
      <c r="F176" s="23">
        <v>2563018000</v>
      </c>
      <c r="G176" s="3" t="s">
        <v>41</v>
      </c>
      <c r="I176" s="25" t="str">
        <f t="shared" si="24"/>
        <v/>
      </c>
      <c r="J176" s="25" t="str">
        <f t="shared" si="24"/>
        <v/>
      </c>
      <c r="L176" s="3"/>
      <c r="M176" s="3"/>
    </row>
    <row r="177" spans="1:16" x14ac:dyDescent="0.45">
      <c r="A177" t="s">
        <v>16</v>
      </c>
      <c r="B177" t="s">
        <v>28</v>
      </c>
      <c r="C177" t="s">
        <v>9</v>
      </c>
      <c r="D177" s="27">
        <v>2517762667</v>
      </c>
      <c r="E177" s="3" t="s">
        <v>41</v>
      </c>
      <c r="F177" s="23">
        <v>1841049000</v>
      </c>
      <c r="G177" s="3" t="s">
        <v>41</v>
      </c>
      <c r="I177" s="25" t="str">
        <f t="shared" si="24"/>
        <v/>
      </c>
      <c r="J177" s="25" t="str">
        <f t="shared" si="24"/>
        <v/>
      </c>
      <c r="L177" s="3"/>
      <c r="M177" s="3"/>
    </row>
    <row r="178" spans="1:16" x14ac:dyDescent="0.45">
      <c r="A178" t="s">
        <v>17</v>
      </c>
      <c r="B178" t="s">
        <v>28</v>
      </c>
      <c r="C178" t="s">
        <v>9</v>
      </c>
      <c r="D178" s="27">
        <v>1885646667</v>
      </c>
      <c r="E178" s="3" t="s">
        <v>41</v>
      </c>
      <c r="F178" s="23">
        <v>1189324000</v>
      </c>
      <c r="G178" s="3" t="s">
        <v>41</v>
      </c>
      <c r="I178" s="25" t="str">
        <f t="shared" si="24"/>
        <v/>
      </c>
      <c r="J178" s="25" t="str">
        <f t="shared" si="24"/>
        <v/>
      </c>
      <c r="L178" s="3"/>
      <c r="M178" s="3"/>
    </row>
    <row r="179" spans="1:16" x14ac:dyDescent="0.45">
      <c r="A179" t="s">
        <v>18</v>
      </c>
      <c r="B179" t="s">
        <v>28</v>
      </c>
      <c r="C179" t="s">
        <v>9</v>
      </c>
      <c r="D179" s="27">
        <v>1076401667</v>
      </c>
      <c r="E179" s="3" t="s">
        <v>41</v>
      </c>
      <c r="F179" s="23">
        <v>6212854000</v>
      </c>
      <c r="G179" s="3" t="s">
        <v>41</v>
      </c>
      <c r="I179" s="25" t="str">
        <f t="shared" si="24"/>
        <v/>
      </c>
      <c r="J179" s="25" t="str">
        <f t="shared" si="24"/>
        <v/>
      </c>
      <c r="L179" s="3"/>
      <c r="M179" s="3"/>
    </row>
    <row r="180" spans="1:16" x14ac:dyDescent="0.45">
      <c r="A180" t="s">
        <v>19</v>
      </c>
      <c r="B180" t="s">
        <v>28</v>
      </c>
      <c r="C180" t="s">
        <v>9</v>
      </c>
      <c r="D180" s="27">
        <v>293350667</v>
      </c>
      <c r="E180" s="3" t="s">
        <v>41</v>
      </c>
      <c r="F180" s="23">
        <v>13410728000</v>
      </c>
      <c r="G180" s="3" t="s">
        <v>41</v>
      </c>
      <c r="I180" s="25" t="str">
        <f t="shared" si="24"/>
        <v/>
      </c>
      <c r="J180" s="25" t="str">
        <f t="shared" si="24"/>
        <v/>
      </c>
      <c r="L180" s="3"/>
      <c r="M180" s="3"/>
    </row>
    <row r="181" spans="1:16" x14ac:dyDescent="0.45">
      <c r="A181" t="s">
        <v>20</v>
      </c>
      <c r="B181" t="s">
        <v>28</v>
      </c>
      <c r="C181" t="s">
        <v>9</v>
      </c>
      <c r="D181" s="27">
        <v>194370667</v>
      </c>
      <c r="E181" s="3" t="s">
        <v>41</v>
      </c>
      <c r="F181" s="23">
        <v>13353760000</v>
      </c>
      <c r="G181" s="3" t="s">
        <v>41</v>
      </c>
      <c r="I181" s="25" t="str">
        <f t="shared" si="24"/>
        <v/>
      </c>
      <c r="J181" s="25" t="str">
        <f t="shared" si="24"/>
        <v/>
      </c>
      <c r="L181" s="3"/>
      <c r="M181" s="3"/>
    </row>
    <row r="182" spans="1:16" x14ac:dyDescent="0.45">
      <c r="A182" t="s">
        <v>7</v>
      </c>
      <c r="B182" t="s">
        <v>28</v>
      </c>
      <c r="C182" t="s">
        <v>21</v>
      </c>
      <c r="D182" s="27">
        <v>0</v>
      </c>
      <c r="E182" s="3">
        <v>7366373</v>
      </c>
      <c r="F182" s="23">
        <v>0</v>
      </c>
      <c r="G182" s="3">
        <v>0</v>
      </c>
      <c r="I182" s="22">
        <f t="shared" ref="I182:J182" si="31">IF(L182="","",L182)</f>
        <v>7366373</v>
      </c>
      <c r="J182" s="22">
        <f t="shared" si="31"/>
        <v>0</v>
      </c>
      <c r="L182" s="3">
        <v>7366373</v>
      </c>
      <c r="M182" s="3">
        <v>0</v>
      </c>
    </row>
    <row r="183" spans="1:16" x14ac:dyDescent="0.45">
      <c r="A183" t="s">
        <v>10</v>
      </c>
      <c r="B183" t="s">
        <v>28</v>
      </c>
      <c r="C183" t="s">
        <v>21</v>
      </c>
      <c r="D183" s="28">
        <v>69155000</v>
      </c>
      <c r="E183" s="4">
        <v>108905600</v>
      </c>
      <c r="F183" s="24">
        <v>0</v>
      </c>
      <c r="G183" s="4">
        <v>7366373</v>
      </c>
      <c r="I183" s="25">
        <f t="shared" ref="I183:J183" si="32">IF(L183="","",L183-L182)</f>
        <v>108905600</v>
      </c>
      <c r="J183" s="25">
        <f t="shared" si="32"/>
        <v>7366373</v>
      </c>
      <c r="L183" s="4">
        <v>116271973</v>
      </c>
      <c r="M183" s="4">
        <v>7366373</v>
      </c>
    </row>
    <row r="184" spans="1:16" x14ac:dyDescent="0.45">
      <c r="A184" t="s">
        <v>11</v>
      </c>
      <c r="B184" t="s">
        <v>28</v>
      </c>
      <c r="C184" t="s">
        <v>21</v>
      </c>
      <c r="D184" s="27">
        <v>76585000</v>
      </c>
      <c r="E184" s="3">
        <v>0</v>
      </c>
      <c r="F184" s="23">
        <v>69155000</v>
      </c>
      <c r="G184" s="3">
        <v>45150000</v>
      </c>
      <c r="I184" s="25">
        <f t="shared" si="24"/>
        <v>486628000</v>
      </c>
      <c r="J184" s="25">
        <f t="shared" si="24"/>
        <v>97569100</v>
      </c>
      <c r="L184" s="29">
        <f>SUMIFS(Pivot_!C:C,Pivot_!A:A,'Hitung Per Bulan'!B184,Pivot_!B:B,'Hitung Per Bulan'!C184)</f>
        <v>602899973</v>
      </c>
      <c r="M184" s="29">
        <f>SUMIFS(Pivot_!D:D,Pivot_!A:A,'Hitung Per Bulan'!B184,Pivot_!B:B,'Hitung Per Bulan'!C184)</f>
        <v>104935473</v>
      </c>
    </row>
    <row r="185" spans="1:16" x14ac:dyDescent="0.45">
      <c r="A185" t="s">
        <v>12</v>
      </c>
      <c r="B185" t="s">
        <v>28</v>
      </c>
      <c r="C185" t="s">
        <v>21</v>
      </c>
      <c r="D185" s="27">
        <v>478750000</v>
      </c>
      <c r="E185" s="3" t="s">
        <v>41</v>
      </c>
      <c r="F185" s="23">
        <v>76585000</v>
      </c>
      <c r="G185" s="3" t="s">
        <v>41</v>
      </c>
      <c r="I185" s="25" t="str">
        <f t="shared" si="24"/>
        <v/>
      </c>
      <c r="J185" s="25" t="str">
        <f t="shared" si="24"/>
        <v/>
      </c>
      <c r="L185" s="29"/>
      <c r="M185" s="29"/>
      <c r="O185" s="72"/>
      <c r="P185" s="72"/>
    </row>
    <row r="186" spans="1:16" x14ac:dyDescent="0.45">
      <c r="A186" t="s">
        <v>13</v>
      </c>
      <c r="B186" t="s">
        <v>28</v>
      </c>
      <c r="C186" t="s">
        <v>21</v>
      </c>
      <c r="D186" s="27">
        <v>331409000</v>
      </c>
      <c r="E186" s="3" t="s">
        <v>41</v>
      </c>
      <c r="F186" s="23">
        <v>78750000</v>
      </c>
      <c r="G186" s="3" t="s">
        <v>41</v>
      </c>
      <c r="I186" s="25" t="str">
        <f t="shared" si="24"/>
        <v/>
      </c>
      <c r="J186" s="25" t="str">
        <f t="shared" si="24"/>
        <v/>
      </c>
      <c r="L186" s="3"/>
      <c r="M186" s="3"/>
    </row>
    <row r="187" spans="1:16" x14ac:dyDescent="0.45">
      <c r="A187" t="s">
        <v>14</v>
      </c>
      <c r="B187" t="s">
        <v>28</v>
      </c>
      <c r="C187" t="s">
        <v>21</v>
      </c>
      <c r="D187" s="27">
        <v>425832000</v>
      </c>
      <c r="E187" s="3" t="s">
        <v>41</v>
      </c>
      <c r="F187" s="23">
        <v>331409000</v>
      </c>
      <c r="G187" s="3" t="s">
        <v>41</v>
      </c>
      <c r="I187" s="25" t="str">
        <f t="shared" si="24"/>
        <v/>
      </c>
      <c r="J187" s="25" t="str">
        <f t="shared" si="24"/>
        <v/>
      </c>
      <c r="L187" s="3"/>
      <c r="M187" s="3"/>
    </row>
    <row r="188" spans="1:16" x14ac:dyDescent="0.45">
      <c r="A188" t="s">
        <v>15</v>
      </c>
      <c r="B188" t="s">
        <v>28</v>
      </c>
      <c r="C188" t="s">
        <v>21</v>
      </c>
      <c r="D188" s="27">
        <v>720000000</v>
      </c>
      <c r="E188" s="3" t="s">
        <v>41</v>
      </c>
      <c r="F188" s="23">
        <v>645000000</v>
      </c>
      <c r="G188" s="3" t="s">
        <v>41</v>
      </c>
      <c r="I188" s="25" t="str">
        <f t="shared" si="24"/>
        <v/>
      </c>
      <c r="J188" s="25" t="str">
        <f t="shared" si="24"/>
        <v/>
      </c>
      <c r="L188" s="3"/>
      <c r="M188" s="3"/>
    </row>
    <row r="189" spans="1:16" x14ac:dyDescent="0.45">
      <c r="A189" t="s">
        <v>16</v>
      </c>
      <c r="B189" t="s">
        <v>28</v>
      </c>
      <c r="C189" t="s">
        <v>21</v>
      </c>
      <c r="D189" s="27">
        <v>980337000</v>
      </c>
      <c r="E189" s="3" t="s">
        <v>41</v>
      </c>
      <c r="F189" s="23">
        <v>470000000</v>
      </c>
      <c r="G189" s="3" t="s">
        <v>41</v>
      </c>
      <c r="I189" s="25" t="str">
        <f t="shared" si="24"/>
        <v/>
      </c>
      <c r="J189" s="25" t="str">
        <f t="shared" si="24"/>
        <v/>
      </c>
      <c r="L189" s="3"/>
      <c r="M189" s="3"/>
    </row>
    <row r="190" spans="1:16" x14ac:dyDescent="0.45">
      <c r="A190" t="s">
        <v>17</v>
      </c>
      <c r="B190" t="s">
        <v>28</v>
      </c>
      <c r="C190" t="s">
        <v>21</v>
      </c>
      <c r="D190" s="27">
        <v>30000000</v>
      </c>
      <c r="E190" s="3" t="s">
        <v>41</v>
      </c>
      <c r="F190" s="23">
        <v>569582000</v>
      </c>
      <c r="G190" s="3" t="s">
        <v>41</v>
      </c>
      <c r="I190" s="25" t="str">
        <f t="shared" si="24"/>
        <v/>
      </c>
      <c r="J190" s="25" t="str">
        <f t="shared" si="24"/>
        <v/>
      </c>
      <c r="L190" s="3"/>
      <c r="M190" s="3"/>
    </row>
    <row r="191" spans="1:16" x14ac:dyDescent="0.45">
      <c r="A191" t="s">
        <v>18</v>
      </c>
      <c r="B191" t="s">
        <v>28</v>
      </c>
      <c r="C191" t="s">
        <v>21</v>
      </c>
      <c r="D191" s="27">
        <v>30000000</v>
      </c>
      <c r="E191" s="3" t="s">
        <v>41</v>
      </c>
      <c r="F191" s="23">
        <v>280000000</v>
      </c>
      <c r="G191" s="3" t="s">
        <v>41</v>
      </c>
      <c r="I191" s="25" t="str">
        <f t="shared" si="24"/>
        <v/>
      </c>
      <c r="J191" s="25" t="str">
        <f t="shared" si="24"/>
        <v/>
      </c>
      <c r="L191" s="3"/>
      <c r="M191" s="3"/>
    </row>
    <row r="192" spans="1:16" x14ac:dyDescent="0.45">
      <c r="A192" t="s">
        <v>19</v>
      </c>
      <c r="B192" t="s">
        <v>28</v>
      </c>
      <c r="C192" t="s">
        <v>21</v>
      </c>
      <c r="D192" s="27">
        <v>30000000</v>
      </c>
      <c r="E192" s="3" t="s">
        <v>41</v>
      </c>
      <c r="F192" s="23">
        <v>621587000</v>
      </c>
      <c r="G192" s="3" t="s">
        <v>41</v>
      </c>
      <c r="I192" s="25" t="str">
        <f t="shared" si="24"/>
        <v/>
      </c>
      <c r="J192" s="25" t="str">
        <f t="shared" si="24"/>
        <v/>
      </c>
      <c r="L192" s="3"/>
      <c r="M192" s="3"/>
    </row>
    <row r="193" spans="1:16" x14ac:dyDescent="0.45">
      <c r="A193" t="s">
        <v>20</v>
      </c>
      <c r="B193" t="s">
        <v>28</v>
      </c>
      <c r="C193" t="s">
        <v>21</v>
      </c>
      <c r="D193" s="27">
        <v>0</v>
      </c>
      <c r="E193" s="3" t="s">
        <v>41</v>
      </c>
      <c r="F193" s="23">
        <v>30000000</v>
      </c>
      <c r="G193" s="3" t="s">
        <v>41</v>
      </c>
      <c r="I193" s="25" t="str">
        <f t="shared" si="24"/>
        <v/>
      </c>
      <c r="J193" s="25" t="str">
        <f t="shared" si="24"/>
        <v/>
      </c>
      <c r="L193" s="3"/>
      <c r="M193" s="3"/>
    </row>
    <row r="194" spans="1:16" x14ac:dyDescent="0.45">
      <c r="A194" t="s">
        <v>7</v>
      </c>
      <c r="B194" t="s">
        <v>28</v>
      </c>
      <c r="C194" t="s">
        <v>22</v>
      </c>
      <c r="D194" s="27">
        <v>0</v>
      </c>
      <c r="E194" s="3">
        <v>0</v>
      </c>
      <c r="F194" s="23">
        <v>0</v>
      </c>
      <c r="G194" s="3">
        <v>0</v>
      </c>
      <c r="I194" s="22">
        <f t="shared" ref="I194:J194" si="33">IF(L194="","",L194)</f>
        <v>0</v>
      </c>
      <c r="J194" s="22">
        <f t="shared" si="33"/>
        <v>0</v>
      </c>
      <c r="L194" s="3">
        <v>0</v>
      </c>
      <c r="M194" s="3">
        <v>0</v>
      </c>
    </row>
    <row r="195" spans="1:16" x14ac:dyDescent="0.45">
      <c r="A195" t="s">
        <v>10</v>
      </c>
      <c r="B195" t="s">
        <v>28</v>
      </c>
      <c r="C195" t="s">
        <v>22</v>
      </c>
      <c r="D195" s="28">
        <v>0</v>
      </c>
      <c r="E195" s="4">
        <v>0</v>
      </c>
      <c r="F195" s="24">
        <v>0</v>
      </c>
      <c r="G195" s="4">
        <v>0</v>
      </c>
      <c r="I195" s="25">
        <f t="shared" ref="I195:J195" si="34">IF(L195="","",L195-L194)</f>
        <v>0</v>
      </c>
      <c r="J195" s="25">
        <f t="shared" si="34"/>
        <v>0</v>
      </c>
      <c r="L195" s="4">
        <v>0</v>
      </c>
      <c r="M195" s="4">
        <v>0</v>
      </c>
    </row>
    <row r="196" spans="1:16" x14ac:dyDescent="0.45">
      <c r="A196" t="s">
        <v>11</v>
      </c>
      <c r="B196" t="s">
        <v>28</v>
      </c>
      <c r="C196" t="s">
        <v>22</v>
      </c>
      <c r="D196" s="27">
        <v>0</v>
      </c>
      <c r="E196" s="3">
        <v>0</v>
      </c>
      <c r="F196" s="23">
        <v>0</v>
      </c>
      <c r="G196" s="3">
        <v>0</v>
      </c>
      <c r="I196" s="25">
        <f t="shared" si="24"/>
        <v>0</v>
      </c>
      <c r="J196" s="25">
        <f t="shared" si="24"/>
        <v>0</v>
      </c>
      <c r="L196" s="29">
        <f>SUMIFS(Pivot_!C:C,Pivot_!A:A,'Hitung Per Bulan'!B196,Pivot_!B:B,'Hitung Per Bulan'!C196)</f>
        <v>0</v>
      </c>
      <c r="M196" s="29">
        <f>SUMIFS(Pivot_!D:D,Pivot_!A:A,'Hitung Per Bulan'!B196,Pivot_!B:B,'Hitung Per Bulan'!C196)</f>
        <v>0</v>
      </c>
    </row>
    <row r="197" spans="1:16" x14ac:dyDescent="0.45">
      <c r="A197" t="s">
        <v>12</v>
      </c>
      <c r="B197" t="s">
        <v>28</v>
      </c>
      <c r="C197" t="s">
        <v>22</v>
      </c>
      <c r="D197" s="27">
        <v>0</v>
      </c>
      <c r="E197" s="3" t="s">
        <v>41</v>
      </c>
      <c r="F197" s="23">
        <v>0</v>
      </c>
      <c r="G197" s="3" t="s">
        <v>41</v>
      </c>
      <c r="I197" s="25" t="str">
        <f t="shared" si="24"/>
        <v/>
      </c>
      <c r="J197" s="25" t="str">
        <f t="shared" si="24"/>
        <v/>
      </c>
      <c r="L197" s="29"/>
      <c r="M197" s="29"/>
      <c r="O197" s="72"/>
      <c r="P197" s="72"/>
    </row>
    <row r="198" spans="1:16" x14ac:dyDescent="0.45">
      <c r="A198" t="s">
        <v>13</v>
      </c>
      <c r="B198" t="s">
        <v>28</v>
      </c>
      <c r="C198" t="s">
        <v>22</v>
      </c>
      <c r="D198" s="27">
        <v>0</v>
      </c>
      <c r="E198" s="3" t="s">
        <v>41</v>
      </c>
      <c r="F198" s="23">
        <v>0</v>
      </c>
      <c r="G198" s="3" t="s">
        <v>41</v>
      </c>
      <c r="I198" s="25" t="str">
        <f t="shared" si="24"/>
        <v/>
      </c>
      <c r="J198" s="25" t="str">
        <f t="shared" si="24"/>
        <v/>
      </c>
      <c r="L198" s="3"/>
      <c r="M198" s="3"/>
    </row>
    <row r="199" spans="1:16" x14ac:dyDescent="0.45">
      <c r="A199" t="s">
        <v>14</v>
      </c>
      <c r="B199" t="s">
        <v>28</v>
      </c>
      <c r="C199" t="s">
        <v>22</v>
      </c>
      <c r="D199" s="27">
        <v>0</v>
      </c>
      <c r="E199" s="3" t="s">
        <v>41</v>
      </c>
      <c r="F199" s="23">
        <v>0</v>
      </c>
      <c r="G199" s="3" t="s">
        <v>41</v>
      </c>
      <c r="I199" s="25" t="str">
        <f t="shared" si="24"/>
        <v/>
      </c>
      <c r="J199" s="25" t="str">
        <f t="shared" si="24"/>
        <v/>
      </c>
      <c r="L199" s="3"/>
      <c r="M199" s="3"/>
    </row>
    <row r="200" spans="1:16" x14ac:dyDescent="0.45">
      <c r="A200" t="s">
        <v>15</v>
      </c>
      <c r="B200" t="s">
        <v>28</v>
      </c>
      <c r="C200" t="s">
        <v>22</v>
      </c>
      <c r="D200" s="27">
        <v>0</v>
      </c>
      <c r="E200" s="3" t="s">
        <v>41</v>
      </c>
      <c r="F200" s="23">
        <v>0</v>
      </c>
      <c r="G200" s="3" t="s">
        <v>41</v>
      </c>
      <c r="I200" s="25" t="str">
        <f t="shared" si="24"/>
        <v/>
      </c>
      <c r="J200" s="25" t="str">
        <f t="shared" si="24"/>
        <v/>
      </c>
      <c r="L200" s="3"/>
      <c r="M200" s="3"/>
    </row>
    <row r="201" spans="1:16" x14ac:dyDescent="0.45">
      <c r="A201" t="s">
        <v>16</v>
      </c>
      <c r="B201" t="s">
        <v>28</v>
      </c>
      <c r="C201" t="s">
        <v>22</v>
      </c>
      <c r="D201" s="27">
        <v>0</v>
      </c>
      <c r="E201" s="3" t="s">
        <v>41</v>
      </c>
      <c r="F201" s="23">
        <v>0</v>
      </c>
      <c r="G201" s="3" t="s">
        <v>41</v>
      </c>
      <c r="I201" s="25" t="str">
        <f t="shared" si="24"/>
        <v/>
      </c>
      <c r="J201" s="25" t="str">
        <f t="shared" si="24"/>
        <v/>
      </c>
      <c r="L201" s="3"/>
      <c r="M201" s="3"/>
    </row>
    <row r="202" spans="1:16" x14ac:dyDescent="0.45">
      <c r="A202" t="s">
        <v>17</v>
      </c>
      <c r="B202" t="s">
        <v>28</v>
      </c>
      <c r="C202" t="s">
        <v>22</v>
      </c>
      <c r="D202" s="27">
        <v>0</v>
      </c>
      <c r="E202" s="3" t="s">
        <v>41</v>
      </c>
      <c r="F202" s="23">
        <v>0</v>
      </c>
      <c r="G202" s="3" t="s">
        <v>41</v>
      </c>
      <c r="I202" s="25" t="str">
        <f t="shared" si="24"/>
        <v/>
      </c>
      <c r="J202" s="25" t="str">
        <f t="shared" si="24"/>
        <v/>
      </c>
      <c r="L202" s="3"/>
      <c r="M202" s="3"/>
    </row>
    <row r="203" spans="1:16" x14ac:dyDescent="0.45">
      <c r="A203" t="s">
        <v>18</v>
      </c>
      <c r="B203" t="s">
        <v>28</v>
      </c>
      <c r="C203" t="s">
        <v>22</v>
      </c>
      <c r="D203" s="27">
        <v>0</v>
      </c>
      <c r="E203" s="3" t="s">
        <v>41</v>
      </c>
      <c r="F203" s="23">
        <v>0</v>
      </c>
      <c r="G203" s="3" t="s">
        <v>41</v>
      </c>
      <c r="I203" s="25" t="str">
        <f t="shared" si="24"/>
        <v/>
      </c>
      <c r="J203" s="25" t="str">
        <f t="shared" si="24"/>
        <v/>
      </c>
      <c r="L203" s="3"/>
      <c r="M203" s="3"/>
    </row>
    <row r="204" spans="1:16" x14ac:dyDescent="0.45">
      <c r="A204" t="s">
        <v>19</v>
      </c>
      <c r="B204" t="s">
        <v>28</v>
      </c>
      <c r="C204" t="s">
        <v>22</v>
      </c>
      <c r="D204" s="27">
        <v>0</v>
      </c>
      <c r="E204" s="3" t="s">
        <v>41</v>
      </c>
      <c r="F204" s="23">
        <v>0</v>
      </c>
      <c r="G204" s="3" t="s">
        <v>41</v>
      </c>
      <c r="I204" s="25" t="str">
        <f t="shared" si="24"/>
        <v/>
      </c>
      <c r="J204" s="25" t="str">
        <f t="shared" si="24"/>
        <v/>
      </c>
      <c r="L204" s="3"/>
      <c r="M204" s="3"/>
    </row>
    <row r="205" spans="1:16" x14ac:dyDescent="0.45">
      <c r="A205" t="s">
        <v>20</v>
      </c>
      <c r="B205" t="s">
        <v>28</v>
      </c>
      <c r="C205" t="s">
        <v>22</v>
      </c>
      <c r="D205" s="27">
        <v>0</v>
      </c>
      <c r="E205" s="3" t="s">
        <v>41</v>
      </c>
      <c r="F205" s="23">
        <v>0</v>
      </c>
      <c r="G205" s="3" t="s">
        <v>41</v>
      </c>
      <c r="I205" s="25" t="str">
        <f t="shared" si="24"/>
        <v/>
      </c>
      <c r="J205" s="25" t="str">
        <f t="shared" si="24"/>
        <v/>
      </c>
      <c r="L205" s="3"/>
      <c r="M205" s="3"/>
    </row>
    <row r="206" spans="1:16" x14ac:dyDescent="0.45">
      <c r="A206" t="s">
        <v>7</v>
      </c>
      <c r="B206" t="s">
        <v>28</v>
      </c>
      <c r="C206" t="s">
        <v>23</v>
      </c>
      <c r="D206" s="27">
        <v>0</v>
      </c>
      <c r="E206" s="3">
        <v>24488000</v>
      </c>
      <c r="F206" s="23">
        <v>0</v>
      </c>
      <c r="G206" s="3">
        <v>0</v>
      </c>
      <c r="I206" s="22">
        <f t="shared" ref="I206:J206" si="35">IF(L206="","",L206)</f>
        <v>24488000</v>
      </c>
      <c r="J206" s="22">
        <f t="shared" si="35"/>
        <v>0</v>
      </c>
      <c r="L206" s="3">
        <v>24488000</v>
      </c>
      <c r="M206" s="3">
        <v>0</v>
      </c>
    </row>
    <row r="207" spans="1:16" x14ac:dyDescent="0.45">
      <c r="A207" t="s">
        <v>10</v>
      </c>
      <c r="B207" t="s">
        <v>28</v>
      </c>
      <c r="C207" t="s">
        <v>23</v>
      </c>
      <c r="D207" s="28">
        <v>0</v>
      </c>
      <c r="E207" s="4">
        <v>0</v>
      </c>
      <c r="F207" s="24">
        <v>0</v>
      </c>
      <c r="G207" s="4">
        <v>24488000</v>
      </c>
      <c r="I207" s="25">
        <f t="shared" ref="I207:J270" si="36">IF(L207="","",L207-L206)</f>
        <v>0</v>
      </c>
      <c r="J207" s="25">
        <f t="shared" si="36"/>
        <v>24488000</v>
      </c>
      <c r="L207" s="4">
        <v>24488000</v>
      </c>
      <c r="M207" s="4">
        <v>24488000</v>
      </c>
    </row>
    <row r="208" spans="1:16" x14ac:dyDescent="0.45">
      <c r="A208" t="s">
        <v>11</v>
      </c>
      <c r="B208" t="s">
        <v>28</v>
      </c>
      <c r="C208" t="s">
        <v>23</v>
      </c>
      <c r="D208" s="27">
        <v>50000000</v>
      </c>
      <c r="E208" s="3">
        <v>0</v>
      </c>
      <c r="F208" s="23">
        <v>0</v>
      </c>
      <c r="G208" s="3">
        <v>0</v>
      </c>
      <c r="I208" s="25">
        <f t="shared" si="36"/>
        <v>41976000</v>
      </c>
      <c r="J208" s="25">
        <f t="shared" si="36"/>
        <v>0</v>
      </c>
      <c r="L208" s="29">
        <f>SUMIFS(Pivot_!C:C,Pivot_!A:A,'Hitung Per Bulan'!B208,Pivot_!B:B,'Hitung Per Bulan'!C208)</f>
        <v>66464000</v>
      </c>
      <c r="M208" s="29">
        <f>SUMIFS(Pivot_!D:D,Pivot_!A:A,'Hitung Per Bulan'!B208,Pivot_!B:B,'Hitung Per Bulan'!C208)</f>
        <v>24488000</v>
      </c>
    </row>
    <row r="209" spans="1:16" x14ac:dyDescent="0.45">
      <c r="A209" t="s">
        <v>12</v>
      </c>
      <c r="B209" t="s">
        <v>28</v>
      </c>
      <c r="C209" t="s">
        <v>23</v>
      </c>
      <c r="D209" s="27">
        <v>0</v>
      </c>
      <c r="E209" s="3" t="s">
        <v>41</v>
      </c>
      <c r="F209" s="23">
        <v>50000000</v>
      </c>
      <c r="G209" s="3" t="s">
        <v>41</v>
      </c>
      <c r="I209" s="25" t="str">
        <f t="shared" si="36"/>
        <v/>
      </c>
      <c r="J209" s="25" t="str">
        <f t="shared" si="36"/>
        <v/>
      </c>
      <c r="L209" s="29"/>
      <c r="M209" s="29"/>
      <c r="O209" s="72"/>
      <c r="P209" s="72"/>
    </row>
    <row r="210" spans="1:16" x14ac:dyDescent="0.45">
      <c r="A210" t="s">
        <v>13</v>
      </c>
      <c r="B210" t="s">
        <v>28</v>
      </c>
      <c r="C210" t="s">
        <v>23</v>
      </c>
      <c r="D210" s="27">
        <v>50000000</v>
      </c>
      <c r="E210" s="3" t="s">
        <v>41</v>
      </c>
      <c r="F210" s="23">
        <v>0</v>
      </c>
      <c r="G210" s="3" t="s">
        <v>41</v>
      </c>
      <c r="I210" s="25" t="str">
        <f t="shared" si="36"/>
        <v/>
      </c>
      <c r="J210" s="25" t="str">
        <f t="shared" si="36"/>
        <v/>
      </c>
      <c r="L210" s="3"/>
      <c r="M210" s="3"/>
    </row>
    <row r="211" spans="1:16" x14ac:dyDescent="0.45">
      <c r="A211" t="s">
        <v>14</v>
      </c>
      <c r="B211" t="s">
        <v>28</v>
      </c>
      <c r="C211" t="s">
        <v>23</v>
      </c>
      <c r="D211" s="27">
        <v>0</v>
      </c>
      <c r="E211" s="3" t="s">
        <v>41</v>
      </c>
      <c r="F211" s="23">
        <v>50000000</v>
      </c>
      <c r="G211" s="3" t="s">
        <v>41</v>
      </c>
      <c r="I211" s="25" t="str">
        <f t="shared" si="36"/>
        <v/>
      </c>
      <c r="J211" s="25" t="str">
        <f t="shared" si="36"/>
        <v/>
      </c>
      <c r="L211" s="3"/>
      <c r="M211" s="3"/>
    </row>
    <row r="212" spans="1:16" x14ac:dyDescent="0.45">
      <c r="A212" t="s">
        <v>15</v>
      </c>
      <c r="B212" t="s">
        <v>28</v>
      </c>
      <c r="C212" t="s">
        <v>23</v>
      </c>
      <c r="D212" s="27">
        <v>0</v>
      </c>
      <c r="E212" s="3" t="s">
        <v>41</v>
      </c>
      <c r="F212" s="23">
        <v>0</v>
      </c>
      <c r="G212" s="3" t="s">
        <v>41</v>
      </c>
      <c r="I212" s="25" t="str">
        <f t="shared" si="36"/>
        <v/>
      </c>
      <c r="J212" s="25" t="str">
        <f t="shared" si="36"/>
        <v/>
      </c>
      <c r="L212" s="3"/>
      <c r="M212" s="3"/>
    </row>
    <row r="213" spans="1:16" x14ac:dyDescent="0.45">
      <c r="A213" t="s">
        <v>16</v>
      </c>
      <c r="B213" t="s">
        <v>28</v>
      </c>
      <c r="C213" t="s">
        <v>23</v>
      </c>
      <c r="D213" s="27">
        <v>100000000</v>
      </c>
      <c r="E213" s="3" t="s">
        <v>41</v>
      </c>
      <c r="F213" s="23">
        <v>0</v>
      </c>
      <c r="G213" s="3" t="s">
        <v>41</v>
      </c>
      <c r="I213" s="25" t="str">
        <f t="shared" si="36"/>
        <v/>
      </c>
      <c r="J213" s="25" t="str">
        <f t="shared" si="36"/>
        <v/>
      </c>
      <c r="L213" s="3"/>
      <c r="M213" s="3"/>
    </row>
    <row r="214" spans="1:16" x14ac:dyDescent="0.45">
      <c r="A214" t="s">
        <v>17</v>
      </c>
      <c r="B214" t="s">
        <v>28</v>
      </c>
      <c r="C214" t="s">
        <v>23</v>
      </c>
      <c r="D214" s="27">
        <v>0</v>
      </c>
      <c r="E214" s="3" t="s">
        <v>41</v>
      </c>
      <c r="F214" s="23">
        <v>100000000</v>
      </c>
      <c r="G214" s="3" t="s">
        <v>41</v>
      </c>
      <c r="I214" s="25" t="str">
        <f t="shared" si="36"/>
        <v/>
      </c>
      <c r="J214" s="25" t="str">
        <f t="shared" si="36"/>
        <v/>
      </c>
      <c r="L214" s="3"/>
      <c r="M214" s="3"/>
    </row>
    <row r="215" spans="1:16" x14ac:dyDescent="0.45">
      <c r="A215" t="s">
        <v>18</v>
      </c>
      <c r="B215" t="s">
        <v>28</v>
      </c>
      <c r="C215" t="s">
        <v>23</v>
      </c>
      <c r="D215" s="27">
        <v>0</v>
      </c>
      <c r="E215" s="3" t="s">
        <v>41</v>
      </c>
      <c r="F215" s="23">
        <v>0</v>
      </c>
      <c r="G215" s="3" t="s">
        <v>41</v>
      </c>
      <c r="I215" s="25" t="str">
        <f t="shared" si="36"/>
        <v/>
      </c>
      <c r="J215" s="25" t="str">
        <f t="shared" si="36"/>
        <v/>
      </c>
      <c r="L215" s="3"/>
      <c r="M215" s="3"/>
    </row>
    <row r="216" spans="1:16" x14ac:dyDescent="0.45">
      <c r="A216" t="s">
        <v>19</v>
      </c>
      <c r="B216" t="s">
        <v>28</v>
      </c>
      <c r="C216" t="s">
        <v>23</v>
      </c>
      <c r="D216" s="27">
        <v>0</v>
      </c>
      <c r="E216" s="3" t="s">
        <v>41</v>
      </c>
      <c r="F216" s="23">
        <v>0</v>
      </c>
      <c r="G216" s="3" t="s">
        <v>41</v>
      </c>
      <c r="I216" s="25" t="str">
        <f t="shared" si="36"/>
        <v/>
      </c>
      <c r="J216" s="25" t="str">
        <f t="shared" si="36"/>
        <v/>
      </c>
      <c r="L216" s="3"/>
      <c r="M216" s="3"/>
    </row>
    <row r="217" spans="1:16" x14ac:dyDescent="0.45">
      <c r="A217" t="s">
        <v>20</v>
      </c>
      <c r="B217" t="s">
        <v>28</v>
      </c>
      <c r="C217" t="s">
        <v>23</v>
      </c>
      <c r="D217" s="27">
        <v>0</v>
      </c>
      <c r="E217" s="3" t="s">
        <v>41</v>
      </c>
      <c r="F217" s="23">
        <v>0</v>
      </c>
      <c r="G217" s="3" t="s">
        <v>41</v>
      </c>
      <c r="I217" s="25" t="str">
        <f t="shared" si="36"/>
        <v/>
      </c>
      <c r="J217" s="25" t="str">
        <f t="shared" si="36"/>
        <v/>
      </c>
      <c r="L217" s="3"/>
      <c r="M217" s="3"/>
    </row>
    <row r="218" spans="1:16" x14ac:dyDescent="0.45">
      <c r="A218" t="s">
        <v>7</v>
      </c>
      <c r="B218" t="s">
        <v>28</v>
      </c>
      <c r="C218" t="s">
        <v>24</v>
      </c>
      <c r="D218" s="27">
        <v>0</v>
      </c>
      <c r="E218" s="3">
        <v>0</v>
      </c>
      <c r="F218" s="23">
        <v>0</v>
      </c>
      <c r="G218" s="3">
        <v>0</v>
      </c>
      <c r="I218" s="22">
        <f t="shared" ref="I218:J218" si="37">IF(L218="","",L218)</f>
        <v>0</v>
      </c>
      <c r="J218" s="22">
        <f t="shared" si="37"/>
        <v>0</v>
      </c>
      <c r="L218" s="3">
        <v>0</v>
      </c>
      <c r="M218" s="3">
        <v>0</v>
      </c>
    </row>
    <row r="219" spans="1:16" x14ac:dyDescent="0.45">
      <c r="A219" t="s">
        <v>10</v>
      </c>
      <c r="B219" t="s">
        <v>28</v>
      </c>
      <c r="C219" t="s">
        <v>24</v>
      </c>
      <c r="D219" s="28">
        <v>0</v>
      </c>
      <c r="E219" s="4">
        <v>0</v>
      </c>
      <c r="F219" s="24">
        <v>0</v>
      </c>
      <c r="G219" s="4">
        <v>0</v>
      </c>
      <c r="I219" s="25">
        <f t="shared" ref="I219:J219" si="38">IF(L219="","",L219-L218)</f>
        <v>0</v>
      </c>
      <c r="J219" s="25">
        <f t="shared" si="38"/>
        <v>0</v>
      </c>
      <c r="L219" s="4">
        <v>0</v>
      </c>
      <c r="M219" s="4">
        <v>0</v>
      </c>
    </row>
    <row r="220" spans="1:16" x14ac:dyDescent="0.45">
      <c r="A220" t="s">
        <v>11</v>
      </c>
      <c r="B220" t="s">
        <v>28</v>
      </c>
      <c r="C220" t="s">
        <v>24</v>
      </c>
      <c r="D220" s="27">
        <v>0</v>
      </c>
      <c r="E220" s="3">
        <v>0</v>
      </c>
      <c r="F220" s="23">
        <v>0</v>
      </c>
      <c r="G220" s="3">
        <v>0</v>
      </c>
      <c r="I220" s="25">
        <f t="shared" si="36"/>
        <v>0</v>
      </c>
      <c r="J220" s="25">
        <f t="shared" si="36"/>
        <v>0</v>
      </c>
      <c r="L220" s="29">
        <f>SUMIFS(Pivot_!C:C,Pivot_!A:A,'Hitung Per Bulan'!B220,Pivot_!B:B,'Hitung Per Bulan'!C220)</f>
        <v>0</v>
      </c>
      <c r="M220" s="29">
        <f>SUMIFS(Pivot_!D:D,Pivot_!A:A,'Hitung Per Bulan'!B220,Pivot_!B:B,'Hitung Per Bulan'!C220)</f>
        <v>0</v>
      </c>
    </row>
    <row r="221" spans="1:16" x14ac:dyDescent="0.45">
      <c r="A221" t="s">
        <v>12</v>
      </c>
      <c r="B221" t="s">
        <v>28</v>
      </c>
      <c r="C221" t="s">
        <v>24</v>
      </c>
      <c r="D221" s="27">
        <v>0</v>
      </c>
      <c r="E221" s="3" t="s">
        <v>41</v>
      </c>
      <c r="F221" s="23">
        <v>0</v>
      </c>
      <c r="G221" s="3" t="s">
        <v>41</v>
      </c>
      <c r="I221" s="25" t="str">
        <f t="shared" si="36"/>
        <v/>
      </c>
      <c r="J221" s="25" t="str">
        <f t="shared" si="36"/>
        <v/>
      </c>
      <c r="L221" s="29"/>
      <c r="M221" s="29"/>
      <c r="O221" s="72"/>
      <c r="P221" s="72"/>
    </row>
    <row r="222" spans="1:16" x14ac:dyDescent="0.45">
      <c r="A222" t="s">
        <v>13</v>
      </c>
      <c r="B222" t="s">
        <v>28</v>
      </c>
      <c r="C222" t="s">
        <v>24</v>
      </c>
      <c r="D222" s="27">
        <v>0</v>
      </c>
      <c r="E222" s="3" t="s">
        <v>41</v>
      </c>
      <c r="F222" s="23">
        <v>0</v>
      </c>
      <c r="G222" s="3" t="s">
        <v>41</v>
      </c>
      <c r="I222" s="25" t="str">
        <f t="shared" si="36"/>
        <v/>
      </c>
      <c r="J222" s="25" t="str">
        <f t="shared" si="36"/>
        <v/>
      </c>
      <c r="L222" s="3"/>
      <c r="M222" s="3"/>
    </row>
    <row r="223" spans="1:16" x14ac:dyDescent="0.45">
      <c r="A223" t="s">
        <v>14</v>
      </c>
      <c r="B223" t="s">
        <v>28</v>
      </c>
      <c r="C223" t="s">
        <v>24</v>
      </c>
      <c r="D223" s="27">
        <v>0</v>
      </c>
      <c r="E223" s="3" t="s">
        <v>41</v>
      </c>
      <c r="F223" s="23">
        <v>0</v>
      </c>
      <c r="G223" s="3" t="s">
        <v>41</v>
      </c>
      <c r="I223" s="25" t="str">
        <f t="shared" si="36"/>
        <v/>
      </c>
      <c r="J223" s="25" t="str">
        <f t="shared" si="36"/>
        <v/>
      </c>
      <c r="L223" s="3"/>
      <c r="M223" s="3"/>
    </row>
    <row r="224" spans="1:16" x14ac:dyDescent="0.45">
      <c r="A224" t="s">
        <v>15</v>
      </c>
      <c r="B224" t="s">
        <v>28</v>
      </c>
      <c r="C224" t="s">
        <v>24</v>
      </c>
      <c r="D224" s="27">
        <v>0</v>
      </c>
      <c r="E224" s="3" t="s">
        <v>41</v>
      </c>
      <c r="F224" s="23">
        <v>0</v>
      </c>
      <c r="G224" s="3" t="s">
        <v>41</v>
      </c>
      <c r="I224" s="25" t="str">
        <f t="shared" si="36"/>
        <v/>
      </c>
      <c r="J224" s="25" t="str">
        <f t="shared" si="36"/>
        <v/>
      </c>
      <c r="L224" s="3"/>
      <c r="M224" s="3"/>
    </row>
    <row r="225" spans="1:16" x14ac:dyDescent="0.45">
      <c r="A225" t="s">
        <v>16</v>
      </c>
      <c r="B225" t="s">
        <v>28</v>
      </c>
      <c r="C225" t="s">
        <v>24</v>
      </c>
      <c r="D225" s="27">
        <v>0</v>
      </c>
      <c r="E225" s="3" t="s">
        <v>41</v>
      </c>
      <c r="F225" s="23">
        <v>0</v>
      </c>
      <c r="G225" s="3" t="s">
        <v>41</v>
      </c>
      <c r="I225" s="25" t="str">
        <f t="shared" si="36"/>
        <v/>
      </c>
      <c r="J225" s="25" t="str">
        <f t="shared" si="36"/>
        <v/>
      </c>
      <c r="L225" s="3"/>
      <c r="M225" s="3"/>
    </row>
    <row r="226" spans="1:16" x14ac:dyDescent="0.45">
      <c r="A226" t="s">
        <v>17</v>
      </c>
      <c r="B226" t="s">
        <v>28</v>
      </c>
      <c r="C226" t="s">
        <v>24</v>
      </c>
      <c r="D226" s="27">
        <v>0</v>
      </c>
      <c r="E226" s="3" t="s">
        <v>41</v>
      </c>
      <c r="F226" s="23">
        <v>0</v>
      </c>
      <c r="G226" s="3" t="s">
        <v>41</v>
      </c>
      <c r="I226" s="25" t="str">
        <f t="shared" si="36"/>
        <v/>
      </c>
      <c r="J226" s="25" t="str">
        <f t="shared" si="36"/>
        <v/>
      </c>
      <c r="L226" s="3"/>
      <c r="M226" s="3"/>
    </row>
    <row r="227" spans="1:16" x14ac:dyDescent="0.45">
      <c r="A227" t="s">
        <v>18</v>
      </c>
      <c r="B227" t="s">
        <v>28</v>
      </c>
      <c r="C227" t="s">
        <v>24</v>
      </c>
      <c r="D227" s="27">
        <v>0</v>
      </c>
      <c r="E227" s="3" t="s">
        <v>41</v>
      </c>
      <c r="F227" s="23">
        <v>0</v>
      </c>
      <c r="G227" s="3" t="s">
        <v>41</v>
      </c>
      <c r="I227" s="25" t="str">
        <f t="shared" si="36"/>
        <v/>
      </c>
      <c r="J227" s="25" t="str">
        <f t="shared" si="36"/>
        <v/>
      </c>
      <c r="L227" s="3"/>
      <c r="M227" s="3"/>
    </row>
    <row r="228" spans="1:16" x14ac:dyDescent="0.45">
      <c r="A228" t="s">
        <v>19</v>
      </c>
      <c r="B228" t="s">
        <v>28</v>
      </c>
      <c r="C228" t="s">
        <v>24</v>
      </c>
      <c r="D228" s="27">
        <v>0</v>
      </c>
      <c r="E228" s="3" t="s">
        <v>41</v>
      </c>
      <c r="F228" s="23">
        <v>0</v>
      </c>
      <c r="G228" s="3" t="s">
        <v>41</v>
      </c>
      <c r="I228" s="25" t="str">
        <f t="shared" si="36"/>
        <v/>
      </c>
      <c r="J228" s="25" t="str">
        <f t="shared" si="36"/>
        <v/>
      </c>
      <c r="L228" s="3"/>
      <c r="M228" s="3"/>
    </row>
    <row r="229" spans="1:16" x14ac:dyDescent="0.45">
      <c r="A229" t="s">
        <v>20</v>
      </c>
      <c r="B229" t="s">
        <v>28</v>
      </c>
      <c r="C229" t="s">
        <v>24</v>
      </c>
      <c r="D229" s="27">
        <v>0</v>
      </c>
      <c r="E229" s="3" t="s">
        <v>41</v>
      </c>
      <c r="F229" s="23">
        <v>0</v>
      </c>
      <c r="G229" s="3" t="s">
        <v>41</v>
      </c>
      <c r="I229" s="25" t="str">
        <f t="shared" si="36"/>
        <v/>
      </c>
      <c r="J229" s="25" t="str">
        <f t="shared" si="36"/>
        <v/>
      </c>
      <c r="L229" s="3"/>
      <c r="M229" s="3"/>
    </row>
    <row r="230" spans="1:16" x14ac:dyDescent="0.45">
      <c r="A230" t="s">
        <v>7</v>
      </c>
      <c r="B230" t="s">
        <v>28</v>
      </c>
      <c r="C230" t="s">
        <v>25</v>
      </c>
      <c r="D230" s="27">
        <v>129134000</v>
      </c>
      <c r="E230" s="3">
        <v>109818500</v>
      </c>
      <c r="F230" s="23">
        <v>0</v>
      </c>
      <c r="G230" s="3">
        <v>52871500</v>
      </c>
      <c r="I230" s="22">
        <f t="shared" ref="I230:J230" si="39">IF(L230="","",L230)</f>
        <v>109818500</v>
      </c>
      <c r="J230" s="22">
        <f t="shared" si="39"/>
        <v>52871500</v>
      </c>
      <c r="L230" s="3">
        <v>109818500</v>
      </c>
      <c r="M230" s="3">
        <v>52871500</v>
      </c>
    </row>
    <row r="231" spans="1:16" x14ac:dyDescent="0.45">
      <c r="A231" t="s">
        <v>10</v>
      </c>
      <c r="B231" t="s">
        <v>28</v>
      </c>
      <c r="C231" t="s">
        <v>25</v>
      </c>
      <c r="D231" s="28">
        <v>129134000</v>
      </c>
      <c r="E231" s="4">
        <v>37750500</v>
      </c>
      <c r="F231" s="24">
        <v>129134000</v>
      </c>
      <c r="G231" s="4">
        <v>64950500</v>
      </c>
      <c r="I231" s="25">
        <f t="shared" ref="I231:J231" si="40">IF(L231="","",L231-L230)</f>
        <v>37750500</v>
      </c>
      <c r="J231" s="25">
        <f t="shared" si="40"/>
        <v>64950500</v>
      </c>
      <c r="L231" s="4">
        <v>147569000</v>
      </c>
      <c r="M231" s="4">
        <v>117822000</v>
      </c>
    </row>
    <row r="232" spans="1:16" x14ac:dyDescent="0.45">
      <c r="A232" t="s">
        <v>11</v>
      </c>
      <c r="B232" t="s">
        <v>28</v>
      </c>
      <c r="C232" t="s">
        <v>25</v>
      </c>
      <c r="D232" s="27">
        <v>353894000</v>
      </c>
      <c r="E232" s="3">
        <v>18563000</v>
      </c>
      <c r="F232" s="23">
        <v>129134000</v>
      </c>
      <c r="G232" s="3">
        <v>12125000</v>
      </c>
      <c r="I232" s="25">
        <f t="shared" si="36"/>
        <v>88409350</v>
      </c>
      <c r="J232" s="25">
        <f t="shared" si="36"/>
        <v>40384850</v>
      </c>
      <c r="L232" s="29">
        <f>SUMIFS(Pivot_!C:C,Pivot_!A:A,'Hitung Per Bulan'!B232,Pivot_!B:B,'Hitung Per Bulan'!C232)</f>
        <v>235978350</v>
      </c>
      <c r="M232" s="29">
        <f>SUMIFS(Pivot_!D:D,Pivot_!A:A,'Hitung Per Bulan'!B232,Pivot_!B:B,'Hitung Per Bulan'!C232)</f>
        <v>158206850</v>
      </c>
    </row>
    <row r="233" spans="1:16" x14ac:dyDescent="0.45">
      <c r="A233" t="s">
        <v>12</v>
      </c>
      <c r="B233" t="s">
        <v>28</v>
      </c>
      <c r="C233" t="s">
        <v>25</v>
      </c>
      <c r="D233" s="27">
        <v>129134000</v>
      </c>
      <c r="E233" s="3" t="s">
        <v>41</v>
      </c>
      <c r="F233" s="23">
        <v>353894000</v>
      </c>
      <c r="G233" s="3" t="s">
        <v>41</v>
      </c>
      <c r="I233" s="25" t="str">
        <f t="shared" si="36"/>
        <v/>
      </c>
      <c r="J233" s="25" t="str">
        <f t="shared" si="36"/>
        <v/>
      </c>
      <c r="L233" s="29"/>
      <c r="M233" s="29"/>
      <c r="O233" s="72"/>
      <c r="P233" s="72"/>
    </row>
    <row r="234" spans="1:16" x14ac:dyDescent="0.45">
      <c r="A234" t="s">
        <v>13</v>
      </c>
      <c r="B234" t="s">
        <v>28</v>
      </c>
      <c r="C234" t="s">
        <v>25</v>
      </c>
      <c r="D234" s="27">
        <v>129134000</v>
      </c>
      <c r="E234" s="3" t="s">
        <v>41</v>
      </c>
      <c r="F234" s="23">
        <v>129134000</v>
      </c>
      <c r="G234" s="3" t="s">
        <v>41</v>
      </c>
      <c r="I234" s="25" t="str">
        <f t="shared" si="36"/>
        <v/>
      </c>
      <c r="J234" s="25" t="str">
        <f t="shared" si="36"/>
        <v/>
      </c>
      <c r="L234" s="3"/>
      <c r="M234" s="3"/>
    </row>
    <row r="235" spans="1:16" x14ac:dyDescent="0.45">
      <c r="A235" t="s">
        <v>14</v>
      </c>
      <c r="B235" t="s">
        <v>28</v>
      </c>
      <c r="C235" t="s">
        <v>25</v>
      </c>
      <c r="D235" s="27">
        <v>139135000</v>
      </c>
      <c r="E235" s="3" t="s">
        <v>41</v>
      </c>
      <c r="F235" s="23">
        <v>129134000</v>
      </c>
      <c r="G235" s="3" t="s">
        <v>41</v>
      </c>
      <c r="I235" s="25" t="str">
        <f t="shared" si="36"/>
        <v/>
      </c>
      <c r="J235" s="25" t="str">
        <f t="shared" si="36"/>
        <v/>
      </c>
      <c r="L235" s="3"/>
      <c r="M235" s="3"/>
    </row>
    <row r="236" spans="1:16" x14ac:dyDescent="0.45">
      <c r="A236" t="s">
        <v>15</v>
      </c>
      <c r="B236" t="s">
        <v>28</v>
      </c>
      <c r="C236" t="s">
        <v>25</v>
      </c>
      <c r="D236" s="27">
        <v>353897000</v>
      </c>
      <c r="E236" s="3" t="s">
        <v>41</v>
      </c>
      <c r="F236" s="23">
        <v>139135000</v>
      </c>
      <c r="G236" s="3" t="s">
        <v>41</v>
      </c>
      <c r="I236" s="25" t="str">
        <f t="shared" si="36"/>
        <v/>
      </c>
      <c r="J236" s="25" t="str">
        <f t="shared" si="36"/>
        <v/>
      </c>
      <c r="L236" s="3"/>
      <c r="M236" s="3"/>
    </row>
    <row r="237" spans="1:16" x14ac:dyDescent="0.45">
      <c r="A237" t="s">
        <v>16</v>
      </c>
      <c r="B237" t="s">
        <v>28</v>
      </c>
      <c r="C237" t="s">
        <v>25</v>
      </c>
      <c r="D237" s="27">
        <v>129137000</v>
      </c>
      <c r="E237" s="3" t="s">
        <v>41</v>
      </c>
      <c r="F237" s="23">
        <v>353897000</v>
      </c>
      <c r="G237" s="3" t="s">
        <v>41</v>
      </c>
      <c r="I237" s="25" t="str">
        <f t="shared" si="36"/>
        <v/>
      </c>
      <c r="J237" s="25" t="str">
        <f t="shared" si="36"/>
        <v/>
      </c>
      <c r="L237" s="3"/>
      <c r="M237" s="3"/>
    </row>
    <row r="238" spans="1:16" x14ac:dyDescent="0.45">
      <c r="A238" t="s">
        <v>17</v>
      </c>
      <c r="B238" t="s">
        <v>28</v>
      </c>
      <c r="C238" t="s">
        <v>25</v>
      </c>
      <c r="D238" s="27">
        <v>129137000</v>
      </c>
      <c r="E238" s="3" t="s">
        <v>41</v>
      </c>
      <c r="F238" s="23">
        <v>129137000</v>
      </c>
      <c r="G238" s="3" t="s">
        <v>41</v>
      </c>
      <c r="I238" s="25" t="str">
        <f t="shared" si="36"/>
        <v/>
      </c>
      <c r="J238" s="25" t="str">
        <f t="shared" si="36"/>
        <v/>
      </c>
      <c r="L238" s="3"/>
      <c r="M238" s="3"/>
    </row>
    <row r="239" spans="1:16" x14ac:dyDescent="0.45">
      <c r="A239" t="s">
        <v>18</v>
      </c>
      <c r="B239" t="s">
        <v>28</v>
      </c>
      <c r="C239" t="s">
        <v>25</v>
      </c>
      <c r="D239" s="27">
        <v>129137000</v>
      </c>
      <c r="E239" s="3" t="s">
        <v>41</v>
      </c>
      <c r="F239" s="23">
        <v>129137000</v>
      </c>
      <c r="G239" s="3" t="s">
        <v>41</v>
      </c>
      <c r="I239" s="25" t="str">
        <f t="shared" si="36"/>
        <v/>
      </c>
      <c r="J239" s="25" t="str">
        <f t="shared" si="36"/>
        <v/>
      </c>
      <c r="L239" s="3"/>
      <c r="M239" s="3"/>
    </row>
    <row r="240" spans="1:16" x14ac:dyDescent="0.45">
      <c r="A240" t="s">
        <v>19</v>
      </c>
      <c r="B240" t="s">
        <v>28</v>
      </c>
      <c r="C240" t="s">
        <v>25</v>
      </c>
      <c r="D240" s="27">
        <v>169497000</v>
      </c>
      <c r="E240" s="3" t="s">
        <v>41</v>
      </c>
      <c r="F240" s="23">
        <v>129137000</v>
      </c>
      <c r="G240" s="3" t="s">
        <v>41</v>
      </c>
      <c r="I240" s="25" t="str">
        <f t="shared" si="36"/>
        <v/>
      </c>
      <c r="J240" s="25" t="str">
        <f t="shared" si="36"/>
        <v/>
      </c>
      <c r="L240" s="3"/>
      <c r="M240" s="3"/>
    </row>
    <row r="241" spans="1:16" x14ac:dyDescent="0.45">
      <c r="A241" t="s">
        <v>20</v>
      </c>
      <c r="B241" t="s">
        <v>28</v>
      </c>
      <c r="C241" t="s">
        <v>25</v>
      </c>
      <c r="D241" s="27">
        <v>11500000</v>
      </c>
      <c r="E241" s="3" t="s">
        <v>41</v>
      </c>
      <c r="F241" s="23">
        <v>180997000</v>
      </c>
      <c r="G241" s="3" t="s">
        <v>41</v>
      </c>
      <c r="I241" s="25" t="str">
        <f t="shared" si="36"/>
        <v/>
      </c>
      <c r="J241" s="25" t="str">
        <f t="shared" si="36"/>
        <v/>
      </c>
      <c r="L241" s="3"/>
      <c r="M241" s="3"/>
    </row>
    <row r="242" spans="1:16" x14ac:dyDescent="0.45">
      <c r="A242" t="s">
        <v>7</v>
      </c>
      <c r="B242" t="s">
        <v>28</v>
      </c>
      <c r="C242" t="s">
        <v>26</v>
      </c>
      <c r="D242" s="27">
        <v>0</v>
      </c>
      <c r="E242" s="3">
        <v>0</v>
      </c>
      <c r="F242" s="23">
        <v>0</v>
      </c>
      <c r="G242" s="3">
        <v>0</v>
      </c>
      <c r="I242" s="22">
        <f t="shared" ref="I242:J242" si="41">IF(L242="","",L242)</f>
        <v>0</v>
      </c>
      <c r="J242" s="22">
        <f t="shared" si="41"/>
        <v>0</v>
      </c>
      <c r="L242" s="3">
        <v>0</v>
      </c>
      <c r="M242" s="3">
        <v>0</v>
      </c>
    </row>
    <row r="243" spans="1:16" x14ac:dyDescent="0.45">
      <c r="A243" t="s">
        <v>10</v>
      </c>
      <c r="B243" t="s">
        <v>28</v>
      </c>
      <c r="C243" t="s">
        <v>26</v>
      </c>
      <c r="D243" s="28">
        <v>0</v>
      </c>
      <c r="E243" s="4">
        <v>0</v>
      </c>
      <c r="F243" s="24">
        <v>0</v>
      </c>
      <c r="G243" s="4">
        <v>0</v>
      </c>
      <c r="I243" s="25">
        <f t="shared" ref="I243:J243" si="42">IF(L243="","",L243-L242)</f>
        <v>0</v>
      </c>
      <c r="J243" s="25">
        <f t="shared" si="42"/>
        <v>0</v>
      </c>
      <c r="L243" s="4">
        <v>0</v>
      </c>
      <c r="M243" s="4">
        <v>0</v>
      </c>
    </row>
    <row r="244" spans="1:16" x14ac:dyDescent="0.45">
      <c r="A244" t="s">
        <v>11</v>
      </c>
      <c r="B244" t="s">
        <v>28</v>
      </c>
      <c r="C244" t="s">
        <v>26</v>
      </c>
      <c r="D244" s="27">
        <v>0</v>
      </c>
      <c r="E244" s="3">
        <v>0</v>
      </c>
      <c r="F244" s="23">
        <v>0</v>
      </c>
      <c r="G244" s="3">
        <v>0</v>
      </c>
      <c r="I244" s="25">
        <f t="shared" si="36"/>
        <v>0</v>
      </c>
      <c r="J244" s="25">
        <f t="shared" si="36"/>
        <v>0</v>
      </c>
      <c r="L244" s="29">
        <f>SUMIFS(Pivot_!C:C,Pivot_!A:A,'Hitung Per Bulan'!B244,Pivot_!B:B,'Hitung Per Bulan'!C244)</f>
        <v>0</v>
      </c>
      <c r="M244" s="29">
        <f>SUMIFS(Pivot_!D:D,Pivot_!A:A,'Hitung Per Bulan'!B244,Pivot_!B:B,'Hitung Per Bulan'!C244)</f>
        <v>0</v>
      </c>
    </row>
    <row r="245" spans="1:16" x14ac:dyDescent="0.45">
      <c r="A245" t="s">
        <v>12</v>
      </c>
      <c r="B245" t="s">
        <v>28</v>
      </c>
      <c r="C245" t="s">
        <v>26</v>
      </c>
      <c r="D245" s="27">
        <v>0</v>
      </c>
      <c r="E245" s="3" t="s">
        <v>41</v>
      </c>
      <c r="F245" s="23">
        <v>0</v>
      </c>
      <c r="G245" s="3" t="s">
        <v>41</v>
      </c>
      <c r="I245" s="25" t="str">
        <f t="shared" si="36"/>
        <v/>
      </c>
      <c r="J245" s="25" t="str">
        <f t="shared" si="36"/>
        <v/>
      </c>
      <c r="L245" s="29"/>
      <c r="M245" s="29"/>
      <c r="O245" s="72"/>
      <c r="P245" s="72"/>
    </row>
    <row r="246" spans="1:16" x14ac:dyDescent="0.45">
      <c r="A246" t="s">
        <v>13</v>
      </c>
      <c r="B246" t="s">
        <v>28</v>
      </c>
      <c r="C246" t="s">
        <v>26</v>
      </c>
      <c r="D246" s="27">
        <v>0</v>
      </c>
      <c r="E246" s="3" t="s">
        <v>41</v>
      </c>
      <c r="F246" s="23">
        <v>0</v>
      </c>
      <c r="G246" s="3" t="s">
        <v>41</v>
      </c>
      <c r="I246" s="25" t="str">
        <f t="shared" si="36"/>
        <v/>
      </c>
      <c r="J246" s="25" t="str">
        <f t="shared" si="36"/>
        <v/>
      </c>
      <c r="L246" s="3"/>
      <c r="M246" s="3"/>
    </row>
    <row r="247" spans="1:16" x14ac:dyDescent="0.45">
      <c r="A247" t="s">
        <v>14</v>
      </c>
      <c r="B247" t="s">
        <v>28</v>
      </c>
      <c r="C247" t="s">
        <v>26</v>
      </c>
      <c r="D247" s="27">
        <v>0</v>
      </c>
      <c r="E247" s="3" t="s">
        <v>41</v>
      </c>
      <c r="F247" s="23">
        <v>0</v>
      </c>
      <c r="G247" s="3" t="s">
        <v>41</v>
      </c>
      <c r="I247" s="25" t="str">
        <f t="shared" si="36"/>
        <v/>
      </c>
      <c r="J247" s="25" t="str">
        <f t="shared" si="36"/>
        <v/>
      </c>
      <c r="L247" s="3"/>
      <c r="M247" s="3"/>
    </row>
    <row r="248" spans="1:16" x14ac:dyDescent="0.45">
      <c r="A248" t="s">
        <v>15</v>
      </c>
      <c r="B248" t="s">
        <v>28</v>
      </c>
      <c r="C248" t="s">
        <v>26</v>
      </c>
      <c r="D248" s="27">
        <v>0</v>
      </c>
      <c r="E248" s="3" t="s">
        <v>41</v>
      </c>
      <c r="F248" s="23">
        <v>0</v>
      </c>
      <c r="G248" s="3" t="s">
        <v>41</v>
      </c>
      <c r="I248" s="25" t="str">
        <f t="shared" si="36"/>
        <v/>
      </c>
      <c r="J248" s="25" t="str">
        <f t="shared" si="36"/>
        <v/>
      </c>
      <c r="L248" s="3"/>
      <c r="M248" s="3"/>
    </row>
    <row r="249" spans="1:16" x14ac:dyDescent="0.45">
      <c r="A249" t="s">
        <v>16</v>
      </c>
      <c r="B249" t="s">
        <v>28</v>
      </c>
      <c r="C249" t="s">
        <v>26</v>
      </c>
      <c r="D249" s="27">
        <v>0</v>
      </c>
      <c r="E249" s="3" t="s">
        <v>41</v>
      </c>
      <c r="F249" s="23">
        <v>0</v>
      </c>
      <c r="G249" s="3" t="s">
        <v>41</v>
      </c>
      <c r="I249" s="25" t="str">
        <f t="shared" si="36"/>
        <v/>
      </c>
      <c r="J249" s="25" t="str">
        <f t="shared" si="36"/>
        <v/>
      </c>
      <c r="L249" s="3"/>
      <c r="M249" s="3"/>
    </row>
    <row r="250" spans="1:16" x14ac:dyDescent="0.45">
      <c r="A250" t="s">
        <v>17</v>
      </c>
      <c r="B250" t="s">
        <v>28</v>
      </c>
      <c r="C250" t="s">
        <v>26</v>
      </c>
      <c r="D250" s="27">
        <v>0</v>
      </c>
      <c r="E250" s="3" t="s">
        <v>41</v>
      </c>
      <c r="F250" s="23">
        <v>0</v>
      </c>
      <c r="G250" s="3" t="s">
        <v>41</v>
      </c>
      <c r="I250" s="25" t="str">
        <f t="shared" si="36"/>
        <v/>
      </c>
      <c r="J250" s="25" t="str">
        <f t="shared" si="36"/>
        <v/>
      </c>
      <c r="L250" s="3"/>
      <c r="M250" s="3"/>
    </row>
    <row r="251" spans="1:16" x14ac:dyDescent="0.45">
      <c r="A251" t="s">
        <v>18</v>
      </c>
      <c r="B251" t="s">
        <v>28</v>
      </c>
      <c r="C251" t="s">
        <v>26</v>
      </c>
      <c r="D251" s="27">
        <v>0</v>
      </c>
      <c r="E251" s="3" t="s">
        <v>41</v>
      </c>
      <c r="F251" s="23">
        <v>0</v>
      </c>
      <c r="G251" s="3" t="s">
        <v>41</v>
      </c>
      <c r="I251" s="25" t="str">
        <f t="shared" si="36"/>
        <v/>
      </c>
      <c r="J251" s="25" t="str">
        <f t="shared" si="36"/>
        <v/>
      </c>
      <c r="L251" s="3"/>
      <c r="M251" s="3"/>
    </row>
    <row r="252" spans="1:16" x14ac:dyDescent="0.45">
      <c r="A252" t="s">
        <v>19</v>
      </c>
      <c r="B252" t="s">
        <v>28</v>
      </c>
      <c r="C252" t="s">
        <v>26</v>
      </c>
      <c r="D252" s="27">
        <v>0</v>
      </c>
      <c r="E252" s="3" t="s">
        <v>41</v>
      </c>
      <c r="F252" s="23">
        <v>0</v>
      </c>
      <c r="G252" s="3" t="s">
        <v>41</v>
      </c>
      <c r="I252" s="25" t="str">
        <f t="shared" si="36"/>
        <v/>
      </c>
      <c r="J252" s="25" t="str">
        <f t="shared" si="36"/>
        <v/>
      </c>
      <c r="L252" s="3"/>
      <c r="M252" s="3"/>
    </row>
    <row r="253" spans="1:16" x14ac:dyDescent="0.45">
      <c r="A253" t="s">
        <v>20</v>
      </c>
      <c r="B253" t="s">
        <v>28</v>
      </c>
      <c r="C253" t="s">
        <v>26</v>
      </c>
      <c r="D253" s="27">
        <v>0</v>
      </c>
      <c r="E253" s="3" t="s">
        <v>41</v>
      </c>
      <c r="F253" s="23">
        <v>0</v>
      </c>
      <c r="G253" s="3" t="s">
        <v>41</v>
      </c>
      <c r="I253" s="25" t="str">
        <f t="shared" si="36"/>
        <v/>
      </c>
      <c r="J253" s="25" t="str">
        <f t="shared" si="36"/>
        <v/>
      </c>
      <c r="L253" s="3"/>
      <c r="M253" s="3"/>
    </row>
    <row r="254" spans="1:16" x14ac:dyDescent="0.45">
      <c r="A254" t="s">
        <v>7</v>
      </c>
      <c r="B254" t="s">
        <v>29</v>
      </c>
      <c r="C254" t="s">
        <v>9</v>
      </c>
      <c r="D254" s="27">
        <v>355000000</v>
      </c>
      <c r="E254" s="3">
        <v>1724237268</v>
      </c>
      <c r="F254" s="23">
        <v>0</v>
      </c>
      <c r="G254" s="3">
        <v>0</v>
      </c>
      <c r="I254" s="22">
        <f t="shared" ref="I254:J254" si="43">IF(L254="","",L254)</f>
        <v>1724237268</v>
      </c>
      <c r="J254" s="22">
        <f t="shared" si="43"/>
        <v>0</v>
      </c>
      <c r="L254" s="3">
        <v>1724237268</v>
      </c>
      <c r="M254" s="3">
        <v>0</v>
      </c>
    </row>
    <row r="255" spans="1:16" x14ac:dyDescent="0.45">
      <c r="A255" t="s">
        <v>10</v>
      </c>
      <c r="B255" t="s">
        <v>29</v>
      </c>
      <c r="C255" t="s">
        <v>9</v>
      </c>
      <c r="D255" s="28">
        <v>979388000</v>
      </c>
      <c r="E255" s="4">
        <v>3188732296</v>
      </c>
      <c r="F255" s="24">
        <v>355000000</v>
      </c>
      <c r="G255" s="4">
        <v>147536656</v>
      </c>
      <c r="I255" s="25">
        <f t="shared" ref="I255:J255" si="44">IF(L255="","",L255-L254)</f>
        <v>3188732296</v>
      </c>
      <c r="J255" s="25">
        <f t="shared" si="44"/>
        <v>147536656</v>
      </c>
      <c r="L255" s="4">
        <v>4912969564</v>
      </c>
      <c r="M255" s="4">
        <v>147536656</v>
      </c>
    </row>
    <row r="256" spans="1:16" x14ac:dyDescent="0.45">
      <c r="A256" t="s">
        <v>11</v>
      </c>
      <c r="B256" t="s">
        <v>29</v>
      </c>
      <c r="C256" t="s">
        <v>9</v>
      </c>
      <c r="D256" s="27">
        <v>14105523000</v>
      </c>
      <c r="E256" s="3">
        <v>2255650228</v>
      </c>
      <c r="F256" s="23">
        <v>0</v>
      </c>
      <c r="G256" s="3">
        <v>51513108</v>
      </c>
      <c r="I256" s="25">
        <f t="shared" si="36"/>
        <v>11360541597</v>
      </c>
      <c r="J256" s="25">
        <f t="shared" si="36"/>
        <v>551901548</v>
      </c>
      <c r="L256" s="29">
        <f>SUMIFS(Pivot_!C:C,Pivot_!A:A,'Hitung Per Bulan'!B256,Pivot_!B:B,'Hitung Per Bulan'!C256)</f>
        <v>16273511161</v>
      </c>
      <c r="M256" s="29">
        <f>SUMIFS(Pivot_!D:D,Pivot_!A:A,'Hitung Per Bulan'!B256,Pivot_!B:B,'Hitung Per Bulan'!C256)</f>
        <v>699438204</v>
      </c>
    </row>
    <row r="257" spans="1:16" x14ac:dyDescent="0.45">
      <c r="A257" t="s">
        <v>12</v>
      </c>
      <c r="B257" t="s">
        <v>29</v>
      </c>
      <c r="C257" t="s">
        <v>9</v>
      </c>
      <c r="D257" s="27">
        <v>1907791000</v>
      </c>
      <c r="E257" s="3" t="s">
        <v>41</v>
      </c>
      <c r="F257" s="23">
        <v>0</v>
      </c>
      <c r="G257" s="3" t="s">
        <v>41</v>
      </c>
      <c r="I257" s="25" t="str">
        <f t="shared" si="36"/>
        <v/>
      </c>
      <c r="J257" s="25" t="str">
        <f t="shared" si="36"/>
        <v/>
      </c>
      <c r="L257" s="29"/>
      <c r="M257" s="29"/>
      <c r="O257" s="72"/>
      <c r="P257" s="72"/>
    </row>
    <row r="258" spans="1:16" x14ac:dyDescent="0.45">
      <c r="A258" t="s">
        <v>13</v>
      </c>
      <c r="B258" t="s">
        <v>29</v>
      </c>
      <c r="C258" t="s">
        <v>9</v>
      </c>
      <c r="D258" s="27">
        <v>2474359000</v>
      </c>
      <c r="E258" s="3" t="s">
        <v>41</v>
      </c>
      <c r="F258" s="23">
        <v>1458625000</v>
      </c>
      <c r="G258" s="3" t="s">
        <v>41</v>
      </c>
      <c r="I258" s="25" t="str">
        <f t="shared" si="36"/>
        <v/>
      </c>
      <c r="J258" s="25" t="str">
        <f t="shared" si="36"/>
        <v/>
      </c>
      <c r="L258" s="3"/>
      <c r="M258" s="3"/>
    </row>
    <row r="259" spans="1:16" x14ac:dyDescent="0.45">
      <c r="A259" t="s">
        <v>14</v>
      </c>
      <c r="B259" t="s">
        <v>29</v>
      </c>
      <c r="C259" t="s">
        <v>9</v>
      </c>
      <c r="D259" s="27">
        <v>2010656000</v>
      </c>
      <c r="E259" s="3" t="s">
        <v>41</v>
      </c>
      <c r="F259" s="23">
        <v>474426000</v>
      </c>
      <c r="G259" s="3" t="s">
        <v>41</v>
      </c>
      <c r="I259" s="25" t="str">
        <f t="shared" si="36"/>
        <v/>
      </c>
      <c r="J259" s="25" t="str">
        <f t="shared" si="36"/>
        <v/>
      </c>
      <c r="L259" s="3"/>
      <c r="M259" s="3"/>
    </row>
    <row r="260" spans="1:16" x14ac:dyDescent="0.45">
      <c r="A260" t="s">
        <v>15</v>
      </c>
      <c r="B260" t="s">
        <v>29</v>
      </c>
      <c r="C260" t="s">
        <v>9</v>
      </c>
      <c r="D260" s="27">
        <v>355000000</v>
      </c>
      <c r="E260" s="3" t="s">
        <v>41</v>
      </c>
      <c r="F260" s="23">
        <v>2282791000</v>
      </c>
      <c r="G260" s="3" t="s">
        <v>41</v>
      </c>
      <c r="I260" s="25" t="str">
        <f t="shared" si="36"/>
        <v/>
      </c>
      <c r="J260" s="25" t="str">
        <f t="shared" si="36"/>
        <v/>
      </c>
      <c r="L260" s="3"/>
      <c r="M260" s="3"/>
    </row>
    <row r="261" spans="1:16" x14ac:dyDescent="0.45">
      <c r="A261" t="s">
        <v>16</v>
      </c>
      <c r="B261" t="s">
        <v>29</v>
      </c>
      <c r="C261" t="s">
        <v>9</v>
      </c>
      <c r="D261" s="27">
        <v>0</v>
      </c>
      <c r="E261" s="3" t="s">
        <v>41</v>
      </c>
      <c r="F261" s="23">
        <v>2102679000</v>
      </c>
      <c r="G261" s="3" t="s">
        <v>41</v>
      </c>
      <c r="I261" s="25" t="str">
        <f t="shared" si="36"/>
        <v/>
      </c>
      <c r="J261" s="25" t="str">
        <f t="shared" si="36"/>
        <v/>
      </c>
      <c r="L261" s="3"/>
      <c r="M261" s="3"/>
    </row>
    <row r="262" spans="1:16" x14ac:dyDescent="0.45">
      <c r="A262" t="s">
        <v>17</v>
      </c>
      <c r="B262" t="s">
        <v>29</v>
      </c>
      <c r="C262" t="s">
        <v>9</v>
      </c>
      <c r="D262" s="27">
        <v>0</v>
      </c>
      <c r="E262" s="3" t="s">
        <v>41</v>
      </c>
      <c r="F262" s="23">
        <v>2157269000</v>
      </c>
      <c r="G262" s="3" t="s">
        <v>41</v>
      </c>
      <c r="I262" s="25" t="str">
        <f t="shared" si="36"/>
        <v/>
      </c>
      <c r="J262" s="25" t="str">
        <f t="shared" si="36"/>
        <v/>
      </c>
      <c r="L262" s="3"/>
      <c r="M262" s="3"/>
    </row>
    <row r="263" spans="1:16" x14ac:dyDescent="0.45">
      <c r="A263" t="s">
        <v>18</v>
      </c>
      <c r="B263" t="s">
        <v>29</v>
      </c>
      <c r="C263" t="s">
        <v>9</v>
      </c>
      <c r="D263" s="27">
        <v>355000000</v>
      </c>
      <c r="E263" s="3" t="s">
        <v>41</v>
      </c>
      <c r="F263" s="23">
        <v>4830505000</v>
      </c>
      <c r="G263" s="3" t="s">
        <v>41</v>
      </c>
      <c r="I263" s="25" t="str">
        <f t="shared" si="36"/>
        <v/>
      </c>
      <c r="J263" s="25" t="str">
        <f t="shared" si="36"/>
        <v/>
      </c>
      <c r="L263" s="3"/>
      <c r="M263" s="3"/>
    </row>
    <row r="264" spans="1:16" x14ac:dyDescent="0.45">
      <c r="A264" t="s">
        <v>19</v>
      </c>
      <c r="B264" t="s">
        <v>29</v>
      </c>
      <c r="C264" t="s">
        <v>9</v>
      </c>
      <c r="D264" s="27">
        <v>0</v>
      </c>
      <c r="E264" s="3" t="s">
        <v>41</v>
      </c>
      <c r="F264" s="23">
        <v>8881422000</v>
      </c>
      <c r="G264" s="3" t="s">
        <v>41</v>
      </c>
      <c r="I264" s="25" t="str">
        <f t="shared" si="36"/>
        <v/>
      </c>
      <c r="J264" s="25" t="str">
        <f t="shared" si="36"/>
        <v/>
      </c>
      <c r="L264" s="3"/>
      <c r="M264" s="3"/>
    </row>
    <row r="265" spans="1:16" x14ac:dyDescent="0.45">
      <c r="A265" t="s">
        <v>20</v>
      </c>
      <c r="B265" t="s">
        <v>29</v>
      </c>
      <c r="C265" t="s">
        <v>9</v>
      </c>
      <c r="D265" s="27">
        <v>0</v>
      </c>
      <c r="E265" s="3" t="s">
        <v>41</v>
      </c>
      <c r="F265" s="23">
        <v>0</v>
      </c>
      <c r="G265" s="3" t="s">
        <v>41</v>
      </c>
      <c r="I265" s="25" t="str">
        <f t="shared" si="36"/>
        <v/>
      </c>
      <c r="J265" s="25" t="str">
        <f t="shared" si="36"/>
        <v/>
      </c>
      <c r="L265" s="3"/>
      <c r="M265" s="3"/>
    </row>
    <row r="266" spans="1:16" x14ac:dyDescent="0.45">
      <c r="A266" t="s">
        <v>7</v>
      </c>
      <c r="B266" t="s">
        <v>29</v>
      </c>
      <c r="C266" t="s">
        <v>21</v>
      </c>
      <c r="D266" s="27">
        <v>0</v>
      </c>
      <c r="E266" s="3">
        <v>0</v>
      </c>
      <c r="F266" s="23">
        <v>0</v>
      </c>
      <c r="G266" s="3">
        <v>0</v>
      </c>
      <c r="I266" s="22">
        <f t="shared" ref="I266:J266" si="45">IF(L266="","",L266)</f>
        <v>0</v>
      </c>
      <c r="J266" s="22">
        <f t="shared" si="45"/>
        <v>0</v>
      </c>
      <c r="L266" s="3">
        <v>0</v>
      </c>
      <c r="M266" s="3">
        <v>0</v>
      </c>
    </row>
    <row r="267" spans="1:16" x14ac:dyDescent="0.45">
      <c r="A267" t="s">
        <v>10</v>
      </c>
      <c r="B267" t="s">
        <v>29</v>
      </c>
      <c r="C267" t="s">
        <v>21</v>
      </c>
      <c r="D267" s="28">
        <v>0</v>
      </c>
      <c r="E267" s="4">
        <v>0</v>
      </c>
      <c r="F267" s="24">
        <v>0</v>
      </c>
      <c r="G267" s="4">
        <v>0</v>
      </c>
      <c r="I267" s="25">
        <f t="shared" ref="I267:J267" si="46">IF(L267="","",L267-L266)</f>
        <v>0</v>
      </c>
      <c r="J267" s="25">
        <f t="shared" si="46"/>
        <v>0</v>
      </c>
      <c r="L267" s="4">
        <v>0</v>
      </c>
      <c r="M267" s="4">
        <v>0</v>
      </c>
    </row>
    <row r="268" spans="1:16" x14ac:dyDescent="0.45">
      <c r="A268" t="s">
        <v>11</v>
      </c>
      <c r="B268" t="s">
        <v>29</v>
      </c>
      <c r="C268" t="s">
        <v>21</v>
      </c>
      <c r="D268" s="27">
        <v>0</v>
      </c>
      <c r="E268" s="3">
        <v>394079880</v>
      </c>
      <c r="F268" s="23">
        <v>0</v>
      </c>
      <c r="G268" s="3">
        <v>0</v>
      </c>
      <c r="I268" s="25">
        <f t="shared" si="36"/>
        <v>631983784</v>
      </c>
      <c r="J268" s="25">
        <f t="shared" si="36"/>
        <v>0</v>
      </c>
      <c r="L268" s="29">
        <f>SUMIFS(Pivot_!C:C,Pivot_!A:A,'Hitung Per Bulan'!B268,Pivot_!B:B,'Hitung Per Bulan'!C268)</f>
        <v>631983784</v>
      </c>
      <c r="M268" s="29">
        <f>SUMIFS(Pivot_!D:D,Pivot_!A:A,'Hitung Per Bulan'!B268,Pivot_!B:B,'Hitung Per Bulan'!C268)</f>
        <v>0</v>
      </c>
    </row>
    <row r="269" spans="1:16" x14ac:dyDescent="0.45">
      <c r="A269" t="s">
        <v>12</v>
      </c>
      <c r="B269" t="s">
        <v>29</v>
      </c>
      <c r="C269" t="s">
        <v>21</v>
      </c>
      <c r="D269" s="27">
        <v>1150000000</v>
      </c>
      <c r="E269" s="3" t="s">
        <v>41</v>
      </c>
      <c r="F269" s="23">
        <v>0</v>
      </c>
      <c r="G269" s="3" t="s">
        <v>41</v>
      </c>
      <c r="I269" s="25" t="str">
        <f t="shared" si="36"/>
        <v/>
      </c>
      <c r="J269" s="25" t="str">
        <f t="shared" si="36"/>
        <v/>
      </c>
      <c r="L269" s="29"/>
      <c r="M269" s="29"/>
      <c r="O269" s="72"/>
      <c r="P269" s="72"/>
    </row>
    <row r="270" spans="1:16" x14ac:dyDescent="0.45">
      <c r="A270" t="s">
        <v>13</v>
      </c>
      <c r="B270" t="s">
        <v>29</v>
      </c>
      <c r="C270" t="s">
        <v>21</v>
      </c>
      <c r="D270" s="27">
        <v>0</v>
      </c>
      <c r="E270" s="3" t="s">
        <v>41</v>
      </c>
      <c r="F270" s="23">
        <v>0</v>
      </c>
      <c r="G270" s="3" t="s">
        <v>41</v>
      </c>
      <c r="I270" s="25" t="str">
        <f t="shared" si="36"/>
        <v/>
      </c>
      <c r="J270" s="25" t="str">
        <f t="shared" si="36"/>
        <v/>
      </c>
      <c r="L270" s="3"/>
      <c r="M270" s="3"/>
    </row>
    <row r="271" spans="1:16" x14ac:dyDescent="0.45">
      <c r="A271" t="s">
        <v>14</v>
      </c>
      <c r="B271" t="s">
        <v>29</v>
      </c>
      <c r="C271" t="s">
        <v>21</v>
      </c>
      <c r="D271" s="27">
        <v>0</v>
      </c>
      <c r="E271" s="3" t="s">
        <v>41</v>
      </c>
      <c r="F271" s="23">
        <v>700000000</v>
      </c>
      <c r="G271" s="3" t="s">
        <v>41</v>
      </c>
      <c r="I271" s="25" t="str">
        <f t="shared" ref="I271:J334" si="47">IF(L271="","",L271-L270)</f>
        <v/>
      </c>
      <c r="J271" s="25" t="str">
        <f t="shared" si="47"/>
        <v/>
      </c>
      <c r="L271" s="3"/>
      <c r="M271" s="3"/>
    </row>
    <row r="272" spans="1:16" x14ac:dyDescent="0.45">
      <c r="A272" t="s">
        <v>15</v>
      </c>
      <c r="B272" t="s">
        <v>29</v>
      </c>
      <c r="C272" t="s">
        <v>21</v>
      </c>
      <c r="D272" s="27">
        <v>0</v>
      </c>
      <c r="E272" s="3" t="s">
        <v>41</v>
      </c>
      <c r="F272" s="23">
        <v>0</v>
      </c>
      <c r="G272" s="3" t="s">
        <v>41</v>
      </c>
      <c r="I272" s="25" t="str">
        <f t="shared" si="47"/>
        <v/>
      </c>
      <c r="J272" s="25" t="str">
        <f t="shared" si="47"/>
        <v/>
      </c>
      <c r="L272" s="3"/>
      <c r="M272" s="3"/>
    </row>
    <row r="273" spans="1:16" x14ac:dyDescent="0.45">
      <c r="A273" t="s">
        <v>16</v>
      </c>
      <c r="B273" t="s">
        <v>29</v>
      </c>
      <c r="C273" t="s">
        <v>21</v>
      </c>
      <c r="D273" s="27">
        <v>354000000</v>
      </c>
      <c r="E273" s="3" t="s">
        <v>41</v>
      </c>
      <c r="F273" s="23">
        <v>450000000</v>
      </c>
      <c r="G273" s="3" t="s">
        <v>41</v>
      </c>
      <c r="I273" s="25" t="str">
        <f t="shared" si="47"/>
        <v/>
      </c>
      <c r="J273" s="25" t="str">
        <f t="shared" si="47"/>
        <v/>
      </c>
      <c r="L273" s="3"/>
      <c r="M273" s="3"/>
    </row>
    <row r="274" spans="1:16" x14ac:dyDescent="0.45">
      <c r="A274" t="s">
        <v>17</v>
      </c>
      <c r="B274" t="s">
        <v>29</v>
      </c>
      <c r="C274" t="s">
        <v>21</v>
      </c>
      <c r="D274" s="27">
        <v>0</v>
      </c>
      <c r="E274" s="3" t="s">
        <v>41</v>
      </c>
      <c r="F274" s="23">
        <v>0</v>
      </c>
      <c r="G274" s="3" t="s">
        <v>41</v>
      </c>
      <c r="I274" s="25" t="str">
        <f t="shared" si="47"/>
        <v/>
      </c>
      <c r="J274" s="25" t="str">
        <f t="shared" si="47"/>
        <v/>
      </c>
      <c r="L274" s="3"/>
      <c r="M274" s="3"/>
    </row>
    <row r="275" spans="1:16" x14ac:dyDescent="0.45">
      <c r="A275" t="s">
        <v>18</v>
      </c>
      <c r="B275" t="s">
        <v>29</v>
      </c>
      <c r="C275" t="s">
        <v>21</v>
      </c>
      <c r="D275" s="27">
        <v>0</v>
      </c>
      <c r="E275" s="3" t="s">
        <v>41</v>
      </c>
      <c r="F275" s="23">
        <v>354000000</v>
      </c>
      <c r="G275" s="3" t="s">
        <v>41</v>
      </c>
      <c r="I275" s="25" t="str">
        <f t="shared" si="47"/>
        <v/>
      </c>
      <c r="J275" s="25" t="str">
        <f t="shared" si="47"/>
        <v/>
      </c>
      <c r="L275" s="3"/>
      <c r="M275" s="3"/>
    </row>
    <row r="276" spans="1:16" x14ac:dyDescent="0.45">
      <c r="A276" t="s">
        <v>19</v>
      </c>
      <c r="B276" t="s">
        <v>29</v>
      </c>
      <c r="C276" t="s">
        <v>21</v>
      </c>
      <c r="D276" s="27">
        <v>0</v>
      </c>
      <c r="E276" s="3" t="s">
        <v>41</v>
      </c>
      <c r="F276" s="23">
        <v>0</v>
      </c>
      <c r="G276" s="3" t="s">
        <v>41</v>
      </c>
      <c r="I276" s="25" t="str">
        <f t="shared" si="47"/>
        <v/>
      </c>
      <c r="J276" s="25" t="str">
        <f t="shared" si="47"/>
        <v/>
      </c>
      <c r="L276" s="3"/>
      <c r="M276" s="3"/>
    </row>
    <row r="277" spans="1:16" x14ac:dyDescent="0.45">
      <c r="A277" t="s">
        <v>20</v>
      </c>
      <c r="B277" t="s">
        <v>29</v>
      </c>
      <c r="C277" t="s">
        <v>21</v>
      </c>
      <c r="D277" s="27">
        <v>0</v>
      </c>
      <c r="E277" s="3" t="s">
        <v>41</v>
      </c>
      <c r="F277" s="23">
        <v>0</v>
      </c>
      <c r="G277" s="3" t="s">
        <v>41</v>
      </c>
      <c r="I277" s="25" t="str">
        <f t="shared" si="47"/>
        <v/>
      </c>
      <c r="J277" s="25" t="str">
        <f t="shared" si="47"/>
        <v/>
      </c>
      <c r="L277" s="3"/>
      <c r="M277" s="3"/>
    </row>
    <row r="278" spans="1:16" x14ac:dyDescent="0.45">
      <c r="A278" t="s">
        <v>7</v>
      </c>
      <c r="B278" t="s">
        <v>29</v>
      </c>
      <c r="C278" t="s">
        <v>22</v>
      </c>
      <c r="D278" s="27">
        <v>29718750</v>
      </c>
      <c r="E278" s="3">
        <v>0</v>
      </c>
      <c r="F278" s="23">
        <v>0</v>
      </c>
      <c r="G278" s="3">
        <v>0</v>
      </c>
      <c r="I278" s="22">
        <f t="shared" ref="I278:J278" si="48">IF(L278="","",L278)</f>
        <v>0</v>
      </c>
      <c r="J278" s="22">
        <f t="shared" si="48"/>
        <v>0</v>
      </c>
      <c r="L278" s="3">
        <v>0</v>
      </c>
      <c r="M278" s="3">
        <v>0</v>
      </c>
    </row>
    <row r="279" spans="1:16" x14ac:dyDescent="0.45">
      <c r="A279" t="s">
        <v>10</v>
      </c>
      <c r="B279" t="s">
        <v>29</v>
      </c>
      <c r="C279" t="s">
        <v>22</v>
      </c>
      <c r="D279" s="28">
        <v>0</v>
      </c>
      <c r="E279" s="4">
        <v>15775000</v>
      </c>
      <c r="F279" s="24">
        <v>29718750</v>
      </c>
      <c r="G279" s="4">
        <v>0</v>
      </c>
      <c r="I279" s="25">
        <f t="shared" ref="I279:J279" si="49">IF(L279="","",L279-L278)</f>
        <v>15775000</v>
      </c>
      <c r="J279" s="25">
        <f t="shared" si="49"/>
        <v>0</v>
      </c>
      <c r="L279" s="4">
        <v>15775000</v>
      </c>
      <c r="M279" s="4">
        <v>0</v>
      </c>
    </row>
    <row r="280" spans="1:16" x14ac:dyDescent="0.45">
      <c r="A280" t="s">
        <v>11</v>
      </c>
      <c r="B280" t="s">
        <v>29</v>
      </c>
      <c r="C280" t="s">
        <v>22</v>
      </c>
      <c r="D280" s="27">
        <v>0</v>
      </c>
      <c r="E280" s="3">
        <v>0</v>
      </c>
      <c r="F280" s="23">
        <v>0</v>
      </c>
      <c r="G280" s="3">
        <v>2025000</v>
      </c>
      <c r="I280" s="25">
        <f t="shared" si="47"/>
        <v>0</v>
      </c>
      <c r="J280" s="25">
        <f t="shared" si="47"/>
        <v>7520000</v>
      </c>
      <c r="L280" s="29">
        <f>SUMIFS(Pivot_!C:C,Pivot_!A:A,'Hitung Per Bulan'!B280,Pivot_!B:B,'Hitung Per Bulan'!C280)</f>
        <v>15775000</v>
      </c>
      <c r="M280" s="29">
        <f>SUMIFS(Pivot_!D:D,Pivot_!A:A,'Hitung Per Bulan'!B280,Pivot_!B:B,'Hitung Per Bulan'!C280)</f>
        <v>7520000</v>
      </c>
    </row>
    <row r="281" spans="1:16" x14ac:dyDescent="0.45">
      <c r="A281" t="s">
        <v>12</v>
      </c>
      <c r="B281" t="s">
        <v>29</v>
      </c>
      <c r="C281" t="s">
        <v>22</v>
      </c>
      <c r="D281" s="27">
        <v>29718750</v>
      </c>
      <c r="E281" s="3" t="s">
        <v>41</v>
      </c>
      <c r="F281" s="23">
        <v>0</v>
      </c>
      <c r="G281" s="3" t="s">
        <v>41</v>
      </c>
      <c r="I281" s="25" t="str">
        <f t="shared" si="47"/>
        <v/>
      </c>
      <c r="J281" s="25" t="str">
        <f t="shared" si="47"/>
        <v/>
      </c>
      <c r="L281" s="29"/>
      <c r="M281" s="29"/>
      <c r="O281" s="72"/>
      <c r="P281" s="72"/>
    </row>
    <row r="282" spans="1:16" x14ac:dyDescent="0.45">
      <c r="A282" t="s">
        <v>13</v>
      </c>
      <c r="B282" t="s">
        <v>29</v>
      </c>
      <c r="C282" t="s">
        <v>22</v>
      </c>
      <c r="D282" s="27">
        <v>0</v>
      </c>
      <c r="E282" s="3" t="s">
        <v>41</v>
      </c>
      <c r="F282" s="23">
        <v>29718750</v>
      </c>
      <c r="G282" s="3" t="s">
        <v>41</v>
      </c>
      <c r="I282" s="25" t="str">
        <f t="shared" si="47"/>
        <v/>
      </c>
      <c r="J282" s="25" t="str">
        <f t="shared" si="47"/>
        <v/>
      </c>
      <c r="L282" s="3"/>
      <c r="M282" s="3"/>
    </row>
    <row r="283" spans="1:16" x14ac:dyDescent="0.45">
      <c r="A283" t="s">
        <v>14</v>
      </c>
      <c r="B283" t="s">
        <v>29</v>
      </c>
      <c r="C283" t="s">
        <v>22</v>
      </c>
      <c r="D283" s="27">
        <v>0</v>
      </c>
      <c r="E283" s="3" t="s">
        <v>41</v>
      </c>
      <c r="F283" s="23">
        <v>0</v>
      </c>
      <c r="G283" s="3" t="s">
        <v>41</v>
      </c>
      <c r="I283" s="25" t="str">
        <f t="shared" si="47"/>
        <v/>
      </c>
      <c r="J283" s="25" t="str">
        <f t="shared" si="47"/>
        <v/>
      </c>
      <c r="L283" s="3"/>
      <c r="M283" s="3"/>
    </row>
    <row r="284" spans="1:16" x14ac:dyDescent="0.45">
      <c r="A284" t="s">
        <v>15</v>
      </c>
      <c r="B284" t="s">
        <v>29</v>
      </c>
      <c r="C284" t="s">
        <v>22</v>
      </c>
      <c r="D284" s="27">
        <v>29718750</v>
      </c>
      <c r="E284" s="3" t="s">
        <v>41</v>
      </c>
      <c r="F284" s="23">
        <v>0</v>
      </c>
      <c r="G284" s="3" t="s">
        <v>41</v>
      </c>
      <c r="I284" s="25" t="str">
        <f t="shared" si="47"/>
        <v/>
      </c>
      <c r="J284" s="25" t="str">
        <f t="shared" si="47"/>
        <v/>
      </c>
      <c r="L284" s="3"/>
      <c r="M284" s="3"/>
    </row>
    <row r="285" spans="1:16" x14ac:dyDescent="0.45">
      <c r="A285" t="s">
        <v>16</v>
      </c>
      <c r="B285" t="s">
        <v>29</v>
      </c>
      <c r="C285" t="s">
        <v>22</v>
      </c>
      <c r="D285" s="27">
        <v>0</v>
      </c>
      <c r="E285" s="3" t="s">
        <v>41</v>
      </c>
      <c r="F285" s="23">
        <v>29718750</v>
      </c>
      <c r="G285" s="3" t="s">
        <v>41</v>
      </c>
      <c r="I285" s="25" t="str">
        <f t="shared" si="47"/>
        <v/>
      </c>
      <c r="J285" s="25" t="str">
        <f t="shared" si="47"/>
        <v/>
      </c>
      <c r="L285" s="3"/>
      <c r="M285" s="3"/>
    </row>
    <row r="286" spans="1:16" x14ac:dyDescent="0.45">
      <c r="A286" t="s">
        <v>17</v>
      </c>
      <c r="B286" t="s">
        <v>29</v>
      </c>
      <c r="C286" t="s">
        <v>22</v>
      </c>
      <c r="D286" s="27">
        <v>0</v>
      </c>
      <c r="E286" s="3" t="s">
        <v>41</v>
      </c>
      <c r="F286" s="23">
        <v>0</v>
      </c>
      <c r="G286" s="3" t="s">
        <v>41</v>
      </c>
      <c r="I286" s="25" t="str">
        <f t="shared" si="47"/>
        <v/>
      </c>
      <c r="J286" s="25" t="str">
        <f t="shared" si="47"/>
        <v/>
      </c>
      <c r="L286" s="3"/>
      <c r="M286" s="3"/>
    </row>
    <row r="287" spans="1:16" x14ac:dyDescent="0.45">
      <c r="A287" t="s">
        <v>18</v>
      </c>
      <c r="B287" t="s">
        <v>29</v>
      </c>
      <c r="C287" t="s">
        <v>22</v>
      </c>
      <c r="D287" s="27">
        <v>29718750</v>
      </c>
      <c r="E287" s="3" t="s">
        <v>41</v>
      </c>
      <c r="F287" s="23">
        <v>0</v>
      </c>
      <c r="G287" s="3" t="s">
        <v>41</v>
      </c>
      <c r="I287" s="25" t="str">
        <f t="shared" si="47"/>
        <v/>
      </c>
      <c r="J287" s="25" t="str">
        <f t="shared" si="47"/>
        <v/>
      </c>
      <c r="L287" s="3"/>
      <c r="M287" s="3"/>
    </row>
    <row r="288" spans="1:16" x14ac:dyDescent="0.45">
      <c r="A288" t="s">
        <v>19</v>
      </c>
      <c r="B288" t="s">
        <v>29</v>
      </c>
      <c r="C288" t="s">
        <v>22</v>
      </c>
      <c r="D288" s="27">
        <v>0</v>
      </c>
      <c r="E288" s="3" t="s">
        <v>41</v>
      </c>
      <c r="F288" s="23">
        <v>29718750</v>
      </c>
      <c r="G288" s="3" t="s">
        <v>41</v>
      </c>
      <c r="I288" s="25" t="str">
        <f t="shared" si="47"/>
        <v/>
      </c>
      <c r="J288" s="25" t="str">
        <f t="shared" si="47"/>
        <v/>
      </c>
      <c r="L288" s="3"/>
      <c r="M288" s="3"/>
    </row>
    <row r="289" spans="1:16" x14ac:dyDescent="0.45">
      <c r="A289" t="s">
        <v>20</v>
      </c>
      <c r="B289" t="s">
        <v>29</v>
      </c>
      <c r="C289" t="s">
        <v>22</v>
      </c>
      <c r="D289" s="27">
        <v>0</v>
      </c>
      <c r="E289" s="3" t="s">
        <v>41</v>
      </c>
      <c r="F289" s="23">
        <v>0</v>
      </c>
      <c r="G289" s="3" t="s">
        <v>41</v>
      </c>
      <c r="I289" s="25" t="str">
        <f t="shared" si="47"/>
        <v/>
      </c>
      <c r="J289" s="25" t="str">
        <f t="shared" si="47"/>
        <v/>
      </c>
      <c r="L289" s="3"/>
      <c r="M289" s="3"/>
    </row>
    <row r="290" spans="1:16" x14ac:dyDescent="0.45">
      <c r="A290" t="s">
        <v>7</v>
      </c>
      <c r="B290" t="s">
        <v>29</v>
      </c>
      <c r="C290" t="s">
        <v>23</v>
      </c>
      <c r="D290" s="27">
        <v>0</v>
      </c>
      <c r="E290" s="3">
        <v>0</v>
      </c>
      <c r="F290" s="23">
        <v>0</v>
      </c>
      <c r="G290" s="3">
        <v>0</v>
      </c>
      <c r="I290" s="22">
        <f t="shared" ref="I290:J290" si="50">IF(L290="","",L290)</f>
        <v>0</v>
      </c>
      <c r="J290" s="22">
        <f t="shared" si="50"/>
        <v>0</v>
      </c>
      <c r="L290" s="3">
        <v>0</v>
      </c>
      <c r="M290" s="3">
        <v>0</v>
      </c>
    </row>
    <row r="291" spans="1:16" x14ac:dyDescent="0.45">
      <c r="A291" t="s">
        <v>10</v>
      </c>
      <c r="B291" t="s">
        <v>29</v>
      </c>
      <c r="C291" t="s">
        <v>23</v>
      </c>
      <c r="D291" s="28">
        <v>0</v>
      </c>
      <c r="E291" s="4">
        <v>0</v>
      </c>
      <c r="F291" s="24">
        <v>0</v>
      </c>
      <c r="G291" s="4">
        <v>0</v>
      </c>
      <c r="I291" s="25">
        <f t="shared" ref="I291:J291" si="51">IF(L291="","",L291-L290)</f>
        <v>0</v>
      </c>
      <c r="J291" s="25">
        <f t="shared" si="51"/>
        <v>0</v>
      </c>
      <c r="L291" s="4">
        <v>0</v>
      </c>
      <c r="M291" s="4">
        <v>0</v>
      </c>
    </row>
    <row r="292" spans="1:16" x14ac:dyDescent="0.45">
      <c r="A292" t="s">
        <v>11</v>
      </c>
      <c r="B292" t="s">
        <v>29</v>
      </c>
      <c r="C292" t="s">
        <v>23</v>
      </c>
      <c r="D292" s="27">
        <v>0</v>
      </c>
      <c r="E292" s="3">
        <v>0</v>
      </c>
      <c r="F292" s="23">
        <v>0</v>
      </c>
      <c r="G292" s="3">
        <v>0</v>
      </c>
      <c r="I292" s="25">
        <f t="shared" si="47"/>
        <v>497734500</v>
      </c>
      <c r="J292" s="25">
        <f t="shared" si="47"/>
        <v>0</v>
      </c>
      <c r="L292" s="29">
        <f>SUMIFS(Pivot_!C:C,Pivot_!A:A,'Hitung Per Bulan'!B292,Pivot_!B:B,'Hitung Per Bulan'!C292)</f>
        <v>497734500</v>
      </c>
      <c r="M292" s="29">
        <f>SUMIFS(Pivot_!D:D,Pivot_!A:A,'Hitung Per Bulan'!B292,Pivot_!B:B,'Hitung Per Bulan'!C292)</f>
        <v>0</v>
      </c>
    </row>
    <row r="293" spans="1:16" x14ac:dyDescent="0.45">
      <c r="A293" t="s">
        <v>12</v>
      </c>
      <c r="B293" t="s">
        <v>29</v>
      </c>
      <c r="C293" t="s">
        <v>23</v>
      </c>
      <c r="D293" s="27">
        <v>0</v>
      </c>
      <c r="E293" s="3" t="s">
        <v>41</v>
      </c>
      <c r="F293" s="23">
        <v>0</v>
      </c>
      <c r="G293" s="3" t="s">
        <v>41</v>
      </c>
      <c r="I293" s="25" t="str">
        <f t="shared" si="47"/>
        <v/>
      </c>
      <c r="J293" s="25" t="str">
        <f t="shared" si="47"/>
        <v/>
      </c>
      <c r="L293" s="29"/>
      <c r="M293" s="29"/>
      <c r="O293" s="72"/>
      <c r="P293" s="72"/>
    </row>
    <row r="294" spans="1:16" x14ac:dyDescent="0.45">
      <c r="A294" t="s">
        <v>13</v>
      </c>
      <c r="B294" t="s">
        <v>29</v>
      </c>
      <c r="C294" t="s">
        <v>23</v>
      </c>
      <c r="D294" s="27">
        <v>705000000</v>
      </c>
      <c r="E294" s="3" t="s">
        <v>41</v>
      </c>
      <c r="F294" s="23">
        <v>0</v>
      </c>
      <c r="G294" s="3" t="s">
        <v>41</v>
      </c>
      <c r="I294" s="25" t="str">
        <f t="shared" si="47"/>
        <v/>
      </c>
      <c r="J294" s="25" t="str">
        <f t="shared" si="47"/>
        <v/>
      </c>
      <c r="L294" s="3"/>
      <c r="M294" s="3"/>
    </row>
    <row r="295" spans="1:16" x14ac:dyDescent="0.45">
      <c r="A295" t="s">
        <v>14</v>
      </c>
      <c r="B295" t="s">
        <v>29</v>
      </c>
      <c r="C295" t="s">
        <v>23</v>
      </c>
      <c r="D295" s="27">
        <v>0</v>
      </c>
      <c r="E295" s="3" t="s">
        <v>41</v>
      </c>
      <c r="F295" s="23">
        <v>0</v>
      </c>
      <c r="G295" s="3" t="s">
        <v>41</v>
      </c>
      <c r="I295" s="25" t="str">
        <f t="shared" si="47"/>
        <v/>
      </c>
      <c r="J295" s="25" t="str">
        <f t="shared" si="47"/>
        <v/>
      </c>
      <c r="L295" s="3"/>
      <c r="M295" s="3"/>
    </row>
    <row r="296" spans="1:16" x14ac:dyDescent="0.45">
      <c r="A296" t="s">
        <v>15</v>
      </c>
      <c r="B296" t="s">
        <v>29</v>
      </c>
      <c r="C296" t="s">
        <v>23</v>
      </c>
      <c r="D296" s="27">
        <v>0</v>
      </c>
      <c r="E296" s="3" t="s">
        <v>41</v>
      </c>
      <c r="F296" s="23">
        <v>0</v>
      </c>
      <c r="G296" s="3" t="s">
        <v>41</v>
      </c>
      <c r="I296" s="25" t="str">
        <f t="shared" si="47"/>
        <v/>
      </c>
      <c r="J296" s="25" t="str">
        <f t="shared" si="47"/>
        <v/>
      </c>
      <c r="L296" s="3"/>
      <c r="M296" s="3"/>
    </row>
    <row r="297" spans="1:16" x14ac:dyDescent="0.45">
      <c r="A297" t="s">
        <v>16</v>
      </c>
      <c r="B297" t="s">
        <v>29</v>
      </c>
      <c r="C297" t="s">
        <v>23</v>
      </c>
      <c r="D297" s="27">
        <v>0</v>
      </c>
      <c r="E297" s="3" t="s">
        <v>41</v>
      </c>
      <c r="F297" s="23">
        <v>705000000</v>
      </c>
      <c r="G297" s="3" t="s">
        <v>41</v>
      </c>
      <c r="I297" s="25" t="str">
        <f t="shared" si="47"/>
        <v/>
      </c>
      <c r="J297" s="25" t="str">
        <f t="shared" si="47"/>
        <v/>
      </c>
      <c r="L297" s="3"/>
      <c r="M297" s="3"/>
    </row>
    <row r="298" spans="1:16" x14ac:dyDescent="0.45">
      <c r="A298" t="s">
        <v>17</v>
      </c>
      <c r="B298" t="s">
        <v>29</v>
      </c>
      <c r="C298" t="s">
        <v>23</v>
      </c>
      <c r="D298" s="27">
        <v>0</v>
      </c>
      <c r="E298" s="3" t="s">
        <v>41</v>
      </c>
      <c r="F298" s="23">
        <v>0</v>
      </c>
      <c r="G298" s="3" t="s">
        <v>41</v>
      </c>
      <c r="I298" s="25" t="str">
        <f t="shared" si="47"/>
        <v/>
      </c>
      <c r="J298" s="25" t="str">
        <f t="shared" si="47"/>
        <v/>
      </c>
      <c r="L298" s="3"/>
      <c r="M298" s="3"/>
    </row>
    <row r="299" spans="1:16" x14ac:dyDescent="0.45">
      <c r="A299" t="s">
        <v>18</v>
      </c>
      <c r="B299" t="s">
        <v>29</v>
      </c>
      <c r="C299" t="s">
        <v>23</v>
      </c>
      <c r="D299" s="27">
        <v>0</v>
      </c>
      <c r="E299" s="3" t="s">
        <v>41</v>
      </c>
      <c r="F299" s="23">
        <v>0</v>
      </c>
      <c r="G299" s="3" t="s">
        <v>41</v>
      </c>
      <c r="I299" s="25" t="str">
        <f t="shared" si="47"/>
        <v/>
      </c>
      <c r="J299" s="25" t="str">
        <f t="shared" si="47"/>
        <v/>
      </c>
      <c r="L299" s="3"/>
      <c r="M299" s="3"/>
    </row>
    <row r="300" spans="1:16" x14ac:dyDescent="0.45">
      <c r="A300" t="s">
        <v>19</v>
      </c>
      <c r="B300" t="s">
        <v>29</v>
      </c>
      <c r="C300" t="s">
        <v>23</v>
      </c>
      <c r="D300" s="27">
        <v>0</v>
      </c>
      <c r="E300" s="3" t="s">
        <v>41</v>
      </c>
      <c r="F300" s="23">
        <v>0</v>
      </c>
      <c r="G300" s="3" t="s">
        <v>41</v>
      </c>
      <c r="I300" s="25" t="str">
        <f t="shared" si="47"/>
        <v/>
      </c>
      <c r="J300" s="25" t="str">
        <f t="shared" si="47"/>
        <v/>
      </c>
      <c r="L300" s="3"/>
      <c r="M300" s="3"/>
    </row>
    <row r="301" spans="1:16" x14ac:dyDescent="0.45">
      <c r="A301" t="s">
        <v>20</v>
      </c>
      <c r="B301" t="s">
        <v>29</v>
      </c>
      <c r="C301" t="s">
        <v>23</v>
      </c>
      <c r="D301" s="27">
        <v>0</v>
      </c>
      <c r="E301" s="3" t="s">
        <v>41</v>
      </c>
      <c r="F301" s="23">
        <v>0</v>
      </c>
      <c r="G301" s="3" t="s">
        <v>41</v>
      </c>
      <c r="I301" s="25" t="str">
        <f t="shared" si="47"/>
        <v/>
      </c>
      <c r="J301" s="25" t="str">
        <f t="shared" si="47"/>
        <v/>
      </c>
      <c r="L301" s="3"/>
      <c r="M301" s="3"/>
    </row>
    <row r="302" spans="1:16" x14ac:dyDescent="0.45">
      <c r="A302" t="s">
        <v>7</v>
      </c>
      <c r="B302" t="s">
        <v>29</v>
      </c>
      <c r="C302" t="s">
        <v>24</v>
      </c>
      <c r="D302" s="27">
        <v>0</v>
      </c>
      <c r="E302" s="3">
        <v>0</v>
      </c>
      <c r="F302" s="23"/>
      <c r="G302" s="3">
        <v>0</v>
      </c>
      <c r="I302" s="22">
        <f t="shared" ref="I302:J302" si="52">IF(L302="","",L302)</f>
        <v>0</v>
      </c>
      <c r="J302" s="22">
        <f t="shared" si="52"/>
        <v>0</v>
      </c>
      <c r="L302" s="3">
        <v>0</v>
      </c>
      <c r="M302" s="3">
        <v>0</v>
      </c>
    </row>
    <row r="303" spans="1:16" x14ac:dyDescent="0.45">
      <c r="A303" t="s">
        <v>10</v>
      </c>
      <c r="B303" t="s">
        <v>29</v>
      </c>
      <c r="C303" t="s">
        <v>24</v>
      </c>
      <c r="D303" s="28">
        <v>0</v>
      </c>
      <c r="E303" s="4">
        <v>0</v>
      </c>
      <c r="G303" s="4">
        <v>0</v>
      </c>
      <c r="I303" s="25">
        <f t="shared" ref="I303:J303" si="53">IF(L303="","",L303-L302)</f>
        <v>0</v>
      </c>
      <c r="J303" s="25">
        <f t="shared" si="53"/>
        <v>0</v>
      </c>
      <c r="L303" s="4">
        <v>0</v>
      </c>
      <c r="M303" s="4">
        <v>0</v>
      </c>
    </row>
    <row r="304" spans="1:16" x14ac:dyDescent="0.45">
      <c r="A304" t="s">
        <v>11</v>
      </c>
      <c r="B304" t="s">
        <v>29</v>
      </c>
      <c r="C304" t="s">
        <v>24</v>
      </c>
      <c r="D304" s="27">
        <v>0</v>
      </c>
      <c r="E304" s="3">
        <v>0</v>
      </c>
      <c r="F304" s="23"/>
      <c r="G304" s="3">
        <v>0</v>
      </c>
      <c r="I304" s="25">
        <f t="shared" si="47"/>
        <v>0</v>
      </c>
      <c r="J304" s="25">
        <f t="shared" si="47"/>
        <v>0</v>
      </c>
      <c r="L304" s="29">
        <f>SUMIFS(Pivot_!C:C,Pivot_!A:A,'Hitung Per Bulan'!B304,Pivot_!B:B,'Hitung Per Bulan'!C304)</f>
        <v>0</v>
      </c>
      <c r="M304" s="29">
        <f>SUMIFS(Pivot_!D:D,Pivot_!A:A,'Hitung Per Bulan'!B304,Pivot_!B:B,'Hitung Per Bulan'!C304)</f>
        <v>0</v>
      </c>
    </row>
    <row r="305" spans="1:16" x14ac:dyDescent="0.45">
      <c r="A305" t="s">
        <v>12</v>
      </c>
      <c r="B305" t="s">
        <v>29</v>
      </c>
      <c r="C305" t="s">
        <v>24</v>
      </c>
      <c r="D305" s="27">
        <v>0</v>
      </c>
      <c r="E305" s="3" t="s">
        <v>41</v>
      </c>
      <c r="F305" s="23"/>
      <c r="G305" s="3" t="s">
        <v>41</v>
      </c>
      <c r="I305" s="25" t="str">
        <f t="shared" si="47"/>
        <v/>
      </c>
      <c r="J305" s="25" t="str">
        <f t="shared" si="47"/>
        <v/>
      </c>
      <c r="L305" s="29"/>
      <c r="M305" s="29"/>
      <c r="O305" s="72"/>
      <c r="P305" s="72"/>
    </row>
    <row r="306" spans="1:16" x14ac:dyDescent="0.45">
      <c r="A306" t="s">
        <v>13</v>
      </c>
      <c r="B306" t="s">
        <v>29</v>
      </c>
      <c r="C306" t="s">
        <v>24</v>
      </c>
      <c r="D306" s="27">
        <v>0</v>
      </c>
      <c r="E306" s="3" t="s">
        <v>41</v>
      </c>
      <c r="F306" s="23"/>
      <c r="G306" s="3" t="s">
        <v>41</v>
      </c>
      <c r="I306" s="25" t="str">
        <f t="shared" si="47"/>
        <v/>
      </c>
      <c r="J306" s="25" t="str">
        <f t="shared" si="47"/>
        <v/>
      </c>
      <c r="L306" s="3"/>
      <c r="M306" s="3"/>
    </row>
    <row r="307" spans="1:16" x14ac:dyDescent="0.45">
      <c r="A307" t="s">
        <v>14</v>
      </c>
      <c r="B307" t="s">
        <v>29</v>
      </c>
      <c r="C307" t="s">
        <v>24</v>
      </c>
      <c r="D307" s="27">
        <v>0</v>
      </c>
      <c r="E307" s="3" t="s">
        <v>41</v>
      </c>
      <c r="F307" s="23"/>
      <c r="G307" s="3" t="s">
        <v>41</v>
      </c>
      <c r="I307" s="25" t="str">
        <f t="shared" si="47"/>
        <v/>
      </c>
      <c r="J307" s="25" t="str">
        <f t="shared" si="47"/>
        <v/>
      </c>
      <c r="L307" s="3"/>
      <c r="M307" s="3"/>
    </row>
    <row r="308" spans="1:16" x14ac:dyDescent="0.45">
      <c r="A308" t="s">
        <v>15</v>
      </c>
      <c r="B308" t="s">
        <v>29</v>
      </c>
      <c r="C308" t="s">
        <v>24</v>
      </c>
      <c r="D308" s="27">
        <v>0</v>
      </c>
      <c r="E308" s="3" t="s">
        <v>41</v>
      </c>
      <c r="F308" s="23"/>
      <c r="G308" s="3" t="s">
        <v>41</v>
      </c>
      <c r="I308" s="25" t="str">
        <f t="shared" si="47"/>
        <v/>
      </c>
      <c r="J308" s="25" t="str">
        <f t="shared" si="47"/>
        <v/>
      </c>
      <c r="L308" s="3"/>
      <c r="M308" s="3"/>
    </row>
    <row r="309" spans="1:16" x14ac:dyDescent="0.45">
      <c r="A309" t="s">
        <v>16</v>
      </c>
      <c r="B309" t="s">
        <v>29</v>
      </c>
      <c r="C309" t="s">
        <v>24</v>
      </c>
      <c r="D309" s="27">
        <v>0</v>
      </c>
      <c r="E309" s="3" t="s">
        <v>41</v>
      </c>
      <c r="F309" s="23"/>
      <c r="G309" s="3" t="s">
        <v>41</v>
      </c>
      <c r="I309" s="25" t="str">
        <f t="shared" si="47"/>
        <v/>
      </c>
      <c r="J309" s="25" t="str">
        <f t="shared" si="47"/>
        <v/>
      </c>
      <c r="L309" s="3"/>
      <c r="M309" s="3"/>
    </row>
    <row r="310" spans="1:16" x14ac:dyDescent="0.45">
      <c r="A310" t="s">
        <v>17</v>
      </c>
      <c r="B310" t="s">
        <v>29</v>
      </c>
      <c r="C310" t="s">
        <v>24</v>
      </c>
      <c r="D310" s="27">
        <v>0</v>
      </c>
      <c r="E310" s="3" t="s">
        <v>41</v>
      </c>
      <c r="F310" s="23"/>
      <c r="G310" s="3" t="s">
        <v>41</v>
      </c>
      <c r="I310" s="25" t="str">
        <f t="shared" si="47"/>
        <v/>
      </c>
      <c r="J310" s="25" t="str">
        <f t="shared" si="47"/>
        <v/>
      </c>
      <c r="L310" s="3"/>
      <c r="M310" s="3"/>
    </row>
    <row r="311" spans="1:16" x14ac:dyDescent="0.45">
      <c r="A311" t="s">
        <v>18</v>
      </c>
      <c r="B311" t="s">
        <v>29</v>
      </c>
      <c r="C311" t="s">
        <v>24</v>
      </c>
      <c r="D311" s="27">
        <v>0</v>
      </c>
      <c r="E311" s="3" t="s">
        <v>41</v>
      </c>
      <c r="F311" s="23"/>
      <c r="G311" s="3" t="s">
        <v>41</v>
      </c>
      <c r="I311" s="25" t="str">
        <f t="shared" si="47"/>
        <v/>
      </c>
      <c r="J311" s="25" t="str">
        <f t="shared" si="47"/>
        <v/>
      </c>
      <c r="L311" s="3"/>
      <c r="M311" s="3"/>
    </row>
    <row r="312" spans="1:16" x14ac:dyDescent="0.45">
      <c r="A312" t="s">
        <v>19</v>
      </c>
      <c r="B312" t="s">
        <v>29</v>
      </c>
      <c r="C312" t="s">
        <v>24</v>
      </c>
      <c r="D312" s="27">
        <v>0</v>
      </c>
      <c r="E312" s="3" t="s">
        <v>41</v>
      </c>
      <c r="F312" s="23"/>
      <c r="G312" s="3" t="s">
        <v>41</v>
      </c>
      <c r="I312" s="25" t="str">
        <f t="shared" si="47"/>
        <v/>
      </c>
      <c r="J312" s="25" t="str">
        <f t="shared" si="47"/>
        <v/>
      </c>
      <c r="L312" s="3"/>
      <c r="M312" s="3"/>
    </row>
    <row r="313" spans="1:16" x14ac:dyDescent="0.45">
      <c r="A313" t="s">
        <v>20</v>
      </c>
      <c r="B313" t="s">
        <v>29</v>
      </c>
      <c r="C313" t="s">
        <v>24</v>
      </c>
      <c r="D313" s="27">
        <v>0</v>
      </c>
      <c r="E313" s="3" t="s">
        <v>41</v>
      </c>
      <c r="F313" s="23"/>
      <c r="G313" s="3" t="s">
        <v>41</v>
      </c>
      <c r="I313" s="25" t="str">
        <f t="shared" si="47"/>
        <v/>
      </c>
      <c r="J313" s="25" t="str">
        <f t="shared" si="47"/>
        <v/>
      </c>
      <c r="L313" s="3"/>
      <c r="M313" s="3"/>
    </row>
    <row r="314" spans="1:16" x14ac:dyDescent="0.45">
      <c r="A314" t="s">
        <v>7</v>
      </c>
      <c r="B314" t="s">
        <v>29</v>
      </c>
      <c r="C314" t="s">
        <v>25</v>
      </c>
      <c r="D314" s="27">
        <v>98435000</v>
      </c>
      <c r="E314" s="3">
        <v>112428554</v>
      </c>
      <c r="F314" s="23">
        <v>98435000</v>
      </c>
      <c r="G314" s="3">
        <v>19564700</v>
      </c>
      <c r="I314" s="22">
        <f t="shared" ref="I314:J314" si="54">IF(L314="","",L314)</f>
        <v>112428554</v>
      </c>
      <c r="J314" s="22">
        <f t="shared" si="54"/>
        <v>19564700</v>
      </c>
      <c r="L314" s="3">
        <v>112428554</v>
      </c>
      <c r="M314" s="3">
        <v>19564700</v>
      </c>
    </row>
    <row r="315" spans="1:16" x14ac:dyDescent="0.45">
      <c r="A315" t="s">
        <v>10</v>
      </c>
      <c r="B315" t="s">
        <v>29</v>
      </c>
      <c r="C315" t="s">
        <v>25</v>
      </c>
      <c r="D315" s="28">
        <v>60854000</v>
      </c>
      <c r="E315" s="4">
        <v>44348055</v>
      </c>
      <c r="F315" s="24">
        <v>60854000</v>
      </c>
      <c r="G315" s="4">
        <v>112098409</v>
      </c>
      <c r="I315" s="25">
        <f t="shared" ref="I315:J315" si="55">IF(L315="","",L315-L314)</f>
        <v>44348055</v>
      </c>
      <c r="J315" s="25">
        <f t="shared" si="55"/>
        <v>112098409</v>
      </c>
      <c r="L315" s="4">
        <v>156776609</v>
      </c>
      <c r="M315" s="4">
        <v>131663109</v>
      </c>
    </row>
    <row r="316" spans="1:16" x14ac:dyDescent="0.45">
      <c r="A316" t="s">
        <v>11</v>
      </c>
      <c r="B316" t="s">
        <v>29</v>
      </c>
      <c r="C316" t="s">
        <v>25</v>
      </c>
      <c r="D316" s="27">
        <v>74364000</v>
      </c>
      <c r="E316" s="3">
        <v>56840280</v>
      </c>
      <c r="F316" s="23">
        <v>74364000</v>
      </c>
      <c r="G316" s="3">
        <v>29803000</v>
      </c>
      <c r="I316" s="25">
        <f t="shared" si="47"/>
        <v>69082780</v>
      </c>
      <c r="J316" s="25">
        <f t="shared" si="47"/>
        <v>51805780</v>
      </c>
      <c r="L316" s="29">
        <f>SUMIFS(Pivot_!C:C,Pivot_!A:A,'Hitung Per Bulan'!B316,Pivot_!B:B,'Hitung Per Bulan'!C316)</f>
        <v>225859389</v>
      </c>
      <c r="M316" s="29">
        <f>SUMIFS(Pivot_!D:D,Pivot_!A:A,'Hitung Per Bulan'!B316,Pivot_!B:B,'Hitung Per Bulan'!C316)</f>
        <v>183468889</v>
      </c>
    </row>
    <row r="317" spans="1:16" x14ac:dyDescent="0.45">
      <c r="A317" t="s">
        <v>12</v>
      </c>
      <c r="B317" t="s">
        <v>29</v>
      </c>
      <c r="C317" t="s">
        <v>25</v>
      </c>
      <c r="D317" s="27">
        <v>67364000</v>
      </c>
      <c r="E317" s="3" t="s">
        <v>41</v>
      </c>
      <c r="F317" s="23">
        <v>67364000</v>
      </c>
      <c r="G317" s="3" t="s">
        <v>41</v>
      </c>
      <c r="I317" s="25" t="str">
        <f t="shared" si="47"/>
        <v/>
      </c>
      <c r="J317" s="25" t="str">
        <f t="shared" si="47"/>
        <v/>
      </c>
      <c r="L317" s="29"/>
      <c r="M317" s="29"/>
      <c r="O317" s="72"/>
      <c r="P317" s="72"/>
    </row>
    <row r="318" spans="1:16" x14ac:dyDescent="0.45">
      <c r="A318" t="s">
        <v>13</v>
      </c>
      <c r="B318" t="s">
        <v>29</v>
      </c>
      <c r="C318" t="s">
        <v>25</v>
      </c>
      <c r="D318" s="27">
        <v>70354000</v>
      </c>
      <c r="E318" s="3" t="s">
        <v>41</v>
      </c>
      <c r="F318" s="23">
        <v>70354000</v>
      </c>
      <c r="G318" s="3" t="s">
        <v>41</v>
      </c>
      <c r="I318" s="25" t="str">
        <f t="shared" si="47"/>
        <v/>
      </c>
      <c r="J318" s="25" t="str">
        <f t="shared" si="47"/>
        <v/>
      </c>
      <c r="L318" s="3"/>
      <c r="M318" s="3"/>
    </row>
    <row r="319" spans="1:16" x14ac:dyDescent="0.45">
      <c r="A319" t="s">
        <v>14</v>
      </c>
      <c r="B319" t="s">
        <v>29</v>
      </c>
      <c r="C319" t="s">
        <v>25</v>
      </c>
      <c r="D319" s="27">
        <v>278064000</v>
      </c>
      <c r="E319" s="3" t="s">
        <v>41</v>
      </c>
      <c r="F319" s="23">
        <v>278064000</v>
      </c>
      <c r="G319" s="3" t="s">
        <v>41</v>
      </c>
      <c r="I319" s="25" t="str">
        <f t="shared" si="47"/>
        <v/>
      </c>
      <c r="J319" s="25" t="str">
        <f t="shared" si="47"/>
        <v/>
      </c>
      <c r="L319" s="3"/>
      <c r="M319" s="3"/>
    </row>
    <row r="320" spans="1:16" x14ac:dyDescent="0.45">
      <c r="A320" t="s">
        <v>15</v>
      </c>
      <c r="B320" t="s">
        <v>29</v>
      </c>
      <c r="C320" t="s">
        <v>25</v>
      </c>
      <c r="D320" s="27">
        <v>117864000</v>
      </c>
      <c r="E320" s="3" t="s">
        <v>41</v>
      </c>
      <c r="F320" s="23">
        <v>117864000</v>
      </c>
      <c r="G320" s="3" t="s">
        <v>41</v>
      </c>
      <c r="I320" s="25" t="str">
        <f t="shared" si="47"/>
        <v/>
      </c>
      <c r="J320" s="25" t="str">
        <f t="shared" si="47"/>
        <v/>
      </c>
      <c r="L320" s="3"/>
      <c r="M320" s="3"/>
    </row>
    <row r="321" spans="1:16" x14ac:dyDescent="0.45">
      <c r="A321" t="s">
        <v>16</v>
      </c>
      <c r="B321" t="s">
        <v>29</v>
      </c>
      <c r="C321" t="s">
        <v>25</v>
      </c>
      <c r="D321" s="27">
        <v>58994000</v>
      </c>
      <c r="E321" s="3" t="s">
        <v>41</v>
      </c>
      <c r="F321" s="23">
        <v>58994000</v>
      </c>
      <c r="G321" s="3" t="s">
        <v>41</v>
      </c>
      <c r="I321" s="25" t="str">
        <f t="shared" si="47"/>
        <v/>
      </c>
      <c r="J321" s="25" t="str">
        <f t="shared" si="47"/>
        <v/>
      </c>
      <c r="L321" s="3"/>
      <c r="M321" s="3"/>
    </row>
    <row r="322" spans="1:16" x14ac:dyDescent="0.45">
      <c r="A322" t="s">
        <v>17</v>
      </c>
      <c r="B322" t="s">
        <v>29</v>
      </c>
      <c r="C322" t="s">
        <v>25</v>
      </c>
      <c r="D322" s="27">
        <v>125004000</v>
      </c>
      <c r="E322" s="3" t="s">
        <v>41</v>
      </c>
      <c r="F322" s="23">
        <v>125004000</v>
      </c>
      <c r="G322" s="3" t="s">
        <v>41</v>
      </c>
      <c r="I322" s="25" t="str">
        <f t="shared" si="47"/>
        <v/>
      </c>
      <c r="J322" s="25" t="str">
        <f t="shared" si="47"/>
        <v/>
      </c>
      <c r="L322" s="3"/>
      <c r="M322" s="3"/>
    </row>
    <row r="323" spans="1:16" x14ac:dyDescent="0.45">
      <c r="A323" t="s">
        <v>18</v>
      </c>
      <c r="B323" t="s">
        <v>29</v>
      </c>
      <c r="C323" t="s">
        <v>25</v>
      </c>
      <c r="D323" s="27">
        <v>53004000</v>
      </c>
      <c r="E323" s="3" t="s">
        <v>41</v>
      </c>
      <c r="F323" s="23">
        <v>53004000</v>
      </c>
      <c r="G323" s="3" t="s">
        <v>41</v>
      </c>
      <c r="I323" s="25" t="str">
        <f t="shared" si="47"/>
        <v/>
      </c>
      <c r="J323" s="25" t="str">
        <f t="shared" si="47"/>
        <v/>
      </c>
      <c r="L323" s="3"/>
      <c r="M323" s="3"/>
    </row>
    <row r="324" spans="1:16" x14ac:dyDescent="0.45">
      <c r="A324" t="s">
        <v>19</v>
      </c>
      <c r="B324" t="s">
        <v>29</v>
      </c>
      <c r="C324" t="s">
        <v>25</v>
      </c>
      <c r="D324" s="27">
        <v>83004000</v>
      </c>
      <c r="E324" s="3" t="s">
        <v>41</v>
      </c>
      <c r="F324" s="23">
        <v>83004000</v>
      </c>
      <c r="G324" s="3" t="s">
        <v>41</v>
      </c>
      <c r="I324" s="25" t="str">
        <f t="shared" si="47"/>
        <v/>
      </c>
      <c r="J324" s="25" t="str">
        <f t="shared" si="47"/>
        <v/>
      </c>
      <c r="L324" s="3"/>
      <c r="M324" s="3"/>
    </row>
    <row r="325" spans="1:16" x14ac:dyDescent="0.45">
      <c r="A325" t="s">
        <v>20</v>
      </c>
      <c r="B325" t="s">
        <v>29</v>
      </c>
      <c r="C325" t="s">
        <v>25</v>
      </c>
      <c r="D325" s="27">
        <v>75015000</v>
      </c>
      <c r="E325" s="3" t="s">
        <v>41</v>
      </c>
      <c r="F325" s="23">
        <v>75015000</v>
      </c>
      <c r="G325" s="3" t="s">
        <v>41</v>
      </c>
      <c r="I325" s="25" t="str">
        <f t="shared" si="47"/>
        <v/>
      </c>
      <c r="J325" s="25" t="str">
        <f t="shared" si="47"/>
        <v/>
      </c>
      <c r="L325" s="3"/>
      <c r="M325" s="3"/>
    </row>
    <row r="326" spans="1:16" x14ac:dyDescent="0.45">
      <c r="A326" t="s">
        <v>7</v>
      </c>
      <c r="B326" t="s">
        <v>29</v>
      </c>
      <c r="C326" t="s">
        <v>26</v>
      </c>
      <c r="D326" s="27">
        <v>188333000</v>
      </c>
      <c r="E326" s="3">
        <v>166384517</v>
      </c>
      <c r="F326" s="23">
        <v>188333000</v>
      </c>
      <c r="G326" s="3">
        <v>166384517</v>
      </c>
      <c r="I326" s="22">
        <f t="shared" ref="I326:J326" si="56">IF(L326="","",L326)</f>
        <v>166384517</v>
      </c>
      <c r="J326" s="22">
        <f t="shared" si="56"/>
        <v>166384517</v>
      </c>
      <c r="L326" s="3">
        <v>166384517</v>
      </c>
      <c r="M326" s="3">
        <v>166384517</v>
      </c>
    </row>
    <row r="327" spans="1:16" x14ac:dyDescent="0.45">
      <c r="A327" t="s">
        <v>10</v>
      </c>
      <c r="B327" t="s">
        <v>29</v>
      </c>
      <c r="C327" t="s">
        <v>26</v>
      </c>
      <c r="D327" s="28">
        <v>188333000</v>
      </c>
      <c r="E327" s="4">
        <v>158708365</v>
      </c>
      <c r="F327" s="24">
        <v>188333000</v>
      </c>
      <c r="G327" s="4">
        <v>158708365</v>
      </c>
      <c r="I327" s="25">
        <f t="shared" ref="I327:J327" si="57">IF(L327="","",L327-L326)</f>
        <v>158708365</v>
      </c>
      <c r="J327" s="25">
        <f t="shared" si="57"/>
        <v>158708365</v>
      </c>
      <c r="L327" s="4">
        <v>325092882</v>
      </c>
      <c r="M327" s="4">
        <v>325092882</v>
      </c>
    </row>
    <row r="328" spans="1:16" x14ac:dyDescent="0.45">
      <c r="A328" t="s">
        <v>11</v>
      </c>
      <c r="B328" t="s">
        <v>29</v>
      </c>
      <c r="C328" t="s">
        <v>26</v>
      </c>
      <c r="D328" s="27">
        <v>188333000</v>
      </c>
      <c r="E328" s="3">
        <v>0</v>
      </c>
      <c r="F328" s="23">
        <v>188333000</v>
      </c>
      <c r="G328" s="3">
        <v>0</v>
      </c>
      <c r="I328" s="25">
        <f t="shared" si="47"/>
        <v>149082356</v>
      </c>
      <c r="J328" s="25">
        <f t="shared" si="47"/>
        <v>149082356</v>
      </c>
      <c r="L328" s="29">
        <f>SUMIFS(Pivot_!C:C,Pivot_!A:A,'Hitung Per Bulan'!B328,Pivot_!B:B,'Hitung Per Bulan'!C328)</f>
        <v>474175238</v>
      </c>
      <c r="M328" s="29">
        <f>SUMIFS(Pivot_!D:D,Pivot_!A:A,'Hitung Per Bulan'!B328,Pivot_!B:B,'Hitung Per Bulan'!C328)</f>
        <v>474175238</v>
      </c>
    </row>
    <row r="329" spans="1:16" x14ac:dyDescent="0.45">
      <c r="A329" t="s">
        <v>12</v>
      </c>
      <c r="B329" t="s">
        <v>29</v>
      </c>
      <c r="C329" t="s">
        <v>26</v>
      </c>
      <c r="D329" s="27">
        <v>188333000</v>
      </c>
      <c r="E329" s="3" t="s">
        <v>41</v>
      </c>
      <c r="F329" s="23">
        <v>188333000</v>
      </c>
      <c r="G329" s="3" t="s">
        <v>41</v>
      </c>
      <c r="I329" s="25" t="str">
        <f t="shared" si="47"/>
        <v/>
      </c>
      <c r="J329" s="25" t="str">
        <f t="shared" si="47"/>
        <v/>
      </c>
      <c r="L329" s="29"/>
      <c r="M329" s="29"/>
      <c r="O329" s="72"/>
      <c r="P329" s="72"/>
    </row>
    <row r="330" spans="1:16" x14ac:dyDescent="0.45">
      <c r="A330" t="s">
        <v>13</v>
      </c>
      <c r="B330" t="s">
        <v>29</v>
      </c>
      <c r="C330" t="s">
        <v>26</v>
      </c>
      <c r="D330" s="27">
        <v>188333000</v>
      </c>
      <c r="E330" s="3" t="s">
        <v>41</v>
      </c>
      <c r="F330" s="23">
        <v>188333000</v>
      </c>
      <c r="G330" s="3" t="s">
        <v>41</v>
      </c>
      <c r="I330" s="25" t="str">
        <f t="shared" si="47"/>
        <v/>
      </c>
      <c r="J330" s="25" t="str">
        <f t="shared" si="47"/>
        <v/>
      </c>
      <c r="L330" s="3"/>
      <c r="M330" s="3"/>
    </row>
    <row r="331" spans="1:16" x14ac:dyDescent="0.45">
      <c r="A331" t="s">
        <v>14</v>
      </c>
      <c r="B331" t="s">
        <v>29</v>
      </c>
      <c r="C331" t="s">
        <v>26</v>
      </c>
      <c r="D331" s="27">
        <v>188333000</v>
      </c>
      <c r="E331" s="3" t="s">
        <v>41</v>
      </c>
      <c r="F331" s="23">
        <v>188333000</v>
      </c>
      <c r="G331" s="3" t="s">
        <v>41</v>
      </c>
      <c r="I331" s="25" t="str">
        <f t="shared" si="47"/>
        <v/>
      </c>
      <c r="J331" s="25" t="str">
        <f t="shared" si="47"/>
        <v/>
      </c>
      <c r="L331" s="3"/>
      <c r="M331" s="3"/>
    </row>
    <row r="332" spans="1:16" x14ac:dyDescent="0.45">
      <c r="A332" t="s">
        <v>15</v>
      </c>
      <c r="B332" t="s">
        <v>29</v>
      </c>
      <c r="C332" t="s">
        <v>26</v>
      </c>
      <c r="D332" s="27">
        <v>188333000</v>
      </c>
      <c r="E332" s="3" t="s">
        <v>41</v>
      </c>
      <c r="F332" s="23">
        <v>188333000</v>
      </c>
      <c r="G332" s="3" t="s">
        <v>41</v>
      </c>
      <c r="I332" s="25" t="str">
        <f t="shared" si="47"/>
        <v/>
      </c>
      <c r="J332" s="25" t="str">
        <f t="shared" si="47"/>
        <v/>
      </c>
      <c r="L332" s="3"/>
      <c r="M332" s="3"/>
    </row>
    <row r="333" spans="1:16" x14ac:dyDescent="0.45">
      <c r="A333" t="s">
        <v>16</v>
      </c>
      <c r="B333" t="s">
        <v>29</v>
      </c>
      <c r="C333" t="s">
        <v>26</v>
      </c>
      <c r="D333" s="27">
        <v>188333000</v>
      </c>
      <c r="E333" s="3" t="s">
        <v>41</v>
      </c>
      <c r="F333" s="23">
        <v>188333000</v>
      </c>
      <c r="G333" s="3" t="s">
        <v>41</v>
      </c>
      <c r="I333" s="25" t="str">
        <f t="shared" si="47"/>
        <v/>
      </c>
      <c r="J333" s="25" t="str">
        <f t="shared" si="47"/>
        <v/>
      </c>
      <c r="L333" s="3"/>
      <c r="M333" s="3"/>
    </row>
    <row r="334" spans="1:16" x14ac:dyDescent="0.45">
      <c r="A334" t="s">
        <v>17</v>
      </c>
      <c r="B334" t="s">
        <v>29</v>
      </c>
      <c r="C334" t="s">
        <v>26</v>
      </c>
      <c r="D334" s="27">
        <v>188333000</v>
      </c>
      <c r="E334" s="3" t="s">
        <v>41</v>
      </c>
      <c r="F334" s="23">
        <v>188333000</v>
      </c>
      <c r="G334" s="3" t="s">
        <v>41</v>
      </c>
      <c r="I334" s="25" t="str">
        <f t="shared" si="47"/>
        <v/>
      </c>
      <c r="J334" s="25" t="str">
        <f t="shared" si="47"/>
        <v/>
      </c>
      <c r="L334" s="3"/>
      <c r="M334" s="3"/>
    </row>
    <row r="335" spans="1:16" x14ac:dyDescent="0.45">
      <c r="A335" t="s">
        <v>18</v>
      </c>
      <c r="B335" t="s">
        <v>29</v>
      </c>
      <c r="C335" t="s">
        <v>26</v>
      </c>
      <c r="D335" s="27">
        <v>188333000</v>
      </c>
      <c r="E335" s="3" t="s">
        <v>41</v>
      </c>
      <c r="F335" s="23">
        <v>188333000</v>
      </c>
      <c r="G335" s="3" t="s">
        <v>41</v>
      </c>
      <c r="I335" s="25" t="str">
        <f t="shared" ref="I335:J397" si="58">IF(L335="","",L335-L334)</f>
        <v/>
      </c>
      <c r="J335" s="25" t="str">
        <f t="shared" si="58"/>
        <v/>
      </c>
      <c r="L335" s="3"/>
      <c r="M335" s="3"/>
    </row>
    <row r="336" spans="1:16" x14ac:dyDescent="0.45">
      <c r="A336" t="s">
        <v>19</v>
      </c>
      <c r="B336" t="s">
        <v>29</v>
      </c>
      <c r="C336" t="s">
        <v>26</v>
      </c>
      <c r="D336" s="27">
        <v>188333000</v>
      </c>
      <c r="E336" s="3" t="s">
        <v>41</v>
      </c>
      <c r="F336" s="23">
        <v>188333000</v>
      </c>
      <c r="G336" s="3" t="s">
        <v>41</v>
      </c>
      <c r="I336" s="25" t="str">
        <f t="shared" si="58"/>
        <v/>
      </c>
      <c r="J336" s="25" t="str">
        <f t="shared" si="58"/>
        <v/>
      </c>
      <c r="L336" s="3"/>
      <c r="M336" s="3"/>
    </row>
    <row r="337" spans="1:16" x14ac:dyDescent="0.45">
      <c r="A337" t="s">
        <v>20</v>
      </c>
      <c r="B337" t="s">
        <v>29</v>
      </c>
      <c r="C337" t="s">
        <v>26</v>
      </c>
      <c r="D337" s="27">
        <v>188337000</v>
      </c>
      <c r="E337" s="3" t="s">
        <v>41</v>
      </c>
      <c r="F337" s="23">
        <v>188337000</v>
      </c>
      <c r="G337" s="3" t="s">
        <v>41</v>
      </c>
      <c r="I337" s="25" t="str">
        <f t="shared" si="58"/>
        <v/>
      </c>
      <c r="J337" s="25" t="str">
        <f t="shared" si="58"/>
        <v/>
      </c>
      <c r="L337" s="3"/>
      <c r="M337" s="3"/>
    </row>
    <row r="338" spans="1:16" x14ac:dyDescent="0.45">
      <c r="A338" t="s">
        <v>7</v>
      </c>
      <c r="B338" t="s">
        <v>30</v>
      </c>
      <c r="C338" t="s">
        <v>9</v>
      </c>
      <c r="D338" s="27">
        <v>0</v>
      </c>
      <c r="E338" s="3">
        <v>620219118</v>
      </c>
      <c r="F338" s="23">
        <v>0</v>
      </c>
      <c r="G338" s="3">
        <v>0</v>
      </c>
      <c r="I338" s="22">
        <f t="shared" ref="I338:J338" si="59">IF(L338="","",L338)</f>
        <v>620219118</v>
      </c>
      <c r="J338" s="22">
        <f t="shared" si="59"/>
        <v>0</v>
      </c>
      <c r="L338" s="3">
        <v>620219118</v>
      </c>
      <c r="M338" s="3">
        <v>0</v>
      </c>
    </row>
    <row r="339" spans="1:16" x14ac:dyDescent="0.45">
      <c r="A339" t="s">
        <v>10</v>
      </c>
      <c r="B339" t="s">
        <v>30</v>
      </c>
      <c r="C339" t="s">
        <v>9</v>
      </c>
      <c r="D339" s="28">
        <v>0</v>
      </c>
      <c r="E339" s="4">
        <v>882186785</v>
      </c>
      <c r="F339" s="24">
        <v>0</v>
      </c>
      <c r="G339" s="4">
        <v>28044916</v>
      </c>
      <c r="I339" s="25">
        <f t="shared" ref="I339:J339" si="60">IF(L339="","",L339-L338)</f>
        <v>882186785</v>
      </c>
      <c r="J339" s="25">
        <f t="shared" si="60"/>
        <v>28044916</v>
      </c>
      <c r="L339" s="4">
        <v>1502405903</v>
      </c>
      <c r="M339" s="4">
        <v>28044916</v>
      </c>
    </row>
    <row r="340" spans="1:16" x14ac:dyDescent="0.45">
      <c r="A340" t="s">
        <v>11</v>
      </c>
      <c r="B340" t="s">
        <v>30</v>
      </c>
      <c r="C340" t="s">
        <v>9</v>
      </c>
      <c r="D340" s="27">
        <v>12183513000</v>
      </c>
      <c r="E340" s="3">
        <v>1210443297</v>
      </c>
      <c r="F340" s="23">
        <v>495000000</v>
      </c>
      <c r="G340" s="3">
        <v>59065000</v>
      </c>
      <c r="I340" s="25">
        <f t="shared" si="58"/>
        <v>9799442883</v>
      </c>
      <c r="J340" s="25">
        <f t="shared" si="58"/>
        <v>104061459</v>
      </c>
      <c r="L340" s="29">
        <f>SUMIFS(Pivot_!C:C,Pivot_!A:A,'Hitung Per Bulan'!B340,Pivot_!B:B,'Hitung Per Bulan'!C340)</f>
        <v>11301848786</v>
      </c>
      <c r="M340" s="29">
        <f>SUMIFS(Pivot_!D:D,Pivot_!A:A,'Hitung Per Bulan'!B340,Pivot_!B:B,'Hitung Per Bulan'!C340)</f>
        <v>132106375</v>
      </c>
    </row>
    <row r="341" spans="1:16" x14ac:dyDescent="0.45">
      <c r="A341" t="s">
        <v>12</v>
      </c>
      <c r="B341" t="s">
        <v>30</v>
      </c>
      <c r="C341" t="s">
        <v>9</v>
      </c>
      <c r="D341" s="27">
        <v>3290973000</v>
      </c>
      <c r="E341" s="3" t="s">
        <v>41</v>
      </c>
      <c r="F341" s="23">
        <v>335000000</v>
      </c>
      <c r="G341" s="3" t="s">
        <v>41</v>
      </c>
      <c r="I341" s="25" t="str">
        <f t="shared" si="58"/>
        <v/>
      </c>
      <c r="J341" s="25" t="str">
        <f t="shared" si="58"/>
        <v/>
      </c>
      <c r="L341" s="29"/>
      <c r="M341" s="29"/>
      <c r="O341" s="72"/>
      <c r="P341" s="72"/>
    </row>
    <row r="342" spans="1:16" x14ac:dyDescent="0.45">
      <c r="A342" t="s">
        <v>13</v>
      </c>
      <c r="B342" t="s">
        <v>30</v>
      </c>
      <c r="C342" t="s">
        <v>9</v>
      </c>
      <c r="D342" s="27">
        <v>4196830000</v>
      </c>
      <c r="E342" s="3" t="s">
        <v>41</v>
      </c>
      <c r="F342" s="23">
        <v>450000000</v>
      </c>
      <c r="G342" s="3" t="s">
        <v>41</v>
      </c>
      <c r="I342" s="25" t="str">
        <f t="shared" si="58"/>
        <v/>
      </c>
      <c r="J342" s="25" t="str">
        <f t="shared" si="58"/>
        <v/>
      </c>
      <c r="L342" s="3"/>
      <c r="M342" s="3"/>
    </row>
    <row r="343" spans="1:16" x14ac:dyDescent="0.45">
      <c r="A343" t="s">
        <v>14</v>
      </c>
      <c r="B343" t="s">
        <v>30</v>
      </c>
      <c r="C343" t="s">
        <v>9</v>
      </c>
      <c r="D343" s="27">
        <v>421169000</v>
      </c>
      <c r="E343" s="3" t="s">
        <v>41</v>
      </c>
      <c r="F343" s="23">
        <v>851266000</v>
      </c>
      <c r="G343" s="3" t="s">
        <v>41</v>
      </c>
      <c r="I343" s="25" t="str">
        <f t="shared" si="58"/>
        <v/>
      </c>
      <c r="J343" s="25" t="str">
        <f t="shared" si="58"/>
        <v/>
      </c>
      <c r="L343" s="3"/>
      <c r="M343" s="3"/>
    </row>
    <row r="344" spans="1:16" x14ac:dyDescent="0.45">
      <c r="A344" t="s">
        <v>15</v>
      </c>
      <c r="B344" t="s">
        <v>30</v>
      </c>
      <c r="C344" t="s">
        <v>9</v>
      </c>
      <c r="D344" s="27">
        <v>102990000</v>
      </c>
      <c r="E344" s="3" t="s">
        <v>41</v>
      </c>
      <c r="F344" s="23">
        <v>845041000</v>
      </c>
      <c r="G344" s="3" t="s">
        <v>41</v>
      </c>
      <c r="I344" s="25" t="str">
        <f t="shared" si="58"/>
        <v/>
      </c>
      <c r="J344" s="25" t="str">
        <f t="shared" si="58"/>
        <v/>
      </c>
      <c r="L344" s="3"/>
      <c r="M344" s="3"/>
    </row>
    <row r="345" spans="1:16" x14ac:dyDescent="0.45">
      <c r="A345" t="s">
        <v>16</v>
      </c>
      <c r="B345" t="s">
        <v>30</v>
      </c>
      <c r="C345" t="s">
        <v>9</v>
      </c>
      <c r="D345" s="27">
        <v>350000000</v>
      </c>
      <c r="E345" s="3" t="s">
        <v>41</v>
      </c>
      <c r="F345" s="23">
        <v>544675000</v>
      </c>
      <c r="G345" s="3" t="s">
        <v>41</v>
      </c>
      <c r="I345" s="25" t="str">
        <f t="shared" si="58"/>
        <v/>
      </c>
      <c r="J345" s="25" t="str">
        <f t="shared" si="58"/>
        <v/>
      </c>
      <c r="L345" s="3"/>
      <c r="M345" s="3"/>
    </row>
    <row r="346" spans="1:16" x14ac:dyDescent="0.45">
      <c r="A346" t="s">
        <v>17</v>
      </c>
      <c r="B346" t="s">
        <v>30</v>
      </c>
      <c r="C346" t="s">
        <v>9</v>
      </c>
      <c r="D346" s="27">
        <v>130000000</v>
      </c>
      <c r="E346" s="3" t="s">
        <v>41</v>
      </c>
      <c r="F346" s="23">
        <v>12919483000</v>
      </c>
      <c r="G346" s="3" t="s">
        <v>41</v>
      </c>
      <c r="I346" s="25" t="str">
        <f t="shared" si="58"/>
        <v/>
      </c>
      <c r="J346" s="25" t="str">
        <f t="shared" si="58"/>
        <v/>
      </c>
      <c r="L346" s="3"/>
      <c r="M346" s="3"/>
    </row>
    <row r="347" spans="1:16" x14ac:dyDescent="0.45">
      <c r="A347" t="s">
        <v>18</v>
      </c>
      <c r="B347" t="s">
        <v>30</v>
      </c>
      <c r="C347" t="s">
        <v>9</v>
      </c>
      <c r="D347" s="27">
        <v>0</v>
      </c>
      <c r="E347" s="3" t="s">
        <v>41</v>
      </c>
      <c r="F347" s="23">
        <v>2295330000</v>
      </c>
      <c r="G347" s="3" t="s">
        <v>41</v>
      </c>
      <c r="I347" s="25" t="str">
        <f t="shared" si="58"/>
        <v/>
      </c>
      <c r="J347" s="25" t="str">
        <f t="shared" si="58"/>
        <v/>
      </c>
      <c r="L347" s="3"/>
      <c r="M347" s="3"/>
    </row>
    <row r="348" spans="1:16" x14ac:dyDescent="0.45">
      <c r="A348" t="s">
        <v>19</v>
      </c>
      <c r="B348" t="s">
        <v>30</v>
      </c>
      <c r="C348" t="s">
        <v>9</v>
      </c>
      <c r="D348" s="27">
        <v>0</v>
      </c>
      <c r="E348" s="3" t="s">
        <v>41</v>
      </c>
      <c r="F348" s="23">
        <v>1939680000</v>
      </c>
      <c r="G348" s="3" t="s">
        <v>41</v>
      </c>
      <c r="I348" s="25" t="str">
        <f t="shared" si="58"/>
        <v/>
      </c>
      <c r="J348" s="25" t="str">
        <f t="shared" si="58"/>
        <v/>
      </c>
      <c r="L348" s="3"/>
      <c r="M348" s="3"/>
    </row>
    <row r="349" spans="1:16" x14ac:dyDescent="0.45">
      <c r="A349" t="s">
        <v>20</v>
      </c>
      <c r="B349" t="s">
        <v>30</v>
      </c>
      <c r="C349" t="s">
        <v>9</v>
      </c>
      <c r="D349" s="27">
        <v>130000000</v>
      </c>
      <c r="E349" s="3" t="s">
        <v>41</v>
      </c>
      <c r="F349" s="23">
        <v>130000000</v>
      </c>
      <c r="G349" s="3" t="s">
        <v>41</v>
      </c>
      <c r="I349" s="25" t="str">
        <f t="shared" si="58"/>
        <v/>
      </c>
      <c r="J349" s="25" t="str">
        <f t="shared" si="58"/>
        <v/>
      </c>
      <c r="L349" s="3"/>
      <c r="M349" s="3"/>
    </row>
    <row r="350" spans="1:16" x14ac:dyDescent="0.45">
      <c r="A350" t="s">
        <v>7</v>
      </c>
      <c r="B350" t="s">
        <v>30</v>
      </c>
      <c r="C350" t="s">
        <v>21</v>
      </c>
      <c r="D350" s="27">
        <v>0</v>
      </c>
      <c r="E350" s="3">
        <v>0</v>
      </c>
      <c r="F350" s="23">
        <v>0</v>
      </c>
      <c r="G350" s="3">
        <v>0</v>
      </c>
      <c r="I350" s="22">
        <f t="shared" ref="I350:J350" si="61">IF(L350="","",L350)</f>
        <v>0</v>
      </c>
      <c r="J350" s="22">
        <f t="shared" si="61"/>
        <v>0</v>
      </c>
      <c r="L350" s="3">
        <v>0</v>
      </c>
      <c r="M350" s="3">
        <v>0</v>
      </c>
    </row>
    <row r="351" spans="1:16" x14ac:dyDescent="0.45">
      <c r="A351" t="s">
        <v>10</v>
      </c>
      <c r="B351" t="s">
        <v>30</v>
      </c>
      <c r="C351" t="s">
        <v>21</v>
      </c>
      <c r="D351" s="28">
        <v>0</v>
      </c>
      <c r="E351" s="4">
        <v>28227453</v>
      </c>
      <c r="F351" s="24">
        <v>0</v>
      </c>
      <c r="G351" s="4">
        <v>0</v>
      </c>
      <c r="I351" s="25">
        <f t="shared" ref="I351:J351" si="62">IF(L351="","",L351-L350)</f>
        <v>28227453</v>
      </c>
      <c r="J351" s="25">
        <f t="shared" si="62"/>
        <v>0</v>
      </c>
      <c r="L351" s="4">
        <v>28227453</v>
      </c>
      <c r="M351" s="4">
        <v>0</v>
      </c>
    </row>
    <row r="352" spans="1:16" x14ac:dyDescent="0.45">
      <c r="A352" t="s">
        <v>11</v>
      </c>
      <c r="B352" t="s">
        <v>30</v>
      </c>
      <c r="C352" t="s">
        <v>21</v>
      </c>
      <c r="D352" s="27">
        <v>0</v>
      </c>
      <c r="E352" s="3">
        <v>18630185</v>
      </c>
      <c r="F352" s="23">
        <v>0</v>
      </c>
      <c r="G352" s="3">
        <v>8775138</v>
      </c>
      <c r="I352" s="25">
        <f t="shared" si="58"/>
        <v>18630185</v>
      </c>
      <c r="J352" s="25">
        <f t="shared" si="58"/>
        <v>8775138</v>
      </c>
      <c r="L352" s="29">
        <f>SUMIFS(Pivot_!C:C,Pivot_!A:A,'Hitung Per Bulan'!B352,Pivot_!B:B,'Hitung Per Bulan'!C352)</f>
        <v>46857638</v>
      </c>
      <c r="M352" s="29">
        <f>SUMIFS(Pivot_!D:D,Pivot_!A:A,'Hitung Per Bulan'!B352,Pivot_!B:B,'Hitung Per Bulan'!C352)</f>
        <v>8775138</v>
      </c>
    </row>
    <row r="353" spans="1:16" x14ac:dyDescent="0.45">
      <c r="A353" t="s">
        <v>12</v>
      </c>
      <c r="B353" t="s">
        <v>30</v>
      </c>
      <c r="C353" t="s">
        <v>21</v>
      </c>
      <c r="D353" s="27">
        <v>128898000</v>
      </c>
      <c r="E353" s="3" t="s">
        <v>41</v>
      </c>
      <c r="F353" s="23">
        <v>128898000</v>
      </c>
      <c r="G353" s="3" t="s">
        <v>41</v>
      </c>
      <c r="I353" s="25" t="str">
        <f t="shared" si="58"/>
        <v/>
      </c>
      <c r="J353" s="25" t="str">
        <f t="shared" si="58"/>
        <v/>
      </c>
      <c r="L353" s="29"/>
      <c r="M353" s="29"/>
      <c r="O353" s="72"/>
      <c r="P353" s="72"/>
    </row>
    <row r="354" spans="1:16" x14ac:dyDescent="0.45">
      <c r="A354" t="s">
        <v>13</v>
      </c>
      <c r="B354" t="s">
        <v>30</v>
      </c>
      <c r="C354" t="s">
        <v>21</v>
      </c>
      <c r="D354" s="27">
        <v>532377000</v>
      </c>
      <c r="E354" s="3" t="s">
        <v>41</v>
      </c>
      <c r="F354" s="23">
        <v>50000000</v>
      </c>
      <c r="G354" s="3" t="s">
        <v>41</v>
      </c>
      <c r="I354" s="25" t="str">
        <f t="shared" si="58"/>
        <v/>
      </c>
      <c r="J354" s="25" t="str">
        <f t="shared" si="58"/>
        <v/>
      </c>
      <c r="L354" s="3"/>
      <c r="M354" s="3"/>
    </row>
    <row r="355" spans="1:16" x14ac:dyDescent="0.45">
      <c r="A355" t="s">
        <v>14</v>
      </c>
      <c r="B355" t="s">
        <v>30</v>
      </c>
      <c r="C355" t="s">
        <v>21</v>
      </c>
      <c r="D355" s="27">
        <v>435565000</v>
      </c>
      <c r="E355" s="3" t="s">
        <v>41</v>
      </c>
      <c r="F355" s="23">
        <v>50000000</v>
      </c>
      <c r="G355" s="3" t="s">
        <v>41</v>
      </c>
      <c r="I355" s="25" t="str">
        <f t="shared" si="58"/>
        <v/>
      </c>
      <c r="J355" s="25" t="str">
        <f t="shared" si="58"/>
        <v/>
      </c>
      <c r="L355" s="3"/>
      <c r="M355" s="3"/>
    </row>
    <row r="356" spans="1:16" x14ac:dyDescent="0.45">
      <c r="A356" t="s">
        <v>15</v>
      </c>
      <c r="B356" t="s">
        <v>30</v>
      </c>
      <c r="C356" t="s">
        <v>21</v>
      </c>
      <c r="D356" s="27">
        <v>50000000</v>
      </c>
      <c r="E356" s="3" t="s">
        <v>41</v>
      </c>
      <c r="F356" s="23">
        <v>50000000</v>
      </c>
      <c r="G356" s="3" t="s">
        <v>41</v>
      </c>
      <c r="I356" s="25" t="str">
        <f t="shared" si="58"/>
        <v/>
      </c>
      <c r="J356" s="25" t="str">
        <f t="shared" si="58"/>
        <v/>
      </c>
      <c r="L356" s="3"/>
      <c r="M356" s="3"/>
    </row>
    <row r="357" spans="1:16" x14ac:dyDescent="0.45">
      <c r="A357" t="s">
        <v>16</v>
      </c>
      <c r="B357" t="s">
        <v>30</v>
      </c>
      <c r="C357" t="s">
        <v>21</v>
      </c>
      <c r="D357" s="27">
        <v>50000000</v>
      </c>
      <c r="E357" s="3" t="s">
        <v>41</v>
      </c>
      <c r="F357" s="23">
        <v>532377000</v>
      </c>
      <c r="G357" s="3" t="s">
        <v>41</v>
      </c>
      <c r="I357" s="25" t="str">
        <f t="shared" si="58"/>
        <v/>
      </c>
      <c r="J357" s="25" t="str">
        <f t="shared" si="58"/>
        <v/>
      </c>
      <c r="L357" s="3"/>
      <c r="M357" s="3"/>
    </row>
    <row r="358" spans="1:16" x14ac:dyDescent="0.45">
      <c r="A358" t="s">
        <v>17</v>
      </c>
      <c r="B358" t="s">
        <v>30</v>
      </c>
      <c r="C358" t="s">
        <v>21</v>
      </c>
      <c r="D358" s="27">
        <v>50000000</v>
      </c>
      <c r="E358" s="3" t="s">
        <v>41</v>
      </c>
      <c r="F358" s="23">
        <v>435565000</v>
      </c>
      <c r="G358" s="3" t="s">
        <v>41</v>
      </c>
      <c r="I358" s="25" t="str">
        <f t="shared" si="58"/>
        <v/>
      </c>
      <c r="J358" s="25" t="str">
        <f t="shared" si="58"/>
        <v/>
      </c>
      <c r="L358" s="3"/>
      <c r="M358" s="3"/>
    </row>
    <row r="359" spans="1:16" x14ac:dyDescent="0.45">
      <c r="A359" t="s">
        <v>18</v>
      </c>
      <c r="B359" t="s">
        <v>30</v>
      </c>
      <c r="C359" t="s">
        <v>21</v>
      </c>
      <c r="D359" s="27">
        <v>100000000</v>
      </c>
      <c r="E359" s="3" t="s">
        <v>41</v>
      </c>
      <c r="F359" s="23">
        <v>100000000</v>
      </c>
      <c r="G359" s="3" t="s">
        <v>41</v>
      </c>
      <c r="I359" s="25" t="str">
        <f t="shared" si="58"/>
        <v/>
      </c>
      <c r="J359" s="25" t="str">
        <f t="shared" si="58"/>
        <v/>
      </c>
      <c r="L359" s="3"/>
      <c r="M359" s="3"/>
    </row>
    <row r="360" spans="1:16" x14ac:dyDescent="0.45">
      <c r="A360" t="s">
        <v>19</v>
      </c>
      <c r="B360" t="s">
        <v>30</v>
      </c>
      <c r="C360" t="s">
        <v>21</v>
      </c>
      <c r="D360" s="27">
        <v>100000000</v>
      </c>
      <c r="E360" s="3" t="s">
        <v>41</v>
      </c>
      <c r="F360" s="23">
        <v>100000000</v>
      </c>
      <c r="G360" s="3" t="s">
        <v>41</v>
      </c>
      <c r="I360" s="25" t="str">
        <f t="shared" si="58"/>
        <v/>
      </c>
      <c r="J360" s="25" t="str">
        <f t="shared" si="58"/>
        <v/>
      </c>
      <c r="L360" s="3"/>
      <c r="M360" s="3"/>
    </row>
    <row r="361" spans="1:16" x14ac:dyDescent="0.45">
      <c r="A361" t="s">
        <v>20</v>
      </c>
      <c r="B361" t="s">
        <v>30</v>
      </c>
      <c r="C361" t="s">
        <v>21</v>
      </c>
      <c r="D361" s="27">
        <v>0</v>
      </c>
      <c r="E361" s="3" t="s">
        <v>41</v>
      </c>
      <c r="F361" s="23">
        <v>0</v>
      </c>
      <c r="G361" s="3" t="s">
        <v>41</v>
      </c>
      <c r="I361" s="25" t="str">
        <f t="shared" si="58"/>
        <v/>
      </c>
      <c r="J361" s="25" t="str">
        <f t="shared" si="58"/>
        <v/>
      </c>
      <c r="L361" s="3"/>
      <c r="M361" s="3"/>
    </row>
    <row r="362" spans="1:16" x14ac:dyDescent="0.45">
      <c r="A362" t="s">
        <v>7</v>
      </c>
      <c r="B362" t="s">
        <v>30</v>
      </c>
      <c r="C362" t="s">
        <v>22</v>
      </c>
      <c r="D362" s="27">
        <v>0</v>
      </c>
      <c r="E362" s="3">
        <v>0</v>
      </c>
      <c r="F362" s="23">
        <v>0</v>
      </c>
      <c r="G362" s="3">
        <v>0</v>
      </c>
      <c r="I362" s="22">
        <f t="shared" ref="I362:J362" si="63">IF(L362="","",L362)</f>
        <v>0</v>
      </c>
      <c r="J362" s="22">
        <f t="shared" si="63"/>
        <v>0</v>
      </c>
      <c r="L362" s="3">
        <v>0</v>
      </c>
      <c r="M362" s="3">
        <v>0</v>
      </c>
    </row>
    <row r="363" spans="1:16" x14ac:dyDescent="0.45">
      <c r="A363" t="s">
        <v>10</v>
      </c>
      <c r="B363" t="s">
        <v>30</v>
      </c>
      <c r="C363" t="s">
        <v>22</v>
      </c>
      <c r="D363" s="28">
        <v>30030000</v>
      </c>
      <c r="E363" s="4">
        <v>11205000</v>
      </c>
      <c r="F363" s="24">
        <v>30030000</v>
      </c>
      <c r="G363" s="4">
        <v>0</v>
      </c>
      <c r="I363" s="25">
        <f t="shared" ref="I363:J363" si="64">IF(L363="","",L363-L362)</f>
        <v>11205000</v>
      </c>
      <c r="J363" s="25">
        <f t="shared" si="64"/>
        <v>0</v>
      </c>
      <c r="L363" s="4">
        <v>11205000</v>
      </c>
      <c r="M363" s="4">
        <v>0</v>
      </c>
    </row>
    <row r="364" spans="1:16" x14ac:dyDescent="0.45">
      <c r="A364" t="s">
        <v>11</v>
      </c>
      <c r="B364" t="s">
        <v>30</v>
      </c>
      <c r="C364" t="s">
        <v>22</v>
      </c>
      <c r="D364" s="27">
        <v>0</v>
      </c>
      <c r="E364" s="3">
        <v>0</v>
      </c>
      <c r="F364" s="23">
        <v>0</v>
      </c>
      <c r="G364" s="3">
        <v>0</v>
      </c>
      <c r="I364" s="25">
        <f t="shared" si="58"/>
        <v>0</v>
      </c>
      <c r="J364" s="25">
        <f t="shared" si="58"/>
        <v>0</v>
      </c>
      <c r="L364" s="29">
        <f>SUMIFS(Pivot_!C:C,Pivot_!A:A,'Hitung Per Bulan'!B364,Pivot_!B:B,'Hitung Per Bulan'!C364)</f>
        <v>11205000</v>
      </c>
      <c r="M364" s="29">
        <f>SUMIFS(Pivot_!D:D,Pivot_!A:A,'Hitung Per Bulan'!B364,Pivot_!B:B,'Hitung Per Bulan'!C364)</f>
        <v>0</v>
      </c>
    </row>
    <row r="365" spans="1:16" x14ac:dyDescent="0.45">
      <c r="A365" t="s">
        <v>12</v>
      </c>
      <c r="B365" t="s">
        <v>30</v>
      </c>
      <c r="C365" t="s">
        <v>22</v>
      </c>
      <c r="D365" s="27">
        <v>0</v>
      </c>
      <c r="E365" s="3" t="s">
        <v>41</v>
      </c>
      <c r="F365" s="23">
        <v>0</v>
      </c>
      <c r="G365" s="3" t="s">
        <v>41</v>
      </c>
      <c r="I365" s="25" t="str">
        <f t="shared" si="58"/>
        <v/>
      </c>
      <c r="J365" s="25" t="str">
        <f t="shared" si="58"/>
        <v/>
      </c>
      <c r="L365" s="29"/>
      <c r="M365" s="29"/>
      <c r="O365" s="72"/>
      <c r="P365" s="72"/>
    </row>
    <row r="366" spans="1:16" x14ac:dyDescent="0.45">
      <c r="A366" t="s">
        <v>13</v>
      </c>
      <c r="B366" t="s">
        <v>30</v>
      </c>
      <c r="C366" t="s">
        <v>22</v>
      </c>
      <c r="D366" s="27">
        <v>0</v>
      </c>
      <c r="E366" s="3" t="s">
        <v>41</v>
      </c>
      <c r="F366" s="23">
        <v>0</v>
      </c>
      <c r="G366" s="3" t="s">
        <v>41</v>
      </c>
      <c r="I366" s="25" t="str">
        <f t="shared" si="58"/>
        <v/>
      </c>
      <c r="J366" s="25" t="str">
        <f t="shared" si="58"/>
        <v/>
      </c>
      <c r="L366" s="3"/>
      <c r="M366" s="3"/>
    </row>
    <row r="367" spans="1:16" x14ac:dyDescent="0.45">
      <c r="A367" t="s">
        <v>14</v>
      </c>
      <c r="B367" t="s">
        <v>30</v>
      </c>
      <c r="C367" t="s">
        <v>22</v>
      </c>
      <c r="D367" s="27">
        <v>30030000</v>
      </c>
      <c r="E367" s="3" t="s">
        <v>41</v>
      </c>
      <c r="F367" s="23">
        <v>30030000</v>
      </c>
      <c r="G367" s="3" t="s">
        <v>41</v>
      </c>
      <c r="I367" s="25" t="str">
        <f t="shared" si="58"/>
        <v/>
      </c>
      <c r="J367" s="25" t="str">
        <f t="shared" si="58"/>
        <v/>
      </c>
      <c r="L367" s="3"/>
      <c r="M367" s="3"/>
    </row>
    <row r="368" spans="1:16" x14ac:dyDescent="0.45">
      <c r="A368" t="s">
        <v>15</v>
      </c>
      <c r="B368" t="s">
        <v>30</v>
      </c>
      <c r="C368" t="s">
        <v>22</v>
      </c>
      <c r="D368" s="27">
        <v>0</v>
      </c>
      <c r="E368" s="3" t="s">
        <v>41</v>
      </c>
      <c r="F368" s="23">
        <v>0</v>
      </c>
      <c r="G368" s="3" t="s">
        <v>41</v>
      </c>
      <c r="I368" s="25" t="str">
        <f t="shared" si="58"/>
        <v/>
      </c>
      <c r="J368" s="25" t="str">
        <f t="shared" si="58"/>
        <v/>
      </c>
      <c r="L368" s="3"/>
      <c r="M368" s="3"/>
    </row>
    <row r="369" spans="1:16" x14ac:dyDescent="0.45">
      <c r="A369" t="s">
        <v>16</v>
      </c>
      <c r="B369" t="s">
        <v>30</v>
      </c>
      <c r="C369" t="s">
        <v>22</v>
      </c>
      <c r="D369" s="27">
        <v>0</v>
      </c>
      <c r="E369" s="3" t="s">
        <v>41</v>
      </c>
      <c r="F369" s="23">
        <v>0</v>
      </c>
      <c r="G369" s="3" t="s">
        <v>41</v>
      </c>
      <c r="I369" s="25" t="str">
        <f t="shared" si="58"/>
        <v/>
      </c>
      <c r="J369" s="25" t="str">
        <f t="shared" si="58"/>
        <v/>
      </c>
      <c r="L369" s="3"/>
      <c r="M369" s="3"/>
    </row>
    <row r="370" spans="1:16" x14ac:dyDescent="0.45">
      <c r="A370" t="s">
        <v>17</v>
      </c>
      <c r="B370" t="s">
        <v>30</v>
      </c>
      <c r="C370" t="s">
        <v>22</v>
      </c>
      <c r="D370" s="27">
        <v>0</v>
      </c>
      <c r="E370" s="3" t="s">
        <v>41</v>
      </c>
      <c r="F370" s="23">
        <v>0</v>
      </c>
      <c r="G370" s="3" t="s">
        <v>41</v>
      </c>
      <c r="I370" s="25" t="str">
        <f t="shared" si="58"/>
        <v/>
      </c>
      <c r="J370" s="25" t="str">
        <f t="shared" si="58"/>
        <v/>
      </c>
      <c r="L370" s="3"/>
      <c r="M370" s="3"/>
    </row>
    <row r="371" spans="1:16" x14ac:dyDescent="0.45">
      <c r="A371" t="s">
        <v>18</v>
      </c>
      <c r="B371" t="s">
        <v>30</v>
      </c>
      <c r="C371" t="s">
        <v>22</v>
      </c>
      <c r="D371" s="27">
        <v>0</v>
      </c>
      <c r="E371" s="3" t="s">
        <v>41</v>
      </c>
      <c r="F371" s="23">
        <v>0</v>
      </c>
      <c r="G371" s="3" t="s">
        <v>41</v>
      </c>
      <c r="I371" s="25" t="str">
        <f t="shared" si="58"/>
        <v/>
      </c>
      <c r="J371" s="25" t="str">
        <f t="shared" si="58"/>
        <v/>
      </c>
      <c r="L371" s="3"/>
      <c r="M371" s="3"/>
    </row>
    <row r="372" spans="1:16" x14ac:dyDescent="0.45">
      <c r="A372" t="s">
        <v>19</v>
      </c>
      <c r="B372" t="s">
        <v>30</v>
      </c>
      <c r="C372" t="s">
        <v>22</v>
      </c>
      <c r="D372" s="27">
        <v>30030000</v>
      </c>
      <c r="E372" s="3" t="s">
        <v>41</v>
      </c>
      <c r="F372" s="23">
        <v>30030000</v>
      </c>
      <c r="G372" s="3" t="s">
        <v>41</v>
      </c>
      <c r="I372" s="25" t="str">
        <f t="shared" si="58"/>
        <v/>
      </c>
      <c r="J372" s="25" t="str">
        <f t="shared" si="58"/>
        <v/>
      </c>
      <c r="L372" s="3"/>
      <c r="M372" s="3"/>
    </row>
    <row r="373" spans="1:16" x14ac:dyDescent="0.45">
      <c r="A373" t="s">
        <v>20</v>
      </c>
      <c r="B373" t="s">
        <v>30</v>
      </c>
      <c r="C373" t="s">
        <v>22</v>
      </c>
      <c r="D373" s="27">
        <v>0</v>
      </c>
      <c r="E373" s="3" t="s">
        <v>41</v>
      </c>
      <c r="F373" s="23">
        <v>0</v>
      </c>
      <c r="G373" s="3" t="s">
        <v>41</v>
      </c>
      <c r="I373" s="25" t="str">
        <f t="shared" si="58"/>
        <v/>
      </c>
      <c r="J373" s="25" t="str">
        <f t="shared" si="58"/>
        <v/>
      </c>
      <c r="L373" s="3"/>
      <c r="M373" s="3"/>
    </row>
    <row r="374" spans="1:16" x14ac:dyDescent="0.45">
      <c r="A374" t="s">
        <v>7</v>
      </c>
      <c r="B374" t="s">
        <v>30</v>
      </c>
      <c r="C374" t="s">
        <v>23</v>
      </c>
      <c r="D374" s="27">
        <v>0</v>
      </c>
      <c r="E374" s="3">
        <v>0</v>
      </c>
      <c r="F374" s="23">
        <v>0</v>
      </c>
      <c r="G374" s="3">
        <v>0</v>
      </c>
      <c r="I374" s="22">
        <f t="shared" ref="I374:J374" si="65">IF(L374="","",L374)</f>
        <v>0</v>
      </c>
      <c r="J374" s="22">
        <f t="shared" si="65"/>
        <v>0</v>
      </c>
      <c r="L374" s="3">
        <v>0</v>
      </c>
      <c r="M374" s="3">
        <v>0</v>
      </c>
    </row>
    <row r="375" spans="1:16" x14ac:dyDescent="0.45">
      <c r="A375" t="s">
        <v>10</v>
      </c>
      <c r="B375" t="s">
        <v>30</v>
      </c>
      <c r="C375" t="s">
        <v>23</v>
      </c>
      <c r="D375" s="28">
        <v>0</v>
      </c>
      <c r="E375" s="4">
        <v>0</v>
      </c>
      <c r="F375" s="24">
        <v>0</v>
      </c>
      <c r="G375" s="4">
        <v>0</v>
      </c>
      <c r="I375" s="25">
        <f t="shared" ref="I375:J375" si="66">IF(L375="","",L375-L374)</f>
        <v>0</v>
      </c>
      <c r="J375" s="25">
        <f t="shared" si="66"/>
        <v>0</v>
      </c>
      <c r="L375" s="4">
        <v>0</v>
      </c>
      <c r="M375" s="4">
        <v>0</v>
      </c>
    </row>
    <row r="376" spans="1:16" x14ac:dyDescent="0.45">
      <c r="A376" t="s">
        <v>11</v>
      </c>
      <c r="B376" t="s">
        <v>30</v>
      </c>
      <c r="C376" t="s">
        <v>23</v>
      </c>
      <c r="D376" s="27">
        <v>0</v>
      </c>
      <c r="E376" s="3">
        <v>0</v>
      </c>
      <c r="F376" s="23">
        <v>0</v>
      </c>
      <c r="G376" s="3">
        <v>0</v>
      </c>
      <c r="I376" s="25">
        <f t="shared" si="58"/>
        <v>0</v>
      </c>
      <c r="J376" s="25">
        <f t="shared" si="58"/>
        <v>0</v>
      </c>
      <c r="L376" s="29">
        <f>SUMIFS(Pivot_!C:C,Pivot_!A:A,'Hitung Per Bulan'!B376,Pivot_!B:B,'Hitung Per Bulan'!C376)</f>
        <v>0</v>
      </c>
      <c r="M376" s="29">
        <f>SUMIFS(Pivot_!D:D,Pivot_!A:A,'Hitung Per Bulan'!B376,Pivot_!B:B,'Hitung Per Bulan'!C376)</f>
        <v>0</v>
      </c>
    </row>
    <row r="377" spans="1:16" x14ac:dyDescent="0.45">
      <c r="A377" t="s">
        <v>12</v>
      </c>
      <c r="B377" t="s">
        <v>30</v>
      </c>
      <c r="C377" t="s">
        <v>23</v>
      </c>
      <c r="D377" s="27">
        <v>0</v>
      </c>
      <c r="E377" s="3" t="s">
        <v>41</v>
      </c>
      <c r="F377" s="23">
        <v>0</v>
      </c>
      <c r="G377" s="3" t="s">
        <v>41</v>
      </c>
      <c r="I377" s="25" t="str">
        <f t="shared" si="58"/>
        <v/>
      </c>
      <c r="J377" s="25" t="str">
        <f t="shared" si="58"/>
        <v/>
      </c>
      <c r="L377" s="29"/>
      <c r="M377" s="29"/>
      <c r="O377" s="72"/>
      <c r="P377" s="72"/>
    </row>
    <row r="378" spans="1:16" x14ac:dyDescent="0.45">
      <c r="A378" t="s">
        <v>13</v>
      </c>
      <c r="B378" t="s">
        <v>30</v>
      </c>
      <c r="C378" t="s">
        <v>23</v>
      </c>
      <c r="D378" s="27">
        <v>60000000</v>
      </c>
      <c r="E378" s="3" t="s">
        <v>41</v>
      </c>
      <c r="F378" s="23">
        <v>60000000</v>
      </c>
      <c r="G378" s="3" t="s">
        <v>41</v>
      </c>
      <c r="I378" s="25" t="str">
        <f t="shared" si="58"/>
        <v/>
      </c>
      <c r="J378" s="25" t="str">
        <f t="shared" si="58"/>
        <v/>
      </c>
      <c r="L378" s="3"/>
      <c r="M378" s="3"/>
    </row>
    <row r="379" spans="1:16" x14ac:dyDescent="0.45">
      <c r="A379" t="s">
        <v>14</v>
      </c>
      <c r="B379" t="s">
        <v>30</v>
      </c>
      <c r="C379" t="s">
        <v>23</v>
      </c>
      <c r="D379" s="27">
        <v>30000000</v>
      </c>
      <c r="E379" s="3" t="s">
        <v>41</v>
      </c>
      <c r="F379" s="23">
        <v>30000000</v>
      </c>
      <c r="G379" s="3" t="s">
        <v>41</v>
      </c>
      <c r="I379" s="25" t="str">
        <f t="shared" si="58"/>
        <v/>
      </c>
      <c r="J379" s="25" t="str">
        <f t="shared" si="58"/>
        <v/>
      </c>
      <c r="L379" s="3"/>
      <c r="M379" s="3"/>
    </row>
    <row r="380" spans="1:16" x14ac:dyDescent="0.45">
      <c r="A380" t="s">
        <v>15</v>
      </c>
      <c r="B380" t="s">
        <v>30</v>
      </c>
      <c r="C380" t="s">
        <v>23</v>
      </c>
      <c r="D380" s="27">
        <v>160000000</v>
      </c>
      <c r="E380" s="3" t="s">
        <v>41</v>
      </c>
      <c r="F380" s="23">
        <v>0</v>
      </c>
      <c r="G380" s="3" t="s">
        <v>41</v>
      </c>
      <c r="I380" s="25" t="str">
        <f t="shared" si="58"/>
        <v/>
      </c>
      <c r="J380" s="25" t="str">
        <f t="shared" si="58"/>
        <v/>
      </c>
      <c r="L380" s="3"/>
      <c r="M380" s="3"/>
    </row>
    <row r="381" spans="1:16" x14ac:dyDescent="0.45">
      <c r="A381" t="s">
        <v>16</v>
      </c>
      <c r="B381" t="s">
        <v>30</v>
      </c>
      <c r="C381" t="s">
        <v>23</v>
      </c>
      <c r="D381" s="27">
        <v>0</v>
      </c>
      <c r="E381" s="3" t="s">
        <v>41</v>
      </c>
      <c r="F381" s="23">
        <v>0</v>
      </c>
      <c r="G381" s="3" t="s">
        <v>41</v>
      </c>
      <c r="I381" s="25" t="str">
        <f t="shared" si="58"/>
        <v/>
      </c>
      <c r="J381" s="25" t="str">
        <f t="shared" si="58"/>
        <v/>
      </c>
      <c r="L381" s="3"/>
      <c r="M381" s="3"/>
    </row>
    <row r="382" spans="1:16" x14ac:dyDescent="0.45">
      <c r="A382" t="s">
        <v>17</v>
      </c>
      <c r="B382" t="s">
        <v>30</v>
      </c>
      <c r="C382" t="s">
        <v>23</v>
      </c>
      <c r="D382" s="27">
        <v>0</v>
      </c>
      <c r="E382" s="3" t="s">
        <v>41</v>
      </c>
      <c r="F382" s="23">
        <v>0</v>
      </c>
      <c r="G382" s="3" t="s">
        <v>41</v>
      </c>
      <c r="I382" s="25" t="str">
        <f t="shared" si="58"/>
        <v/>
      </c>
      <c r="J382" s="25" t="str">
        <f t="shared" si="58"/>
        <v/>
      </c>
      <c r="L382" s="3"/>
      <c r="M382" s="3"/>
    </row>
    <row r="383" spans="1:16" x14ac:dyDescent="0.45">
      <c r="A383" t="s">
        <v>18</v>
      </c>
      <c r="B383" t="s">
        <v>30</v>
      </c>
      <c r="C383" t="s">
        <v>23</v>
      </c>
      <c r="D383" s="27">
        <v>0</v>
      </c>
      <c r="E383" s="3" t="s">
        <v>41</v>
      </c>
      <c r="F383" s="23">
        <v>160000000</v>
      </c>
      <c r="G383" s="3" t="s">
        <v>41</v>
      </c>
      <c r="I383" s="25" t="str">
        <f t="shared" si="58"/>
        <v/>
      </c>
      <c r="J383" s="25" t="str">
        <f t="shared" si="58"/>
        <v/>
      </c>
      <c r="L383" s="3"/>
      <c r="M383" s="3"/>
    </row>
    <row r="384" spans="1:16" x14ac:dyDescent="0.45">
      <c r="A384" t="s">
        <v>19</v>
      </c>
      <c r="B384" t="s">
        <v>30</v>
      </c>
      <c r="C384" t="s">
        <v>23</v>
      </c>
      <c r="D384" s="27">
        <v>0</v>
      </c>
      <c r="E384" s="3" t="s">
        <v>41</v>
      </c>
      <c r="F384" s="23">
        <v>0</v>
      </c>
      <c r="G384" s="3" t="s">
        <v>41</v>
      </c>
      <c r="I384" s="25" t="str">
        <f t="shared" si="58"/>
        <v/>
      </c>
      <c r="J384" s="25" t="str">
        <f t="shared" si="58"/>
        <v/>
      </c>
      <c r="L384" s="3"/>
      <c r="M384" s="3"/>
    </row>
    <row r="385" spans="1:16" x14ac:dyDescent="0.45">
      <c r="A385" t="s">
        <v>20</v>
      </c>
      <c r="B385" t="s">
        <v>30</v>
      </c>
      <c r="C385" t="s">
        <v>23</v>
      </c>
      <c r="D385" s="27">
        <v>0</v>
      </c>
      <c r="E385" s="3" t="s">
        <v>41</v>
      </c>
      <c r="F385" s="23">
        <v>0</v>
      </c>
      <c r="G385" s="3" t="s">
        <v>41</v>
      </c>
      <c r="I385" s="25" t="str">
        <f t="shared" si="58"/>
        <v/>
      </c>
      <c r="J385" s="25" t="str">
        <f t="shared" si="58"/>
        <v/>
      </c>
      <c r="L385" s="3"/>
      <c r="M385" s="3"/>
    </row>
    <row r="386" spans="1:16" x14ac:dyDescent="0.45">
      <c r="A386" t="s">
        <v>7</v>
      </c>
      <c r="B386" t="s">
        <v>30</v>
      </c>
      <c r="C386" t="s">
        <v>24</v>
      </c>
      <c r="D386" s="27">
        <v>0</v>
      </c>
      <c r="E386" s="3">
        <v>0</v>
      </c>
      <c r="F386" s="23">
        <v>0</v>
      </c>
      <c r="G386" s="3">
        <v>0</v>
      </c>
      <c r="I386" s="22">
        <f t="shared" ref="I386:J386" si="67">IF(L386="","",L386)</f>
        <v>0</v>
      </c>
      <c r="J386" s="22">
        <f t="shared" si="67"/>
        <v>0</v>
      </c>
      <c r="L386" s="3">
        <v>0</v>
      </c>
      <c r="M386" s="3">
        <v>0</v>
      </c>
    </row>
    <row r="387" spans="1:16" x14ac:dyDescent="0.45">
      <c r="A387" t="s">
        <v>10</v>
      </c>
      <c r="B387" t="s">
        <v>30</v>
      </c>
      <c r="C387" t="s">
        <v>24</v>
      </c>
      <c r="D387" s="28">
        <v>0</v>
      </c>
      <c r="E387" s="4">
        <v>0</v>
      </c>
      <c r="F387" s="24">
        <v>0</v>
      </c>
      <c r="G387" s="4">
        <v>0</v>
      </c>
      <c r="I387" s="25">
        <f t="shared" ref="I387:J387" si="68">IF(L387="","",L387-L386)</f>
        <v>0</v>
      </c>
      <c r="J387" s="25">
        <f t="shared" si="68"/>
        <v>0</v>
      </c>
      <c r="L387" s="4">
        <v>0</v>
      </c>
      <c r="M387" s="4">
        <v>0</v>
      </c>
    </row>
    <row r="388" spans="1:16" x14ac:dyDescent="0.45">
      <c r="A388" t="s">
        <v>11</v>
      </c>
      <c r="B388" t="s">
        <v>30</v>
      </c>
      <c r="C388" t="s">
        <v>24</v>
      </c>
      <c r="D388" s="27">
        <v>0</v>
      </c>
      <c r="E388" s="3">
        <v>0</v>
      </c>
      <c r="F388" s="23">
        <v>0</v>
      </c>
      <c r="G388" s="3">
        <v>0</v>
      </c>
      <c r="I388" s="25">
        <f t="shared" si="58"/>
        <v>0</v>
      </c>
      <c r="J388" s="25">
        <f t="shared" si="58"/>
        <v>0</v>
      </c>
      <c r="L388" s="29">
        <f>SUMIFS(Pivot_!C:C,Pivot_!A:A,'Hitung Per Bulan'!B388,Pivot_!B:B,'Hitung Per Bulan'!C388)</f>
        <v>0</v>
      </c>
      <c r="M388" s="29">
        <f>SUMIFS(Pivot_!D:D,Pivot_!A:A,'Hitung Per Bulan'!B388,Pivot_!B:B,'Hitung Per Bulan'!C388)</f>
        <v>0</v>
      </c>
    </row>
    <row r="389" spans="1:16" x14ac:dyDescent="0.45">
      <c r="A389" t="s">
        <v>12</v>
      </c>
      <c r="B389" t="s">
        <v>30</v>
      </c>
      <c r="C389" t="s">
        <v>24</v>
      </c>
      <c r="D389" s="27">
        <v>0</v>
      </c>
      <c r="E389" s="3" t="s">
        <v>41</v>
      </c>
      <c r="F389" s="23">
        <v>0</v>
      </c>
      <c r="G389" s="3" t="s">
        <v>41</v>
      </c>
      <c r="I389" s="25" t="str">
        <f t="shared" si="58"/>
        <v/>
      </c>
      <c r="J389" s="25" t="str">
        <f t="shared" si="58"/>
        <v/>
      </c>
      <c r="L389" s="29"/>
      <c r="M389" s="29"/>
      <c r="O389" s="72"/>
      <c r="P389" s="72"/>
    </row>
    <row r="390" spans="1:16" x14ac:dyDescent="0.45">
      <c r="A390" t="s">
        <v>13</v>
      </c>
      <c r="B390" t="s">
        <v>30</v>
      </c>
      <c r="C390" t="s">
        <v>24</v>
      </c>
      <c r="D390" s="27">
        <v>0</v>
      </c>
      <c r="E390" s="3" t="s">
        <v>41</v>
      </c>
      <c r="F390" s="23">
        <v>0</v>
      </c>
      <c r="G390" s="3" t="s">
        <v>41</v>
      </c>
      <c r="I390" s="25" t="str">
        <f t="shared" si="58"/>
        <v/>
      </c>
      <c r="J390" s="25" t="str">
        <f t="shared" si="58"/>
        <v/>
      </c>
      <c r="L390" s="3"/>
      <c r="M390" s="3"/>
    </row>
    <row r="391" spans="1:16" x14ac:dyDescent="0.45">
      <c r="A391" t="s">
        <v>14</v>
      </c>
      <c r="B391" t="s">
        <v>30</v>
      </c>
      <c r="C391" t="s">
        <v>24</v>
      </c>
      <c r="D391" s="27">
        <v>0</v>
      </c>
      <c r="E391" s="3" t="s">
        <v>41</v>
      </c>
      <c r="F391" s="23">
        <v>0</v>
      </c>
      <c r="G391" s="3" t="s">
        <v>41</v>
      </c>
      <c r="I391" s="25" t="str">
        <f t="shared" si="58"/>
        <v/>
      </c>
      <c r="J391" s="25" t="str">
        <f t="shared" si="58"/>
        <v/>
      </c>
      <c r="L391" s="3"/>
      <c r="M391" s="3"/>
    </row>
    <row r="392" spans="1:16" x14ac:dyDescent="0.45">
      <c r="A392" t="s">
        <v>15</v>
      </c>
      <c r="B392" t="s">
        <v>30</v>
      </c>
      <c r="C392" t="s">
        <v>24</v>
      </c>
      <c r="D392" s="27">
        <v>0</v>
      </c>
      <c r="E392" s="3" t="s">
        <v>41</v>
      </c>
      <c r="F392" s="23">
        <v>0</v>
      </c>
      <c r="G392" s="3" t="s">
        <v>41</v>
      </c>
      <c r="I392" s="25" t="str">
        <f t="shared" si="58"/>
        <v/>
      </c>
      <c r="J392" s="25" t="str">
        <f t="shared" si="58"/>
        <v/>
      </c>
      <c r="L392" s="3"/>
      <c r="M392" s="3"/>
    </row>
    <row r="393" spans="1:16" x14ac:dyDescent="0.45">
      <c r="A393" t="s">
        <v>16</v>
      </c>
      <c r="B393" t="s">
        <v>30</v>
      </c>
      <c r="C393" t="s">
        <v>24</v>
      </c>
      <c r="D393" s="27">
        <v>0</v>
      </c>
      <c r="E393" s="3" t="s">
        <v>41</v>
      </c>
      <c r="F393" s="23">
        <v>0</v>
      </c>
      <c r="G393" s="3" t="s">
        <v>41</v>
      </c>
      <c r="I393" s="25" t="str">
        <f t="shared" si="58"/>
        <v/>
      </c>
      <c r="J393" s="25" t="str">
        <f t="shared" si="58"/>
        <v/>
      </c>
      <c r="L393" s="3"/>
      <c r="M393" s="3"/>
    </row>
    <row r="394" spans="1:16" x14ac:dyDescent="0.45">
      <c r="A394" t="s">
        <v>17</v>
      </c>
      <c r="B394" t="s">
        <v>30</v>
      </c>
      <c r="C394" t="s">
        <v>24</v>
      </c>
      <c r="D394" s="27">
        <v>0</v>
      </c>
      <c r="E394" s="3" t="s">
        <v>41</v>
      </c>
      <c r="F394" s="23">
        <v>0</v>
      </c>
      <c r="G394" s="3" t="s">
        <v>41</v>
      </c>
      <c r="I394" s="25" t="str">
        <f t="shared" si="58"/>
        <v/>
      </c>
      <c r="J394" s="25" t="str">
        <f t="shared" si="58"/>
        <v/>
      </c>
      <c r="L394" s="3"/>
      <c r="M394" s="3"/>
    </row>
    <row r="395" spans="1:16" x14ac:dyDescent="0.45">
      <c r="A395" t="s">
        <v>18</v>
      </c>
      <c r="B395" t="s">
        <v>30</v>
      </c>
      <c r="C395" t="s">
        <v>24</v>
      </c>
      <c r="D395" s="27">
        <v>0</v>
      </c>
      <c r="E395" s="3" t="s">
        <v>41</v>
      </c>
      <c r="F395" s="23">
        <v>0</v>
      </c>
      <c r="G395" s="3" t="s">
        <v>41</v>
      </c>
      <c r="I395" s="25" t="str">
        <f t="shared" si="58"/>
        <v/>
      </c>
      <c r="J395" s="25" t="str">
        <f t="shared" si="58"/>
        <v/>
      </c>
      <c r="L395" s="3"/>
      <c r="M395" s="3"/>
    </row>
    <row r="396" spans="1:16" x14ac:dyDescent="0.45">
      <c r="A396" t="s">
        <v>19</v>
      </c>
      <c r="B396" t="s">
        <v>30</v>
      </c>
      <c r="C396" t="s">
        <v>24</v>
      </c>
      <c r="D396" s="27">
        <v>0</v>
      </c>
      <c r="E396" s="3" t="s">
        <v>41</v>
      </c>
      <c r="F396" s="23">
        <v>0</v>
      </c>
      <c r="G396" s="3" t="s">
        <v>41</v>
      </c>
      <c r="I396" s="25" t="str">
        <f t="shared" si="58"/>
        <v/>
      </c>
      <c r="J396" s="25" t="str">
        <f t="shared" si="58"/>
        <v/>
      </c>
      <c r="L396" s="3"/>
      <c r="M396" s="3"/>
    </row>
    <row r="397" spans="1:16" x14ac:dyDescent="0.45">
      <c r="A397" t="s">
        <v>20</v>
      </c>
      <c r="B397" t="s">
        <v>30</v>
      </c>
      <c r="C397" t="s">
        <v>24</v>
      </c>
      <c r="D397" s="27">
        <v>0</v>
      </c>
      <c r="E397" s="3" t="s">
        <v>41</v>
      </c>
      <c r="F397" s="23">
        <v>0</v>
      </c>
      <c r="G397" s="3" t="s">
        <v>41</v>
      </c>
      <c r="I397" s="25" t="str">
        <f t="shared" si="58"/>
        <v/>
      </c>
      <c r="J397" s="25" t="str">
        <f t="shared" si="58"/>
        <v/>
      </c>
      <c r="L397" s="3"/>
      <c r="M397" s="3"/>
    </row>
    <row r="398" spans="1:16" x14ac:dyDescent="0.45">
      <c r="A398" t="s">
        <v>7</v>
      </c>
      <c r="B398" t="s">
        <v>30</v>
      </c>
      <c r="C398" t="s">
        <v>25</v>
      </c>
      <c r="D398" s="27">
        <v>50834000</v>
      </c>
      <c r="E398" s="3">
        <v>107373135</v>
      </c>
      <c r="F398" s="23">
        <v>50834000</v>
      </c>
      <c r="G398" s="3">
        <v>29120235</v>
      </c>
      <c r="I398" s="22">
        <f t="shared" ref="I398:J398" si="69">IF(L398="","",L398)</f>
        <v>107373135</v>
      </c>
      <c r="J398" s="22">
        <f t="shared" si="69"/>
        <v>29120235</v>
      </c>
      <c r="L398" s="3">
        <v>107373135</v>
      </c>
      <c r="M398" s="3">
        <v>29120235</v>
      </c>
    </row>
    <row r="399" spans="1:16" x14ac:dyDescent="0.45">
      <c r="A399" t="s">
        <v>10</v>
      </c>
      <c r="B399" t="s">
        <v>30</v>
      </c>
      <c r="C399" t="s">
        <v>25</v>
      </c>
      <c r="D399" s="28">
        <v>70834000</v>
      </c>
      <c r="E399" s="4">
        <v>132788748</v>
      </c>
      <c r="F399" s="24">
        <v>70834000</v>
      </c>
      <c r="G399" s="4">
        <v>60489500</v>
      </c>
      <c r="I399" s="25">
        <f t="shared" ref="I399:J462" si="70">IF(L399="","",L399-L398)</f>
        <v>132788748</v>
      </c>
      <c r="J399" s="25">
        <f t="shared" si="70"/>
        <v>60489500</v>
      </c>
      <c r="L399" s="4">
        <v>240161883</v>
      </c>
      <c r="M399" s="4">
        <v>89609735</v>
      </c>
    </row>
    <row r="400" spans="1:16" x14ac:dyDescent="0.45">
      <c r="A400" t="s">
        <v>11</v>
      </c>
      <c r="B400" t="s">
        <v>30</v>
      </c>
      <c r="C400" t="s">
        <v>25</v>
      </c>
      <c r="D400" s="27">
        <v>302184000</v>
      </c>
      <c r="E400" s="3">
        <v>18195000</v>
      </c>
      <c r="F400" s="23">
        <v>302184000</v>
      </c>
      <c r="G400" s="3">
        <v>28151400</v>
      </c>
      <c r="I400" s="25">
        <f t="shared" si="70"/>
        <v>105406414</v>
      </c>
      <c r="J400" s="25">
        <f t="shared" si="70"/>
        <v>114465550</v>
      </c>
      <c r="L400" s="29">
        <f>SUMIFS(Pivot_!C:C,Pivot_!A:A,'Hitung Per Bulan'!B400,Pivot_!B:B,'Hitung Per Bulan'!C400)</f>
        <v>345568297</v>
      </c>
      <c r="M400" s="29">
        <f>SUMIFS(Pivot_!D:D,Pivot_!A:A,'Hitung Per Bulan'!B400,Pivot_!B:B,'Hitung Per Bulan'!C400)</f>
        <v>204075285</v>
      </c>
    </row>
    <row r="401" spans="1:16" x14ac:dyDescent="0.45">
      <c r="A401" t="s">
        <v>12</v>
      </c>
      <c r="B401" t="s">
        <v>30</v>
      </c>
      <c r="C401" t="s">
        <v>25</v>
      </c>
      <c r="D401" s="27">
        <v>313833000</v>
      </c>
      <c r="E401" s="3" t="s">
        <v>41</v>
      </c>
      <c r="F401" s="23">
        <v>313833000</v>
      </c>
      <c r="G401" s="3" t="s">
        <v>41</v>
      </c>
      <c r="I401" s="25" t="str">
        <f t="shared" si="70"/>
        <v/>
      </c>
      <c r="J401" s="25" t="str">
        <f t="shared" si="70"/>
        <v/>
      </c>
      <c r="L401" s="29"/>
      <c r="M401" s="29"/>
      <c r="O401" s="72"/>
      <c r="P401" s="72"/>
    </row>
    <row r="402" spans="1:16" x14ac:dyDescent="0.45">
      <c r="A402" t="s">
        <v>13</v>
      </c>
      <c r="B402" t="s">
        <v>30</v>
      </c>
      <c r="C402" t="s">
        <v>25</v>
      </c>
      <c r="D402" s="27">
        <v>187833000</v>
      </c>
      <c r="E402" s="3" t="s">
        <v>41</v>
      </c>
      <c r="F402" s="23">
        <v>187833000</v>
      </c>
      <c r="G402" s="3" t="s">
        <v>41</v>
      </c>
      <c r="I402" s="25" t="str">
        <f t="shared" si="70"/>
        <v/>
      </c>
      <c r="J402" s="25" t="str">
        <f t="shared" si="70"/>
        <v/>
      </c>
      <c r="L402" s="3"/>
      <c r="M402" s="3"/>
    </row>
    <row r="403" spans="1:16" x14ac:dyDescent="0.45">
      <c r="A403" t="s">
        <v>14</v>
      </c>
      <c r="B403" t="s">
        <v>30</v>
      </c>
      <c r="C403" t="s">
        <v>25</v>
      </c>
      <c r="D403" s="27">
        <v>274383000</v>
      </c>
      <c r="E403" s="3" t="s">
        <v>41</v>
      </c>
      <c r="F403" s="23">
        <v>274383000</v>
      </c>
      <c r="G403" s="3" t="s">
        <v>41</v>
      </c>
      <c r="I403" s="25" t="str">
        <f t="shared" si="70"/>
        <v/>
      </c>
      <c r="J403" s="25" t="str">
        <f t="shared" si="70"/>
        <v/>
      </c>
      <c r="L403" s="3"/>
      <c r="M403" s="3"/>
    </row>
    <row r="404" spans="1:16" x14ac:dyDescent="0.45">
      <c r="A404" t="s">
        <v>15</v>
      </c>
      <c r="B404" t="s">
        <v>30</v>
      </c>
      <c r="C404" t="s">
        <v>25</v>
      </c>
      <c r="D404" s="27">
        <v>53833000</v>
      </c>
      <c r="E404" s="3" t="s">
        <v>41</v>
      </c>
      <c r="F404" s="23">
        <v>53833000</v>
      </c>
      <c r="G404" s="3" t="s">
        <v>41</v>
      </c>
      <c r="I404" s="25" t="str">
        <f t="shared" si="70"/>
        <v/>
      </c>
      <c r="J404" s="25" t="str">
        <f t="shared" si="70"/>
        <v/>
      </c>
      <c r="L404" s="3"/>
      <c r="M404" s="3"/>
    </row>
    <row r="405" spans="1:16" x14ac:dyDescent="0.45">
      <c r="A405" t="s">
        <v>16</v>
      </c>
      <c r="B405" t="s">
        <v>30</v>
      </c>
      <c r="C405" t="s">
        <v>25</v>
      </c>
      <c r="D405" s="27">
        <v>90833000</v>
      </c>
      <c r="E405" s="3" t="s">
        <v>41</v>
      </c>
      <c r="F405" s="23">
        <v>90833000</v>
      </c>
      <c r="G405" s="3" t="s">
        <v>41</v>
      </c>
      <c r="I405" s="25" t="str">
        <f t="shared" si="70"/>
        <v/>
      </c>
      <c r="J405" s="25" t="str">
        <f t="shared" si="70"/>
        <v/>
      </c>
      <c r="L405" s="3"/>
      <c r="M405" s="3"/>
    </row>
    <row r="406" spans="1:16" x14ac:dyDescent="0.45">
      <c r="A406" t="s">
        <v>17</v>
      </c>
      <c r="B406" t="s">
        <v>30</v>
      </c>
      <c r="C406" t="s">
        <v>25</v>
      </c>
      <c r="D406" s="27">
        <v>97183000</v>
      </c>
      <c r="E406" s="3" t="s">
        <v>41</v>
      </c>
      <c r="F406" s="23">
        <v>97183000</v>
      </c>
      <c r="G406" s="3" t="s">
        <v>41</v>
      </c>
      <c r="I406" s="25" t="str">
        <f t="shared" si="70"/>
        <v/>
      </c>
      <c r="J406" s="25" t="str">
        <f t="shared" si="70"/>
        <v/>
      </c>
      <c r="L406" s="3"/>
      <c r="M406" s="3"/>
    </row>
    <row r="407" spans="1:16" x14ac:dyDescent="0.45">
      <c r="A407" t="s">
        <v>18</v>
      </c>
      <c r="B407" t="s">
        <v>30</v>
      </c>
      <c r="C407" t="s">
        <v>25</v>
      </c>
      <c r="D407" s="27">
        <v>65834000</v>
      </c>
      <c r="E407" s="3" t="s">
        <v>41</v>
      </c>
      <c r="F407" s="23">
        <v>65834000</v>
      </c>
      <c r="G407" s="3" t="s">
        <v>41</v>
      </c>
      <c r="I407" s="25" t="str">
        <f t="shared" si="70"/>
        <v/>
      </c>
      <c r="J407" s="25" t="str">
        <f t="shared" si="70"/>
        <v/>
      </c>
      <c r="L407" s="3"/>
      <c r="M407" s="3"/>
    </row>
    <row r="408" spans="1:16" x14ac:dyDescent="0.45">
      <c r="A408" t="s">
        <v>19</v>
      </c>
      <c r="B408" t="s">
        <v>30</v>
      </c>
      <c r="C408" t="s">
        <v>25</v>
      </c>
      <c r="D408" s="27">
        <v>62834000</v>
      </c>
      <c r="E408" s="3" t="s">
        <v>41</v>
      </c>
      <c r="F408" s="23">
        <v>62834000</v>
      </c>
      <c r="G408" s="3" t="s">
        <v>41</v>
      </c>
      <c r="I408" s="25" t="str">
        <f t="shared" si="70"/>
        <v/>
      </c>
      <c r="J408" s="25" t="str">
        <f t="shared" si="70"/>
        <v/>
      </c>
      <c r="L408" s="3"/>
      <c r="M408" s="3"/>
    </row>
    <row r="409" spans="1:16" x14ac:dyDescent="0.45">
      <c r="A409" t="s">
        <v>20</v>
      </c>
      <c r="B409" t="s">
        <v>30</v>
      </c>
      <c r="C409" t="s">
        <v>25</v>
      </c>
      <c r="D409" s="27">
        <v>112184000</v>
      </c>
      <c r="E409" s="3" t="s">
        <v>41</v>
      </c>
      <c r="F409" s="23">
        <v>112184000</v>
      </c>
      <c r="G409" s="3" t="s">
        <v>41</v>
      </c>
      <c r="I409" s="25" t="str">
        <f t="shared" si="70"/>
        <v/>
      </c>
      <c r="J409" s="25" t="str">
        <f t="shared" si="70"/>
        <v/>
      </c>
      <c r="L409" s="3"/>
      <c r="M409" s="3"/>
    </row>
    <row r="410" spans="1:16" x14ac:dyDescent="0.45">
      <c r="A410" t="s">
        <v>7</v>
      </c>
      <c r="B410" t="s">
        <v>30</v>
      </c>
      <c r="C410" t="s">
        <v>26</v>
      </c>
      <c r="D410" s="27">
        <v>208442000</v>
      </c>
      <c r="E410" s="3">
        <v>180318716</v>
      </c>
      <c r="F410" s="23">
        <v>208442000</v>
      </c>
      <c r="G410" s="3">
        <v>180294464</v>
      </c>
      <c r="I410" s="22">
        <f t="shared" ref="I410:J410" si="71">IF(L410="","",L410)</f>
        <v>180318716</v>
      </c>
      <c r="J410" s="22">
        <f t="shared" si="71"/>
        <v>180294464</v>
      </c>
      <c r="L410" s="3">
        <v>180318716</v>
      </c>
      <c r="M410" s="3">
        <v>180294464</v>
      </c>
    </row>
    <row r="411" spans="1:16" x14ac:dyDescent="0.45">
      <c r="A411" t="s">
        <v>10</v>
      </c>
      <c r="B411" t="s">
        <v>30</v>
      </c>
      <c r="C411" t="s">
        <v>26</v>
      </c>
      <c r="D411" s="28">
        <v>208442000</v>
      </c>
      <c r="E411" s="4">
        <v>165926590</v>
      </c>
      <c r="F411" s="24">
        <v>208442000</v>
      </c>
      <c r="G411" s="4">
        <v>165950842</v>
      </c>
      <c r="I411" s="25">
        <f t="shared" ref="I411:J411" si="72">IF(L411="","",L411-L410)</f>
        <v>165926590</v>
      </c>
      <c r="J411" s="25">
        <f t="shared" si="72"/>
        <v>165950842</v>
      </c>
      <c r="L411" s="4">
        <v>346245306</v>
      </c>
      <c r="M411" s="4">
        <v>346245306</v>
      </c>
    </row>
    <row r="412" spans="1:16" x14ac:dyDescent="0.45">
      <c r="A412" t="s">
        <v>11</v>
      </c>
      <c r="B412" t="s">
        <v>30</v>
      </c>
      <c r="C412" t="s">
        <v>26</v>
      </c>
      <c r="D412" s="27">
        <v>208442000</v>
      </c>
      <c r="E412" s="3">
        <v>0</v>
      </c>
      <c r="F412" s="23">
        <v>208442000</v>
      </c>
      <c r="G412" s="3">
        <v>0</v>
      </c>
      <c r="I412" s="25">
        <f t="shared" si="70"/>
        <v>147403349</v>
      </c>
      <c r="J412" s="25">
        <f t="shared" si="70"/>
        <v>147403349</v>
      </c>
      <c r="L412" s="29">
        <f>SUMIFS(Pivot_!C:C,Pivot_!A:A,'Hitung Per Bulan'!B412,Pivot_!B:B,'Hitung Per Bulan'!C412)</f>
        <v>493648655</v>
      </c>
      <c r="M412" s="29">
        <f>SUMIFS(Pivot_!D:D,Pivot_!A:A,'Hitung Per Bulan'!B412,Pivot_!B:B,'Hitung Per Bulan'!C412)</f>
        <v>493648655</v>
      </c>
    </row>
    <row r="413" spans="1:16" x14ac:dyDescent="0.45">
      <c r="A413" t="s">
        <v>12</v>
      </c>
      <c r="B413" t="s">
        <v>30</v>
      </c>
      <c r="C413" t="s">
        <v>26</v>
      </c>
      <c r="D413" s="27">
        <v>208442000</v>
      </c>
      <c r="E413" s="3" t="s">
        <v>41</v>
      </c>
      <c r="F413" s="23">
        <v>208442000</v>
      </c>
      <c r="G413" s="3" t="s">
        <v>41</v>
      </c>
      <c r="I413" s="25" t="str">
        <f t="shared" si="70"/>
        <v/>
      </c>
      <c r="J413" s="25" t="str">
        <f t="shared" si="70"/>
        <v/>
      </c>
      <c r="L413" s="29"/>
      <c r="M413" s="29"/>
      <c r="O413" s="72"/>
      <c r="P413" s="72"/>
    </row>
    <row r="414" spans="1:16" x14ac:dyDescent="0.45">
      <c r="A414" t="s">
        <v>13</v>
      </c>
      <c r="B414" t="s">
        <v>30</v>
      </c>
      <c r="C414" t="s">
        <v>26</v>
      </c>
      <c r="D414" s="27">
        <v>208442000</v>
      </c>
      <c r="E414" s="3" t="s">
        <v>41</v>
      </c>
      <c r="F414" s="23">
        <v>208442000</v>
      </c>
      <c r="G414" s="3" t="s">
        <v>41</v>
      </c>
      <c r="I414" s="25" t="str">
        <f t="shared" si="70"/>
        <v/>
      </c>
      <c r="J414" s="25" t="str">
        <f t="shared" si="70"/>
        <v/>
      </c>
      <c r="L414" s="3"/>
      <c r="M414" s="3"/>
    </row>
    <row r="415" spans="1:16" x14ac:dyDescent="0.45">
      <c r="A415" t="s">
        <v>14</v>
      </c>
      <c r="B415" t="s">
        <v>30</v>
      </c>
      <c r="C415" t="s">
        <v>26</v>
      </c>
      <c r="D415" s="27">
        <v>208442000</v>
      </c>
      <c r="E415" s="3" t="s">
        <v>41</v>
      </c>
      <c r="F415" s="23">
        <v>208442000</v>
      </c>
      <c r="G415" s="3" t="s">
        <v>41</v>
      </c>
      <c r="I415" s="25" t="str">
        <f t="shared" si="70"/>
        <v/>
      </c>
      <c r="J415" s="25" t="str">
        <f t="shared" si="70"/>
        <v/>
      </c>
      <c r="L415" s="3"/>
      <c r="M415" s="3"/>
    </row>
    <row r="416" spans="1:16" x14ac:dyDescent="0.45">
      <c r="A416" t="s">
        <v>15</v>
      </c>
      <c r="B416" t="s">
        <v>30</v>
      </c>
      <c r="C416" t="s">
        <v>26</v>
      </c>
      <c r="D416" s="27">
        <v>208442000</v>
      </c>
      <c r="E416" s="3" t="s">
        <v>41</v>
      </c>
      <c r="F416" s="23">
        <v>208442000</v>
      </c>
      <c r="G416" s="3" t="s">
        <v>41</v>
      </c>
      <c r="I416" s="25" t="str">
        <f t="shared" si="70"/>
        <v/>
      </c>
      <c r="J416" s="25" t="str">
        <f t="shared" si="70"/>
        <v/>
      </c>
      <c r="L416" s="3"/>
      <c r="M416" s="3"/>
    </row>
    <row r="417" spans="1:16" x14ac:dyDescent="0.45">
      <c r="A417" t="s">
        <v>16</v>
      </c>
      <c r="B417" t="s">
        <v>30</v>
      </c>
      <c r="C417" t="s">
        <v>26</v>
      </c>
      <c r="D417" s="27">
        <v>208442000</v>
      </c>
      <c r="E417" s="3" t="s">
        <v>41</v>
      </c>
      <c r="F417" s="23">
        <v>208442000</v>
      </c>
      <c r="G417" s="3" t="s">
        <v>41</v>
      </c>
      <c r="I417" s="25" t="str">
        <f t="shared" si="70"/>
        <v/>
      </c>
      <c r="J417" s="25" t="str">
        <f t="shared" si="70"/>
        <v/>
      </c>
      <c r="L417" s="3"/>
      <c r="M417" s="3"/>
    </row>
    <row r="418" spans="1:16" x14ac:dyDescent="0.45">
      <c r="A418" t="s">
        <v>17</v>
      </c>
      <c r="B418" t="s">
        <v>30</v>
      </c>
      <c r="C418" t="s">
        <v>26</v>
      </c>
      <c r="D418" s="27">
        <v>208441000</v>
      </c>
      <c r="E418" s="3" t="s">
        <v>41</v>
      </c>
      <c r="F418" s="23">
        <v>208441000</v>
      </c>
      <c r="G418" s="3" t="s">
        <v>41</v>
      </c>
      <c r="I418" s="25" t="str">
        <f t="shared" si="70"/>
        <v/>
      </c>
      <c r="J418" s="25" t="str">
        <f t="shared" si="70"/>
        <v/>
      </c>
      <c r="L418" s="3"/>
      <c r="M418" s="3"/>
    </row>
    <row r="419" spans="1:16" x14ac:dyDescent="0.45">
      <c r="A419" t="s">
        <v>18</v>
      </c>
      <c r="B419" t="s">
        <v>30</v>
      </c>
      <c r="C419" t="s">
        <v>26</v>
      </c>
      <c r="D419" s="27">
        <v>208441000</v>
      </c>
      <c r="E419" s="3" t="s">
        <v>41</v>
      </c>
      <c r="F419" s="23">
        <v>208441000</v>
      </c>
      <c r="G419" s="3" t="s">
        <v>41</v>
      </c>
      <c r="I419" s="25" t="str">
        <f t="shared" si="70"/>
        <v/>
      </c>
      <c r="J419" s="25" t="str">
        <f t="shared" si="70"/>
        <v/>
      </c>
      <c r="L419" s="3"/>
      <c r="M419" s="3"/>
    </row>
    <row r="420" spans="1:16" x14ac:dyDescent="0.45">
      <c r="A420" t="s">
        <v>19</v>
      </c>
      <c r="B420" t="s">
        <v>30</v>
      </c>
      <c r="C420" t="s">
        <v>26</v>
      </c>
      <c r="D420" s="27">
        <v>208441000</v>
      </c>
      <c r="E420" s="3" t="s">
        <v>41</v>
      </c>
      <c r="F420" s="23">
        <v>208441000</v>
      </c>
      <c r="G420" s="3" t="s">
        <v>41</v>
      </c>
      <c r="I420" s="25" t="str">
        <f t="shared" si="70"/>
        <v/>
      </c>
      <c r="J420" s="25" t="str">
        <f t="shared" si="70"/>
        <v/>
      </c>
      <c r="L420" s="3"/>
      <c r="M420" s="3"/>
    </row>
    <row r="421" spans="1:16" x14ac:dyDescent="0.45">
      <c r="A421" t="s">
        <v>20</v>
      </c>
      <c r="B421" t="s">
        <v>30</v>
      </c>
      <c r="C421" t="s">
        <v>26</v>
      </c>
      <c r="D421" s="27">
        <v>208441000</v>
      </c>
      <c r="E421" s="3" t="s">
        <v>41</v>
      </c>
      <c r="F421" s="23">
        <v>208441000</v>
      </c>
      <c r="G421" s="3" t="s">
        <v>41</v>
      </c>
      <c r="I421" s="25" t="str">
        <f t="shared" si="70"/>
        <v/>
      </c>
      <c r="J421" s="25" t="str">
        <f t="shared" si="70"/>
        <v/>
      </c>
      <c r="L421" s="3"/>
      <c r="M421" s="3"/>
    </row>
    <row r="422" spans="1:16" x14ac:dyDescent="0.45">
      <c r="A422" t="s">
        <v>7</v>
      </c>
      <c r="B422" t="s">
        <v>31</v>
      </c>
      <c r="C422" t="s">
        <v>9</v>
      </c>
      <c r="D422" s="27">
        <v>100000000</v>
      </c>
      <c r="E422" s="3">
        <v>656537346</v>
      </c>
      <c r="F422" s="23">
        <v>0</v>
      </c>
      <c r="G422" s="3">
        <v>0</v>
      </c>
      <c r="I422" s="22">
        <f t="shared" ref="I422:J422" si="73">IF(L422="","",L422)</f>
        <v>656537346</v>
      </c>
      <c r="J422" s="22">
        <f t="shared" si="73"/>
        <v>0</v>
      </c>
      <c r="L422" s="3">
        <v>656537346</v>
      </c>
      <c r="M422" s="3">
        <v>0</v>
      </c>
    </row>
    <row r="423" spans="1:16" x14ac:dyDescent="0.45">
      <c r="A423" t="s">
        <v>10</v>
      </c>
      <c r="B423" t="s">
        <v>31</v>
      </c>
      <c r="C423" t="s">
        <v>9</v>
      </c>
      <c r="D423" s="28">
        <v>235000000</v>
      </c>
      <c r="E423" s="4">
        <v>683351141</v>
      </c>
      <c r="F423" s="24">
        <v>185000000</v>
      </c>
      <c r="G423" s="4">
        <v>93332500</v>
      </c>
      <c r="I423" s="25">
        <f t="shared" ref="I423:J423" si="74">IF(L423="","",L423-L422)</f>
        <v>683351141</v>
      </c>
      <c r="J423" s="25">
        <f t="shared" si="74"/>
        <v>93332500</v>
      </c>
      <c r="L423" s="4">
        <v>1339888487</v>
      </c>
      <c r="M423" s="4">
        <v>93332500</v>
      </c>
    </row>
    <row r="424" spans="1:16" x14ac:dyDescent="0.45">
      <c r="A424" t="s">
        <v>11</v>
      </c>
      <c r="B424" t="s">
        <v>31</v>
      </c>
      <c r="C424" t="s">
        <v>9</v>
      </c>
      <c r="D424" s="27">
        <v>9354173000</v>
      </c>
      <c r="E424" s="3">
        <v>3192088872</v>
      </c>
      <c r="F424" s="23">
        <v>500000000</v>
      </c>
      <c r="G424" s="3">
        <v>80204846</v>
      </c>
      <c r="I424" s="25">
        <f t="shared" si="70"/>
        <v>8099134173</v>
      </c>
      <c r="J424" s="25">
        <f t="shared" si="70"/>
        <v>104154846</v>
      </c>
      <c r="L424" s="29">
        <f>SUMIFS(Pivot_!C:C,Pivot_!A:A,'Hitung Per Bulan'!B424,Pivot_!B:B,'Hitung Per Bulan'!C424)</f>
        <v>9439022660</v>
      </c>
      <c r="M424" s="29">
        <f>SUMIFS(Pivot_!D:D,Pivot_!A:A,'Hitung Per Bulan'!B424,Pivot_!B:B,'Hitung Per Bulan'!C424)</f>
        <v>197487346</v>
      </c>
    </row>
    <row r="425" spans="1:16" x14ac:dyDescent="0.45">
      <c r="A425" t="s">
        <v>12</v>
      </c>
      <c r="B425" t="s">
        <v>31</v>
      </c>
      <c r="C425" t="s">
        <v>9</v>
      </c>
      <c r="D425" s="27">
        <v>459550000</v>
      </c>
      <c r="E425" s="3" t="s">
        <v>41</v>
      </c>
      <c r="F425" s="23">
        <v>521650000</v>
      </c>
      <c r="G425" s="3" t="s">
        <v>41</v>
      </c>
      <c r="I425" s="25" t="str">
        <f t="shared" si="70"/>
        <v/>
      </c>
      <c r="J425" s="25" t="str">
        <f t="shared" si="70"/>
        <v/>
      </c>
      <c r="L425" s="29"/>
      <c r="M425" s="29"/>
      <c r="O425" s="72"/>
      <c r="P425" s="72"/>
    </row>
    <row r="426" spans="1:16" x14ac:dyDescent="0.45">
      <c r="A426" t="s">
        <v>13</v>
      </c>
      <c r="B426" t="s">
        <v>31</v>
      </c>
      <c r="C426" t="s">
        <v>9</v>
      </c>
      <c r="D426" s="27">
        <v>4070366975</v>
      </c>
      <c r="E426" s="3" t="s">
        <v>41</v>
      </c>
      <c r="F426" s="23">
        <v>190000000</v>
      </c>
      <c r="G426" s="3" t="s">
        <v>41</v>
      </c>
      <c r="I426" s="25" t="str">
        <f t="shared" si="70"/>
        <v/>
      </c>
      <c r="J426" s="25" t="str">
        <f t="shared" si="70"/>
        <v/>
      </c>
      <c r="L426" s="3"/>
      <c r="M426" s="3"/>
    </row>
    <row r="427" spans="1:16" x14ac:dyDescent="0.45">
      <c r="A427" t="s">
        <v>14</v>
      </c>
      <c r="B427" t="s">
        <v>31</v>
      </c>
      <c r="C427" t="s">
        <v>9</v>
      </c>
      <c r="D427" s="27">
        <v>1051500000</v>
      </c>
      <c r="E427" s="3" t="s">
        <v>41</v>
      </c>
      <c r="F427" s="23">
        <v>419000000</v>
      </c>
      <c r="G427" s="3" t="s">
        <v>41</v>
      </c>
      <c r="I427" s="25" t="str">
        <f t="shared" si="70"/>
        <v/>
      </c>
      <c r="J427" s="25" t="str">
        <f t="shared" si="70"/>
        <v/>
      </c>
      <c r="L427" s="3"/>
      <c r="M427" s="3"/>
    </row>
    <row r="428" spans="1:16" x14ac:dyDescent="0.45">
      <c r="A428" t="s">
        <v>15</v>
      </c>
      <c r="B428" t="s">
        <v>31</v>
      </c>
      <c r="C428" t="s">
        <v>9</v>
      </c>
      <c r="D428" s="27">
        <v>925000000</v>
      </c>
      <c r="E428" s="3" t="s">
        <v>41</v>
      </c>
      <c r="F428" s="23">
        <v>1383295000</v>
      </c>
      <c r="G428" s="3" t="s">
        <v>41</v>
      </c>
      <c r="I428" s="25" t="str">
        <f t="shared" si="70"/>
        <v/>
      </c>
      <c r="J428" s="25" t="str">
        <f t="shared" si="70"/>
        <v/>
      </c>
      <c r="L428" s="3"/>
      <c r="M428" s="3"/>
    </row>
    <row r="429" spans="1:16" x14ac:dyDescent="0.45">
      <c r="A429" t="s">
        <v>16</v>
      </c>
      <c r="B429" t="s">
        <v>31</v>
      </c>
      <c r="C429" t="s">
        <v>9</v>
      </c>
      <c r="D429" s="27">
        <v>391246320</v>
      </c>
      <c r="E429" s="3" t="s">
        <v>41</v>
      </c>
      <c r="F429" s="23">
        <v>882913000</v>
      </c>
      <c r="G429" s="3" t="s">
        <v>41</v>
      </c>
      <c r="I429" s="25" t="str">
        <f t="shared" si="70"/>
        <v/>
      </c>
      <c r="J429" s="25" t="str">
        <f t="shared" si="70"/>
        <v/>
      </c>
      <c r="L429" s="3"/>
      <c r="M429" s="3"/>
    </row>
    <row r="430" spans="1:16" x14ac:dyDescent="0.45">
      <c r="A430" t="s">
        <v>17</v>
      </c>
      <c r="B430" t="s">
        <v>31</v>
      </c>
      <c r="C430" t="s">
        <v>9</v>
      </c>
      <c r="D430" s="27">
        <v>447666665.99999994</v>
      </c>
      <c r="E430" s="3" t="s">
        <v>41</v>
      </c>
      <c r="F430" s="23">
        <v>3610437000</v>
      </c>
      <c r="G430" s="3" t="s">
        <v>41</v>
      </c>
      <c r="I430" s="25" t="str">
        <f t="shared" si="70"/>
        <v/>
      </c>
      <c r="J430" s="25" t="str">
        <f t="shared" si="70"/>
        <v/>
      </c>
      <c r="L430" s="3"/>
      <c r="M430" s="3"/>
    </row>
    <row r="431" spans="1:16" x14ac:dyDescent="0.45">
      <c r="A431" t="s">
        <v>18</v>
      </c>
      <c r="B431" t="s">
        <v>31</v>
      </c>
      <c r="C431" t="s">
        <v>9</v>
      </c>
      <c r="D431" s="27">
        <v>197666660</v>
      </c>
      <c r="E431" s="3" t="s">
        <v>41</v>
      </c>
      <c r="F431" s="23">
        <v>943622000</v>
      </c>
      <c r="G431" s="3" t="s">
        <v>41</v>
      </c>
      <c r="I431" s="25" t="str">
        <f t="shared" si="70"/>
        <v/>
      </c>
      <c r="J431" s="25" t="str">
        <f t="shared" si="70"/>
        <v/>
      </c>
      <c r="L431" s="3"/>
      <c r="M431" s="3"/>
    </row>
    <row r="432" spans="1:16" x14ac:dyDescent="0.45">
      <c r="A432" t="s">
        <v>19</v>
      </c>
      <c r="B432" t="s">
        <v>31</v>
      </c>
      <c r="C432" t="s">
        <v>9</v>
      </c>
      <c r="D432" s="27">
        <v>66666660</v>
      </c>
      <c r="E432" s="3" t="s">
        <v>41</v>
      </c>
      <c r="F432" s="23">
        <v>4123624560</v>
      </c>
      <c r="G432" s="3" t="s">
        <v>41</v>
      </c>
      <c r="I432" s="25" t="str">
        <f t="shared" si="70"/>
        <v/>
      </c>
      <c r="J432" s="25" t="str">
        <f t="shared" si="70"/>
        <v/>
      </c>
      <c r="L432" s="3"/>
      <c r="M432" s="3"/>
    </row>
    <row r="433" spans="1:16" x14ac:dyDescent="0.45">
      <c r="A433" t="s">
        <v>20</v>
      </c>
      <c r="B433" t="s">
        <v>31</v>
      </c>
      <c r="C433" t="s">
        <v>9</v>
      </c>
      <c r="D433" s="27">
        <v>66666660</v>
      </c>
      <c r="E433" s="3" t="s">
        <v>41</v>
      </c>
      <c r="F433" s="23">
        <v>4605962307</v>
      </c>
      <c r="G433" s="3" t="s">
        <v>41</v>
      </c>
      <c r="I433" s="25" t="str">
        <f t="shared" si="70"/>
        <v/>
      </c>
      <c r="J433" s="25" t="str">
        <f t="shared" si="70"/>
        <v/>
      </c>
      <c r="L433" s="3"/>
      <c r="M433" s="3"/>
    </row>
    <row r="434" spans="1:16" x14ac:dyDescent="0.45">
      <c r="A434" t="s">
        <v>7</v>
      </c>
      <c r="B434" t="s">
        <v>31</v>
      </c>
      <c r="C434" t="s">
        <v>21</v>
      </c>
      <c r="D434" s="27">
        <v>0</v>
      </c>
      <c r="E434" s="3">
        <v>0</v>
      </c>
      <c r="F434" s="23">
        <v>0</v>
      </c>
      <c r="G434" s="3">
        <v>0</v>
      </c>
      <c r="I434" s="22">
        <f t="shared" ref="I434:J434" si="75">IF(L434="","",L434)</f>
        <v>0</v>
      </c>
      <c r="J434" s="22">
        <f t="shared" si="75"/>
        <v>0</v>
      </c>
      <c r="L434" s="3">
        <v>0</v>
      </c>
      <c r="M434" s="3">
        <v>0</v>
      </c>
    </row>
    <row r="435" spans="1:16" x14ac:dyDescent="0.45">
      <c r="A435" t="s">
        <v>10</v>
      </c>
      <c r="B435" t="s">
        <v>31</v>
      </c>
      <c r="C435" t="s">
        <v>21</v>
      </c>
      <c r="D435" s="28">
        <v>10000000</v>
      </c>
      <c r="E435" s="4">
        <v>0</v>
      </c>
      <c r="F435" s="24">
        <v>0</v>
      </c>
      <c r="G435" s="4">
        <v>0</v>
      </c>
      <c r="I435" s="25">
        <f t="shared" ref="I435:J435" si="76">IF(L435="","",L435-L434)</f>
        <v>0</v>
      </c>
      <c r="J435" s="25">
        <f t="shared" si="76"/>
        <v>0</v>
      </c>
      <c r="L435" s="4">
        <v>0</v>
      </c>
      <c r="M435" s="4">
        <v>0</v>
      </c>
    </row>
    <row r="436" spans="1:16" x14ac:dyDescent="0.45">
      <c r="A436" t="s">
        <v>11</v>
      </c>
      <c r="B436" t="s">
        <v>31</v>
      </c>
      <c r="C436" t="s">
        <v>21</v>
      </c>
      <c r="D436" s="27">
        <v>0</v>
      </c>
      <c r="E436" s="3">
        <v>24707600</v>
      </c>
      <c r="F436" s="23">
        <v>10000000</v>
      </c>
      <c r="G436" s="3">
        <v>0</v>
      </c>
      <c r="I436" s="25">
        <f t="shared" si="70"/>
        <v>24707600</v>
      </c>
      <c r="J436" s="25">
        <f t="shared" si="70"/>
        <v>0</v>
      </c>
      <c r="L436" s="29">
        <f>SUMIFS(Pivot_!C:C,Pivot_!A:A,'Hitung Per Bulan'!B436,Pivot_!B:B,'Hitung Per Bulan'!C436)</f>
        <v>24707600</v>
      </c>
      <c r="M436" s="29">
        <f>SUMIFS(Pivot_!D:D,Pivot_!A:A,'Hitung Per Bulan'!B436,Pivot_!B:B,'Hitung Per Bulan'!C436)</f>
        <v>0</v>
      </c>
    </row>
    <row r="437" spans="1:16" x14ac:dyDescent="0.45">
      <c r="A437" t="s">
        <v>12</v>
      </c>
      <c r="B437" t="s">
        <v>31</v>
      </c>
      <c r="C437" t="s">
        <v>21</v>
      </c>
      <c r="D437" s="27">
        <v>0</v>
      </c>
      <c r="E437" s="3" t="s">
        <v>41</v>
      </c>
      <c r="F437" s="23">
        <v>0</v>
      </c>
      <c r="G437" s="3" t="s">
        <v>41</v>
      </c>
      <c r="I437" s="25" t="str">
        <f t="shared" si="70"/>
        <v/>
      </c>
      <c r="J437" s="25" t="str">
        <f t="shared" si="70"/>
        <v/>
      </c>
      <c r="L437" s="29"/>
      <c r="M437" s="29"/>
      <c r="O437" s="72"/>
      <c r="P437" s="72"/>
    </row>
    <row r="438" spans="1:16" x14ac:dyDescent="0.45">
      <c r="A438" t="s">
        <v>13</v>
      </c>
      <c r="B438" t="s">
        <v>31</v>
      </c>
      <c r="C438" t="s">
        <v>21</v>
      </c>
      <c r="D438" s="27">
        <v>10000000</v>
      </c>
      <c r="E438" s="3" t="s">
        <v>41</v>
      </c>
      <c r="F438" s="23">
        <v>0</v>
      </c>
      <c r="G438" s="3" t="s">
        <v>41</v>
      </c>
      <c r="I438" s="25" t="str">
        <f t="shared" si="70"/>
        <v/>
      </c>
      <c r="J438" s="25" t="str">
        <f t="shared" si="70"/>
        <v/>
      </c>
      <c r="L438" s="3"/>
      <c r="M438" s="3"/>
    </row>
    <row r="439" spans="1:16" x14ac:dyDescent="0.45">
      <c r="A439" t="s">
        <v>14</v>
      </c>
      <c r="B439" t="s">
        <v>31</v>
      </c>
      <c r="C439" t="s">
        <v>21</v>
      </c>
      <c r="D439" s="27">
        <v>50000000</v>
      </c>
      <c r="E439" s="3" t="s">
        <v>41</v>
      </c>
      <c r="F439" s="23">
        <v>10000000</v>
      </c>
      <c r="G439" s="3" t="s">
        <v>41</v>
      </c>
      <c r="I439" s="25" t="str">
        <f t="shared" si="70"/>
        <v/>
      </c>
      <c r="J439" s="25" t="str">
        <f t="shared" si="70"/>
        <v/>
      </c>
      <c r="L439" s="3"/>
      <c r="M439" s="3"/>
    </row>
    <row r="440" spans="1:16" x14ac:dyDescent="0.45">
      <c r="A440" t="s">
        <v>15</v>
      </c>
      <c r="B440" t="s">
        <v>31</v>
      </c>
      <c r="C440" t="s">
        <v>21</v>
      </c>
      <c r="D440" s="27">
        <v>509000000</v>
      </c>
      <c r="E440" s="3" t="s">
        <v>41</v>
      </c>
      <c r="F440" s="23">
        <v>50000000</v>
      </c>
      <c r="G440" s="3" t="s">
        <v>41</v>
      </c>
      <c r="I440" s="25" t="str">
        <f t="shared" si="70"/>
        <v/>
      </c>
      <c r="J440" s="25" t="str">
        <f t="shared" si="70"/>
        <v/>
      </c>
      <c r="L440" s="3"/>
      <c r="M440" s="3"/>
    </row>
    <row r="441" spans="1:16" x14ac:dyDescent="0.45">
      <c r="A441" t="s">
        <v>16</v>
      </c>
      <c r="B441" t="s">
        <v>31</v>
      </c>
      <c r="C441" t="s">
        <v>21</v>
      </c>
      <c r="D441" s="27">
        <v>10000000</v>
      </c>
      <c r="E441" s="3" t="s">
        <v>41</v>
      </c>
      <c r="F441" s="23">
        <v>0</v>
      </c>
      <c r="G441" s="3" t="s">
        <v>41</v>
      </c>
      <c r="I441" s="25" t="str">
        <f t="shared" si="70"/>
        <v/>
      </c>
      <c r="J441" s="25" t="str">
        <f t="shared" si="70"/>
        <v/>
      </c>
      <c r="L441" s="3"/>
      <c r="M441" s="3"/>
    </row>
    <row r="442" spans="1:16" x14ac:dyDescent="0.45">
      <c r="A442" t="s">
        <v>17</v>
      </c>
      <c r="B442" t="s">
        <v>31</v>
      </c>
      <c r="C442" t="s">
        <v>21</v>
      </c>
      <c r="D442" s="27">
        <v>50000000</v>
      </c>
      <c r="E442" s="3" t="s">
        <v>41</v>
      </c>
      <c r="F442" s="23">
        <v>10000000</v>
      </c>
      <c r="G442" s="3" t="s">
        <v>41</v>
      </c>
      <c r="I442" s="25" t="str">
        <f t="shared" si="70"/>
        <v/>
      </c>
      <c r="J442" s="25" t="str">
        <f t="shared" si="70"/>
        <v/>
      </c>
      <c r="L442" s="3"/>
      <c r="M442" s="3"/>
    </row>
    <row r="443" spans="1:16" x14ac:dyDescent="0.45">
      <c r="A443" t="s">
        <v>18</v>
      </c>
      <c r="B443" t="s">
        <v>31</v>
      </c>
      <c r="C443" t="s">
        <v>21</v>
      </c>
      <c r="D443" s="27">
        <v>0</v>
      </c>
      <c r="E443" s="3" t="s">
        <v>41</v>
      </c>
      <c r="F443" s="23">
        <v>50000000</v>
      </c>
      <c r="G443" s="3" t="s">
        <v>41</v>
      </c>
      <c r="I443" s="25" t="str">
        <f t="shared" si="70"/>
        <v/>
      </c>
      <c r="J443" s="25" t="str">
        <f t="shared" si="70"/>
        <v/>
      </c>
      <c r="L443" s="3"/>
      <c r="M443" s="3"/>
    </row>
    <row r="444" spans="1:16" x14ac:dyDescent="0.45">
      <c r="A444" t="s">
        <v>19</v>
      </c>
      <c r="B444" t="s">
        <v>31</v>
      </c>
      <c r="C444" t="s">
        <v>21</v>
      </c>
      <c r="D444" s="27">
        <v>10000000</v>
      </c>
      <c r="E444" s="3" t="s">
        <v>41</v>
      </c>
      <c r="F444" s="23">
        <v>0</v>
      </c>
      <c r="G444" s="3" t="s">
        <v>41</v>
      </c>
      <c r="I444" s="25" t="str">
        <f t="shared" si="70"/>
        <v/>
      </c>
      <c r="J444" s="25" t="str">
        <f t="shared" si="70"/>
        <v/>
      </c>
      <c r="L444" s="3"/>
      <c r="M444" s="3"/>
    </row>
    <row r="445" spans="1:16" x14ac:dyDescent="0.45">
      <c r="A445" t="s">
        <v>20</v>
      </c>
      <c r="B445" t="s">
        <v>31</v>
      </c>
      <c r="C445" t="s">
        <v>21</v>
      </c>
      <c r="D445" s="27">
        <v>0</v>
      </c>
      <c r="E445" s="3" t="s">
        <v>41</v>
      </c>
      <c r="F445" s="23">
        <v>519000000</v>
      </c>
      <c r="G445" s="3" t="s">
        <v>41</v>
      </c>
      <c r="I445" s="25" t="str">
        <f t="shared" si="70"/>
        <v/>
      </c>
      <c r="J445" s="25" t="str">
        <f t="shared" si="70"/>
        <v/>
      </c>
      <c r="L445" s="3"/>
      <c r="M445" s="3"/>
    </row>
    <row r="446" spans="1:16" x14ac:dyDescent="0.45">
      <c r="A446" t="s">
        <v>7</v>
      </c>
      <c r="B446" t="s">
        <v>31</v>
      </c>
      <c r="C446" t="s">
        <v>22</v>
      </c>
      <c r="D446" s="27">
        <v>0</v>
      </c>
      <c r="E446" s="3">
        <v>0</v>
      </c>
      <c r="F446" s="23">
        <v>0</v>
      </c>
      <c r="G446" s="3">
        <v>0</v>
      </c>
      <c r="I446" s="22">
        <f t="shared" ref="I446:J446" si="77">IF(L446="","",L446)</f>
        <v>0</v>
      </c>
      <c r="J446" s="22">
        <f t="shared" si="77"/>
        <v>0</v>
      </c>
      <c r="L446" s="3">
        <v>0</v>
      </c>
      <c r="M446" s="3">
        <v>0</v>
      </c>
    </row>
    <row r="447" spans="1:16" x14ac:dyDescent="0.45">
      <c r="A447" t="s">
        <v>10</v>
      </c>
      <c r="B447" t="s">
        <v>31</v>
      </c>
      <c r="C447" t="s">
        <v>22</v>
      </c>
      <c r="D447" s="28">
        <v>80025000</v>
      </c>
      <c r="E447" s="4">
        <v>71775000</v>
      </c>
      <c r="F447" s="24">
        <v>0</v>
      </c>
      <c r="G447" s="4">
        <v>0</v>
      </c>
      <c r="I447" s="25">
        <f t="shared" ref="I447:J447" si="78">IF(L447="","",L447-L446)</f>
        <v>71775000</v>
      </c>
      <c r="J447" s="25">
        <f t="shared" si="78"/>
        <v>0</v>
      </c>
      <c r="L447" s="4">
        <v>71775000</v>
      </c>
      <c r="M447" s="4">
        <v>0</v>
      </c>
    </row>
    <row r="448" spans="1:16" x14ac:dyDescent="0.45">
      <c r="A448" t="s">
        <v>11</v>
      </c>
      <c r="B448" t="s">
        <v>31</v>
      </c>
      <c r="C448" t="s">
        <v>22</v>
      </c>
      <c r="D448" s="27">
        <v>0</v>
      </c>
      <c r="E448" s="3">
        <v>0</v>
      </c>
      <c r="F448" s="23">
        <v>80025000</v>
      </c>
      <c r="G448" s="3">
        <v>0</v>
      </c>
      <c r="I448" s="25">
        <f t="shared" si="70"/>
        <v>0</v>
      </c>
      <c r="J448" s="25">
        <f t="shared" si="70"/>
        <v>71775000</v>
      </c>
      <c r="L448" s="29">
        <f>SUMIFS(Pivot_!C:C,Pivot_!A:A,'Hitung Per Bulan'!B448,Pivot_!B:B,'Hitung Per Bulan'!C448)</f>
        <v>71775000</v>
      </c>
      <c r="M448" s="29">
        <f>SUMIFS(Pivot_!D:D,Pivot_!A:A,'Hitung Per Bulan'!B448,Pivot_!B:B,'Hitung Per Bulan'!C448)</f>
        <v>71775000</v>
      </c>
    </row>
    <row r="449" spans="1:16" x14ac:dyDescent="0.45">
      <c r="A449" t="s">
        <v>12</v>
      </c>
      <c r="B449" t="s">
        <v>31</v>
      </c>
      <c r="C449" t="s">
        <v>22</v>
      </c>
      <c r="D449" s="27">
        <v>0</v>
      </c>
      <c r="E449" s="3" t="s">
        <v>41</v>
      </c>
      <c r="F449" s="23">
        <v>0</v>
      </c>
      <c r="G449" s="3" t="s">
        <v>41</v>
      </c>
      <c r="I449" s="25" t="str">
        <f t="shared" si="70"/>
        <v/>
      </c>
      <c r="J449" s="25" t="str">
        <f t="shared" si="70"/>
        <v/>
      </c>
      <c r="L449" s="29"/>
      <c r="M449" s="29"/>
      <c r="O449" s="72"/>
      <c r="P449" s="72"/>
    </row>
    <row r="450" spans="1:16" x14ac:dyDescent="0.45">
      <c r="A450" t="s">
        <v>13</v>
      </c>
      <c r="B450" t="s">
        <v>31</v>
      </c>
      <c r="C450" t="s">
        <v>22</v>
      </c>
      <c r="D450" s="27">
        <v>80025000</v>
      </c>
      <c r="E450" s="3" t="s">
        <v>41</v>
      </c>
      <c r="F450" s="23">
        <v>0</v>
      </c>
      <c r="G450" s="3" t="s">
        <v>41</v>
      </c>
      <c r="I450" s="25" t="str">
        <f t="shared" si="70"/>
        <v/>
      </c>
      <c r="J450" s="25" t="str">
        <f t="shared" si="70"/>
        <v/>
      </c>
      <c r="L450" s="3"/>
      <c r="M450" s="3"/>
    </row>
    <row r="451" spans="1:16" x14ac:dyDescent="0.45">
      <c r="A451" t="s">
        <v>14</v>
      </c>
      <c r="B451" t="s">
        <v>31</v>
      </c>
      <c r="C451" t="s">
        <v>22</v>
      </c>
      <c r="D451" s="27">
        <v>0</v>
      </c>
      <c r="E451" s="3" t="s">
        <v>41</v>
      </c>
      <c r="F451" s="23">
        <v>80025000</v>
      </c>
      <c r="G451" s="3" t="s">
        <v>41</v>
      </c>
      <c r="I451" s="25" t="str">
        <f t="shared" si="70"/>
        <v/>
      </c>
      <c r="J451" s="25" t="str">
        <f t="shared" si="70"/>
        <v/>
      </c>
      <c r="L451" s="3"/>
      <c r="M451" s="3"/>
    </row>
    <row r="452" spans="1:16" x14ac:dyDescent="0.45">
      <c r="A452" t="s">
        <v>15</v>
      </c>
      <c r="B452" t="s">
        <v>31</v>
      </c>
      <c r="C452" t="s">
        <v>22</v>
      </c>
      <c r="D452" s="27">
        <v>0</v>
      </c>
      <c r="E452" s="3" t="s">
        <v>41</v>
      </c>
      <c r="F452" s="23">
        <v>0</v>
      </c>
      <c r="G452" s="3" t="s">
        <v>41</v>
      </c>
      <c r="I452" s="25" t="str">
        <f t="shared" si="70"/>
        <v/>
      </c>
      <c r="J452" s="25" t="str">
        <f t="shared" si="70"/>
        <v/>
      </c>
      <c r="L452" s="3"/>
      <c r="M452" s="3"/>
    </row>
    <row r="453" spans="1:16" x14ac:dyDescent="0.45">
      <c r="A453" t="s">
        <v>16</v>
      </c>
      <c r="B453" t="s">
        <v>31</v>
      </c>
      <c r="C453" t="s">
        <v>22</v>
      </c>
      <c r="D453" s="27">
        <v>80025000</v>
      </c>
      <c r="E453" s="3" t="s">
        <v>41</v>
      </c>
      <c r="F453" s="23">
        <v>0</v>
      </c>
      <c r="G453" s="3" t="s">
        <v>41</v>
      </c>
      <c r="I453" s="25" t="str">
        <f t="shared" si="70"/>
        <v/>
      </c>
      <c r="J453" s="25" t="str">
        <f t="shared" si="70"/>
        <v/>
      </c>
      <c r="L453" s="3"/>
      <c r="M453" s="3"/>
    </row>
    <row r="454" spans="1:16" x14ac:dyDescent="0.45">
      <c r="A454" t="s">
        <v>17</v>
      </c>
      <c r="B454" t="s">
        <v>31</v>
      </c>
      <c r="C454" t="s">
        <v>22</v>
      </c>
      <c r="D454" s="27">
        <v>0</v>
      </c>
      <c r="E454" s="3" t="s">
        <v>41</v>
      </c>
      <c r="F454" s="23">
        <v>80025000</v>
      </c>
      <c r="G454" s="3" t="s">
        <v>41</v>
      </c>
      <c r="I454" s="25" t="str">
        <f t="shared" si="70"/>
        <v/>
      </c>
      <c r="J454" s="25" t="str">
        <f t="shared" si="70"/>
        <v/>
      </c>
      <c r="L454" s="3"/>
      <c r="M454" s="3"/>
    </row>
    <row r="455" spans="1:16" x14ac:dyDescent="0.45">
      <c r="A455" t="s">
        <v>18</v>
      </c>
      <c r="B455" t="s">
        <v>31</v>
      </c>
      <c r="C455" t="s">
        <v>22</v>
      </c>
      <c r="D455" s="27">
        <v>0</v>
      </c>
      <c r="E455" s="3" t="s">
        <v>41</v>
      </c>
      <c r="F455" s="23">
        <v>0</v>
      </c>
      <c r="G455" s="3" t="s">
        <v>41</v>
      </c>
      <c r="I455" s="25" t="str">
        <f t="shared" si="70"/>
        <v/>
      </c>
      <c r="J455" s="25" t="str">
        <f t="shared" si="70"/>
        <v/>
      </c>
      <c r="L455" s="3"/>
      <c r="M455" s="3"/>
    </row>
    <row r="456" spans="1:16" x14ac:dyDescent="0.45">
      <c r="A456" t="s">
        <v>19</v>
      </c>
      <c r="B456" t="s">
        <v>31</v>
      </c>
      <c r="C456" t="s">
        <v>22</v>
      </c>
      <c r="D456" s="27">
        <v>80025000</v>
      </c>
      <c r="E456" s="3" t="s">
        <v>41</v>
      </c>
      <c r="F456" s="23">
        <v>0</v>
      </c>
      <c r="G456" s="3" t="s">
        <v>41</v>
      </c>
      <c r="I456" s="25" t="str">
        <f t="shared" si="70"/>
        <v/>
      </c>
      <c r="J456" s="25" t="str">
        <f t="shared" si="70"/>
        <v/>
      </c>
      <c r="L456" s="3"/>
      <c r="M456" s="3"/>
    </row>
    <row r="457" spans="1:16" x14ac:dyDescent="0.45">
      <c r="A457" t="s">
        <v>20</v>
      </c>
      <c r="B457" t="s">
        <v>31</v>
      </c>
      <c r="C457" t="s">
        <v>22</v>
      </c>
      <c r="D457" s="27">
        <v>0</v>
      </c>
      <c r="E457" s="3" t="s">
        <v>41</v>
      </c>
      <c r="F457" s="23">
        <v>80025000</v>
      </c>
      <c r="G457" s="3" t="s">
        <v>41</v>
      </c>
      <c r="I457" s="25" t="str">
        <f t="shared" si="70"/>
        <v/>
      </c>
      <c r="J457" s="25" t="str">
        <f t="shared" si="70"/>
        <v/>
      </c>
      <c r="L457" s="3"/>
      <c r="M457" s="3"/>
    </row>
    <row r="458" spans="1:16" x14ac:dyDescent="0.45">
      <c r="A458" t="s">
        <v>7</v>
      </c>
      <c r="B458" t="s">
        <v>31</v>
      </c>
      <c r="C458" t="s">
        <v>23</v>
      </c>
      <c r="D458" s="27">
        <v>0</v>
      </c>
      <c r="E458" s="3">
        <v>46460160</v>
      </c>
      <c r="F458" s="23">
        <v>0</v>
      </c>
      <c r="G458" s="3">
        <v>0</v>
      </c>
      <c r="I458" s="22">
        <f t="shared" ref="I458:J458" si="79">IF(L458="","",L458)</f>
        <v>46460160</v>
      </c>
      <c r="J458" s="22">
        <f t="shared" si="79"/>
        <v>0</v>
      </c>
      <c r="L458" s="3">
        <v>46460160</v>
      </c>
      <c r="M458" s="3">
        <v>0</v>
      </c>
    </row>
    <row r="459" spans="1:16" x14ac:dyDescent="0.45">
      <c r="A459" t="s">
        <v>10</v>
      </c>
      <c r="B459" t="s">
        <v>31</v>
      </c>
      <c r="C459" t="s">
        <v>23</v>
      </c>
      <c r="D459" s="28">
        <v>50000000</v>
      </c>
      <c r="E459" s="4">
        <v>0</v>
      </c>
      <c r="F459" s="24">
        <v>0</v>
      </c>
      <c r="G459" s="4">
        <v>0</v>
      </c>
      <c r="I459" s="25">
        <f t="shared" ref="I459:J459" si="80">IF(L459="","",L459-L458)</f>
        <v>0</v>
      </c>
      <c r="J459" s="25">
        <f t="shared" si="80"/>
        <v>0</v>
      </c>
      <c r="L459" s="4">
        <v>46460160</v>
      </c>
      <c r="M459" s="4">
        <v>0</v>
      </c>
    </row>
    <row r="460" spans="1:16" x14ac:dyDescent="0.45">
      <c r="A460" t="s">
        <v>11</v>
      </c>
      <c r="B460" t="s">
        <v>31</v>
      </c>
      <c r="C460" t="s">
        <v>23</v>
      </c>
      <c r="D460" s="27">
        <v>0</v>
      </c>
      <c r="E460" s="3">
        <v>-4604160</v>
      </c>
      <c r="F460" s="23">
        <v>50000000</v>
      </c>
      <c r="G460" s="3">
        <v>41856000</v>
      </c>
      <c r="I460" s="25">
        <f t="shared" si="70"/>
        <v>-4604160</v>
      </c>
      <c r="J460" s="25">
        <f t="shared" si="70"/>
        <v>41856000</v>
      </c>
      <c r="L460" s="29">
        <f>SUMIFS(Pivot_!C:C,Pivot_!A:A,'Hitung Per Bulan'!B460,Pivot_!B:B,'Hitung Per Bulan'!C460)</f>
        <v>41856000</v>
      </c>
      <c r="M460" s="29">
        <f>SUMIFS(Pivot_!D:D,Pivot_!A:A,'Hitung Per Bulan'!B460,Pivot_!B:B,'Hitung Per Bulan'!C460)</f>
        <v>41856000</v>
      </c>
    </row>
    <row r="461" spans="1:16" x14ac:dyDescent="0.45">
      <c r="A461" t="s">
        <v>12</v>
      </c>
      <c r="B461" t="s">
        <v>31</v>
      </c>
      <c r="C461" t="s">
        <v>23</v>
      </c>
      <c r="D461" s="27">
        <v>0</v>
      </c>
      <c r="E461" s="3" t="s">
        <v>41</v>
      </c>
      <c r="F461" s="23">
        <v>0</v>
      </c>
      <c r="G461" s="3" t="s">
        <v>41</v>
      </c>
      <c r="I461" s="25" t="str">
        <f t="shared" si="70"/>
        <v/>
      </c>
      <c r="J461" s="25" t="str">
        <f t="shared" si="70"/>
        <v/>
      </c>
      <c r="L461" s="29"/>
      <c r="M461" s="29"/>
      <c r="O461" s="72"/>
      <c r="P461" s="72"/>
    </row>
    <row r="462" spans="1:16" x14ac:dyDescent="0.45">
      <c r="A462" t="s">
        <v>13</v>
      </c>
      <c r="B462" t="s">
        <v>31</v>
      </c>
      <c r="C462" t="s">
        <v>23</v>
      </c>
      <c r="D462" s="27">
        <v>0</v>
      </c>
      <c r="E462" s="3" t="s">
        <v>41</v>
      </c>
      <c r="F462" s="23">
        <v>0</v>
      </c>
      <c r="G462" s="3" t="s">
        <v>41</v>
      </c>
      <c r="I462" s="25" t="str">
        <f t="shared" si="70"/>
        <v/>
      </c>
      <c r="J462" s="25" t="str">
        <f t="shared" si="70"/>
        <v/>
      </c>
      <c r="L462" s="3"/>
      <c r="M462" s="3"/>
    </row>
    <row r="463" spans="1:16" x14ac:dyDescent="0.45">
      <c r="A463" t="s">
        <v>14</v>
      </c>
      <c r="B463" t="s">
        <v>31</v>
      </c>
      <c r="C463" t="s">
        <v>23</v>
      </c>
      <c r="D463" s="27">
        <v>0</v>
      </c>
      <c r="E463" s="3" t="s">
        <v>41</v>
      </c>
      <c r="F463" s="23">
        <v>0</v>
      </c>
      <c r="G463" s="3" t="s">
        <v>41</v>
      </c>
      <c r="I463" s="25" t="str">
        <f t="shared" ref="I463:J526" si="81">IF(L463="","",L463-L462)</f>
        <v/>
      </c>
      <c r="J463" s="25" t="str">
        <f t="shared" si="81"/>
        <v/>
      </c>
      <c r="L463" s="3"/>
      <c r="M463" s="3"/>
    </row>
    <row r="464" spans="1:16" x14ac:dyDescent="0.45">
      <c r="A464" t="s">
        <v>15</v>
      </c>
      <c r="B464" t="s">
        <v>31</v>
      </c>
      <c r="C464" t="s">
        <v>23</v>
      </c>
      <c r="D464" s="27">
        <v>50000000</v>
      </c>
      <c r="E464" s="3" t="s">
        <v>41</v>
      </c>
      <c r="F464" s="23">
        <v>0</v>
      </c>
      <c r="G464" s="3" t="s">
        <v>41</v>
      </c>
      <c r="I464" s="25" t="str">
        <f t="shared" si="81"/>
        <v/>
      </c>
      <c r="J464" s="25" t="str">
        <f t="shared" si="81"/>
        <v/>
      </c>
      <c r="L464" s="3"/>
      <c r="M464" s="3"/>
    </row>
    <row r="465" spans="1:16" x14ac:dyDescent="0.45">
      <c r="A465" t="s">
        <v>16</v>
      </c>
      <c r="B465" t="s">
        <v>31</v>
      </c>
      <c r="C465" t="s">
        <v>23</v>
      </c>
      <c r="D465" s="27">
        <v>0</v>
      </c>
      <c r="E465" s="3" t="s">
        <v>41</v>
      </c>
      <c r="F465" s="23">
        <v>50000000</v>
      </c>
      <c r="G465" s="3" t="s">
        <v>41</v>
      </c>
      <c r="I465" s="25" t="str">
        <f t="shared" si="81"/>
        <v/>
      </c>
      <c r="J465" s="25" t="str">
        <f t="shared" si="81"/>
        <v/>
      </c>
      <c r="L465" s="3"/>
      <c r="M465" s="3"/>
    </row>
    <row r="466" spans="1:16" x14ac:dyDescent="0.45">
      <c r="A466" t="s">
        <v>17</v>
      </c>
      <c r="B466" t="s">
        <v>31</v>
      </c>
      <c r="C466" t="s">
        <v>23</v>
      </c>
      <c r="D466" s="27">
        <v>0</v>
      </c>
      <c r="E466" s="3" t="s">
        <v>41</v>
      </c>
      <c r="F466" s="23">
        <v>0</v>
      </c>
      <c r="G466" s="3" t="s">
        <v>41</v>
      </c>
      <c r="I466" s="25" t="str">
        <f t="shared" si="81"/>
        <v/>
      </c>
      <c r="J466" s="25" t="str">
        <f t="shared" si="81"/>
        <v/>
      </c>
      <c r="L466" s="3"/>
      <c r="M466" s="3"/>
    </row>
    <row r="467" spans="1:16" x14ac:dyDescent="0.45">
      <c r="A467" t="s">
        <v>18</v>
      </c>
      <c r="B467" t="s">
        <v>31</v>
      </c>
      <c r="C467" t="s">
        <v>23</v>
      </c>
      <c r="D467" s="27">
        <v>50000000</v>
      </c>
      <c r="E467" s="3" t="s">
        <v>41</v>
      </c>
      <c r="F467" s="23">
        <v>0</v>
      </c>
      <c r="G467" s="3" t="s">
        <v>41</v>
      </c>
      <c r="I467" s="25" t="str">
        <f t="shared" si="81"/>
        <v/>
      </c>
      <c r="J467" s="25" t="str">
        <f t="shared" si="81"/>
        <v/>
      </c>
      <c r="L467" s="3"/>
      <c r="M467" s="3"/>
    </row>
    <row r="468" spans="1:16" x14ac:dyDescent="0.45">
      <c r="A468" t="s">
        <v>19</v>
      </c>
      <c r="B468" t="s">
        <v>31</v>
      </c>
      <c r="C468" t="s">
        <v>23</v>
      </c>
      <c r="D468" s="27">
        <v>0</v>
      </c>
      <c r="E468" s="3" t="s">
        <v>41</v>
      </c>
      <c r="F468" s="23">
        <v>50000000</v>
      </c>
      <c r="G468" s="3" t="s">
        <v>41</v>
      </c>
      <c r="I468" s="25" t="str">
        <f t="shared" si="81"/>
        <v/>
      </c>
      <c r="J468" s="25" t="str">
        <f t="shared" si="81"/>
        <v/>
      </c>
      <c r="L468" s="3"/>
      <c r="M468" s="3"/>
    </row>
    <row r="469" spans="1:16" x14ac:dyDescent="0.45">
      <c r="A469" t="s">
        <v>20</v>
      </c>
      <c r="B469" t="s">
        <v>31</v>
      </c>
      <c r="C469" t="s">
        <v>23</v>
      </c>
      <c r="D469" s="27">
        <v>0</v>
      </c>
      <c r="E469" s="3" t="s">
        <v>41</v>
      </c>
      <c r="F469" s="23">
        <v>0</v>
      </c>
      <c r="G469" s="3" t="s">
        <v>41</v>
      </c>
      <c r="I469" s="25" t="str">
        <f t="shared" si="81"/>
        <v/>
      </c>
      <c r="J469" s="25" t="str">
        <f t="shared" si="81"/>
        <v/>
      </c>
      <c r="L469" s="3"/>
      <c r="M469" s="3"/>
    </row>
    <row r="470" spans="1:16" x14ac:dyDescent="0.45">
      <c r="A470" t="s">
        <v>7</v>
      </c>
      <c r="B470" t="s">
        <v>31</v>
      </c>
      <c r="C470" t="s">
        <v>24</v>
      </c>
      <c r="D470" s="27">
        <v>0</v>
      </c>
      <c r="E470" s="3">
        <v>0</v>
      </c>
      <c r="F470" s="23">
        <v>0</v>
      </c>
      <c r="G470" s="3">
        <v>0</v>
      </c>
      <c r="I470" s="22">
        <f t="shared" ref="I470:J470" si="82">IF(L470="","",L470)</f>
        <v>0</v>
      </c>
      <c r="J470" s="22">
        <f t="shared" si="82"/>
        <v>0</v>
      </c>
      <c r="L470" s="3">
        <v>0</v>
      </c>
      <c r="M470" s="3">
        <v>0</v>
      </c>
    </row>
    <row r="471" spans="1:16" x14ac:dyDescent="0.45">
      <c r="A471" t="s">
        <v>10</v>
      </c>
      <c r="B471" t="s">
        <v>31</v>
      </c>
      <c r="C471" t="s">
        <v>24</v>
      </c>
      <c r="D471" s="28">
        <v>0</v>
      </c>
      <c r="E471" s="4">
        <v>0</v>
      </c>
      <c r="F471" s="24">
        <v>0</v>
      </c>
      <c r="G471" s="4">
        <v>0</v>
      </c>
      <c r="I471" s="25">
        <f t="shared" ref="I471:J471" si="83">IF(L471="","",L471-L470)</f>
        <v>0</v>
      </c>
      <c r="J471" s="25">
        <f t="shared" si="83"/>
        <v>0</v>
      </c>
      <c r="L471" s="4">
        <v>0</v>
      </c>
      <c r="M471" s="4">
        <v>0</v>
      </c>
    </row>
    <row r="472" spans="1:16" x14ac:dyDescent="0.45">
      <c r="A472" t="s">
        <v>11</v>
      </c>
      <c r="B472" t="s">
        <v>31</v>
      </c>
      <c r="C472" t="s">
        <v>24</v>
      </c>
      <c r="D472" s="27">
        <v>0</v>
      </c>
      <c r="E472" s="3">
        <v>0</v>
      </c>
      <c r="F472" s="23">
        <v>0</v>
      </c>
      <c r="G472" s="3">
        <v>0</v>
      </c>
      <c r="I472" s="25">
        <f t="shared" si="81"/>
        <v>0</v>
      </c>
      <c r="J472" s="25">
        <f t="shared" si="81"/>
        <v>0</v>
      </c>
      <c r="L472" s="29">
        <f>SUMIFS(Pivot_!C:C,Pivot_!A:A,'Hitung Per Bulan'!B472,Pivot_!B:B,'Hitung Per Bulan'!C472)</f>
        <v>0</v>
      </c>
      <c r="M472" s="29">
        <f>SUMIFS(Pivot_!D:D,Pivot_!A:A,'Hitung Per Bulan'!B472,Pivot_!B:B,'Hitung Per Bulan'!C472)</f>
        <v>0</v>
      </c>
    </row>
    <row r="473" spans="1:16" x14ac:dyDescent="0.45">
      <c r="A473" t="s">
        <v>12</v>
      </c>
      <c r="B473" t="s">
        <v>31</v>
      </c>
      <c r="C473" t="s">
        <v>24</v>
      </c>
      <c r="D473" s="27">
        <v>0</v>
      </c>
      <c r="E473" s="3" t="s">
        <v>41</v>
      </c>
      <c r="F473" s="23">
        <v>0</v>
      </c>
      <c r="G473" s="3" t="s">
        <v>41</v>
      </c>
      <c r="I473" s="25" t="str">
        <f t="shared" si="81"/>
        <v/>
      </c>
      <c r="J473" s="25" t="str">
        <f t="shared" si="81"/>
        <v/>
      </c>
      <c r="L473" s="29"/>
      <c r="M473" s="29"/>
      <c r="O473" s="72"/>
      <c r="P473" s="72"/>
    </row>
    <row r="474" spans="1:16" x14ac:dyDescent="0.45">
      <c r="A474" t="s">
        <v>13</v>
      </c>
      <c r="B474" t="s">
        <v>31</v>
      </c>
      <c r="C474" t="s">
        <v>24</v>
      </c>
      <c r="D474" s="27">
        <v>0</v>
      </c>
      <c r="E474" s="3" t="s">
        <v>41</v>
      </c>
      <c r="F474" s="23">
        <v>0</v>
      </c>
      <c r="G474" s="3" t="s">
        <v>41</v>
      </c>
      <c r="I474" s="25" t="str">
        <f t="shared" si="81"/>
        <v/>
      </c>
      <c r="J474" s="25" t="str">
        <f t="shared" si="81"/>
        <v/>
      </c>
      <c r="L474" s="3"/>
      <c r="M474" s="3"/>
    </row>
    <row r="475" spans="1:16" x14ac:dyDescent="0.45">
      <c r="A475" t="s">
        <v>14</v>
      </c>
      <c r="B475" t="s">
        <v>31</v>
      </c>
      <c r="C475" t="s">
        <v>24</v>
      </c>
      <c r="D475" s="27">
        <v>0</v>
      </c>
      <c r="E475" s="3" t="s">
        <v>41</v>
      </c>
      <c r="F475" s="23">
        <v>0</v>
      </c>
      <c r="G475" s="3" t="s">
        <v>41</v>
      </c>
      <c r="I475" s="25" t="str">
        <f t="shared" si="81"/>
        <v/>
      </c>
      <c r="J475" s="25" t="str">
        <f t="shared" si="81"/>
        <v/>
      </c>
      <c r="L475" s="3"/>
      <c r="M475" s="3"/>
    </row>
    <row r="476" spans="1:16" x14ac:dyDescent="0.45">
      <c r="A476" t="s">
        <v>15</v>
      </c>
      <c r="B476" t="s">
        <v>31</v>
      </c>
      <c r="C476" t="s">
        <v>24</v>
      </c>
      <c r="D476" s="27">
        <v>0</v>
      </c>
      <c r="E476" s="3" t="s">
        <v>41</v>
      </c>
      <c r="F476" s="23">
        <v>0</v>
      </c>
      <c r="G476" s="3" t="s">
        <v>41</v>
      </c>
      <c r="I476" s="25" t="str">
        <f t="shared" si="81"/>
        <v/>
      </c>
      <c r="J476" s="25" t="str">
        <f t="shared" si="81"/>
        <v/>
      </c>
      <c r="L476" s="3"/>
      <c r="M476" s="3"/>
    </row>
    <row r="477" spans="1:16" x14ac:dyDescent="0.45">
      <c r="A477" t="s">
        <v>16</v>
      </c>
      <c r="B477" t="s">
        <v>31</v>
      </c>
      <c r="C477" t="s">
        <v>24</v>
      </c>
      <c r="D477" s="27">
        <v>0</v>
      </c>
      <c r="E477" s="3" t="s">
        <v>41</v>
      </c>
      <c r="F477" s="23">
        <v>0</v>
      </c>
      <c r="G477" s="3" t="s">
        <v>41</v>
      </c>
      <c r="I477" s="25" t="str">
        <f t="shared" si="81"/>
        <v/>
      </c>
      <c r="J477" s="25" t="str">
        <f t="shared" si="81"/>
        <v/>
      </c>
      <c r="L477" s="3"/>
      <c r="M477" s="3"/>
    </row>
    <row r="478" spans="1:16" x14ac:dyDescent="0.45">
      <c r="A478" t="s">
        <v>17</v>
      </c>
      <c r="B478" t="s">
        <v>31</v>
      </c>
      <c r="C478" t="s">
        <v>24</v>
      </c>
      <c r="D478" s="27">
        <v>0</v>
      </c>
      <c r="E478" s="3" t="s">
        <v>41</v>
      </c>
      <c r="F478" s="23">
        <v>0</v>
      </c>
      <c r="G478" s="3" t="s">
        <v>41</v>
      </c>
      <c r="I478" s="25" t="str">
        <f t="shared" si="81"/>
        <v/>
      </c>
      <c r="J478" s="25" t="str">
        <f t="shared" si="81"/>
        <v/>
      </c>
      <c r="L478" s="3"/>
      <c r="M478" s="3"/>
    </row>
    <row r="479" spans="1:16" x14ac:dyDescent="0.45">
      <c r="A479" t="s">
        <v>18</v>
      </c>
      <c r="B479" t="s">
        <v>31</v>
      </c>
      <c r="C479" t="s">
        <v>24</v>
      </c>
      <c r="D479" s="27">
        <v>0</v>
      </c>
      <c r="E479" s="3" t="s">
        <v>41</v>
      </c>
      <c r="F479" s="23">
        <v>0</v>
      </c>
      <c r="G479" s="3" t="s">
        <v>41</v>
      </c>
      <c r="I479" s="25" t="str">
        <f t="shared" si="81"/>
        <v/>
      </c>
      <c r="J479" s="25" t="str">
        <f t="shared" si="81"/>
        <v/>
      </c>
      <c r="L479" s="3"/>
      <c r="M479" s="3"/>
    </row>
    <row r="480" spans="1:16" x14ac:dyDescent="0.45">
      <c r="A480" t="s">
        <v>19</v>
      </c>
      <c r="B480" t="s">
        <v>31</v>
      </c>
      <c r="C480" t="s">
        <v>24</v>
      </c>
      <c r="D480" s="27">
        <v>0</v>
      </c>
      <c r="E480" s="3" t="s">
        <v>41</v>
      </c>
      <c r="F480" s="23">
        <v>0</v>
      </c>
      <c r="G480" s="3" t="s">
        <v>41</v>
      </c>
      <c r="I480" s="25" t="str">
        <f t="shared" si="81"/>
        <v/>
      </c>
      <c r="J480" s="25" t="str">
        <f t="shared" si="81"/>
        <v/>
      </c>
      <c r="L480" s="3"/>
      <c r="M480" s="3"/>
    </row>
    <row r="481" spans="1:16" x14ac:dyDescent="0.45">
      <c r="A481" t="s">
        <v>20</v>
      </c>
      <c r="B481" t="s">
        <v>31</v>
      </c>
      <c r="C481" t="s">
        <v>24</v>
      </c>
      <c r="D481" s="27">
        <v>0</v>
      </c>
      <c r="E481" s="3" t="s">
        <v>41</v>
      </c>
      <c r="F481" s="23">
        <v>0</v>
      </c>
      <c r="G481" s="3" t="s">
        <v>41</v>
      </c>
      <c r="I481" s="25" t="str">
        <f t="shared" si="81"/>
        <v/>
      </c>
      <c r="J481" s="25" t="str">
        <f t="shared" si="81"/>
        <v/>
      </c>
      <c r="L481" s="3"/>
      <c r="M481" s="3"/>
    </row>
    <row r="482" spans="1:16" x14ac:dyDescent="0.45">
      <c r="A482" t="s">
        <v>7</v>
      </c>
      <c r="B482" t="s">
        <v>31</v>
      </c>
      <c r="C482" t="s">
        <v>25</v>
      </c>
      <c r="D482" s="27">
        <v>142200000</v>
      </c>
      <c r="E482" s="3">
        <v>125678941</v>
      </c>
      <c r="F482" s="23">
        <v>8750000</v>
      </c>
      <c r="G482" s="3">
        <v>17499750</v>
      </c>
      <c r="I482" s="22">
        <f t="shared" ref="I482:J482" si="84">IF(L482="","",L482)</f>
        <v>125678941</v>
      </c>
      <c r="J482" s="22">
        <f t="shared" si="84"/>
        <v>17499750</v>
      </c>
      <c r="L482" s="3">
        <v>125678941</v>
      </c>
      <c r="M482" s="3">
        <v>17499750</v>
      </c>
    </row>
    <row r="483" spans="1:16" x14ac:dyDescent="0.45">
      <c r="A483" t="s">
        <v>10</v>
      </c>
      <c r="B483" t="s">
        <v>31</v>
      </c>
      <c r="C483" t="s">
        <v>25</v>
      </c>
      <c r="D483" s="28">
        <v>268250000</v>
      </c>
      <c r="E483" s="4">
        <v>82708000</v>
      </c>
      <c r="F483" s="24">
        <v>142200000</v>
      </c>
      <c r="G483" s="4">
        <v>92994741</v>
      </c>
      <c r="I483" s="25">
        <f t="shared" ref="I483:J483" si="85">IF(L483="","",L483-L482)</f>
        <v>82708000</v>
      </c>
      <c r="J483" s="25">
        <f t="shared" si="85"/>
        <v>92994741</v>
      </c>
      <c r="L483" s="4">
        <v>208386941</v>
      </c>
      <c r="M483" s="4">
        <v>110494491</v>
      </c>
    </row>
    <row r="484" spans="1:16" x14ac:dyDescent="0.45">
      <c r="A484" t="s">
        <v>11</v>
      </c>
      <c r="B484" t="s">
        <v>31</v>
      </c>
      <c r="C484" t="s">
        <v>25</v>
      </c>
      <c r="D484" s="27">
        <v>143250000</v>
      </c>
      <c r="E484" s="3">
        <v>16817230</v>
      </c>
      <c r="F484" s="23">
        <v>268250000</v>
      </c>
      <c r="G484" s="3">
        <v>55068680</v>
      </c>
      <c r="I484" s="25">
        <f t="shared" si="81"/>
        <v>69834480</v>
      </c>
      <c r="J484" s="25">
        <f t="shared" si="81"/>
        <v>89399930</v>
      </c>
      <c r="L484" s="29">
        <f>SUMIFS(Pivot_!C:C,Pivot_!A:A,'Hitung Per Bulan'!B484,Pivot_!B:B,'Hitung Per Bulan'!C484)</f>
        <v>278221421</v>
      </c>
      <c r="M484" s="29">
        <f>SUMIFS(Pivot_!D:D,Pivot_!A:A,'Hitung Per Bulan'!B484,Pivot_!B:B,'Hitung Per Bulan'!C484)</f>
        <v>199894421</v>
      </c>
    </row>
    <row r="485" spans="1:16" x14ac:dyDescent="0.45">
      <c r="A485" t="s">
        <v>12</v>
      </c>
      <c r="B485" t="s">
        <v>31</v>
      </c>
      <c r="C485" t="s">
        <v>25</v>
      </c>
      <c r="D485" s="27">
        <v>319346000</v>
      </c>
      <c r="E485" s="3" t="s">
        <v>41</v>
      </c>
      <c r="F485" s="23">
        <v>143250000</v>
      </c>
      <c r="G485" s="3" t="s">
        <v>41</v>
      </c>
      <c r="I485" s="25" t="str">
        <f t="shared" si="81"/>
        <v/>
      </c>
      <c r="J485" s="25" t="str">
        <f t="shared" si="81"/>
        <v/>
      </c>
      <c r="L485" s="29"/>
      <c r="M485" s="29"/>
      <c r="O485" s="72"/>
      <c r="P485" s="72"/>
    </row>
    <row r="486" spans="1:16" x14ac:dyDescent="0.45">
      <c r="A486" t="s">
        <v>13</v>
      </c>
      <c r="B486" t="s">
        <v>31</v>
      </c>
      <c r="C486" t="s">
        <v>25</v>
      </c>
      <c r="D486" s="27">
        <v>58250000</v>
      </c>
      <c r="E486" s="3" t="s">
        <v>41</v>
      </c>
      <c r="F486" s="23">
        <v>319346000</v>
      </c>
      <c r="G486" s="3" t="s">
        <v>41</v>
      </c>
      <c r="I486" s="25" t="str">
        <f t="shared" si="81"/>
        <v/>
      </c>
      <c r="J486" s="25" t="str">
        <f t="shared" si="81"/>
        <v/>
      </c>
      <c r="L486" s="3"/>
      <c r="M486" s="3"/>
    </row>
    <row r="487" spans="1:16" x14ac:dyDescent="0.45">
      <c r="A487" t="s">
        <v>14</v>
      </c>
      <c r="B487" t="s">
        <v>31</v>
      </c>
      <c r="C487" t="s">
        <v>25</v>
      </c>
      <c r="D487" s="27">
        <v>108250000</v>
      </c>
      <c r="E487" s="3" t="s">
        <v>41</v>
      </c>
      <c r="F487" s="23">
        <v>58250000</v>
      </c>
      <c r="G487" s="3" t="s">
        <v>41</v>
      </c>
      <c r="I487" s="25" t="str">
        <f t="shared" si="81"/>
        <v/>
      </c>
      <c r="J487" s="25" t="str">
        <f t="shared" si="81"/>
        <v/>
      </c>
      <c r="L487" s="3"/>
      <c r="M487" s="3"/>
    </row>
    <row r="488" spans="1:16" x14ac:dyDescent="0.45">
      <c r="A488" t="s">
        <v>15</v>
      </c>
      <c r="B488" t="s">
        <v>31</v>
      </c>
      <c r="C488" t="s">
        <v>25</v>
      </c>
      <c r="D488" s="27">
        <v>313250000</v>
      </c>
      <c r="E488" s="3" t="s">
        <v>41</v>
      </c>
      <c r="F488" s="23">
        <v>108250000</v>
      </c>
      <c r="G488" s="3" t="s">
        <v>41</v>
      </c>
      <c r="I488" s="25" t="str">
        <f t="shared" si="81"/>
        <v/>
      </c>
      <c r="J488" s="25" t="str">
        <f t="shared" si="81"/>
        <v/>
      </c>
      <c r="L488" s="3"/>
      <c r="M488" s="3"/>
    </row>
    <row r="489" spans="1:16" x14ac:dyDescent="0.45">
      <c r="A489" t="s">
        <v>16</v>
      </c>
      <c r="B489" t="s">
        <v>31</v>
      </c>
      <c r="C489" t="s">
        <v>25</v>
      </c>
      <c r="D489" s="27">
        <v>98250000</v>
      </c>
      <c r="E489" s="3" t="s">
        <v>41</v>
      </c>
      <c r="F489" s="23">
        <v>313250000</v>
      </c>
      <c r="G489" s="3" t="s">
        <v>41</v>
      </c>
      <c r="I489" s="25" t="str">
        <f t="shared" si="81"/>
        <v/>
      </c>
      <c r="J489" s="25" t="str">
        <f t="shared" si="81"/>
        <v/>
      </c>
      <c r="L489" s="3"/>
      <c r="M489" s="3"/>
    </row>
    <row r="490" spans="1:16" x14ac:dyDescent="0.45">
      <c r="A490" t="s">
        <v>17</v>
      </c>
      <c r="B490" t="s">
        <v>31</v>
      </c>
      <c r="C490" t="s">
        <v>25</v>
      </c>
      <c r="D490" s="27">
        <v>58250000</v>
      </c>
      <c r="E490" s="3" t="s">
        <v>41</v>
      </c>
      <c r="F490" s="23">
        <v>98250000</v>
      </c>
      <c r="G490" s="3" t="s">
        <v>41</v>
      </c>
      <c r="I490" s="25" t="str">
        <f t="shared" si="81"/>
        <v/>
      </c>
      <c r="J490" s="25" t="str">
        <f t="shared" si="81"/>
        <v/>
      </c>
      <c r="L490" s="3"/>
      <c r="M490" s="3"/>
    </row>
    <row r="491" spans="1:16" x14ac:dyDescent="0.45">
      <c r="A491" t="s">
        <v>18</v>
      </c>
      <c r="B491" t="s">
        <v>31</v>
      </c>
      <c r="C491" t="s">
        <v>25</v>
      </c>
      <c r="D491" s="27">
        <v>58250000</v>
      </c>
      <c r="E491" s="3" t="s">
        <v>41</v>
      </c>
      <c r="F491" s="23">
        <v>58250000</v>
      </c>
      <c r="G491" s="3" t="s">
        <v>41</v>
      </c>
      <c r="I491" s="25" t="str">
        <f t="shared" si="81"/>
        <v/>
      </c>
      <c r="J491" s="25" t="str">
        <f t="shared" si="81"/>
        <v/>
      </c>
      <c r="L491" s="3"/>
      <c r="M491" s="3"/>
    </row>
    <row r="492" spans="1:16" x14ac:dyDescent="0.45">
      <c r="A492" t="s">
        <v>19</v>
      </c>
      <c r="B492" t="s">
        <v>31</v>
      </c>
      <c r="C492" t="s">
        <v>25</v>
      </c>
      <c r="D492" s="27">
        <v>58250000</v>
      </c>
      <c r="E492" s="3" t="s">
        <v>41</v>
      </c>
      <c r="F492" s="23">
        <v>58250000</v>
      </c>
      <c r="G492" s="3" t="s">
        <v>41</v>
      </c>
      <c r="I492" s="25" t="str">
        <f t="shared" si="81"/>
        <v/>
      </c>
      <c r="J492" s="25" t="str">
        <f t="shared" si="81"/>
        <v/>
      </c>
      <c r="L492" s="3"/>
      <c r="M492" s="3"/>
    </row>
    <row r="493" spans="1:16" x14ac:dyDescent="0.45">
      <c r="A493" t="s">
        <v>20</v>
      </c>
      <c r="B493" t="s">
        <v>31</v>
      </c>
      <c r="C493" t="s">
        <v>25</v>
      </c>
      <c r="D493" s="27">
        <v>58250000</v>
      </c>
      <c r="E493" s="3" t="s">
        <v>41</v>
      </c>
      <c r="F493" s="23">
        <v>107750000</v>
      </c>
      <c r="G493" s="3" t="s">
        <v>41</v>
      </c>
      <c r="I493" s="25" t="str">
        <f t="shared" si="81"/>
        <v/>
      </c>
      <c r="J493" s="25" t="str">
        <f t="shared" si="81"/>
        <v/>
      </c>
      <c r="L493" s="3"/>
      <c r="M493" s="3"/>
    </row>
    <row r="494" spans="1:16" x14ac:dyDescent="0.45">
      <c r="A494" t="s">
        <v>7</v>
      </c>
      <c r="B494" t="s">
        <v>31</v>
      </c>
      <c r="C494" t="s">
        <v>26</v>
      </c>
      <c r="D494" s="27">
        <v>214166666.66666666</v>
      </c>
      <c r="E494" s="3">
        <v>201478069</v>
      </c>
      <c r="F494" s="23">
        <v>214166666.66666666</v>
      </c>
      <c r="G494" s="3">
        <v>201478069</v>
      </c>
      <c r="I494" s="22">
        <f t="shared" ref="I494:J494" si="86">IF(L494="","",L494)</f>
        <v>201478069</v>
      </c>
      <c r="J494" s="22">
        <f t="shared" si="86"/>
        <v>201478069</v>
      </c>
      <c r="L494" s="3">
        <v>201478069</v>
      </c>
      <c r="M494" s="3">
        <v>201478069</v>
      </c>
    </row>
    <row r="495" spans="1:16" x14ac:dyDescent="0.45">
      <c r="A495" t="s">
        <v>10</v>
      </c>
      <c r="B495" t="s">
        <v>31</v>
      </c>
      <c r="C495" t="s">
        <v>26</v>
      </c>
      <c r="D495" s="28">
        <v>214166666.66666666</v>
      </c>
      <c r="E495" s="4">
        <v>193379527</v>
      </c>
      <c r="F495" s="24">
        <v>214166666.66666666</v>
      </c>
      <c r="G495" s="4">
        <v>193379527</v>
      </c>
      <c r="I495" s="25">
        <f t="shared" ref="I495:J495" si="87">IF(L495="","",L495-L494)</f>
        <v>193379527</v>
      </c>
      <c r="J495" s="25">
        <f t="shared" si="87"/>
        <v>193379527</v>
      </c>
      <c r="L495" s="4">
        <v>394857596</v>
      </c>
      <c r="M495" s="4">
        <v>394857596</v>
      </c>
    </row>
    <row r="496" spans="1:16" x14ac:dyDescent="0.45">
      <c r="A496" t="s">
        <v>11</v>
      </c>
      <c r="B496" t="s">
        <v>31</v>
      </c>
      <c r="C496" t="s">
        <v>26</v>
      </c>
      <c r="D496" s="27">
        <v>214166666.66666666</v>
      </c>
      <c r="E496" s="3">
        <v>0</v>
      </c>
      <c r="F496" s="23">
        <v>214166666.66666666</v>
      </c>
      <c r="G496" s="3">
        <v>0</v>
      </c>
      <c r="I496" s="25">
        <f t="shared" si="81"/>
        <v>174819946</v>
      </c>
      <c r="J496" s="25">
        <f t="shared" si="81"/>
        <v>174819946</v>
      </c>
      <c r="L496" s="29">
        <f>SUMIFS(Pivot_!C:C,Pivot_!A:A,'Hitung Per Bulan'!B496,Pivot_!B:B,'Hitung Per Bulan'!C496)</f>
        <v>569677542</v>
      </c>
      <c r="M496" s="29">
        <f>SUMIFS(Pivot_!D:D,Pivot_!A:A,'Hitung Per Bulan'!B496,Pivot_!B:B,'Hitung Per Bulan'!C496)</f>
        <v>569677542</v>
      </c>
    </row>
    <row r="497" spans="1:16" x14ac:dyDescent="0.45">
      <c r="A497" t="s">
        <v>12</v>
      </c>
      <c r="B497" t="s">
        <v>31</v>
      </c>
      <c r="C497" t="s">
        <v>26</v>
      </c>
      <c r="D497" s="27">
        <v>214166666.66666666</v>
      </c>
      <c r="E497" s="3" t="s">
        <v>41</v>
      </c>
      <c r="F497" s="23">
        <v>214166666.66666666</v>
      </c>
      <c r="G497" s="3" t="s">
        <v>41</v>
      </c>
      <c r="I497" s="25" t="str">
        <f t="shared" si="81"/>
        <v/>
      </c>
      <c r="J497" s="25" t="str">
        <f t="shared" si="81"/>
        <v/>
      </c>
      <c r="L497" s="29"/>
      <c r="M497" s="29"/>
      <c r="O497" s="72"/>
      <c r="P497" s="72"/>
    </row>
    <row r="498" spans="1:16" x14ac:dyDescent="0.45">
      <c r="A498" t="s">
        <v>13</v>
      </c>
      <c r="B498" t="s">
        <v>31</v>
      </c>
      <c r="C498" t="s">
        <v>26</v>
      </c>
      <c r="D498" s="27">
        <v>214166666.66666666</v>
      </c>
      <c r="E498" s="3" t="s">
        <v>41</v>
      </c>
      <c r="F498" s="23">
        <v>214166666.66666666</v>
      </c>
      <c r="G498" s="3" t="s">
        <v>41</v>
      </c>
      <c r="I498" s="25" t="str">
        <f t="shared" si="81"/>
        <v/>
      </c>
      <c r="J498" s="25" t="str">
        <f t="shared" si="81"/>
        <v/>
      </c>
      <c r="L498" s="3"/>
      <c r="M498" s="3"/>
    </row>
    <row r="499" spans="1:16" x14ac:dyDescent="0.45">
      <c r="A499" t="s">
        <v>14</v>
      </c>
      <c r="B499" t="s">
        <v>31</v>
      </c>
      <c r="C499" t="s">
        <v>26</v>
      </c>
      <c r="D499" s="27">
        <v>214166666.66666666</v>
      </c>
      <c r="E499" s="3" t="s">
        <v>41</v>
      </c>
      <c r="F499" s="23">
        <v>214166666.66666666</v>
      </c>
      <c r="G499" s="3" t="s">
        <v>41</v>
      </c>
      <c r="I499" s="25" t="str">
        <f t="shared" si="81"/>
        <v/>
      </c>
      <c r="J499" s="25" t="str">
        <f t="shared" si="81"/>
        <v/>
      </c>
      <c r="L499" s="3"/>
      <c r="M499" s="3"/>
    </row>
    <row r="500" spans="1:16" x14ac:dyDescent="0.45">
      <c r="A500" t="s">
        <v>15</v>
      </c>
      <c r="B500" t="s">
        <v>31</v>
      </c>
      <c r="C500" t="s">
        <v>26</v>
      </c>
      <c r="D500" s="27">
        <v>214166666.66666666</v>
      </c>
      <c r="E500" s="3" t="s">
        <v>41</v>
      </c>
      <c r="F500" s="23">
        <v>214166666.66666666</v>
      </c>
      <c r="G500" s="3" t="s">
        <v>41</v>
      </c>
      <c r="I500" s="25" t="str">
        <f t="shared" si="81"/>
        <v/>
      </c>
      <c r="J500" s="25" t="str">
        <f t="shared" si="81"/>
        <v/>
      </c>
      <c r="L500" s="3"/>
      <c r="M500" s="3"/>
    </row>
    <row r="501" spans="1:16" x14ac:dyDescent="0.45">
      <c r="A501" t="s">
        <v>16</v>
      </c>
      <c r="B501" t="s">
        <v>31</v>
      </c>
      <c r="C501" t="s">
        <v>26</v>
      </c>
      <c r="D501" s="27">
        <v>214166666.66666666</v>
      </c>
      <c r="E501" s="3" t="s">
        <v>41</v>
      </c>
      <c r="F501" s="23">
        <v>214166666.66666666</v>
      </c>
      <c r="G501" s="3" t="s">
        <v>41</v>
      </c>
      <c r="I501" s="25" t="str">
        <f t="shared" si="81"/>
        <v/>
      </c>
      <c r="J501" s="25" t="str">
        <f t="shared" si="81"/>
        <v/>
      </c>
      <c r="L501" s="3"/>
      <c r="M501" s="3"/>
    </row>
    <row r="502" spans="1:16" x14ac:dyDescent="0.45">
      <c r="A502" t="s">
        <v>17</v>
      </c>
      <c r="B502" t="s">
        <v>31</v>
      </c>
      <c r="C502" t="s">
        <v>26</v>
      </c>
      <c r="D502" s="27">
        <v>214166666.66666666</v>
      </c>
      <c r="E502" s="3" t="s">
        <v>41</v>
      </c>
      <c r="F502" s="23">
        <v>214166666.66666666</v>
      </c>
      <c r="G502" s="3" t="s">
        <v>41</v>
      </c>
      <c r="I502" s="25" t="str">
        <f t="shared" si="81"/>
        <v/>
      </c>
      <c r="J502" s="25" t="str">
        <f t="shared" si="81"/>
        <v/>
      </c>
      <c r="L502" s="3"/>
      <c r="M502" s="3"/>
    </row>
    <row r="503" spans="1:16" x14ac:dyDescent="0.45">
      <c r="A503" t="s">
        <v>18</v>
      </c>
      <c r="B503" t="s">
        <v>31</v>
      </c>
      <c r="C503" t="s">
        <v>26</v>
      </c>
      <c r="D503" s="27">
        <v>214166666.66666666</v>
      </c>
      <c r="E503" s="3" t="s">
        <v>41</v>
      </c>
      <c r="F503" s="23">
        <v>214166666.66666666</v>
      </c>
      <c r="G503" s="3" t="s">
        <v>41</v>
      </c>
      <c r="I503" s="25" t="str">
        <f t="shared" si="81"/>
        <v/>
      </c>
      <c r="J503" s="25" t="str">
        <f t="shared" si="81"/>
        <v/>
      </c>
      <c r="L503" s="3"/>
      <c r="M503" s="3"/>
    </row>
    <row r="504" spans="1:16" x14ac:dyDescent="0.45">
      <c r="A504" t="s">
        <v>19</v>
      </c>
      <c r="B504" t="s">
        <v>31</v>
      </c>
      <c r="C504" t="s">
        <v>26</v>
      </c>
      <c r="D504" s="27">
        <v>214166666.66666666</v>
      </c>
      <c r="E504" s="3" t="s">
        <v>41</v>
      </c>
      <c r="F504" s="23">
        <v>214166666.66666666</v>
      </c>
      <c r="G504" s="3" t="s">
        <v>41</v>
      </c>
      <c r="I504" s="25" t="str">
        <f t="shared" si="81"/>
        <v/>
      </c>
      <c r="J504" s="25" t="str">
        <f t="shared" si="81"/>
        <v/>
      </c>
      <c r="L504" s="3"/>
      <c r="M504" s="3"/>
    </row>
    <row r="505" spans="1:16" x14ac:dyDescent="0.45">
      <c r="A505" t="s">
        <v>20</v>
      </c>
      <c r="B505" t="s">
        <v>31</v>
      </c>
      <c r="C505" t="s">
        <v>26</v>
      </c>
      <c r="D505" s="27">
        <v>214166666.66666666</v>
      </c>
      <c r="E505" s="3" t="s">
        <v>41</v>
      </c>
      <c r="F505" s="23">
        <v>214166666.66666666</v>
      </c>
      <c r="G505" s="3" t="s">
        <v>41</v>
      </c>
      <c r="I505" s="25" t="str">
        <f t="shared" si="81"/>
        <v/>
      </c>
      <c r="J505" s="25" t="str">
        <f t="shared" si="81"/>
        <v/>
      </c>
      <c r="L505" s="3"/>
      <c r="M505" s="3"/>
    </row>
    <row r="506" spans="1:16" x14ac:dyDescent="0.45">
      <c r="A506" t="s">
        <v>7</v>
      </c>
      <c r="B506" t="s">
        <v>32</v>
      </c>
      <c r="C506" t="s">
        <v>9</v>
      </c>
      <c r="D506" s="27">
        <v>90000000</v>
      </c>
      <c r="E506" s="3">
        <v>218226790</v>
      </c>
      <c r="F506" s="23">
        <v>0</v>
      </c>
      <c r="G506" s="3">
        <v>0</v>
      </c>
      <c r="I506" s="22">
        <f t="shared" ref="I506:J506" si="88">IF(L506="","",L506)</f>
        <v>218226790</v>
      </c>
      <c r="J506" s="22">
        <f t="shared" si="88"/>
        <v>0</v>
      </c>
      <c r="L506" s="3">
        <v>218226790</v>
      </c>
      <c r="M506" s="3">
        <v>0</v>
      </c>
    </row>
    <row r="507" spans="1:16" x14ac:dyDescent="0.45">
      <c r="A507" t="s">
        <v>10</v>
      </c>
      <c r="B507" t="s">
        <v>32</v>
      </c>
      <c r="C507" t="s">
        <v>9</v>
      </c>
      <c r="D507" s="28">
        <v>2756633000</v>
      </c>
      <c r="E507" s="4">
        <v>2975215110</v>
      </c>
      <c r="F507" s="24">
        <v>90000000</v>
      </c>
      <c r="G507" s="4">
        <v>258244550</v>
      </c>
      <c r="I507" s="25">
        <f t="shared" ref="I507:J507" si="89">IF(L507="","",L507-L506)</f>
        <v>2975215110</v>
      </c>
      <c r="J507" s="25">
        <f t="shared" si="89"/>
        <v>258244550</v>
      </c>
      <c r="L507" s="4">
        <v>3193441900</v>
      </c>
      <c r="M507" s="4">
        <v>258244550</v>
      </c>
    </row>
    <row r="508" spans="1:16" x14ac:dyDescent="0.45">
      <c r="A508" t="s">
        <v>11</v>
      </c>
      <c r="B508" t="s">
        <v>32</v>
      </c>
      <c r="C508" t="s">
        <v>9</v>
      </c>
      <c r="D508" s="27">
        <v>10272212000</v>
      </c>
      <c r="E508" s="3">
        <v>488863038</v>
      </c>
      <c r="F508" s="23">
        <v>66667000</v>
      </c>
      <c r="G508" s="3">
        <v>43181000</v>
      </c>
      <c r="I508" s="25">
        <f t="shared" si="81"/>
        <v>10257377055</v>
      </c>
      <c r="J508" s="25">
        <f t="shared" si="81"/>
        <v>79211000</v>
      </c>
      <c r="L508" s="29">
        <f>SUMIFS(Pivot_!C:C,Pivot_!A:A,'Hitung Per Bulan'!B508,Pivot_!B:B,'Hitung Per Bulan'!C508)</f>
        <v>13450818955</v>
      </c>
      <c r="M508" s="29">
        <f>SUMIFS(Pivot_!D:D,Pivot_!A:A,'Hitung Per Bulan'!B508,Pivot_!B:B,'Hitung Per Bulan'!C508)</f>
        <v>337455550</v>
      </c>
    </row>
    <row r="509" spans="1:16" x14ac:dyDescent="0.45">
      <c r="A509" t="s">
        <v>12</v>
      </c>
      <c r="B509" t="s">
        <v>32</v>
      </c>
      <c r="C509" t="s">
        <v>9</v>
      </c>
      <c r="D509" s="27">
        <v>1843977000</v>
      </c>
      <c r="E509" s="3" t="s">
        <v>41</v>
      </c>
      <c r="F509" s="23">
        <v>687000000</v>
      </c>
      <c r="G509" s="3" t="s">
        <v>41</v>
      </c>
      <c r="I509" s="25" t="str">
        <f t="shared" si="81"/>
        <v/>
      </c>
      <c r="J509" s="25" t="str">
        <f t="shared" si="81"/>
        <v/>
      </c>
      <c r="L509" s="29"/>
      <c r="M509" s="29"/>
      <c r="O509" s="72"/>
      <c r="P509" s="72"/>
    </row>
    <row r="510" spans="1:16" x14ac:dyDescent="0.45">
      <c r="A510" t="s">
        <v>13</v>
      </c>
      <c r="B510" t="s">
        <v>32</v>
      </c>
      <c r="C510" t="s">
        <v>9</v>
      </c>
      <c r="D510" s="27">
        <v>635000000</v>
      </c>
      <c r="E510" s="3" t="s">
        <v>41</v>
      </c>
      <c r="F510" s="23">
        <v>1127667000</v>
      </c>
      <c r="G510" s="3" t="s">
        <v>41</v>
      </c>
      <c r="I510" s="25" t="str">
        <f t="shared" si="81"/>
        <v/>
      </c>
      <c r="J510" s="25" t="str">
        <f t="shared" si="81"/>
        <v/>
      </c>
      <c r="L510" s="3"/>
      <c r="M510" s="3"/>
    </row>
    <row r="511" spans="1:16" x14ac:dyDescent="0.45">
      <c r="A511" t="s">
        <v>14</v>
      </c>
      <c r="B511" t="s">
        <v>32</v>
      </c>
      <c r="C511" t="s">
        <v>9</v>
      </c>
      <c r="D511" s="27">
        <v>1030408000</v>
      </c>
      <c r="E511" s="3" t="s">
        <v>41</v>
      </c>
      <c r="F511" s="23">
        <v>2050710000</v>
      </c>
      <c r="G511" s="3" t="s">
        <v>41</v>
      </c>
      <c r="I511" s="25" t="str">
        <f t="shared" si="81"/>
        <v/>
      </c>
      <c r="J511" s="25" t="str">
        <f t="shared" si="81"/>
        <v/>
      </c>
      <c r="L511" s="3"/>
      <c r="M511" s="3"/>
    </row>
    <row r="512" spans="1:16" x14ac:dyDescent="0.45">
      <c r="A512" t="s">
        <v>15</v>
      </c>
      <c r="B512" t="s">
        <v>32</v>
      </c>
      <c r="C512" t="s">
        <v>9</v>
      </c>
      <c r="D512" s="27">
        <v>621650000</v>
      </c>
      <c r="E512" s="3" t="s">
        <v>41</v>
      </c>
      <c r="F512" s="23">
        <v>3754636000</v>
      </c>
      <c r="G512" s="3" t="s">
        <v>41</v>
      </c>
      <c r="I512" s="25" t="str">
        <f t="shared" si="81"/>
        <v/>
      </c>
      <c r="J512" s="25" t="str">
        <f t="shared" si="81"/>
        <v/>
      </c>
      <c r="L512" s="3"/>
      <c r="M512" s="3"/>
    </row>
    <row r="513" spans="1:16" x14ac:dyDescent="0.45">
      <c r="A513" t="s">
        <v>16</v>
      </c>
      <c r="B513" t="s">
        <v>32</v>
      </c>
      <c r="C513" t="s">
        <v>9</v>
      </c>
      <c r="D513" s="27">
        <v>2136262000</v>
      </c>
      <c r="E513" s="3" t="s">
        <v>41</v>
      </c>
      <c r="F513" s="23">
        <v>1016136000</v>
      </c>
      <c r="G513" s="3" t="s">
        <v>41</v>
      </c>
      <c r="I513" s="25" t="str">
        <f t="shared" si="81"/>
        <v/>
      </c>
      <c r="J513" s="25" t="str">
        <f t="shared" si="81"/>
        <v/>
      </c>
      <c r="L513" s="3"/>
      <c r="M513" s="3"/>
    </row>
    <row r="514" spans="1:16" x14ac:dyDescent="0.45">
      <c r="A514" t="s">
        <v>17</v>
      </c>
      <c r="B514" t="s">
        <v>32</v>
      </c>
      <c r="C514" t="s">
        <v>9</v>
      </c>
      <c r="D514" s="27">
        <v>275000000</v>
      </c>
      <c r="E514" s="3" t="s">
        <v>41</v>
      </c>
      <c r="F514" s="23">
        <v>3410123000</v>
      </c>
      <c r="G514" s="3" t="s">
        <v>41</v>
      </c>
      <c r="I514" s="25" t="str">
        <f t="shared" si="81"/>
        <v/>
      </c>
      <c r="J514" s="25" t="str">
        <f t="shared" si="81"/>
        <v/>
      </c>
      <c r="L514" s="3"/>
      <c r="M514" s="3"/>
    </row>
    <row r="515" spans="1:16" x14ac:dyDescent="0.45">
      <c r="A515" t="s">
        <v>18</v>
      </c>
      <c r="B515" t="s">
        <v>32</v>
      </c>
      <c r="C515" t="s">
        <v>9</v>
      </c>
      <c r="D515" s="27">
        <v>134561000</v>
      </c>
      <c r="E515" s="3" t="s">
        <v>41</v>
      </c>
      <c r="F515" s="23">
        <v>1952489000</v>
      </c>
      <c r="G515" s="3" t="s">
        <v>41</v>
      </c>
      <c r="I515" s="25" t="str">
        <f t="shared" si="81"/>
        <v/>
      </c>
      <c r="J515" s="25" t="str">
        <f t="shared" si="81"/>
        <v/>
      </c>
      <c r="L515" s="3"/>
      <c r="M515" s="3"/>
    </row>
    <row r="516" spans="1:16" x14ac:dyDescent="0.45">
      <c r="A516" t="s">
        <v>19</v>
      </c>
      <c r="B516" t="s">
        <v>32</v>
      </c>
      <c r="C516" t="s">
        <v>9</v>
      </c>
      <c r="D516" s="27">
        <v>224998000</v>
      </c>
      <c r="E516" s="3" t="s">
        <v>41</v>
      </c>
      <c r="F516" s="23">
        <v>5640275000</v>
      </c>
      <c r="G516" s="3" t="s">
        <v>41</v>
      </c>
      <c r="I516" s="25" t="str">
        <f t="shared" si="81"/>
        <v/>
      </c>
      <c r="J516" s="25" t="str">
        <f t="shared" si="81"/>
        <v/>
      </c>
      <c r="L516" s="3"/>
      <c r="M516" s="3"/>
    </row>
    <row r="517" spans="1:16" x14ac:dyDescent="0.45">
      <c r="A517" t="s">
        <v>20</v>
      </c>
      <c r="B517" t="s">
        <v>32</v>
      </c>
      <c r="C517" t="s">
        <v>9</v>
      </c>
      <c r="D517" s="27">
        <v>66667000</v>
      </c>
      <c r="E517" s="3" t="s">
        <v>41</v>
      </c>
      <c r="F517" s="23">
        <v>291665000</v>
      </c>
      <c r="G517" s="3" t="s">
        <v>41</v>
      </c>
      <c r="I517" s="25" t="str">
        <f t="shared" si="81"/>
        <v/>
      </c>
      <c r="J517" s="25" t="str">
        <f t="shared" si="81"/>
        <v/>
      </c>
      <c r="L517" s="3"/>
      <c r="M517" s="3"/>
    </row>
    <row r="518" spans="1:16" x14ac:dyDescent="0.45">
      <c r="A518" t="s">
        <v>7</v>
      </c>
      <c r="B518" t="s">
        <v>32</v>
      </c>
      <c r="C518" t="s">
        <v>21</v>
      </c>
      <c r="D518" s="27">
        <v>0</v>
      </c>
      <c r="E518" s="3">
        <v>0</v>
      </c>
      <c r="F518" s="23">
        <v>0</v>
      </c>
      <c r="G518" s="3">
        <v>0</v>
      </c>
      <c r="I518" s="22">
        <f t="shared" ref="I518:J518" si="90">IF(L518="","",L518)</f>
        <v>0</v>
      </c>
      <c r="J518" s="22">
        <f t="shared" si="90"/>
        <v>0</v>
      </c>
      <c r="L518" s="3">
        <v>0</v>
      </c>
      <c r="M518" s="3">
        <v>0</v>
      </c>
    </row>
    <row r="519" spans="1:16" x14ac:dyDescent="0.45">
      <c r="A519" t="s">
        <v>10</v>
      </c>
      <c r="B519" t="s">
        <v>32</v>
      </c>
      <c r="C519" t="s">
        <v>21</v>
      </c>
      <c r="D519" s="28">
        <v>0</v>
      </c>
      <c r="E519" s="4">
        <v>0</v>
      </c>
      <c r="F519" s="24">
        <v>0</v>
      </c>
      <c r="G519" s="4">
        <v>0</v>
      </c>
      <c r="I519" s="25">
        <f t="shared" ref="I519:J519" si="91">IF(L519="","",L519-L518)</f>
        <v>0</v>
      </c>
      <c r="J519" s="25">
        <f t="shared" si="91"/>
        <v>0</v>
      </c>
      <c r="L519" s="4">
        <v>0</v>
      </c>
      <c r="M519" s="4">
        <v>0</v>
      </c>
    </row>
    <row r="520" spans="1:16" x14ac:dyDescent="0.45">
      <c r="A520" t="s">
        <v>11</v>
      </c>
      <c r="B520" t="s">
        <v>32</v>
      </c>
      <c r="C520" t="s">
        <v>21</v>
      </c>
      <c r="D520" s="27">
        <v>0</v>
      </c>
      <c r="E520" s="3">
        <v>495830000</v>
      </c>
      <c r="F520" s="23">
        <v>0</v>
      </c>
      <c r="G520" s="3">
        <v>0</v>
      </c>
      <c r="I520" s="25">
        <f t="shared" si="81"/>
        <v>495830000</v>
      </c>
      <c r="J520" s="25">
        <f t="shared" si="81"/>
        <v>0</v>
      </c>
      <c r="L520" s="29">
        <f>SUMIFS(Pivot_!C:C,Pivot_!A:A,'Hitung Per Bulan'!B520,Pivot_!B:B,'Hitung Per Bulan'!C520)</f>
        <v>495830000</v>
      </c>
      <c r="M520" s="29">
        <f>SUMIFS(Pivot_!D:D,Pivot_!A:A,'Hitung Per Bulan'!B520,Pivot_!B:B,'Hitung Per Bulan'!C520)</f>
        <v>0</v>
      </c>
    </row>
    <row r="521" spans="1:16" x14ac:dyDescent="0.45">
      <c r="A521" t="s">
        <v>12</v>
      </c>
      <c r="B521" t="s">
        <v>32</v>
      </c>
      <c r="C521" t="s">
        <v>21</v>
      </c>
      <c r="D521" s="27">
        <v>0</v>
      </c>
      <c r="E521" s="3" t="s">
        <v>41</v>
      </c>
      <c r="F521" s="23">
        <v>0</v>
      </c>
      <c r="G521" s="3" t="s">
        <v>41</v>
      </c>
      <c r="I521" s="25" t="str">
        <f t="shared" si="81"/>
        <v/>
      </c>
      <c r="J521" s="25" t="str">
        <f t="shared" si="81"/>
        <v/>
      </c>
      <c r="L521" s="29"/>
      <c r="M521" s="29"/>
      <c r="O521" s="72"/>
      <c r="P521" s="72"/>
    </row>
    <row r="522" spans="1:16" x14ac:dyDescent="0.45">
      <c r="A522" t="s">
        <v>13</v>
      </c>
      <c r="B522" t="s">
        <v>32</v>
      </c>
      <c r="C522" t="s">
        <v>21</v>
      </c>
      <c r="D522" s="27">
        <v>1155000000</v>
      </c>
      <c r="E522" s="3" t="s">
        <v>41</v>
      </c>
      <c r="F522" s="23">
        <v>0</v>
      </c>
      <c r="G522" s="3" t="s">
        <v>41</v>
      </c>
      <c r="I522" s="25" t="str">
        <f t="shared" si="81"/>
        <v/>
      </c>
      <c r="J522" s="25" t="str">
        <f t="shared" si="81"/>
        <v/>
      </c>
      <c r="L522" s="3"/>
      <c r="M522" s="3"/>
    </row>
    <row r="523" spans="1:16" x14ac:dyDescent="0.45">
      <c r="A523" t="s">
        <v>14</v>
      </c>
      <c r="B523" t="s">
        <v>32</v>
      </c>
      <c r="C523" t="s">
        <v>21</v>
      </c>
      <c r="D523" s="27">
        <v>30000000</v>
      </c>
      <c r="E523" s="3" t="s">
        <v>41</v>
      </c>
      <c r="F523" s="23">
        <v>0</v>
      </c>
      <c r="G523" s="3" t="s">
        <v>41</v>
      </c>
      <c r="I523" s="25" t="str">
        <f t="shared" si="81"/>
        <v/>
      </c>
      <c r="J523" s="25" t="str">
        <f t="shared" si="81"/>
        <v/>
      </c>
      <c r="L523" s="3"/>
      <c r="M523" s="3"/>
    </row>
    <row r="524" spans="1:16" x14ac:dyDescent="0.45">
      <c r="A524" t="s">
        <v>15</v>
      </c>
      <c r="B524" t="s">
        <v>32</v>
      </c>
      <c r="C524" t="s">
        <v>21</v>
      </c>
      <c r="D524" s="27">
        <v>0</v>
      </c>
      <c r="E524" s="3" t="s">
        <v>41</v>
      </c>
      <c r="F524" s="23">
        <v>30000000</v>
      </c>
      <c r="G524" s="3" t="s">
        <v>41</v>
      </c>
      <c r="I524" s="25" t="str">
        <f t="shared" si="81"/>
        <v/>
      </c>
      <c r="J524" s="25" t="str">
        <f t="shared" si="81"/>
        <v/>
      </c>
      <c r="L524" s="3"/>
      <c r="M524" s="3"/>
    </row>
    <row r="525" spans="1:16" x14ac:dyDescent="0.45">
      <c r="A525" t="s">
        <v>16</v>
      </c>
      <c r="B525" t="s">
        <v>32</v>
      </c>
      <c r="C525" t="s">
        <v>21</v>
      </c>
      <c r="D525" s="27">
        <v>0</v>
      </c>
      <c r="E525" s="3" t="s">
        <v>41</v>
      </c>
      <c r="F525" s="23">
        <v>1155000000</v>
      </c>
      <c r="G525" s="3" t="s">
        <v>41</v>
      </c>
      <c r="I525" s="25" t="str">
        <f t="shared" si="81"/>
        <v/>
      </c>
      <c r="J525" s="25" t="str">
        <f t="shared" si="81"/>
        <v/>
      </c>
      <c r="L525" s="3"/>
      <c r="M525" s="3"/>
    </row>
    <row r="526" spans="1:16" x14ac:dyDescent="0.45">
      <c r="A526" t="s">
        <v>17</v>
      </c>
      <c r="B526" t="s">
        <v>32</v>
      </c>
      <c r="C526" t="s">
        <v>21</v>
      </c>
      <c r="D526" s="27">
        <v>0</v>
      </c>
      <c r="E526" s="3" t="s">
        <v>41</v>
      </c>
      <c r="F526" s="23">
        <v>0</v>
      </c>
      <c r="G526" s="3" t="s">
        <v>41</v>
      </c>
      <c r="I526" s="25" t="str">
        <f t="shared" si="81"/>
        <v/>
      </c>
      <c r="J526" s="25" t="str">
        <f t="shared" si="81"/>
        <v/>
      </c>
      <c r="L526" s="3"/>
      <c r="M526" s="3"/>
    </row>
    <row r="527" spans="1:16" x14ac:dyDescent="0.45">
      <c r="A527" t="s">
        <v>18</v>
      </c>
      <c r="B527" t="s">
        <v>32</v>
      </c>
      <c r="C527" t="s">
        <v>21</v>
      </c>
      <c r="D527" s="27">
        <v>0</v>
      </c>
      <c r="E527" s="3" t="s">
        <v>41</v>
      </c>
      <c r="F527" s="23">
        <v>0</v>
      </c>
      <c r="G527" s="3" t="s">
        <v>41</v>
      </c>
      <c r="I527" s="25" t="str">
        <f t="shared" ref="I527:J589" si="92">IF(L527="","",L527-L526)</f>
        <v/>
      </c>
      <c r="J527" s="25" t="str">
        <f t="shared" si="92"/>
        <v/>
      </c>
      <c r="L527" s="3"/>
      <c r="M527" s="3"/>
    </row>
    <row r="528" spans="1:16" x14ac:dyDescent="0.45">
      <c r="A528" t="s">
        <v>19</v>
      </c>
      <c r="B528" t="s">
        <v>32</v>
      </c>
      <c r="C528" t="s">
        <v>21</v>
      </c>
      <c r="D528" s="27">
        <v>0</v>
      </c>
      <c r="E528" s="3" t="s">
        <v>41</v>
      </c>
      <c r="F528" s="23">
        <v>0</v>
      </c>
      <c r="G528" s="3" t="s">
        <v>41</v>
      </c>
      <c r="I528" s="25" t="str">
        <f t="shared" si="92"/>
        <v/>
      </c>
      <c r="J528" s="25" t="str">
        <f t="shared" si="92"/>
        <v/>
      </c>
      <c r="L528" s="3"/>
      <c r="M528" s="3"/>
    </row>
    <row r="529" spans="1:16" x14ac:dyDescent="0.45">
      <c r="A529" t="s">
        <v>20</v>
      </c>
      <c r="B529" t="s">
        <v>32</v>
      </c>
      <c r="C529" t="s">
        <v>21</v>
      </c>
      <c r="D529" s="27">
        <v>0</v>
      </c>
      <c r="E529" s="3" t="s">
        <v>41</v>
      </c>
      <c r="F529" s="23">
        <v>0</v>
      </c>
      <c r="G529" s="3" t="s">
        <v>41</v>
      </c>
      <c r="I529" s="25" t="str">
        <f t="shared" si="92"/>
        <v/>
      </c>
      <c r="J529" s="25" t="str">
        <f t="shared" si="92"/>
        <v/>
      </c>
      <c r="L529" s="3"/>
      <c r="M529" s="3"/>
    </row>
    <row r="530" spans="1:16" x14ac:dyDescent="0.45">
      <c r="A530" t="s">
        <v>7</v>
      </c>
      <c r="B530" t="s">
        <v>32</v>
      </c>
      <c r="C530" t="s">
        <v>22</v>
      </c>
      <c r="D530" s="27">
        <v>0</v>
      </c>
      <c r="E530" s="3">
        <v>0</v>
      </c>
      <c r="F530" s="23">
        <v>0</v>
      </c>
      <c r="G530" s="3">
        <v>0</v>
      </c>
      <c r="I530" s="22">
        <f t="shared" ref="I530:J530" si="93">IF(L530="","",L530)</f>
        <v>0</v>
      </c>
      <c r="J530" s="22">
        <f t="shared" si="93"/>
        <v>0</v>
      </c>
      <c r="L530" s="3">
        <v>0</v>
      </c>
      <c r="M530" s="3">
        <v>0</v>
      </c>
    </row>
    <row r="531" spans="1:16" x14ac:dyDescent="0.45">
      <c r="A531" t="s">
        <v>10</v>
      </c>
      <c r="B531" t="s">
        <v>32</v>
      </c>
      <c r="C531" t="s">
        <v>22</v>
      </c>
      <c r="D531" s="28">
        <v>50000000</v>
      </c>
      <c r="E531" s="4">
        <v>32848750</v>
      </c>
      <c r="F531" s="24">
        <v>0</v>
      </c>
      <c r="G531" s="4">
        <v>0</v>
      </c>
      <c r="I531" s="25">
        <f t="shared" ref="I531:J531" si="94">IF(L531="","",L531-L530)</f>
        <v>32848750</v>
      </c>
      <c r="J531" s="25">
        <f t="shared" si="94"/>
        <v>0</v>
      </c>
      <c r="L531" s="4">
        <v>32848750</v>
      </c>
      <c r="M531" s="4">
        <v>0</v>
      </c>
    </row>
    <row r="532" spans="1:16" x14ac:dyDescent="0.45">
      <c r="A532" t="s">
        <v>11</v>
      </c>
      <c r="B532" t="s">
        <v>32</v>
      </c>
      <c r="C532" t="s">
        <v>22</v>
      </c>
      <c r="D532" s="27">
        <v>0</v>
      </c>
      <c r="E532" s="3">
        <v>0</v>
      </c>
      <c r="F532" s="23">
        <v>50000000</v>
      </c>
      <c r="G532" s="3">
        <v>0</v>
      </c>
      <c r="I532" s="25">
        <f t="shared" si="92"/>
        <v>0</v>
      </c>
      <c r="J532" s="25">
        <f t="shared" si="92"/>
        <v>32848750</v>
      </c>
      <c r="L532" s="29">
        <f>SUMIFS(Pivot_!C:C,Pivot_!A:A,'Hitung Per Bulan'!B532,Pivot_!B:B,'Hitung Per Bulan'!C532)</f>
        <v>32848750</v>
      </c>
      <c r="M532" s="29">
        <f>SUMIFS(Pivot_!D:D,Pivot_!A:A,'Hitung Per Bulan'!B532,Pivot_!B:B,'Hitung Per Bulan'!C532)</f>
        <v>32848750</v>
      </c>
    </row>
    <row r="533" spans="1:16" x14ac:dyDescent="0.45">
      <c r="A533" t="s">
        <v>12</v>
      </c>
      <c r="B533" t="s">
        <v>32</v>
      </c>
      <c r="C533" t="s">
        <v>22</v>
      </c>
      <c r="D533" s="27">
        <v>0</v>
      </c>
      <c r="E533" s="3" t="s">
        <v>41</v>
      </c>
      <c r="F533" s="23">
        <v>0</v>
      </c>
      <c r="G533" s="3" t="s">
        <v>41</v>
      </c>
      <c r="I533" s="25" t="str">
        <f t="shared" si="92"/>
        <v/>
      </c>
      <c r="J533" s="25" t="str">
        <f t="shared" si="92"/>
        <v/>
      </c>
      <c r="L533" s="29"/>
      <c r="M533" s="29"/>
      <c r="O533" s="72"/>
      <c r="P533" s="72"/>
    </row>
    <row r="534" spans="1:16" x14ac:dyDescent="0.45">
      <c r="A534" t="s">
        <v>13</v>
      </c>
      <c r="B534" t="s">
        <v>32</v>
      </c>
      <c r="C534" t="s">
        <v>22</v>
      </c>
      <c r="D534" s="27">
        <v>50000000</v>
      </c>
      <c r="E534" s="3" t="s">
        <v>41</v>
      </c>
      <c r="F534" s="23">
        <v>0</v>
      </c>
      <c r="G534" s="3" t="s">
        <v>41</v>
      </c>
      <c r="I534" s="25" t="str">
        <f t="shared" si="92"/>
        <v/>
      </c>
      <c r="J534" s="25" t="str">
        <f t="shared" si="92"/>
        <v/>
      </c>
      <c r="L534" s="3"/>
      <c r="M534" s="3"/>
    </row>
    <row r="535" spans="1:16" x14ac:dyDescent="0.45">
      <c r="A535" t="s">
        <v>14</v>
      </c>
      <c r="B535" t="s">
        <v>32</v>
      </c>
      <c r="C535" t="s">
        <v>22</v>
      </c>
      <c r="D535" s="27">
        <v>0</v>
      </c>
      <c r="E535" s="3" t="s">
        <v>41</v>
      </c>
      <c r="F535" s="23">
        <v>50000000</v>
      </c>
      <c r="G535" s="3" t="s">
        <v>41</v>
      </c>
      <c r="I535" s="25" t="str">
        <f t="shared" si="92"/>
        <v/>
      </c>
      <c r="J535" s="25" t="str">
        <f t="shared" si="92"/>
        <v/>
      </c>
      <c r="L535" s="3"/>
      <c r="M535" s="3"/>
    </row>
    <row r="536" spans="1:16" x14ac:dyDescent="0.45">
      <c r="A536" t="s">
        <v>15</v>
      </c>
      <c r="B536" t="s">
        <v>32</v>
      </c>
      <c r="C536" t="s">
        <v>22</v>
      </c>
      <c r="D536" s="27">
        <v>0</v>
      </c>
      <c r="E536" s="3" t="s">
        <v>41</v>
      </c>
      <c r="F536" s="23">
        <v>0</v>
      </c>
      <c r="G536" s="3" t="s">
        <v>41</v>
      </c>
      <c r="I536" s="25" t="str">
        <f t="shared" si="92"/>
        <v/>
      </c>
      <c r="J536" s="25" t="str">
        <f t="shared" si="92"/>
        <v/>
      </c>
      <c r="L536" s="3"/>
      <c r="M536" s="3"/>
    </row>
    <row r="537" spans="1:16" x14ac:dyDescent="0.45">
      <c r="A537" t="s">
        <v>16</v>
      </c>
      <c r="B537" t="s">
        <v>32</v>
      </c>
      <c r="C537" t="s">
        <v>22</v>
      </c>
      <c r="D537" s="27">
        <v>50000000</v>
      </c>
      <c r="E537" s="3" t="s">
        <v>41</v>
      </c>
      <c r="F537" s="23">
        <v>0</v>
      </c>
      <c r="G537" s="3" t="s">
        <v>41</v>
      </c>
      <c r="I537" s="25" t="str">
        <f t="shared" si="92"/>
        <v/>
      </c>
      <c r="J537" s="25" t="str">
        <f t="shared" si="92"/>
        <v/>
      </c>
      <c r="L537" s="3"/>
      <c r="M537" s="3"/>
    </row>
    <row r="538" spans="1:16" x14ac:dyDescent="0.45">
      <c r="A538" t="s">
        <v>17</v>
      </c>
      <c r="B538" t="s">
        <v>32</v>
      </c>
      <c r="C538" t="s">
        <v>22</v>
      </c>
      <c r="D538" s="27">
        <v>0</v>
      </c>
      <c r="E538" s="3" t="s">
        <v>41</v>
      </c>
      <c r="F538" s="23">
        <v>50000000</v>
      </c>
      <c r="G538" s="3" t="s">
        <v>41</v>
      </c>
      <c r="I538" s="25" t="str">
        <f t="shared" si="92"/>
        <v/>
      </c>
      <c r="J538" s="25" t="str">
        <f t="shared" si="92"/>
        <v/>
      </c>
      <c r="L538" s="3"/>
      <c r="M538" s="3"/>
    </row>
    <row r="539" spans="1:16" x14ac:dyDescent="0.45">
      <c r="A539" t="s">
        <v>18</v>
      </c>
      <c r="B539" t="s">
        <v>32</v>
      </c>
      <c r="C539" t="s">
        <v>22</v>
      </c>
      <c r="D539" s="27">
        <v>50000000</v>
      </c>
      <c r="E539" s="3" t="s">
        <v>41</v>
      </c>
      <c r="F539" s="23">
        <v>0</v>
      </c>
      <c r="G539" s="3" t="s">
        <v>41</v>
      </c>
      <c r="I539" s="25" t="str">
        <f t="shared" si="92"/>
        <v/>
      </c>
      <c r="J539" s="25" t="str">
        <f t="shared" si="92"/>
        <v/>
      </c>
      <c r="L539" s="3"/>
      <c r="M539" s="3"/>
    </row>
    <row r="540" spans="1:16" x14ac:dyDescent="0.45">
      <c r="A540" t="s">
        <v>19</v>
      </c>
      <c r="B540" t="s">
        <v>32</v>
      </c>
      <c r="C540" t="s">
        <v>22</v>
      </c>
      <c r="D540" s="27">
        <v>0</v>
      </c>
      <c r="E540" s="3" t="s">
        <v>41</v>
      </c>
      <c r="F540" s="23">
        <v>50000000</v>
      </c>
      <c r="G540" s="3" t="s">
        <v>41</v>
      </c>
      <c r="I540" s="25" t="str">
        <f t="shared" si="92"/>
        <v/>
      </c>
      <c r="J540" s="25" t="str">
        <f t="shared" si="92"/>
        <v/>
      </c>
      <c r="L540" s="3"/>
      <c r="M540" s="3"/>
    </row>
    <row r="541" spans="1:16" x14ac:dyDescent="0.45">
      <c r="A541" t="s">
        <v>20</v>
      </c>
      <c r="B541" t="s">
        <v>32</v>
      </c>
      <c r="C541" t="s">
        <v>22</v>
      </c>
      <c r="D541" s="27">
        <v>50000000</v>
      </c>
      <c r="E541" s="3" t="s">
        <v>41</v>
      </c>
      <c r="F541" s="23">
        <v>50000000</v>
      </c>
      <c r="G541" s="3" t="s">
        <v>41</v>
      </c>
      <c r="I541" s="25" t="str">
        <f t="shared" si="92"/>
        <v/>
      </c>
      <c r="J541" s="25" t="str">
        <f t="shared" si="92"/>
        <v/>
      </c>
      <c r="L541" s="3"/>
      <c r="M541" s="3"/>
    </row>
    <row r="542" spans="1:16" x14ac:dyDescent="0.45">
      <c r="A542" t="s">
        <v>7</v>
      </c>
      <c r="B542" t="s">
        <v>32</v>
      </c>
      <c r="C542" t="s">
        <v>23</v>
      </c>
      <c r="D542" s="27">
        <v>0</v>
      </c>
      <c r="E542" s="3">
        <v>0</v>
      </c>
      <c r="F542" s="23">
        <v>0</v>
      </c>
      <c r="G542" s="3">
        <v>0</v>
      </c>
      <c r="I542" s="22">
        <f t="shared" ref="I542:J542" si="95">IF(L542="","",L542)</f>
        <v>0</v>
      </c>
      <c r="J542" s="22">
        <f t="shared" si="95"/>
        <v>0</v>
      </c>
      <c r="L542" s="3">
        <v>0</v>
      </c>
      <c r="M542" s="3">
        <v>0</v>
      </c>
    </row>
    <row r="543" spans="1:16" x14ac:dyDescent="0.45">
      <c r="A543" t="s">
        <v>10</v>
      </c>
      <c r="B543" t="s">
        <v>32</v>
      </c>
      <c r="C543" t="s">
        <v>23</v>
      </c>
      <c r="D543" s="28">
        <v>0</v>
      </c>
      <c r="E543" s="4">
        <v>0</v>
      </c>
      <c r="F543" s="24">
        <v>0</v>
      </c>
      <c r="G543" s="4">
        <v>0</v>
      </c>
      <c r="I543" s="25">
        <f t="shared" ref="I543:J543" si="96">IF(L543="","",L543-L542)</f>
        <v>0</v>
      </c>
      <c r="J543" s="25">
        <f t="shared" si="96"/>
        <v>0</v>
      </c>
      <c r="L543" s="4">
        <v>0</v>
      </c>
      <c r="M543" s="4">
        <v>0</v>
      </c>
    </row>
    <row r="544" spans="1:16" x14ac:dyDescent="0.45">
      <c r="A544" t="s">
        <v>11</v>
      </c>
      <c r="B544" t="s">
        <v>32</v>
      </c>
      <c r="C544" t="s">
        <v>23</v>
      </c>
      <c r="D544" s="27">
        <v>200000000</v>
      </c>
      <c r="E544" s="3">
        <v>0</v>
      </c>
      <c r="F544" s="23">
        <v>0</v>
      </c>
      <c r="G544" s="3">
        <v>0</v>
      </c>
      <c r="I544" s="25">
        <f t="shared" si="92"/>
        <v>0</v>
      </c>
      <c r="J544" s="25">
        <f t="shared" si="92"/>
        <v>0</v>
      </c>
      <c r="L544" s="29">
        <f>SUMIFS(Pivot_!C:C,Pivot_!A:A,'Hitung Per Bulan'!B544,Pivot_!B:B,'Hitung Per Bulan'!C544)</f>
        <v>0</v>
      </c>
      <c r="M544" s="29">
        <f>SUMIFS(Pivot_!D:D,Pivot_!A:A,'Hitung Per Bulan'!B544,Pivot_!B:B,'Hitung Per Bulan'!C544)</f>
        <v>0</v>
      </c>
    </row>
    <row r="545" spans="1:16" x14ac:dyDescent="0.45">
      <c r="A545" t="s">
        <v>12</v>
      </c>
      <c r="B545" t="s">
        <v>32</v>
      </c>
      <c r="C545" t="s">
        <v>23</v>
      </c>
      <c r="D545" s="27">
        <v>0</v>
      </c>
      <c r="E545" s="3" t="s">
        <v>41</v>
      </c>
      <c r="F545" s="23">
        <v>0</v>
      </c>
      <c r="G545" s="3" t="s">
        <v>41</v>
      </c>
      <c r="I545" s="25" t="str">
        <f t="shared" si="92"/>
        <v/>
      </c>
      <c r="J545" s="25" t="str">
        <f t="shared" si="92"/>
        <v/>
      </c>
      <c r="L545" s="29"/>
      <c r="M545" s="29"/>
      <c r="O545" s="72"/>
      <c r="P545" s="72"/>
    </row>
    <row r="546" spans="1:16" x14ac:dyDescent="0.45">
      <c r="A546" t="s">
        <v>13</v>
      </c>
      <c r="B546" t="s">
        <v>32</v>
      </c>
      <c r="C546" t="s">
        <v>23</v>
      </c>
      <c r="D546" s="27">
        <v>340000000</v>
      </c>
      <c r="E546" s="3" t="s">
        <v>41</v>
      </c>
      <c r="F546" s="23">
        <v>200000000</v>
      </c>
      <c r="G546" s="3" t="s">
        <v>41</v>
      </c>
      <c r="I546" s="25" t="str">
        <f t="shared" si="92"/>
        <v/>
      </c>
      <c r="J546" s="25" t="str">
        <f t="shared" si="92"/>
        <v/>
      </c>
      <c r="L546" s="3"/>
      <c r="M546" s="3"/>
    </row>
    <row r="547" spans="1:16" x14ac:dyDescent="0.45">
      <c r="A547" t="s">
        <v>14</v>
      </c>
      <c r="B547" t="s">
        <v>32</v>
      </c>
      <c r="C547" t="s">
        <v>23</v>
      </c>
      <c r="D547" s="27">
        <v>0</v>
      </c>
      <c r="E547" s="3" t="s">
        <v>41</v>
      </c>
      <c r="F547" s="23">
        <v>0</v>
      </c>
      <c r="G547" s="3" t="s">
        <v>41</v>
      </c>
      <c r="I547" s="25" t="str">
        <f t="shared" si="92"/>
        <v/>
      </c>
      <c r="J547" s="25" t="str">
        <f t="shared" si="92"/>
        <v/>
      </c>
      <c r="L547" s="3"/>
      <c r="M547" s="3"/>
    </row>
    <row r="548" spans="1:16" x14ac:dyDescent="0.45">
      <c r="A548" t="s">
        <v>15</v>
      </c>
      <c r="B548" t="s">
        <v>32</v>
      </c>
      <c r="C548" t="s">
        <v>23</v>
      </c>
      <c r="D548" s="27">
        <v>0</v>
      </c>
      <c r="E548" s="3" t="s">
        <v>41</v>
      </c>
      <c r="F548" s="23">
        <v>340000000</v>
      </c>
      <c r="G548" s="3" t="s">
        <v>41</v>
      </c>
      <c r="I548" s="25" t="str">
        <f t="shared" si="92"/>
        <v/>
      </c>
      <c r="J548" s="25" t="str">
        <f t="shared" si="92"/>
        <v/>
      </c>
      <c r="L548" s="3"/>
      <c r="M548" s="3"/>
    </row>
    <row r="549" spans="1:16" x14ac:dyDescent="0.45">
      <c r="A549" t="s">
        <v>16</v>
      </c>
      <c r="B549" t="s">
        <v>32</v>
      </c>
      <c r="C549" t="s">
        <v>23</v>
      </c>
      <c r="D549" s="27">
        <v>500000000</v>
      </c>
      <c r="E549" s="3" t="s">
        <v>41</v>
      </c>
      <c r="F549" s="23">
        <v>0</v>
      </c>
      <c r="G549" s="3" t="s">
        <v>41</v>
      </c>
      <c r="I549" s="25" t="str">
        <f t="shared" si="92"/>
        <v/>
      </c>
      <c r="J549" s="25" t="str">
        <f t="shared" si="92"/>
        <v/>
      </c>
      <c r="L549" s="3"/>
      <c r="M549" s="3"/>
    </row>
    <row r="550" spans="1:16" x14ac:dyDescent="0.45">
      <c r="A550" t="s">
        <v>17</v>
      </c>
      <c r="B550" t="s">
        <v>32</v>
      </c>
      <c r="C550" t="s">
        <v>23</v>
      </c>
      <c r="D550" s="27">
        <v>0</v>
      </c>
      <c r="E550" s="3" t="s">
        <v>41</v>
      </c>
      <c r="F550" s="23">
        <v>0</v>
      </c>
      <c r="G550" s="3" t="s">
        <v>41</v>
      </c>
      <c r="I550" s="25" t="str">
        <f t="shared" si="92"/>
        <v/>
      </c>
      <c r="J550" s="25" t="str">
        <f t="shared" si="92"/>
        <v/>
      </c>
      <c r="L550" s="3"/>
      <c r="M550" s="3"/>
    </row>
    <row r="551" spans="1:16" x14ac:dyDescent="0.45">
      <c r="A551" t="s">
        <v>18</v>
      </c>
      <c r="B551" t="s">
        <v>32</v>
      </c>
      <c r="C551" t="s">
        <v>23</v>
      </c>
      <c r="D551" s="27">
        <v>0</v>
      </c>
      <c r="E551" s="3" t="s">
        <v>41</v>
      </c>
      <c r="F551" s="23">
        <v>500000000</v>
      </c>
      <c r="G551" s="3" t="s">
        <v>41</v>
      </c>
      <c r="I551" s="25" t="str">
        <f t="shared" si="92"/>
        <v/>
      </c>
      <c r="J551" s="25" t="str">
        <f t="shared" si="92"/>
        <v/>
      </c>
      <c r="L551" s="3"/>
      <c r="M551" s="3"/>
    </row>
    <row r="552" spans="1:16" x14ac:dyDescent="0.45">
      <c r="A552" t="s">
        <v>19</v>
      </c>
      <c r="B552" t="s">
        <v>32</v>
      </c>
      <c r="C552" t="s">
        <v>23</v>
      </c>
      <c r="D552" s="27">
        <v>0</v>
      </c>
      <c r="E552" s="3" t="s">
        <v>41</v>
      </c>
      <c r="F552" s="23">
        <v>0</v>
      </c>
      <c r="G552" s="3" t="s">
        <v>41</v>
      </c>
      <c r="I552" s="25" t="str">
        <f t="shared" si="92"/>
        <v/>
      </c>
      <c r="J552" s="25" t="str">
        <f t="shared" si="92"/>
        <v/>
      </c>
      <c r="L552" s="3"/>
      <c r="M552" s="3"/>
    </row>
    <row r="553" spans="1:16" x14ac:dyDescent="0.45">
      <c r="A553" t="s">
        <v>20</v>
      </c>
      <c r="B553" t="s">
        <v>32</v>
      </c>
      <c r="C553" t="s">
        <v>23</v>
      </c>
      <c r="D553" s="27">
        <v>0</v>
      </c>
      <c r="E553" s="3" t="s">
        <v>41</v>
      </c>
      <c r="F553" s="23">
        <v>0</v>
      </c>
      <c r="G553" s="3" t="s">
        <v>41</v>
      </c>
      <c r="I553" s="25" t="str">
        <f t="shared" si="92"/>
        <v/>
      </c>
      <c r="J553" s="25" t="str">
        <f t="shared" si="92"/>
        <v/>
      </c>
      <c r="L553" s="3"/>
      <c r="M553" s="3"/>
    </row>
    <row r="554" spans="1:16" x14ac:dyDescent="0.45">
      <c r="A554" t="s">
        <v>7</v>
      </c>
      <c r="B554" t="s">
        <v>32</v>
      </c>
      <c r="C554" t="s">
        <v>24</v>
      </c>
      <c r="D554" s="27">
        <v>0</v>
      </c>
      <c r="E554" s="3">
        <v>0</v>
      </c>
      <c r="F554" s="23">
        <v>0</v>
      </c>
      <c r="G554" s="3">
        <v>0</v>
      </c>
      <c r="I554" s="22">
        <f t="shared" ref="I554:J554" si="97">IF(L554="","",L554)</f>
        <v>0</v>
      </c>
      <c r="J554" s="22">
        <f t="shared" si="97"/>
        <v>0</v>
      </c>
      <c r="L554" s="3">
        <v>0</v>
      </c>
      <c r="M554" s="3">
        <v>0</v>
      </c>
    </row>
    <row r="555" spans="1:16" x14ac:dyDescent="0.45">
      <c r="A555" t="s">
        <v>10</v>
      </c>
      <c r="B555" t="s">
        <v>32</v>
      </c>
      <c r="C555" t="s">
        <v>24</v>
      </c>
      <c r="D555" s="28">
        <v>0</v>
      </c>
      <c r="E555" s="4">
        <v>0</v>
      </c>
      <c r="F555" s="24">
        <v>0</v>
      </c>
      <c r="G555" s="4">
        <v>0</v>
      </c>
      <c r="I555" s="25">
        <f t="shared" ref="I555:J555" si="98">IF(L555="","",L555-L554)</f>
        <v>0</v>
      </c>
      <c r="J555" s="25">
        <f t="shared" si="98"/>
        <v>0</v>
      </c>
      <c r="L555" s="4">
        <v>0</v>
      </c>
      <c r="M555" s="4">
        <v>0</v>
      </c>
    </row>
    <row r="556" spans="1:16" x14ac:dyDescent="0.45">
      <c r="A556" t="s">
        <v>11</v>
      </c>
      <c r="B556" t="s">
        <v>32</v>
      </c>
      <c r="C556" t="s">
        <v>24</v>
      </c>
      <c r="D556" s="27">
        <v>0</v>
      </c>
      <c r="E556" s="3">
        <v>0</v>
      </c>
      <c r="F556" s="23">
        <v>0</v>
      </c>
      <c r="G556" s="3">
        <v>0</v>
      </c>
      <c r="I556" s="25">
        <f t="shared" si="92"/>
        <v>0</v>
      </c>
      <c r="J556" s="25">
        <f t="shared" si="92"/>
        <v>0</v>
      </c>
      <c r="L556" s="29">
        <f>SUMIFS(Pivot_!C:C,Pivot_!A:A,'Hitung Per Bulan'!B556,Pivot_!B:B,'Hitung Per Bulan'!C556)</f>
        <v>0</v>
      </c>
      <c r="M556" s="29">
        <f>SUMIFS(Pivot_!D:D,Pivot_!A:A,'Hitung Per Bulan'!B556,Pivot_!B:B,'Hitung Per Bulan'!C556)</f>
        <v>0</v>
      </c>
    </row>
    <row r="557" spans="1:16" x14ac:dyDescent="0.45">
      <c r="A557" t="s">
        <v>12</v>
      </c>
      <c r="B557" t="s">
        <v>32</v>
      </c>
      <c r="C557" t="s">
        <v>24</v>
      </c>
      <c r="D557" s="27">
        <v>0</v>
      </c>
      <c r="E557" s="3" t="s">
        <v>41</v>
      </c>
      <c r="F557" s="23">
        <v>0</v>
      </c>
      <c r="G557" s="3" t="s">
        <v>41</v>
      </c>
      <c r="I557" s="25" t="str">
        <f t="shared" si="92"/>
        <v/>
      </c>
      <c r="J557" s="25" t="str">
        <f t="shared" si="92"/>
        <v/>
      </c>
      <c r="L557" s="29"/>
      <c r="M557" s="29"/>
      <c r="O557" s="72"/>
      <c r="P557" s="72"/>
    </row>
    <row r="558" spans="1:16" x14ac:dyDescent="0.45">
      <c r="A558" t="s">
        <v>13</v>
      </c>
      <c r="B558" t="s">
        <v>32</v>
      </c>
      <c r="C558" t="s">
        <v>24</v>
      </c>
      <c r="D558" s="27">
        <v>0</v>
      </c>
      <c r="E558" s="3" t="s">
        <v>41</v>
      </c>
      <c r="F558" s="23">
        <v>0</v>
      </c>
      <c r="G558" s="3" t="s">
        <v>41</v>
      </c>
      <c r="I558" s="25" t="str">
        <f t="shared" si="92"/>
        <v/>
      </c>
      <c r="J558" s="25" t="str">
        <f t="shared" si="92"/>
        <v/>
      </c>
      <c r="L558" s="3"/>
      <c r="M558" s="3"/>
    </row>
    <row r="559" spans="1:16" x14ac:dyDescent="0.45">
      <c r="A559" t="s">
        <v>14</v>
      </c>
      <c r="B559" t="s">
        <v>32</v>
      </c>
      <c r="C559" t="s">
        <v>24</v>
      </c>
      <c r="D559" s="27">
        <v>0</v>
      </c>
      <c r="E559" s="3" t="s">
        <v>41</v>
      </c>
      <c r="F559" s="23">
        <v>0</v>
      </c>
      <c r="G559" s="3" t="s">
        <v>41</v>
      </c>
      <c r="I559" s="25" t="str">
        <f t="shared" si="92"/>
        <v/>
      </c>
      <c r="J559" s="25" t="str">
        <f t="shared" si="92"/>
        <v/>
      </c>
      <c r="L559" s="3"/>
      <c r="M559" s="3"/>
    </row>
    <row r="560" spans="1:16" x14ac:dyDescent="0.45">
      <c r="A560" t="s">
        <v>15</v>
      </c>
      <c r="B560" t="s">
        <v>32</v>
      </c>
      <c r="C560" t="s">
        <v>24</v>
      </c>
      <c r="D560" s="27">
        <v>0</v>
      </c>
      <c r="E560" s="3" t="s">
        <v>41</v>
      </c>
      <c r="F560" s="23">
        <v>0</v>
      </c>
      <c r="G560" s="3" t="s">
        <v>41</v>
      </c>
      <c r="I560" s="25" t="str">
        <f t="shared" si="92"/>
        <v/>
      </c>
      <c r="J560" s="25" t="str">
        <f t="shared" si="92"/>
        <v/>
      </c>
      <c r="L560" s="3"/>
      <c r="M560" s="3"/>
    </row>
    <row r="561" spans="1:16" x14ac:dyDescent="0.45">
      <c r="A561" t="s">
        <v>16</v>
      </c>
      <c r="B561" t="s">
        <v>32</v>
      </c>
      <c r="C561" t="s">
        <v>24</v>
      </c>
      <c r="D561" s="27">
        <v>0</v>
      </c>
      <c r="E561" s="3" t="s">
        <v>41</v>
      </c>
      <c r="F561" s="23">
        <v>0</v>
      </c>
      <c r="G561" s="3" t="s">
        <v>41</v>
      </c>
      <c r="I561" s="25" t="str">
        <f t="shared" si="92"/>
        <v/>
      </c>
      <c r="J561" s="25" t="str">
        <f t="shared" si="92"/>
        <v/>
      </c>
      <c r="L561" s="3"/>
      <c r="M561" s="3"/>
    </row>
    <row r="562" spans="1:16" x14ac:dyDescent="0.45">
      <c r="A562" t="s">
        <v>17</v>
      </c>
      <c r="B562" t="s">
        <v>32</v>
      </c>
      <c r="C562" t="s">
        <v>24</v>
      </c>
      <c r="D562" s="27">
        <v>0</v>
      </c>
      <c r="E562" s="3" t="s">
        <v>41</v>
      </c>
      <c r="F562" s="23">
        <v>0</v>
      </c>
      <c r="G562" s="3" t="s">
        <v>41</v>
      </c>
      <c r="I562" s="25" t="str">
        <f t="shared" si="92"/>
        <v/>
      </c>
      <c r="J562" s="25" t="str">
        <f t="shared" si="92"/>
        <v/>
      </c>
      <c r="L562" s="3"/>
      <c r="M562" s="3"/>
    </row>
    <row r="563" spans="1:16" x14ac:dyDescent="0.45">
      <c r="A563" t="s">
        <v>18</v>
      </c>
      <c r="B563" t="s">
        <v>32</v>
      </c>
      <c r="C563" t="s">
        <v>24</v>
      </c>
      <c r="D563" s="27">
        <v>0</v>
      </c>
      <c r="E563" s="3" t="s">
        <v>41</v>
      </c>
      <c r="F563" s="23">
        <v>0</v>
      </c>
      <c r="G563" s="3" t="s">
        <v>41</v>
      </c>
      <c r="I563" s="25" t="str">
        <f t="shared" si="92"/>
        <v/>
      </c>
      <c r="J563" s="25" t="str">
        <f t="shared" si="92"/>
        <v/>
      </c>
      <c r="L563" s="3"/>
      <c r="M563" s="3"/>
    </row>
    <row r="564" spans="1:16" x14ac:dyDescent="0.45">
      <c r="A564" t="s">
        <v>19</v>
      </c>
      <c r="B564" t="s">
        <v>32</v>
      </c>
      <c r="C564" t="s">
        <v>24</v>
      </c>
      <c r="D564" s="27">
        <v>0</v>
      </c>
      <c r="E564" s="3" t="s">
        <v>41</v>
      </c>
      <c r="F564" s="23">
        <v>0</v>
      </c>
      <c r="G564" s="3" t="s">
        <v>41</v>
      </c>
      <c r="I564" s="25" t="str">
        <f t="shared" si="92"/>
        <v/>
      </c>
      <c r="J564" s="25" t="str">
        <f t="shared" si="92"/>
        <v/>
      </c>
      <c r="L564" s="3"/>
      <c r="M564" s="3"/>
    </row>
    <row r="565" spans="1:16" x14ac:dyDescent="0.45">
      <c r="A565" t="s">
        <v>20</v>
      </c>
      <c r="B565" t="s">
        <v>32</v>
      </c>
      <c r="C565" t="s">
        <v>24</v>
      </c>
      <c r="D565" s="27">
        <v>0</v>
      </c>
      <c r="E565" s="3" t="s">
        <v>41</v>
      </c>
      <c r="F565" s="23">
        <v>0</v>
      </c>
      <c r="G565" s="3" t="s">
        <v>41</v>
      </c>
      <c r="I565" s="25" t="str">
        <f t="shared" si="92"/>
        <v/>
      </c>
      <c r="J565" s="25" t="str">
        <f t="shared" si="92"/>
        <v/>
      </c>
      <c r="L565" s="3"/>
      <c r="M565" s="3"/>
    </row>
    <row r="566" spans="1:16" x14ac:dyDescent="0.45">
      <c r="A566" t="s">
        <v>7</v>
      </c>
      <c r="B566" t="s">
        <v>32</v>
      </c>
      <c r="C566" t="s">
        <v>25</v>
      </c>
      <c r="D566" s="27">
        <v>62259333.333333336</v>
      </c>
      <c r="E566" s="3">
        <v>106646150</v>
      </c>
      <c r="F566" s="23">
        <v>0</v>
      </c>
      <c r="G566" s="3">
        <v>19578750</v>
      </c>
      <c r="I566" s="22">
        <f t="shared" ref="I566:J566" si="99">IF(L566="","",L566)</f>
        <v>106646150</v>
      </c>
      <c r="J566" s="22">
        <f t="shared" si="99"/>
        <v>19578750</v>
      </c>
      <c r="L566" s="3">
        <v>106646150</v>
      </c>
      <c r="M566" s="3">
        <v>19578750</v>
      </c>
    </row>
    <row r="567" spans="1:16" x14ac:dyDescent="0.45">
      <c r="A567" t="s">
        <v>10</v>
      </c>
      <c r="B567" t="s">
        <v>32</v>
      </c>
      <c r="C567" t="s">
        <v>25</v>
      </c>
      <c r="D567" s="28">
        <v>81686766.666666657</v>
      </c>
      <c r="E567" s="4">
        <v>124319935</v>
      </c>
      <c r="F567" s="24">
        <v>62259333.333333328</v>
      </c>
      <c r="G567" s="4">
        <v>94911900</v>
      </c>
      <c r="I567" s="25">
        <f t="shared" ref="I567:J567" si="100">IF(L567="","",L567-L566)</f>
        <v>124319935</v>
      </c>
      <c r="J567" s="25">
        <f t="shared" si="100"/>
        <v>94911900</v>
      </c>
      <c r="L567" s="4">
        <v>230966085</v>
      </c>
      <c r="M567" s="4">
        <v>114490650</v>
      </c>
    </row>
    <row r="568" spans="1:16" x14ac:dyDescent="0.45">
      <c r="A568" t="s">
        <v>11</v>
      </c>
      <c r="B568" t="s">
        <v>32</v>
      </c>
      <c r="C568" t="s">
        <v>25</v>
      </c>
      <c r="D568" s="27">
        <v>89759333.333333343</v>
      </c>
      <c r="E568" s="3">
        <v>22471000</v>
      </c>
      <c r="F568" s="23">
        <v>81686766.666666597</v>
      </c>
      <c r="G568" s="3">
        <v>22471000</v>
      </c>
      <c r="I568" s="25">
        <f t="shared" si="92"/>
        <v>709237482</v>
      </c>
      <c r="J568" s="25">
        <f t="shared" si="92"/>
        <v>100379180</v>
      </c>
      <c r="L568" s="29">
        <f>SUMIFS(Pivot_!C:C,Pivot_!A:A,'Hitung Per Bulan'!B568,Pivot_!B:B,'Hitung Per Bulan'!C568)</f>
        <v>940203567</v>
      </c>
      <c r="M568" s="29">
        <f>SUMIFS(Pivot_!D:D,Pivot_!A:A,'Hitung Per Bulan'!B568,Pivot_!B:B,'Hitung Per Bulan'!C568)</f>
        <v>214869830</v>
      </c>
    </row>
    <row r="569" spans="1:16" x14ac:dyDescent="0.45">
      <c r="A569" t="s">
        <v>12</v>
      </c>
      <c r="B569" t="s">
        <v>32</v>
      </c>
      <c r="C569" t="s">
        <v>25</v>
      </c>
      <c r="D569" s="27">
        <v>64603433.333333336</v>
      </c>
      <c r="E569" s="3" t="s">
        <v>41</v>
      </c>
      <c r="F569" s="23">
        <v>89759333.333333328</v>
      </c>
      <c r="G569" s="3" t="s">
        <v>41</v>
      </c>
      <c r="I569" s="25" t="str">
        <f t="shared" si="92"/>
        <v/>
      </c>
      <c r="J569" s="25" t="str">
        <f t="shared" si="92"/>
        <v/>
      </c>
      <c r="L569" s="29"/>
      <c r="M569" s="29"/>
      <c r="O569" s="72"/>
      <c r="P569" s="72"/>
    </row>
    <row r="570" spans="1:16" x14ac:dyDescent="0.45">
      <c r="A570" t="s">
        <v>13</v>
      </c>
      <c r="B570" t="s">
        <v>32</v>
      </c>
      <c r="C570" t="s">
        <v>25</v>
      </c>
      <c r="D570" s="27">
        <v>301686766.66666669</v>
      </c>
      <c r="E570" s="3" t="s">
        <v>41</v>
      </c>
      <c r="F570" s="23">
        <v>784603433.33333337</v>
      </c>
      <c r="G570" s="3" t="s">
        <v>41</v>
      </c>
      <c r="I570" s="25" t="str">
        <f t="shared" si="92"/>
        <v/>
      </c>
      <c r="J570" s="25" t="str">
        <f t="shared" si="92"/>
        <v/>
      </c>
      <c r="L570" s="3"/>
      <c r="M570" s="3"/>
    </row>
    <row r="571" spans="1:16" x14ac:dyDescent="0.45">
      <c r="A571" t="s">
        <v>14</v>
      </c>
      <c r="B571" t="s">
        <v>32</v>
      </c>
      <c r="C571" t="s">
        <v>25</v>
      </c>
      <c r="D571" s="27">
        <v>599917433.33333337</v>
      </c>
      <c r="E571" s="3" t="s">
        <v>41</v>
      </c>
      <c r="F571" s="23">
        <v>81686766.666666597</v>
      </c>
      <c r="G571" s="3" t="s">
        <v>41</v>
      </c>
      <c r="I571" s="25" t="str">
        <f t="shared" si="92"/>
        <v/>
      </c>
      <c r="J571" s="25" t="str">
        <f t="shared" si="92"/>
        <v/>
      </c>
      <c r="L571" s="3"/>
      <c r="M571" s="3"/>
    </row>
    <row r="572" spans="1:16" x14ac:dyDescent="0.45">
      <c r="A572" t="s">
        <v>15</v>
      </c>
      <c r="B572" t="s">
        <v>32</v>
      </c>
      <c r="C572" t="s">
        <v>25</v>
      </c>
      <c r="D572" s="27">
        <v>64603433.333333336</v>
      </c>
      <c r="E572" s="3" t="s">
        <v>41</v>
      </c>
      <c r="F572" s="23">
        <v>99917433.333333299</v>
      </c>
      <c r="G572" s="3" t="s">
        <v>41</v>
      </c>
      <c r="I572" s="25" t="str">
        <f t="shared" si="92"/>
        <v/>
      </c>
      <c r="J572" s="25" t="str">
        <f t="shared" si="92"/>
        <v/>
      </c>
      <c r="L572" s="3"/>
      <c r="M572" s="3"/>
    </row>
    <row r="573" spans="1:16" x14ac:dyDescent="0.45">
      <c r="A573" t="s">
        <v>16</v>
      </c>
      <c r="B573" t="s">
        <v>32</v>
      </c>
      <c r="C573" t="s">
        <v>25</v>
      </c>
      <c r="D573" s="27">
        <v>81686766.666666657</v>
      </c>
      <c r="E573" s="3" t="s">
        <v>41</v>
      </c>
      <c r="F573" s="23">
        <v>64603433.333333299</v>
      </c>
      <c r="G573" s="3" t="s">
        <v>41</v>
      </c>
      <c r="I573" s="25" t="str">
        <f t="shared" si="92"/>
        <v/>
      </c>
      <c r="J573" s="25" t="str">
        <f t="shared" si="92"/>
        <v/>
      </c>
      <c r="L573" s="3"/>
      <c r="M573" s="3"/>
    </row>
    <row r="574" spans="1:16" x14ac:dyDescent="0.45">
      <c r="A574" t="s">
        <v>17</v>
      </c>
      <c r="B574" t="s">
        <v>32</v>
      </c>
      <c r="C574" t="s">
        <v>25</v>
      </c>
      <c r="D574" s="27">
        <v>233835433.33333334</v>
      </c>
      <c r="E574" s="3" t="s">
        <v>41</v>
      </c>
      <c r="F574" s="23">
        <v>81686766.666666597</v>
      </c>
      <c r="G574" s="3" t="s">
        <v>41</v>
      </c>
      <c r="I574" s="25" t="str">
        <f t="shared" si="92"/>
        <v/>
      </c>
      <c r="J574" s="25" t="str">
        <f t="shared" si="92"/>
        <v/>
      </c>
      <c r="L574" s="3"/>
      <c r="M574" s="3"/>
    </row>
    <row r="575" spans="1:16" x14ac:dyDescent="0.45">
      <c r="A575" t="s">
        <v>18</v>
      </c>
      <c r="B575" t="s">
        <v>32</v>
      </c>
      <c r="C575" t="s">
        <v>25</v>
      </c>
      <c r="D575" s="27">
        <v>64603433.333333336</v>
      </c>
      <c r="E575" s="3" t="s">
        <v>41</v>
      </c>
      <c r="F575" s="23">
        <v>233835433.33333328</v>
      </c>
      <c r="G575" s="3" t="s">
        <v>41</v>
      </c>
      <c r="I575" s="25" t="str">
        <f t="shared" si="92"/>
        <v/>
      </c>
      <c r="J575" s="25" t="str">
        <f t="shared" si="92"/>
        <v/>
      </c>
      <c r="L575" s="3"/>
      <c r="M575" s="3"/>
    </row>
    <row r="576" spans="1:16" x14ac:dyDescent="0.45">
      <c r="A576" t="s">
        <v>19</v>
      </c>
      <c r="B576" t="s">
        <v>32</v>
      </c>
      <c r="C576" t="s">
        <v>25</v>
      </c>
      <c r="D576" s="27">
        <v>78353433.333333328</v>
      </c>
      <c r="E576" s="3" t="s">
        <v>41</v>
      </c>
      <c r="F576" s="23">
        <v>64603433.333333299</v>
      </c>
      <c r="G576" s="3" t="s">
        <v>41</v>
      </c>
      <c r="I576" s="25" t="str">
        <f t="shared" si="92"/>
        <v/>
      </c>
      <c r="J576" s="25" t="str">
        <f t="shared" si="92"/>
        <v/>
      </c>
      <c r="L576" s="3"/>
      <c r="M576" s="3"/>
    </row>
    <row r="577" spans="1:16" x14ac:dyDescent="0.45">
      <c r="A577" t="s">
        <v>20</v>
      </c>
      <c r="B577" t="s">
        <v>32</v>
      </c>
      <c r="C577" t="s">
        <v>25</v>
      </c>
      <c r="D577" s="27">
        <v>99917433.333333328</v>
      </c>
      <c r="E577" s="3" t="s">
        <v>41</v>
      </c>
      <c r="F577" s="23">
        <v>178270866.66666669</v>
      </c>
      <c r="G577" s="3" t="s">
        <v>41</v>
      </c>
      <c r="I577" s="25" t="str">
        <f t="shared" si="92"/>
        <v/>
      </c>
      <c r="J577" s="25" t="str">
        <f t="shared" si="92"/>
        <v/>
      </c>
      <c r="L577" s="3"/>
      <c r="M577" s="3"/>
    </row>
    <row r="578" spans="1:16" x14ac:dyDescent="0.45">
      <c r="A578" t="s">
        <v>7</v>
      </c>
      <c r="B578" t="s">
        <v>32</v>
      </c>
      <c r="C578" t="s">
        <v>26</v>
      </c>
      <c r="D578" s="27">
        <v>255298000</v>
      </c>
      <c r="E578" s="3">
        <v>199624421</v>
      </c>
      <c r="F578" s="23">
        <v>255298000</v>
      </c>
      <c r="G578" s="3">
        <v>199624421</v>
      </c>
      <c r="I578" s="22">
        <f t="shared" ref="I578:J578" si="101">IF(L578="","",L578)</f>
        <v>199624421</v>
      </c>
      <c r="J578" s="22">
        <f t="shared" si="101"/>
        <v>199624421</v>
      </c>
      <c r="L578" s="3">
        <v>199624421</v>
      </c>
      <c r="M578" s="3">
        <v>199624421</v>
      </c>
    </row>
    <row r="579" spans="1:16" x14ac:dyDescent="0.45">
      <c r="A579" t="s">
        <v>10</v>
      </c>
      <c r="B579" t="s">
        <v>32</v>
      </c>
      <c r="C579" t="s">
        <v>26</v>
      </c>
      <c r="D579" s="28">
        <v>255298000</v>
      </c>
      <c r="E579" s="4">
        <v>197235478</v>
      </c>
      <c r="F579" s="24">
        <v>255298000</v>
      </c>
      <c r="G579" s="4">
        <v>197235478</v>
      </c>
      <c r="I579" s="25">
        <f t="shared" ref="I579:J579" si="102">IF(L579="","",L579-L578)</f>
        <v>197235478</v>
      </c>
      <c r="J579" s="25">
        <f t="shared" si="102"/>
        <v>197235478</v>
      </c>
      <c r="L579" s="4">
        <v>396859899</v>
      </c>
      <c r="M579" s="4">
        <v>396859899</v>
      </c>
    </row>
    <row r="580" spans="1:16" x14ac:dyDescent="0.45">
      <c r="A580" t="s">
        <v>11</v>
      </c>
      <c r="B580" t="s">
        <v>32</v>
      </c>
      <c r="C580" t="s">
        <v>26</v>
      </c>
      <c r="D580" s="27">
        <v>255298000</v>
      </c>
      <c r="E580" s="3">
        <v>0</v>
      </c>
      <c r="F580" s="23">
        <v>255298000</v>
      </c>
      <c r="G580" s="3">
        <v>0</v>
      </c>
      <c r="I580" s="25">
        <f t="shared" si="92"/>
        <v>176527404</v>
      </c>
      <c r="J580" s="25">
        <f t="shared" si="92"/>
        <v>176527404</v>
      </c>
      <c r="L580" s="29">
        <f>SUMIFS(Pivot_!C:C,Pivot_!A:A,'Hitung Per Bulan'!B580,Pivot_!B:B,'Hitung Per Bulan'!C580)</f>
        <v>573387303</v>
      </c>
      <c r="M580" s="29">
        <f>SUMIFS(Pivot_!D:D,Pivot_!A:A,'Hitung Per Bulan'!B580,Pivot_!B:B,'Hitung Per Bulan'!C580)</f>
        <v>573387303</v>
      </c>
    </row>
    <row r="581" spans="1:16" x14ac:dyDescent="0.45">
      <c r="A581" t="s">
        <v>12</v>
      </c>
      <c r="B581" t="s">
        <v>32</v>
      </c>
      <c r="C581" t="s">
        <v>26</v>
      </c>
      <c r="D581" s="27">
        <v>255298000</v>
      </c>
      <c r="E581" s="3" t="s">
        <v>41</v>
      </c>
      <c r="F581" s="23">
        <v>255298000</v>
      </c>
      <c r="G581" s="3" t="s">
        <v>41</v>
      </c>
      <c r="I581" s="25" t="str">
        <f t="shared" si="92"/>
        <v/>
      </c>
      <c r="J581" s="25" t="str">
        <f t="shared" si="92"/>
        <v/>
      </c>
      <c r="L581" s="29"/>
      <c r="M581" s="29"/>
      <c r="O581" s="72"/>
      <c r="P581" s="72"/>
    </row>
    <row r="582" spans="1:16" x14ac:dyDescent="0.45">
      <c r="A582" t="s">
        <v>13</v>
      </c>
      <c r="B582" t="s">
        <v>32</v>
      </c>
      <c r="C582" t="s">
        <v>26</v>
      </c>
      <c r="D582" s="27">
        <v>255298000</v>
      </c>
      <c r="E582" s="3" t="s">
        <v>41</v>
      </c>
      <c r="F582" s="23">
        <v>255298000</v>
      </c>
      <c r="G582" s="3" t="s">
        <v>41</v>
      </c>
      <c r="I582" s="25" t="str">
        <f t="shared" si="92"/>
        <v/>
      </c>
      <c r="J582" s="25" t="str">
        <f t="shared" si="92"/>
        <v/>
      </c>
      <c r="L582" s="3"/>
      <c r="M582" s="3"/>
    </row>
    <row r="583" spans="1:16" x14ac:dyDescent="0.45">
      <c r="A583" t="s">
        <v>14</v>
      </c>
      <c r="B583" t="s">
        <v>32</v>
      </c>
      <c r="C583" t="s">
        <v>26</v>
      </c>
      <c r="D583" s="27">
        <v>255298000</v>
      </c>
      <c r="E583" s="3" t="s">
        <v>41</v>
      </c>
      <c r="F583" s="23">
        <v>255298000</v>
      </c>
      <c r="G583" s="3" t="s">
        <v>41</v>
      </c>
      <c r="I583" s="25" t="str">
        <f t="shared" si="92"/>
        <v/>
      </c>
      <c r="J583" s="25" t="str">
        <f t="shared" si="92"/>
        <v/>
      </c>
      <c r="L583" s="3"/>
      <c r="M583" s="3"/>
    </row>
    <row r="584" spans="1:16" x14ac:dyDescent="0.45">
      <c r="A584" t="s">
        <v>15</v>
      </c>
      <c r="B584" t="s">
        <v>32</v>
      </c>
      <c r="C584" t="s">
        <v>26</v>
      </c>
      <c r="D584" s="27">
        <v>255298000</v>
      </c>
      <c r="E584" s="3" t="s">
        <v>41</v>
      </c>
      <c r="F584" s="23">
        <v>255298000</v>
      </c>
      <c r="G584" s="3" t="s">
        <v>41</v>
      </c>
      <c r="I584" s="25" t="str">
        <f t="shared" si="92"/>
        <v/>
      </c>
      <c r="J584" s="25" t="str">
        <f t="shared" si="92"/>
        <v/>
      </c>
      <c r="L584" s="3"/>
      <c r="M584" s="3"/>
    </row>
    <row r="585" spans="1:16" x14ac:dyDescent="0.45">
      <c r="A585" t="s">
        <v>16</v>
      </c>
      <c r="B585" t="s">
        <v>32</v>
      </c>
      <c r="C585" t="s">
        <v>26</v>
      </c>
      <c r="D585" s="27">
        <v>255298000</v>
      </c>
      <c r="E585" s="3" t="s">
        <v>41</v>
      </c>
      <c r="F585" s="23">
        <v>255298000</v>
      </c>
      <c r="G585" s="3" t="s">
        <v>41</v>
      </c>
      <c r="I585" s="25" t="str">
        <f t="shared" si="92"/>
        <v/>
      </c>
      <c r="J585" s="25" t="str">
        <f t="shared" si="92"/>
        <v/>
      </c>
      <c r="L585" s="3"/>
      <c r="M585" s="3"/>
    </row>
    <row r="586" spans="1:16" x14ac:dyDescent="0.45">
      <c r="A586" t="s">
        <v>17</v>
      </c>
      <c r="B586" t="s">
        <v>32</v>
      </c>
      <c r="C586" t="s">
        <v>26</v>
      </c>
      <c r="D586" s="27">
        <v>255298000</v>
      </c>
      <c r="E586" s="3" t="s">
        <v>41</v>
      </c>
      <c r="F586" s="23">
        <v>255298000</v>
      </c>
      <c r="G586" s="3" t="s">
        <v>41</v>
      </c>
      <c r="I586" s="25" t="str">
        <f t="shared" si="92"/>
        <v/>
      </c>
      <c r="J586" s="25" t="str">
        <f t="shared" si="92"/>
        <v/>
      </c>
      <c r="L586" s="3"/>
      <c r="M586" s="3"/>
    </row>
    <row r="587" spans="1:16" x14ac:dyDescent="0.45">
      <c r="A587" t="s">
        <v>18</v>
      </c>
      <c r="B587" t="s">
        <v>32</v>
      </c>
      <c r="C587" t="s">
        <v>26</v>
      </c>
      <c r="D587" s="27">
        <v>255298000</v>
      </c>
      <c r="E587" s="3" t="s">
        <v>41</v>
      </c>
      <c r="F587" s="23">
        <v>255298000</v>
      </c>
      <c r="G587" s="3" t="s">
        <v>41</v>
      </c>
      <c r="I587" s="25" t="str">
        <f t="shared" si="92"/>
        <v/>
      </c>
      <c r="J587" s="25" t="str">
        <f t="shared" si="92"/>
        <v/>
      </c>
      <c r="L587" s="3"/>
      <c r="M587" s="3"/>
    </row>
    <row r="588" spans="1:16" x14ac:dyDescent="0.45">
      <c r="A588" t="s">
        <v>19</v>
      </c>
      <c r="B588" t="s">
        <v>32</v>
      </c>
      <c r="C588" t="s">
        <v>26</v>
      </c>
      <c r="D588" s="27">
        <v>255298000</v>
      </c>
      <c r="E588" s="3" t="s">
        <v>41</v>
      </c>
      <c r="F588" s="23">
        <v>255298000</v>
      </c>
      <c r="G588" s="3" t="s">
        <v>41</v>
      </c>
      <c r="I588" s="25" t="str">
        <f t="shared" si="92"/>
        <v/>
      </c>
      <c r="J588" s="25" t="str">
        <f t="shared" si="92"/>
        <v/>
      </c>
      <c r="L588" s="3"/>
      <c r="M588" s="3"/>
    </row>
    <row r="589" spans="1:16" x14ac:dyDescent="0.45">
      <c r="A589" t="s">
        <v>20</v>
      </c>
      <c r="B589" t="s">
        <v>32</v>
      </c>
      <c r="C589" t="s">
        <v>26</v>
      </c>
      <c r="D589" s="27">
        <v>255298000</v>
      </c>
      <c r="E589" s="3" t="s">
        <v>41</v>
      </c>
      <c r="F589" s="23">
        <v>255298000</v>
      </c>
      <c r="G589" s="3" t="s">
        <v>41</v>
      </c>
      <c r="I589" s="25" t="str">
        <f t="shared" si="92"/>
        <v/>
      </c>
      <c r="J589" s="25" t="str">
        <f t="shared" si="92"/>
        <v/>
      </c>
      <c r="L589" s="3"/>
      <c r="M589" s="3"/>
    </row>
    <row r="590" spans="1:16" x14ac:dyDescent="0.45">
      <c r="A590" t="s">
        <v>7</v>
      </c>
      <c r="B590" t="s">
        <v>33</v>
      </c>
      <c r="C590" t="s">
        <v>9</v>
      </c>
      <c r="D590" s="27">
        <v>0</v>
      </c>
      <c r="E590" s="3">
        <v>31467000</v>
      </c>
      <c r="F590" s="23">
        <v>0</v>
      </c>
      <c r="G590" s="3">
        <v>0</v>
      </c>
      <c r="I590" s="22">
        <f t="shared" ref="I590:J590" si="103">IF(L590="","",L590)</f>
        <v>31467000</v>
      </c>
      <c r="J590" s="22">
        <f t="shared" si="103"/>
        <v>0</v>
      </c>
      <c r="L590" s="3">
        <v>31467000</v>
      </c>
      <c r="M590" s="3">
        <v>0</v>
      </c>
    </row>
    <row r="591" spans="1:16" x14ac:dyDescent="0.45">
      <c r="A591" t="s">
        <v>10</v>
      </c>
      <c r="B591" t="s">
        <v>33</v>
      </c>
      <c r="C591" t="s">
        <v>9</v>
      </c>
      <c r="D591" s="28">
        <v>0</v>
      </c>
      <c r="E591" s="4">
        <v>4701283132</v>
      </c>
      <c r="F591" s="24">
        <v>0</v>
      </c>
      <c r="G591" s="4">
        <v>24650000</v>
      </c>
      <c r="I591" s="25">
        <f t="shared" ref="I591:J654" si="104">IF(L591="","",L591-L590)</f>
        <v>4701283132</v>
      </c>
      <c r="J591" s="25">
        <f t="shared" si="104"/>
        <v>24650000</v>
      </c>
      <c r="L591" s="4">
        <v>4732750132</v>
      </c>
      <c r="M591" s="4">
        <v>24650000</v>
      </c>
    </row>
    <row r="592" spans="1:16" x14ac:dyDescent="0.45">
      <c r="A592" t="s">
        <v>11</v>
      </c>
      <c r="B592" t="s">
        <v>33</v>
      </c>
      <c r="C592" t="s">
        <v>9</v>
      </c>
      <c r="D592" s="27">
        <v>1399586000</v>
      </c>
      <c r="E592" s="3">
        <v>1988511744</v>
      </c>
      <c r="F592" s="23">
        <v>1199586000</v>
      </c>
      <c r="G592" s="3">
        <v>105142000</v>
      </c>
      <c r="I592" s="25">
        <f t="shared" si="104"/>
        <v>7733284580</v>
      </c>
      <c r="J592" s="25">
        <f t="shared" si="104"/>
        <v>429892040</v>
      </c>
      <c r="L592" s="29">
        <f>SUMIFS(Pivot_!C:C,Pivot_!A:A,'Hitung Per Bulan'!B592,Pivot_!B:B,'Hitung Per Bulan'!C592)</f>
        <v>12466034712</v>
      </c>
      <c r="M592" s="29">
        <f>SUMIFS(Pivot_!D:D,Pivot_!A:A,'Hitung Per Bulan'!B592,Pivot_!B:B,'Hitung Per Bulan'!C592)</f>
        <v>454542040</v>
      </c>
    </row>
    <row r="593" spans="1:16" x14ac:dyDescent="0.45">
      <c r="A593" t="s">
        <v>12</v>
      </c>
      <c r="B593" t="s">
        <v>33</v>
      </c>
      <c r="C593" t="s">
        <v>9</v>
      </c>
      <c r="D593" s="27">
        <v>5262021000</v>
      </c>
      <c r="E593" s="3" t="s">
        <v>41</v>
      </c>
      <c r="F593" s="23">
        <v>2256407000</v>
      </c>
      <c r="G593" s="3" t="s">
        <v>41</v>
      </c>
      <c r="I593" s="25" t="str">
        <f t="shared" si="104"/>
        <v/>
      </c>
      <c r="J593" s="25" t="str">
        <f t="shared" si="104"/>
        <v/>
      </c>
      <c r="L593" s="29"/>
      <c r="M593" s="29"/>
      <c r="O593" s="72"/>
      <c r="P593" s="72"/>
    </row>
    <row r="594" spans="1:16" x14ac:dyDescent="0.45">
      <c r="A594" t="s">
        <v>13</v>
      </c>
      <c r="B594" t="s">
        <v>33</v>
      </c>
      <c r="C594" t="s">
        <v>9</v>
      </c>
      <c r="D594" s="27">
        <v>6315352000</v>
      </c>
      <c r="E594" s="3" t="s">
        <v>41</v>
      </c>
      <c r="F594" s="23">
        <v>2554922000</v>
      </c>
      <c r="G594" s="3" t="s">
        <v>41</v>
      </c>
      <c r="I594" s="25" t="str">
        <f t="shared" si="104"/>
        <v/>
      </c>
      <c r="J594" s="25" t="str">
        <f t="shared" si="104"/>
        <v/>
      </c>
      <c r="L594" s="3"/>
      <c r="M594" s="3"/>
    </row>
    <row r="595" spans="1:16" x14ac:dyDescent="0.45">
      <c r="A595" t="s">
        <v>14</v>
      </c>
      <c r="B595" t="s">
        <v>33</v>
      </c>
      <c r="C595" t="s">
        <v>9</v>
      </c>
      <c r="D595" s="27">
        <v>3401417000</v>
      </c>
      <c r="E595" s="3" t="s">
        <v>41</v>
      </c>
      <c r="F595" s="23">
        <v>3401417000</v>
      </c>
      <c r="G595" s="3" t="s">
        <v>41</v>
      </c>
      <c r="I595" s="25" t="str">
        <f t="shared" si="104"/>
        <v/>
      </c>
      <c r="J595" s="25" t="str">
        <f t="shared" si="104"/>
        <v/>
      </c>
      <c r="L595" s="3"/>
      <c r="M595" s="3"/>
    </row>
    <row r="596" spans="1:16" x14ac:dyDescent="0.45">
      <c r="A596" t="s">
        <v>15</v>
      </c>
      <c r="B596" t="s">
        <v>33</v>
      </c>
      <c r="C596" t="s">
        <v>9</v>
      </c>
      <c r="D596" s="27">
        <v>3315327000</v>
      </c>
      <c r="E596" s="3" t="s">
        <v>41</v>
      </c>
      <c r="F596" s="23">
        <v>4549327000</v>
      </c>
      <c r="G596" s="3" t="s">
        <v>41</v>
      </c>
      <c r="I596" s="25" t="str">
        <f t="shared" si="104"/>
        <v/>
      </c>
      <c r="J596" s="25" t="str">
        <f t="shared" si="104"/>
        <v/>
      </c>
      <c r="L596" s="3"/>
      <c r="M596" s="3"/>
    </row>
    <row r="597" spans="1:16" x14ac:dyDescent="0.45">
      <c r="A597" t="s">
        <v>16</v>
      </c>
      <c r="B597" t="s">
        <v>33</v>
      </c>
      <c r="C597" t="s">
        <v>9</v>
      </c>
      <c r="D597" s="27">
        <v>3890302000</v>
      </c>
      <c r="E597" s="3" t="s">
        <v>41</v>
      </c>
      <c r="F597" s="23">
        <v>5420302000</v>
      </c>
      <c r="G597" s="3" t="s">
        <v>41</v>
      </c>
      <c r="I597" s="25" t="str">
        <f t="shared" si="104"/>
        <v/>
      </c>
      <c r="J597" s="25" t="str">
        <f t="shared" si="104"/>
        <v/>
      </c>
      <c r="L597" s="3"/>
      <c r="M597" s="3"/>
    </row>
    <row r="598" spans="1:16" x14ac:dyDescent="0.45">
      <c r="A598" t="s">
        <v>17</v>
      </c>
      <c r="B598" t="s">
        <v>33</v>
      </c>
      <c r="C598" t="s">
        <v>9</v>
      </c>
      <c r="D598" s="27">
        <v>3131133000</v>
      </c>
      <c r="E598" s="3" t="s">
        <v>41</v>
      </c>
      <c r="F598" s="23">
        <v>4606747000</v>
      </c>
      <c r="G598" s="3" t="s">
        <v>41</v>
      </c>
      <c r="I598" s="25" t="str">
        <f t="shared" si="104"/>
        <v/>
      </c>
      <c r="J598" s="25" t="str">
        <f t="shared" si="104"/>
        <v/>
      </c>
      <c r="L598" s="3"/>
      <c r="M598" s="3"/>
    </row>
    <row r="599" spans="1:16" x14ac:dyDescent="0.45">
      <c r="A599" t="s">
        <v>18</v>
      </c>
      <c r="B599" t="s">
        <v>33</v>
      </c>
      <c r="C599" t="s">
        <v>9</v>
      </c>
      <c r="D599" s="27">
        <v>1448551000</v>
      </c>
      <c r="E599" s="3" t="s">
        <v>41</v>
      </c>
      <c r="F599" s="23">
        <v>3974981000</v>
      </c>
      <c r="G599" s="3" t="s">
        <v>41</v>
      </c>
      <c r="I599" s="25" t="str">
        <f t="shared" si="104"/>
        <v/>
      </c>
      <c r="J599" s="25" t="str">
        <f t="shared" si="104"/>
        <v/>
      </c>
      <c r="L599" s="3"/>
      <c r="M599" s="3"/>
    </row>
    <row r="600" spans="1:16" x14ac:dyDescent="0.45">
      <c r="A600" t="s">
        <v>19</v>
      </c>
      <c r="B600" t="s">
        <v>33</v>
      </c>
      <c r="C600" t="s">
        <v>9</v>
      </c>
      <c r="D600" s="27">
        <v>375000000</v>
      </c>
      <c r="E600" s="3" t="s">
        <v>41</v>
      </c>
      <c r="F600" s="23">
        <v>375000000</v>
      </c>
      <c r="G600" s="3" t="s">
        <v>41</v>
      </c>
      <c r="I600" s="25" t="str">
        <f t="shared" si="104"/>
        <v/>
      </c>
      <c r="J600" s="25" t="str">
        <f t="shared" si="104"/>
        <v/>
      </c>
      <c r="L600" s="3"/>
      <c r="M600" s="3"/>
    </row>
    <row r="601" spans="1:16" x14ac:dyDescent="0.45">
      <c r="A601" t="s">
        <v>20</v>
      </c>
      <c r="B601" t="s">
        <v>33</v>
      </c>
      <c r="C601" t="s">
        <v>9</v>
      </c>
      <c r="D601" s="27">
        <v>0</v>
      </c>
      <c r="E601" s="3" t="s">
        <v>41</v>
      </c>
      <c r="F601" s="23">
        <v>200000000</v>
      </c>
      <c r="G601" s="3" t="s">
        <v>41</v>
      </c>
      <c r="I601" s="25" t="str">
        <f t="shared" si="104"/>
        <v/>
      </c>
      <c r="J601" s="25" t="str">
        <f t="shared" si="104"/>
        <v/>
      </c>
      <c r="L601" s="3"/>
      <c r="M601" s="3"/>
    </row>
    <row r="602" spans="1:16" x14ac:dyDescent="0.45">
      <c r="A602" t="s">
        <v>7</v>
      </c>
      <c r="B602" t="s">
        <v>33</v>
      </c>
      <c r="C602" t="s">
        <v>21</v>
      </c>
      <c r="D602" s="27">
        <v>0</v>
      </c>
      <c r="E602" s="3">
        <v>36500000</v>
      </c>
      <c r="F602" s="23">
        <v>0</v>
      </c>
      <c r="G602" s="3">
        <v>0</v>
      </c>
      <c r="I602" s="22">
        <f t="shared" ref="I602:J602" si="105">IF(L602="","",L602)</f>
        <v>36500000</v>
      </c>
      <c r="J602" s="22">
        <f t="shared" si="105"/>
        <v>0</v>
      </c>
      <c r="L602" s="3">
        <v>36500000</v>
      </c>
      <c r="M602" s="3">
        <v>0</v>
      </c>
    </row>
    <row r="603" spans="1:16" x14ac:dyDescent="0.45">
      <c r="A603" t="s">
        <v>10</v>
      </c>
      <c r="B603" t="s">
        <v>33</v>
      </c>
      <c r="C603" t="s">
        <v>21</v>
      </c>
      <c r="D603" s="28">
        <v>0</v>
      </c>
      <c r="E603" s="4">
        <v>0</v>
      </c>
      <c r="F603" s="24">
        <v>0</v>
      </c>
      <c r="G603" s="4">
        <v>36500000</v>
      </c>
      <c r="I603" s="25">
        <f t="shared" ref="I603:J603" si="106">IF(L603="","",L603-L602)</f>
        <v>0</v>
      </c>
      <c r="J603" s="25">
        <f t="shared" si="106"/>
        <v>36500000</v>
      </c>
      <c r="L603" s="4">
        <v>36500000</v>
      </c>
      <c r="M603" s="4">
        <v>36500000</v>
      </c>
    </row>
    <row r="604" spans="1:16" x14ac:dyDescent="0.45">
      <c r="A604" t="s">
        <v>11</v>
      </c>
      <c r="B604" t="s">
        <v>33</v>
      </c>
      <c r="C604" t="s">
        <v>21</v>
      </c>
      <c r="D604" s="27">
        <v>0</v>
      </c>
      <c r="E604" s="3">
        <v>0</v>
      </c>
      <c r="F604" s="23">
        <v>0</v>
      </c>
      <c r="G604" s="3">
        <v>0</v>
      </c>
      <c r="I604" s="25">
        <f t="shared" si="104"/>
        <v>8959000</v>
      </c>
      <c r="J604" s="25">
        <f t="shared" si="104"/>
        <v>0</v>
      </c>
      <c r="L604" s="29">
        <f>SUMIFS(Pivot_!C:C,Pivot_!A:A,'Hitung Per Bulan'!B604,Pivot_!B:B,'Hitung Per Bulan'!C604)</f>
        <v>45459000</v>
      </c>
      <c r="M604" s="29">
        <f>SUMIFS(Pivot_!D:D,Pivot_!A:A,'Hitung Per Bulan'!B604,Pivot_!B:B,'Hitung Per Bulan'!C604)</f>
        <v>36500000</v>
      </c>
    </row>
    <row r="605" spans="1:16" x14ac:dyDescent="0.45">
      <c r="A605" t="s">
        <v>12</v>
      </c>
      <c r="B605" t="s">
        <v>33</v>
      </c>
      <c r="C605" t="s">
        <v>21</v>
      </c>
      <c r="D605" s="27">
        <v>300000000</v>
      </c>
      <c r="E605" s="3" t="s">
        <v>41</v>
      </c>
      <c r="F605" s="23">
        <v>300000000</v>
      </c>
      <c r="G605" s="3" t="s">
        <v>41</v>
      </c>
      <c r="I605" s="25" t="str">
        <f t="shared" si="104"/>
        <v/>
      </c>
      <c r="J605" s="25" t="str">
        <f t="shared" si="104"/>
        <v/>
      </c>
      <c r="L605" s="29"/>
      <c r="M605" s="29"/>
      <c r="O605" s="72"/>
      <c r="P605" s="72"/>
    </row>
    <row r="606" spans="1:16" x14ac:dyDescent="0.45">
      <c r="A606" t="s">
        <v>13</v>
      </c>
      <c r="B606" t="s">
        <v>33</v>
      </c>
      <c r="C606" t="s">
        <v>21</v>
      </c>
      <c r="D606" s="27">
        <v>772000000</v>
      </c>
      <c r="E606" s="3" t="s">
        <v>41</v>
      </c>
      <c r="F606" s="23">
        <v>772000000</v>
      </c>
      <c r="G606" s="3" t="s">
        <v>41</v>
      </c>
      <c r="I606" s="25" t="str">
        <f t="shared" si="104"/>
        <v/>
      </c>
      <c r="J606" s="25" t="str">
        <f t="shared" si="104"/>
        <v/>
      </c>
      <c r="L606" s="3"/>
      <c r="M606" s="3"/>
    </row>
    <row r="607" spans="1:16" x14ac:dyDescent="0.45">
      <c r="A607" t="s">
        <v>14</v>
      </c>
      <c r="B607" t="s">
        <v>33</v>
      </c>
      <c r="C607" t="s">
        <v>21</v>
      </c>
      <c r="D607" s="27">
        <v>360000000</v>
      </c>
      <c r="E607" s="3" t="s">
        <v>41</v>
      </c>
      <c r="F607" s="23">
        <v>360000000</v>
      </c>
      <c r="G607" s="3" t="s">
        <v>41</v>
      </c>
      <c r="I607" s="25" t="str">
        <f t="shared" si="104"/>
        <v/>
      </c>
      <c r="J607" s="25" t="str">
        <f t="shared" si="104"/>
        <v/>
      </c>
      <c r="L607" s="3"/>
      <c r="M607" s="3"/>
    </row>
    <row r="608" spans="1:16" x14ac:dyDescent="0.45">
      <c r="A608" t="s">
        <v>15</v>
      </c>
      <c r="B608" t="s">
        <v>33</v>
      </c>
      <c r="C608" t="s">
        <v>21</v>
      </c>
      <c r="D608" s="27">
        <v>360000000</v>
      </c>
      <c r="E608" s="3" t="s">
        <v>41</v>
      </c>
      <c r="F608" s="23">
        <v>360000000</v>
      </c>
      <c r="G608" s="3" t="s">
        <v>41</v>
      </c>
      <c r="I608" s="25" t="str">
        <f t="shared" si="104"/>
        <v/>
      </c>
      <c r="J608" s="25" t="str">
        <f t="shared" si="104"/>
        <v/>
      </c>
      <c r="L608" s="3"/>
      <c r="M608" s="3"/>
    </row>
    <row r="609" spans="1:16" x14ac:dyDescent="0.45">
      <c r="A609" t="s">
        <v>16</v>
      </c>
      <c r="B609" t="s">
        <v>33</v>
      </c>
      <c r="C609" t="s">
        <v>21</v>
      </c>
      <c r="D609" s="27">
        <v>450000000</v>
      </c>
      <c r="E609" s="3" t="s">
        <v>41</v>
      </c>
      <c r="F609" s="23">
        <v>450000000</v>
      </c>
      <c r="G609" s="3" t="s">
        <v>41</v>
      </c>
      <c r="I609" s="25" t="str">
        <f t="shared" si="104"/>
        <v/>
      </c>
      <c r="J609" s="25" t="str">
        <f t="shared" si="104"/>
        <v/>
      </c>
      <c r="L609" s="3"/>
      <c r="M609" s="3"/>
    </row>
    <row r="610" spans="1:16" x14ac:dyDescent="0.45">
      <c r="A610" t="s">
        <v>17</v>
      </c>
      <c r="B610" t="s">
        <v>33</v>
      </c>
      <c r="C610" t="s">
        <v>21</v>
      </c>
      <c r="D610" s="27">
        <v>0</v>
      </c>
      <c r="E610" s="3" t="s">
        <v>41</v>
      </c>
      <c r="F610" s="23">
        <v>0</v>
      </c>
      <c r="G610" s="3" t="s">
        <v>41</v>
      </c>
      <c r="I610" s="25" t="str">
        <f t="shared" si="104"/>
        <v/>
      </c>
      <c r="J610" s="25" t="str">
        <f t="shared" si="104"/>
        <v/>
      </c>
      <c r="L610" s="3"/>
      <c r="M610" s="3"/>
    </row>
    <row r="611" spans="1:16" x14ac:dyDescent="0.45">
      <c r="A611" t="s">
        <v>18</v>
      </c>
      <c r="B611" t="s">
        <v>33</v>
      </c>
      <c r="C611" t="s">
        <v>21</v>
      </c>
      <c r="D611" s="27">
        <v>0</v>
      </c>
      <c r="E611" s="3" t="s">
        <v>41</v>
      </c>
      <c r="F611" s="23">
        <v>0</v>
      </c>
      <c r="G611" s="3" t="s">
        <v>41</v>
      </c>
      <c r="I611" s="25" t="str">
        <f t="shared" si="104"/>
        <v/>
      </c>
      <c r="J611" s="25" t="str">
        <f t="shared" si="104"/>
        <v/>
      </c>
      <c r="L611" s="3"/>
      <c r="M611" s="3"/>
    </row>
    <row r="612" spans="1:16" x14ac:dyDescent="0.45">
      <c r="A612" t="s">
        <v>19</v>
      </c>
      <c r="B612" t="s">
        <v>33</v>
      </c>
      <c r="C612" t="s">
        <v>21</v>
      </c>
      <c r="D612" s="27">
        <v>0</v>
      </c>
      <c r="E612" s="3" t="s">
        <v>41</v>
      </c>
      <c r="F612" s="23">
        <v>0</v>
      </c>
      <c r="G612" s="3" t="s">
        <v>41</v>
      </c>
      <c r="I612" s="25" t="str">
        <f t="shared" si="104"/>
        <v/>
      </c>
      <c r="J612" s="25" t="str">
        <f t="shared" si="104"/>
        <v/>
      </c>
      <c r="L612" s="3"/>
      <c r="M612" s="3"/>
    </row>
    <row r="613" spans="1:16" x14ac:dyDescent="0.45">
      <c r="A613" t="s">
        <v>20</v>
      </c>
      <c r="B613" t="s">
        <v>33</v>
      </c>
      <c r="C613" t="s">
        <v>21</v>
      </c>
      <c r="D613" s="27">
        <v>0</v>
      </c>
      <c r="E613" s="3" t="s">
        <v>41</v>
      </c>
      <c r="F613" s="23">
        <v>0</v>
      </c>
      <c r="G613" s="3" t="s">
        <v>41</v>
      </c>
      <c r="I613" s="25" t="str">
        <f t="shared" si="104"/>
        <v/>
      </c>
      <c r="J613" s="25" t="str">
        <f t="shared" si="104"/>
        <v/>
      </c>
      <c r="L613" s="3"/>
      <c r="M613" s="3"/>
    </row>
    <row r="614" spans="1:16" x14ac:dyDescent="0.45">
      <c r="A614" t="s">
        <v>7</v>
      </c>
      <c r="B614" t="s">
        <v>33</v>
      </c>
      <c r="C614" t="s">
        <v>22</v>
      </c>
      <c r="D614" s="27">
        <v>0</v>
      </c>
      <c r="E614" s="3">
        <v>62100000</v>
      </c>
      <c r="F614" s="23">
        <v>0</v>
      </c>
      <c r="G614" s="3">
        <v>0</v>
      </c>
      <c r="I614" s="22">
        <f t="shared" ref="I614:J614" si="107">IF(L614="","",L614)</f>
        <v>62100000</v>
      </c>
      <c r="J614" s="22">
        <f t="shared" si="107"/>
        <v>0</v>
      </c>
      <c r="L614" s="3">
        <v>62100000</v>
      </c>
      <c r="M614" s="3">
        <v>0</v>
      </c>
    </row>
    <row r="615" spans="1:16" x14ac:dyDescent="0.45">
      <c r="A615" t="s">
        <v>10</v>
      </c>
      <c r="B615" t="s">
        <v>33</v>
      </c>
      <c r="C615" t="s">
        <v>22</v>
      </c>
      <c r="D615" s="28">
        <v>0</v>
      </c>
      <c r="E615" s="4">
        <v>0</v>
      </c>
      <c r="F615" s="24">
        <v>0</v>
      </c>
      <c r="G615" s="4">
        <v>62100000</v>
      </c>
      <c r="I615" s="25">
        <f t="shared" ref="I615:J615" si="108">IF(L615="","",L615-L614)</f>
        <v>0</v>
      </c>
      <c r="J615" s="25">
        <f t="shared" si="108"/>
        <v>62100000</v>
      </c>
      <c r="L615" s="4">
        <v>62100000</v>
      </c>
      <c r="M615" s="4">
        <v>62100000</v>
      </c>
    </row>
    <row r="616" spans="1:16" x14ac:dyDescent="0.45">
      <c r="A616" t="s">
        <v>11</v>
      </c>
      <c r="B616" t="s">
        <v>33</v>
      </c>
      <c r="C616" t="s">
        <v>22</v>
      </c>
      <c r="D616" s="27">
        <v>86594000</v>
      </c>
      <c r="E616" s="3">
        <v>0</v>
      </c>
      <c r="F616" s="23">
        <v>86594000</v>
      </c>
      <c r="G616" s="3">
        <v>0</v>
      </c>
      <c r="I616" s="25">
        <f t="shared" si="104"/>
        <v>1160000</v>
      </c>
      <c r="J616" s="25">
        <f t="shared" si="104"/>
        <v>0</v>
      </c>
      <c r="L616" s="29">
        <f>SUMIFS(Pivot_!C:C,Pivot_!A:A,'Hitung Per Bulan'!B616,Pivot_!B:B,'Hitung Per Bulan'!C616)</f>
        <v>63260000</v>
      </c>
      <c r="M616" s="29">
        <f>SUMIFS(Pivot_!D:D,Pivot_!A:A,'Hitung Per Bulan'!B616,Pivot_!B:B,'Hitung Per Bulan'!C616)</f>
        <v>62100000</v>
      </c>
    </row>
    <row r="617" spans="1:16" x14ac:dyDescent="0.45">
      <c r="A617" t="s">
        <v>12</v>
      </c>
      <c r="B617" t="s">
        <v>33</v>
      </c>
      <c r="C617" t="s">
        <v>22</v>
      </c>
      <c r="D617" s="27">
        <v>0</v>
      </c>
      <c r="E617" s="3" t="s">
        <v>41</v>
      </c>
      <c r="F617" s="23">
        <v>0</v>
      </c>
      <c r="G617" s="3" t="s">
        <v>41</v>
      </c>
      <c r="I617" s="25" t="str">
        <f t="shared" si="104"/>
        <v/>
      </c>
      <c r="J617" s="25" t="str">
        <f t="shared" si="104"/>
        <v/>
      </c>
      <c r="L617" s="29"/>
      <c r="M617" s="29"/>
      <c r="O617" s="72"/>
      <c r="P617" s="72"/>
    </row>
    <row r="618" spans="1:16" x14ac:dyDescent="0.45">
      <c r="A618" t="s">
        <v>13</v>
      </c>
      <c r="B618" t="s">
        <v>33</v>
      </c>
      <c r="C618" t="s">
        <v>22</v>
      </c>
      <c r="D618" s="27">
        <v>86594000</v>
      </c>
      <c r="E618" s="3" t="s">
        <v>41</v>
      </c>
      <c r="F618" s="23">
        <v>86594000</v>
      </c>
      <c r="G618" s="3" t="s">
        <v>41</v>
      </c>
      <c r="I618" s="25" t="str">
        <f t="shared" si="104"/>
        <v/>
      </c>
      <c r="J618" s="25" t="str">
        <f t="shared" si="104"/>
        <v/>
      </c>
      <c r="L618" s="3"/>
      <c r="M618" s="3"/>
    </row>
    <row r="619" spans="1:16" x14ac:dyDescent="0.45">
      <c r="A619" t="s">
        <v>14</v>
      </c>
      <c r="B619" t="s">
        <v>33</v>
      </c>
      <c r="C619" t="s">
        <v>22</v>
      </c>
      <c r="D619" s="27">
        <v>0</v>
      </c>
      <c r="E619" s="3" t="s">
        <v>41</v>
      </c>
      <c r="F619" s="23">
        <v>0</v>
      </c>
      <c r="G619" s="3" t="s">
        <v>41</v>
      </c>
      <c r="I619" s="25" t="str">
        <f t="shared" si="104"/>
        <v/>
      </c>
      <c r="J619" s="25" t="str">
        <f t="shared" si="104"/>
        <v/>
      </c>
      <c r="L619" s="3"/>
      <c r="M619" s="3"/>
    </row>
    <row r="620" spans="1:16" x14ac:dyDescent="0.45">
      <c r="A620" t="s">
        <v>15</v>
      </c>
      <c r="B620" t="s">
        <v>33</v>
      </c>
      <c r="C620" t="s">
        <v>22</v>
      </c>
      <c r="D620" s="27">
        <v>86594000</v>
      </c>
      <c r="E620" s="3" t="s">
        <v>41</v>
      </c>
      <c r="F620" s="23">
        <v>86594000</v>
      </c>
      <c r="G620" s="3" t="s">
        <v>41</v>
      </c>
      <c r="I620" s="25" t="str">
        <f t="shared" si="104"/>
        <v/>
      </c>
      <c r="J620" s="25" t="str">
        <f t="shared" si="104"/>
        <v/>
      </c>
      <c r="L620" s="3"/>
      <c r="M620" s="3"/>
    </row>
    <row r="621" spans="1:16" x14ac:dyDescent="0.45">
      <c r="A621" t="s">
        <v>16</v>
      </c>
      <c r="B621" t="s">
        <v>33</v>
      </c>
      <c r="C621" t="s">
        <v>22</v>
      </c>
      <c r="D621" s="27">
        <v>0</v>
      </c>
      <c r="E621" s="3" t="s">
        <v>41</v>
      </c>
      <c r="F621" s="23">
        <v>0</v>
      </c>
      <c r="G621" s="3" t="s">
        <v>41</v>
      </c>
      <c r="I621" s="25" t="str">
        <f t="shared" si="104"/>
        <v/>
      </c>
      <c r="J621" s="25" t="str">
        <f t="shared" si="104"/>
        <v/>
      </c>
      <c r="L621" s="3"/>
      <c r="M621" s="3"/>
    </row>
    <row r="622" spans="1:16" x14ac:dyDescent="0.45">
      <c r="A622" t="s">
        <v>17</v>
      </c>
      <c r="B622" t="s">
        <v>33</v>
      </c>
      <c r="C622" t="s">
        <v>22</v>
      </c>
      <c r="D622" s="27">
        <v>86596000</v>
      </c>
      <c r="E622" s="3" t="s">
        <v>41</v>
      </c>
      <c r="F622" s="23">
        <v>86596000</v>
      </c>
      <c r="G622" s="3" t="s">
        <v>41</v>
      </c>
      <c r="I622" s="25" t="str">
        <f t="shared" si="104"/>
        <v/>
      </c>
      <c r="J622" s="25" t="str">
        <f t="shared" si="104"/>
        <v/>
      </c>
      <c r="L622" s="3"/>
      <c r="M622" s="3"/>
    </row>
    <row r="623" spans="1:16" x14ac:dyDescent="0.45">
      <c r="A623" t="s">
        <v>18</v>
      </c>
      <c r="B623" t="s">
        <v>33</v>
      </c>
      <c r="C623" t="s">
        <v>22</v>
      </c>
      <c r="D623" s="27">
        <v>0</v>
      </c>
      <c r="E623" s="3" t="s">
        <v>41</v>
      </c>
      <c r="F623" s="23">
        <v>0</v>
      </c>
      <c r="G623" s="3" t="s">
        <v>41</v>
      </c>
      <c r="I623" s="25" t="str">
        <f t="shared" si="104"/>
        <v/>
      </c>
      <c r="J623" s="25" t="str">
        <f t="shared" si="104"/>
        <v/>
      </c>
      <c r="L623" s="3"/>
      <c r="M623" s="3"/>
    </row>
    <row r="624" spans="1:16" x14ac:dyDescent="0.45">
      <c r="A624" t="s">
        <v>19</v>
      </c>
      <c r="B624" t="s">
        <v>33</v>
      </c>
      <c r="C624" t="s">
        <v>22</v>
      </c>
      <c r="D624" s="27">
        <v>0</v>
      </c>
      <c r="E624" s="3" t="s">
        <v>41</v>
      </c>
      <c r="F624" s="23">
        <v>0</v>
      </c>
      <c r="G624" s="3" t="s">
        <v>41</v>
      </c>
      <c r="I624" s="25" t="str">
        <f t="shared" si="104"/>
        <v/>
      </c>
      <c r="J624" s="25" t="str">
        <f t="shared" si="104"/>
        <v/>
      </c>
      <c r="L624" s="3"/>
      <c r="M624" s="3"/>
    </row>
    <row r="625" spans="1:16" x14ac:dyDescent="0.45">
      <c r="A625" t="s">
        <v>20</v>
      </c>
      <c r="B625" t="s">
        <v>33</v>
      </c>
      <c r="C625" t="s">
        <v>22</v>
      </c>
      <c r="D625" s="27">
        <v>0</v>
      </c>
      <c r="E625" s="3" t="s">
        <v>41</v>
      </c>
      <c r="F625" s="23">
        <v>0</v>
      </c>
      <c r="G625" s="3" t="s">
        <v>41</v>
      </c>
      <c r="I625" s="25" t="str">
        <f t="shared" si="104"/>
        <v/>
      </c>
      <c r="J625" s="25" t="str">
        <f t="shared" si="104"/>
        <v/>
      </c>
      <c r="L625" s="3"/>
      <c r="M625" s="3"/>
    </row>
    <row r="626" spans="1:16" x14ac:dyDescent="0.45">
      <c r="A626" t="s">
        <v>7</v>
      </c>
      <c r="B626" t="s">
        <v>33</v>
      </c>
      <c r="C626" t="s">
        <v>23</v>
      </c>
      <c r="D626" s="27">
        <v>0</v>
      </c>
      <c r="E626" s="3">
        <v>0</v>
      </c>
      <c r="F626" s="23">
        <v>0</v>
      </c>
      <c r="G626" s="3">
        <v>0</v>
      </c>
      <c r="I626" s="22">
        <f t="shared" ref="I626:J626" si="109">IF(L626="","",L626)</f>
        <v>0</v>
      </c>
      <c r="J626" s="22">
        <f t="shared" si="109"/>
        <v>0</v>
      </c>
      <c r="L626" s="3">
        <v>0</v>
      </c>
      <c r="M626" s="3">
        <v>0</v>
      </c>
    </row>
    <row r="627" spans="1:16" x14ac:dyDescent="0.45">
      <c r="A627" t="s">
        <v>10</v>
      </c>
      <c r="B627" t="s">
        <v>33</v>
      </c>
      <c r="C627" t="s">
        <v>23</v>
      </c>
      <c r="D627" s="28">
        <v>0</v>
      </c>
      <c r="E627" s="4">
        <v>0</v>
      </c>
      <c r="F627" s="24">
        <v>0</v>
      </c>
      <c r="G627" s="4">
        <v>0</v>
      </c>
      <c r="I627" s="25">
        <f t="shared" ref="I627:J627" si="110">IF(L627="","",L627-L626)</f>
        <v>0</v>
      </c>
      <c r="J627" s="25">
        <f t="shared" si="110"/>
        <v>0</v>
      </c>
      <c r="L627" s="4">
        <v>0</v>
      </c>
      <c r="M627" s="4">
        <v>0</v>
      </c>
    </row>
    <row r="628" spans="1:16" x14ac:dyDescent="0.45">
      <c r="A628" t="s">
        <v>11</v>
      </c>
      <c r="B628" t="s">
        <v>33</v>
      </c>
      <c r="C628" t="s">
        <v>23</v>
      </c>
      <c r="D628" s="27">
        <v>0</v>
      </c>
      <c r="E628" s="3">
        <v>0</v>
      </c>
      <c r="F628" s="23">
        <v>0</v>
      </c>
      <c r="G628" s="3">
        <v>0</v>
      </c>
      <c r="I628" s="25">
        <f t="shared" si="104"/>
        <v>0</v>
      </c>
      <c r="J628" s="25">
        <f t="shared" si="104"/>
        <v>0</v>
      </c>
      <c r="L628" s="29">
        <f>SUMIFS(Pivot_!C:C,Pivot_!A:A,'Hitung Per Bulan'!B628,Pivot_!B:B,'Hitung Per Bulan'!C628)</f>
        <v>0</v>
      </c>
      <c r="M628" s="29">
        <f>SUMIFS(Pivot_!D:D,Pivot_!A:A,'Hitung Per Bulan'!B628,Pivot_!B:B,'Hitung Per Bulan'!C628)</f>
        <v>0</v>
      </c>
    </row>
    <row r="629" spans="1:16" x14ac:dyDescent="0.45">
      <c r="A629" t="s">
        <v>12</v>
      </c>
      <c r="B629" t="s">
        <v>33</v>
      </c>
      <c r="C629" t="s">
        <v>23</v>
      </c>
      <c r="D629" s="27">
        <v>50000000</v>
      </c>
      <c r="E629" s="3" t="s">
        <v>41</v>
      </c>
      <c r="F629" s="23">
        <v>50000000</v>
      </c>
      <c r="G629" s="3" t="s">
        <v>41</v>
      </c>
      <c r="I629" s="25" t="str">
        <f t="shared" si="104"/>
        <v/>
      </c>
      <c r="J629" s="25" t="str">
        <f t="shared" si="104"/>
        <v/>
      </c>
      <c r="L629" s="29"/>
      <c r="M629" s="29"/>
      <c r="O629" s="72"/>
      <c r="P629" s="72"/>
    </row>
    <row r="630" spans="1:16" x14ac:dyDescent="0.45">
      <c r="A630" t="s">
        <v>13</v>
      </c>
      <c r="B630" t="s">
        <v>33</v>
      </c>
      <c r="C630" t="s">
        <v>23</v>
      </c>
      <c r="D630" s="27">
        <v>0</v>
      </c>
      <c r="E630" s="3" t="s">
        <v>41</v>
      </c>
      <c r="F630" s="23">
        <v>0</v>
      </c>
      <c r="G630" s="3" t="s">
        <v>41</v>
      </c>
      <c r="I630" s="25" t="str">
        <f t="shared" si="104"/>
        <v/>
      </c>
      <c r="J630" s="25" t="str">
        <f t="shared" si="104"/>
        <v/>
      </c>
      <c r="L630" s="3"/>
      <c r="M630" s="3"/>
    </row>
    <row r="631" spans="1:16" x14ac:dyDescent="0.45">
      <c r="A631" t="s">
        <v>14</v>
      </c>
      <c r="B631" t="s">
        <v>33</v>
      </c>
      <c r="C631" t="s">
        <v>23</v>
      </c>
      <c r="D631" s="27">
        <v>50000000</v>
      </c>
      <c r="E631" s="3" t="s">
        <v>41</v>
      </c>
      <c r="F631" s="23">
        <v>50000000</v>
      </c>
      <c r="G631" s="3" t="s">
        <v>41</v>
      </c>
      <c r="I631" s="25" t="str">
        <f t="shared" si="104"/>
        <v/>
      </c>
      <c r="J631" s="25" t="str">
        <f t="shared" si="104"/>
        <v/>
      </c>
      <c r="L631" s="3"/>
      <c r="M631" s="3"/>
    </row>
    <row r="632" spans="1:16" x14ac:dyDescent="0.45">
      <c r="A632" t="s">
        <v>15</v>
      </c>
      <c r="B632" t="s">
        <v>33</v>
      </c>
      <c r="C632" t="s">
        <v>23</v>
      </c>
      <c r="D632" s="27">
        <v>0</v>
      </c>
      <c r="E632" s="3" t="s">
        <v>41</v>
      </c>
      <c r="F632" s="23">
        <v>0</v>
      </c>
      <c r="G632" s="3" t="s">
        <v>41</v>
      </c>
      <c r="I632" s="25" t="str">
        <f t="shared" si="104"/>
        <v/>
      </c>
      <c r="J632" s="25" t="str">
        <f t="shared" si="104"/>
        <v/>
      </c>
      <c r="L632" s="3"/>
      <c r="M632" s="3"/>
    </row>
    <row r="633" spans="1:16" x14ac:dyDescent="0.45">
      <c r="A633" t="s">
        <v>16</v>
      </c>
      <c r="B633" t="s">
        <v>33</v>
      </c>
      <c r="C633" t="s">
        <v>23</v>
      </c>
      <c r="D633" s="27">
        <v>50000000</v>
      </c>
      <c r="E633" s="3" t="s">
        <v>41</v>
      </c>
      <c r="F633" s="23">
        <v>50000000</v>
      </c>
      <c r="G633" s="3" t="s">
        <v>41</v>
      </c>
      <c r="I633" s="25" t="str">
        <f t="shared" si="104"/>
        <v/>
      </c>
      <c r="J633" s="25" t="str">
        <f t="shared" si="104"/>
        <v/>
      </c>
      <c r="L633" s="3"/>
      <c r="M633" s="3"/>
    </row>
    <row r="634" spans="1:16" x14ac:dyDescent="0.45">
      <c r="A634" t="s">
        <v>17</v>
      </c>
      <c r="B634" t="s">
        <v>33</v>
      </c>
      <c r="C634" t="s">
        <v>23</v>
      </c>
      <c r="D634" s="27">
        <v>0</v>
      </c>
      <c r="E634" s="3" t="s">
        <v>41</v>
      </c>
      <c r="F634" s="23">
        <v>0</v>
      </c>
      <c r="G634" s="3" t="s">
        <v>41</v>
      </c>
      <c r="I634" s="25" t="str">
        <f t="shared" si="104"/>
        <v/>
      </c>
      <c r="J634" s="25" t="str">
        <f t="shared" si="104"/>
        <v/>
      </c>
      <c r="L634" s="3"/>
      <c r="M634" s="3"/>
    </row>
    <row r="635" spans="1:16" x14ac:dyDescent="0.45">
      <c r="A635" t="s">
        <v>18</v>
      </c>
      <c r="B635" t="s">
        <v>33</v>
      </c>
      <c r="C635" t="s">
        <v>23</v>
      </c>
      <c r="D635" s="27">
        <v>50000000</v>
      </c>
      <c r="E635" s="3" t="s">
        <v>41</v>
      </c>
      <c r="F635" s="23">
        <v>50000000</v>
      </c>
      <c r="G635" s="3" t="s">
        <v>41</v>
      </c>
      <c r="I635" s="25" t="str">
        <f t="shared" si="104"/>
        <v/>
      </c>
      <c r="J635" s="25" t="str">
        <f t="shared" si="104"/>
        <v/>
      </c>
      <c r="L635" s="3"/>
      <c r="M635" s="3"/>
    </row>
    <row r="636" spans="1:16" x14ac:dyDescent="0.45">
      <c r="A636" t="s">
        <v>19</v>
      </c>
      <c r="B636" t="s">
        <v>33</v>
      </c>
      <c r="C636" t="s">
        <v>23</v>
      </c>
      <c r="D636" s="27">
        <v>0</v>
      </c>
      <c r="E636" s="3" t="s">
        <v>41</v>
      </c>
      <c r="F636" s="23">
        <v>0</v>
      </c>
      <c r="G636" s="3" t="s">
        <v>41</v>
      </c>
      <c r="I636" s="25" t="str">
        <f t="shared" si="104"/>
        <v/>
      </c>
      <c r="J636" s="25" t="str">
        <f t="shared" si="104"/>
        <v/>
      </c>
      <c r="L636" s="3"/>
      <c r="M636" s="3"/>
    </row>
    <row r="637" spans="1:16" x14ac:dyDescent="0.45">
      <c r="A637" t="s">
        <v>20</v>
      </c>
      <c r="B637" t="s">
        <v>33</v>
      </c>
      <c r="C637" t="s">
        <v>23</v>
      </c>
      <c r="D637" s="27">
        <v>0</v>
      </c>
      <c r="E637" s="3" t="s">
        <v>41</v>
      </c>
      <c r="F637" s="23">
        <v>0</v>
      </c>
      <c r="G637" s="3" t="s">
        <v>41</v>
      </c>
      <c r="I637" s="25" t="str">
        <f t="shared" si="104"/>
        <v/>
      </c>
      <c r="J637" s="25" t="str">
        <f t="shared" si="104"/>
        <v/>
      </c>
      <c r="L637" s="3"/>
      <c r="M637" s="3"/>
    </row>
    <row r="638" spans="1:16" x14ac:dyDescent="0.45">
      <c r="A638" t="s">
        <v>7</v>
      </c>
      <c r="B638" t="s">
        <v>33</v>
      </c>
      <c r="C638" t="s">
        <v>24</v>
      </c>
      <c r="D638" s="27">
        <v>0</v>
      </c>
      <c r="E638" s="3">
        <v>0</v>
      </c>
      <c r="F638" s="23">
        <v>0</v>
      </c>
      <c r="G638" s="3">
        <v>0</v>
      </c>
      <c r="I638" s="22">
        <f t="shared" ref="I638:J638" si="111">IF(L638="","",L638)</f>
        <v>0</v>
      </c>
      <c r="J638" s="22">
        <f t="shared" si="111"/>
        <v>0</v>
      </c>
      <c r="L638" s="3">
        <v>0</v>
      </c>
      <c r="M638" s="3">
        <v>0</v>
      </c>
    </row>
    <row r="639" spans="1:16" x14ac:dyDescent="0.45">
      <c r="A639" t="s">
        <v>10</v>
      </c>
      <c r="B639" t="s">
        <v>33</v>
      </c>
      <c r="C639" t="s">
        <v>24</v>
      </c>
      <c r="D639" s="28">
        <v>0</v>
      </c>
      <c r="E639" s="4">
        <v>0</v>
      </c>
      <c r="F639" s="24">
        <v>0</v>
      </c>
      <c r="G639" s="4">
        <v>0</v>
      </c>
      <c r="I639" s="25">
        <f t="shared" ref="I639:J639" si="112">IF(L639="","",L639-L638)</f>
        <v>0</v>
      </c>
      <c r="J639" s="25">
        <f t="shared" si="112"/>
        <v>0</v>
      </c>
      <c r="L639" s="4">
        <v>0</v>
      </c>
      <c r="M639" s="4">
        <v>0</v>
      </c>
    </row>
    <row r="640" spans="1:16" x14ac:dyDescent="0.45">
      <c r="A640" t="s">
        <v>11</v>
      </c>
      <c r="B640" t="s">
        <v>33</v>
      </c>
      <c r="C640" t="s">
        <v>24</v>
      </c>
      <c r="D640" s="27">
        <v>0</v>
      </c>
      <c r="E640" s="3">
        <v>0</v>
      </c>
      <c r="F640" s="23">
        <v>0</v>
      </c>
      <c r="G640" s="3">
        <v>0</v>
      </c>
      <c r="I640" s="25">
        <f t="shared" si="104"/>
        <v>0</v>
      </c>
      <c r="J640" s="25">
        <f t="shared" si="104"/>
        <v>0</v>
      </c>
      <c r="L640" s="29">
        <f>SUMIFS(Pivot_!C:C,Pivot_!A:A,'Hitung Per Bulan'!B640,Pivot_!B:B,'Hitung Per Bulan'!C640)</f>
        <v>0</v>
      </c>
      <c r="M640" s="29">
        <f>SUMIFS(Pivot_!D:D,Pivot_!A:A,'Hitung Per Bulan'!B640,Pivot_!B:B,'Hitung Per Bulan'!C640)</f>
        <v>0</v>
      </c>
    </row>
    <row r="641" spans="1:16" x14ac:dyDescent="0.45">
      <c r="A641" t="s">
        <v>12</v>
      </c>
      <c r="B641" t="s">
        <v>33</v>
      </c>
      <c r="C641" t="s">
        <v>24</v>
      </c>
      <c r="D641" s="27">
        <v>0</v>
      </c>
      <c r="E641" s="3" t="s">
        <v>41</v>
      </c>
      <c r="F641" s="23">
        <v>0</v>
      </c>
      <c r="G641" s="3" t="s">
        <v>41</v>
      </c>
      <c r="I641" s="25" t="str">
        <f t="shared" si="104"/>
        <v/>
      </c>
      <c r="J641" s="25" t="str">
        <f t="shared" si="104"/>
        <v/>
      </c>
      <c r="L641" s="29"/>
      <c r="M641" s="29"/>
      <c r="O641" s="72"/>
      <c r="P641" s="72"/>
    </row>
    <row r="642" spans="1:16" x14ac:dyDescent="0.45">
      <c r="A642" t="s">
        <v>13</v>
      </c>
      <c r="B642" t="s">
        <v>33</v>
      </c>
      <c r="C642" t="s">
        <v>24</v>
      </c>
      <c r="D642" s="27">
        <v>0</v>
      </c>
      <c r="E642" s="3" t="s">
        <v>41</v>
      </c>
      <c r="F642" s="23">
        <v>0</v>
      </c>
      <c r="G642" s="3" t="s">
        <v>41</v>
      </c>
      <c r="I642" s="25" t="str">
        <f t="shared" si="104"/>
        <v/>
      </c>
      <c r="J642" s="25" t="str">
        <f t="shared" si="104"/>
        <v/>
      </c>
      <c r="L642" s="3"/>
      <c r="M642" s="3"/>
    </row>
    <row r="643" spans="1:16" x14ac:dyDescent="0.45">
      <c r="A643" t="s">
        <v>14</v>
      </c>
      <c r="B643" t="s">
        <v>33</v>
      </c>
      <c r="C643" t="s">
        <v>24</v>
      </c>
      <c r="D643" s="27">
        <v>0</v>
      </c>
      <c r="E643" s="3" t="s">
        <v>41</v>
      </c>
      <c r="F643" s="23">
        <v>0</v>
      </c>
      <c r="G643" s="3" t="s">
        <v>41</v>
      </c>
      <c r="I643" s="25" t="str">
        <f t="shared" si="104"/>
        <v/>
      </c>
      <c r="J643" s="25" t="str">
        <f t="shared" si="104"/>
        <v/>
      </c>
      <c r="L643" s="3"/>
      <c r="M643" s="3"/>
    </row>
    <row r="644" spans="1:16" x14ac:dyDescent="0.45">
      <c r="A644" t="s">
        <v>15</v>
      </c>
      <c r="B644" t="s">
        <v>33</v>
      </c>
      <c r="C644" t="s">
        <v>24</v>
      </c>
      <c r="D644" s="27">
        <v>0</v>
      </c>
      <c r="E644" s="3" t="s">
        <v>41</v>
      </c>
      <c r="F644" s="23">
        <v>0</v>
      </c>
      <c r="G644" s="3" t="s">
        <v>41</v>
      </c>
      <c r="I644" s="25" t="str">
        <f t="shared" si="104"/>
        <v/>
      </c>
      <c r="J644" s="25" t="str">
        <f t="shared" si="104"/>
        <v/>
      </c>
      <c r="L644" s="3"/>
      <c r="M644" s="3"/>
    </row>
    <row r="645" spans="1:16" x14ac:dyDescent="0.45">
      <c r="A645" t="s">
        <v>16</v>
      </c>
      <c r="B645" t="s">
        <v>33</v>
      </c>
      <c r="C645" t="s">
        <v>24</v>
      </c>
      <c r="D645" s="27">
        <v>0</v>
      </c>
      <c r="E645" s="3" t="s">
        <v>41</v>
      </c>
      <c r="F645" s="23">
        <v>0</v>
      </c>
      <c r="G645" s="3" t="s">
        <v>41</v>
      </c>
      <c r="I645" s="25" t="str">
        <f t="shared" si="104"/>
        <v/>
      </c>
      <c r="J645" s="25" t="str">
        <f t="shared" si="104"/>
        <v/>
      </c>
      <c r="L645" s="3"/>
      <c r="M645" s="3"/>
    </row>
    <row r="646" spans="1:16" x14ac:dyDescent="0.45">
      <c r="A646" t="s">
        <v>17</v>
      </c>
      <c r="B646" t="s">
        <v>33</v>
      </c>
      <c r="C646" t="s">
        <v>24</v>
      </c>
      <c r="D646" s="27">
        <v>0</v>
      </c>
      <c r="E646" s="3" t="s">
        <v>41</v>
      </c>
      <c r="F646" s="23">
        <v>0</v>
      </c>
      <c r="G646" s="3" t="s">
        <v>41</v>
      </c>
      <c r="I646" s="25" t="str">
        <f t="shared" si="104"/>
        <v/>
      </c>
      <c r="J646" s="25" t="str">
        <f t="shared" si="104"/>
        <v/>
      </c>
      <c r="L646" s="3"/>
      <c r="M646" s="3"/>
    </row>
    <row r="647" spans="1:16" x14ac:dyDescent="0.45">
      <c r="A647" t="s">
        <v>18</v>
      </c>
      <c r="B647" t="s">
        <v>33</v>
      </c>
      <c r="C647" t="s">
        <v>24</v>
      </c>
      <c r="D647" s="27">
        <v>0</v>
      </c>
      <c r="E647" s="3" t="s">
        <v>41</v>
      </c>
      <c r="F647" s="23">
        <v>0</v>
      </c>
      <c r="G647" s="3" t="s">
        <v>41</v>
      </c>
      <c r="I647" s="25" t="str">
        <f t="shared" si="104"/>
        <v/>
      </c>
      <c r="J647" s="25" t="str">
        <f t="shared" si="104"/>
        <v/>
      </c>
      <c r="L647" s="3"/>
      <c r="M647" s="3"/>
    </row>
    <row r="648" spans="1:16" x14ac:dyDescent="0.45">
      <c r="A648" t="s">
        <v>19</v>
      </c>
      <c r="B648" t="s">
        <v>33</v>
      </c>
      <c r="C648" t="s">
        <v>24</v>
      </c>
      <c r="D648" s="27">
        <v>0</v>
      </c>
      <c r="E648" s="3" t="s">
        <v>41</v>
      </c>
      <c r="F648" s="23">
        <v>0</v>
      </c>
      <c r="G648" s="3" t="s">
        <v>41</v>
      </c>
      <c r="I648" s="25" t="str">
        <f t="shared" si="104"/>
        <v/>
      </c>
      <c r="J648" s="25" t="str">
        <f t="shared" si="104"/>
        <v/>
      </c>
      <c r="L648" s="3"/>
      <c r="M648" s="3"/>
    </row>
    <row r="649" spans="1:16" x14ac:dyDescent="0.45">
      <c r="A649" t="s">
        <v>20</v>
      </c>
      <c r="B649" t="s">
        <v>33</v>
      </c>
      <c r="C649" t="s">
        <v>24</v>
      </c>
      <c r="D649" s="27">
        <v>0</v>
      </c>
      <c r="E649" s="3" t="s">
        <v>41</v>
      </c>
      <c r="F649" s="23">
        <v>0</v>
      </c>
      <c r="G649" s="3" t="s">
        <v>41</v>
      </c>
      <c r="I649" s="25" t="str">
        <f t="shared" si="104"/>
        <v/>
      </c>
      <c r="J649" s="25" t="str">
        <f t="shared" si="104"/>
        <v/>
      </c>
      <c r="L649" s="3"/>
      <c r="M649" s="3"/>
    </row>
    <row r="650" spans="1:16" x14ac:dyDescent="0.45">
      <c r="A650" t="s">
        <v>7</v>
      </c>
      <c r="B650" t="s">
        <v>33</v>
      </c>
      <c r="C650" t="s">
        <v>25</v>
      </c>
      <c r="D650" s="27">
        <v>103716000</v>
      </c>
      <c r="E650" s="3">
        <v>120480816</v>
      </c>
      <c r="F650" s="23">
        <v>103716000</v>
      </c>
      <c r="G650" s="3">
        <v>16907009</v>
      </c>
      <c r="I650" s="22">
        <f t="shared" ref="I650:J650" si="113">IF(L650="","",L650)</f>
        <v>120480816</v>
      </c>
      <c r="J650" s="22">
        <f t="shared" si="113"/>
        <v>16907009</v>
      </c>
      <c r="L650" s="3">
        <v>120480816</v>
      </c>
      <c r="M650" s="3">
        <v>16907009</v>
      </c>
    </row>
    <row r="651" spans="1:16" x14ac:dyDescent="0.45">
      <c r="A651" t="s">
        <v>10</v>
      </c>
      <c r="B651" t="s">
        <v>33</v>
      </c>
      <c r="C651" t="s">
        <v>25</v>
      </c>
      <c r="D651" s="28">
        <v>92092000</v>
      </c>
      <c r="E651" s="4">
        <v>80820599</v>
      </c>
      <c r="F651" s="24">
        <v>92092000</v>
      </c>
      <c r="G651" s="4">
        <v>137491406</v>
      </c>
      <c r="I651" s="25">
        <f t="shared" ref="I651:J651" si="114">IF(L651="","",L651-L650)</f>
        <v>80820599</v>
      </c>
      <c r="J651" s="25">
        <f t="shared" si="114"/>
        <v>137491406</v>
      </c>
      <c r="L651" s="4">
        <v>201301415</v>
      </c>
      <c r="M651" s="4">
        <v>154398415</v>
      </c>
    </row>
    <row r="652" spans="1:16" x14ac:dyDescent="0.45">
      <c r="A652" t="s">
        <v>11</v>
      </c>
      <c r="B652" t="s">
        <v>33</v>
      </c>
      <c r="C652" t="s">
        <v>25</v>
      </c>
      <c r="D652" s="27">
        <v>92092000</v>
      </c>
      <c r="E652" s="3">
        <v>10986500</v>
      </c>
      <c r="F652" s="23">
        <v>92092000</v>
      </c>
      <c r="G652" s="3">
        <v>10986500</v>
      </c>
      <c r="I652" s="25">
        <f t="shared" si="104"/>
        <v>429775497</v>
      </c>
      <c r="J652" s="25">
        <f t="shared" si="104"/>
        <v>46401277</v>
      </c>
      <c r="L652" s="29">
        <f>SUMIFS(Pivot_!C:C,Pivot_!A:A,'Hitung Per Bulan'!B652,Pivot_!B:B,'Hitung Per Bulan'!C652)</f>
        <v>631076912</v>
      </c>
      <c r="M652" s="29">
        <f>SUMIFS(Pivot_!D:D,Pivot_!A:A,'Hitung Per Bulan'!B652,Pivot_!B:B,'Hitung Per Bulan'!C652)</f>
        <v>200799692</v>
      </c>
    </row>
    <row r="653" spans="1:16" x14ac:dyDescent="0.45">
      <c r="A653" t="s">
        <v>12</v>
      </c>
      <c r="B653" t="s">
        <v>33</v>
      </c>
      <c r="C653" t="s">
        <v>25</v>
      </c>
      <c r="D653" s="27">
        <v>103716000</v>
      </c>
      <c r="E653" s="3" t="s">
        <v>41</v>
      </c>
      <c r="F653" s="23">
        <v>103716000</v>
      </c>
      <c r="G653" s="3" t="s">
        <v>41</v>
      </c>
      <c r="I653" s="25" t="str">
        <f t="shared" si="104"/>
        <v/>
      </c>
      <c r="J653" s="25" t="str">
        <f t="shared" si="104"/>
        <v/>
      </c>
      <c r="L653" s="29"/>
      <c r="M653" s="29"/>
      <c r="O653" s="72"/>
      <c r="P653" s="72"/>
    </row>
    <row r="654" spans="1:16" x14ac:dyDescent="0.45">
      <c r="A654" t="s">
        <v>13</v>
      </c>
      <c r="B654" t="s">
        <v>33</v>
      </c>
      <c r="C654" t="s">
        <v>25</v>
      </c>
      <c r="D654" s="27">
        <v>92092000</v>
      </c>
      <c r="E654" s="3" t="s">
        <v>41</v>
      </c>
      <c r="F654" s="23">
        <v>92092000</v>
      </c>
      <c r="G654" s="3" t="s">
        <v>41</v>
      </c>
      <c r="I654" s="25" t="str">
        <f t="shared" si="104"/>
        <v/>
      </c>
      <c r="J654" s="25" t="str">
        <f t="shared" si="104"/>
        <v/>
      </c>
      <c r="L654" s="3"/>
      <c r="M654" s="3"/>
    </row>
    <row r="655" spans="1:16" x14ac:dyDescent="0.45">
      <c r="A655" t="s">
        <v>14</v>
      </c>
      <c r="B655" t="s">
        <v>33</v>
      </c>
      <c r="C655" t="s">
        <v>25</v>
      </c>
      <c r="D655" s="27">
        <v>92092000</v>
      </c>
      <c r="E655" s="3" t="s">
        <v>41</v>
      </c>
      <c r="F655" s="23">
        <v>92092000</v>
      </c>
      <c r="G655" s="3" t="s">
        <v>41</v>
      </c>
      <c r="I655" s="25" t="str">
        <f t="shared" ref="I655:J718" si="115">IF(L655="","",L655-L654)</f>
        <v/>
      </c>
      <c r="J655" s="25" t="str">
        <f t="shared" si="115"/>
        <v/>
      </c>
      <c r="L655" s="3"/>
      <c r="M655" s="3"/>
    </row>
    <row r="656" spans="1:16" x14ac:dyDescent="0.45">
      <c r="A656" t="s">
        <v>15</v>
      </c>
      <c r="B656" t="s">
        <v>33</v>
      </c>
      <c r="C656" t="s">
        <v>25</v>
      </c>
      <c r="D656" s="27">
        <v>469238000</v>
      </c>
      <c r="E656" s="3" t="s">
        <v>41</v>
      </c>
      <c r="F656" s="23">
        <v>469238000</v>
      </c>
      <c r="G656" s="3" t="s">
        <v>41</v>
      </c>
      <c r="I656" s="25" t="str">
        <f t="shared" si="115"/>
        <v/>
      </c>
      <c r="J656" s="25" t="str">
        <f t="shared" si="115"/>
        <v/>
      </c>
      <c r="L656" s="3"/>
      <c r="M656" s="3"/>
    </row>
    <row r="657" spans="1:16" x14ac:dyDescent="0.45">
      <c r="A657" t="s">
        <v>16</v>
      </c>
      <c r="B657" t="s">
        <v>33</v>
      </c>
      <c r="C657" t="s">
        <v>25</v>
      </c>
      <c r="D657" s="27">
        <v>142092000</v>
      </c>
      <c r="E657" s="3" t="s">
        <v>41</v>
      </c>
      <c r="F657" s="23">
        <v>142092000</v>
      </c>
      <c r="G657" s="3" t="s">
        <v>41</v>
      </c>
      <c r="I657" s="25" t="str">
        <f t="shared" si="115"/>
        <v/>
      </c>
      <c r="J657" s="25" t="str">
        <f t="shared" si="115"/>
        <v/>
      </c>
      <c r="L657" s="3"/>
      <c r="M657" s="3"/>
    </row>
    <row r="658" spans="1:16" x14ac:dyDescent="0.45">
      <c r="A658" t="s">
        <v>17</v>
      </c>
      <c r="B658" t="s">
        <v>33</v>
      </c>
      <c r="C658" t="s">
        <v>25</v>
      </c>
      <c r="D658" s="27">
        <v>407092000</v>
      </c>
      <c r="E658" s="3" t="s">
        <v>41</v>
      </c>
      <c r="F658" s="23">
        <v>407092000</v>
      </c>
      <c r="G658" s="3" t="s">
        <v>41</v>
      </c>
      <c r="I658" s="25" t="str">
        <f t="shared" si="115"/>
        <v/>
      </c>
      <c r="J658" s="25" t="str">
        <f t="shared" si="115"/>
        <v/>
      </c>
      <c r="L658" s="3"/>
      <c r="M658" s="3"/>
    </row>
    <row r="659" spans="1:16" x14ac:dyDescent="0.45">
      <c r="A659" t="s">
        <v>18</v>
      </c>
      <c r="B659" t="s">
        <v>33</v>
      </c>
      <c r="C659" t="s">
        <v>25</v>
      </c>
      <c r="D659" s="27">
        <v>103717000</v>
      </c>
      <c r="E659" s="3" t="s">
        <v>41</v>
      </c>
      <c r="F659" s="23">
        <v>103717000</v>
      </c>
      <c r="G659" s="3" t="s">
        <v>41</v>
      </c>
      <c r="I659" s="25" t="str">
        <f t="shared" si="115"/>
        <v/>
      </c>
      <c r="J659" s="25" t="str">
        <f t="shared" si="115"/>
        <v/>
      </c>
      <c r="L659" s="3"/>
      <c r="M659" s="3"/>
    </row>
    <row r="660" spans="1:16" x14ac:dyDescent="0.45">
      <c r="A660" t="s">
        <v>19</v>
      </c>
      <c r="B660" t="s">
        <v>33</v>
      </c>
      <c r="C660" t="s">
        <v>25</v>
      </c>
      <c r="D660" s="27">
        <v>92092000</v>
      </c>
      <c r="E660" s="3" t="s">
        <v>41</v>
      </c>
      <c r="F660" s="23">
        <v>92092000</v>
      </c>
      <c r="G660" s="3" t="s">
        <v>41</v>
      </c>
      <c r="I660" s="25" t="str">
        <f t="shared" si="115"/>
        <v/>
      </c>
      <c r="J660" s="25" t="str">
        <f t="shared" si="115"/>
        <v/>
      </c>
      <c r="L660" s="3"/>
      <c r="M660" s="3"/>
    </row>
    <row r="661" spans="1:16" x14ac:dyDescent="0.45">
      <c r="A661" t="s">
        <v>20</v>
      </c>
      <c r="B661" t="s">
        <v>33</v>
      </c>
      <c r="C661" t="s">
        <v>25</v>
      </c>
      <c r="D661" s="27">
        <v>92097000</v>
      </c>
      <c r="E661" s="3" t="s">
        <v>41</v>
      </c>
      <c r="F661" s="23">
        <v>92097000</v>
      </c>
      <c r="G661" s="3" t="s">
        <v>41</v>
      </c>
      <c r="I661" s="25" t="str">
        <f t="shared" si="115"/>
        <v/>
      </c>
      <c r="J661" s="25" t="str">
        <f t="shared" si="115"/>
        <v/>
      </c>
      <c r="L661" s="3"/>
      <c r="M661" s="3"/>
    </row>
    <row r="662" spans="1:16" x14ac:dyDescent="0.45">
      <c r="A662" t="s">
        <v>7</v>
      </c>
      <c r="B662" t="s">
        <v>33</v>
      </c>
      <c r="C662" t="s">
        <v>26</v>
      </c>
      <c r="D662" s="27">
        <v>182113333.33333334</v>
      </c>
      <c r="E662" s="3">
        <v>162001884</v>
      </c>
      <c r="F662" s="23">
        <v>182113333.33333334</v>
      </c>
      <c r="G662" s="3">
        <v>162001884</v>
      </c>
      <c r="I662" s="22">
        <f t="shared" ref="I662:J662" si="116">IF(L662="","",L662)</f>
        <v>162001884</v>
      </c>
      <c r="J662" s="22">
        <f t="shared" si="116"/>
        <v>162001884</v>
      </c>
      <c r="L662" s="3">
        <v>162001884</v>
      </c>
      <c r="M662" s="3">
        <v>162001884</v>
      </c>
    </row>
    <row r="663" spans="1:16" x14ac:dyDescent="0.45">
      <c r="A663" t="s">
        <v>10</v>
      </c>
      <c r="B663" t="s">
        <v>33</v>
      </c>
      <c r="C663" t="s">
        <v>26</v>
      </c>
      <c r="D663" s="28">
        <v>182113000</v>
      </c>
      <c r="E663" s="4">
        <v>158370071</v>
      </c>
      <c r="F663" s="24">
        <v>182113000</v>
      </c>
      <c r="G663" s="4">
        <v>158370071</v>
      </c>
      <c r="I663" s="25">
        <f t="shared" ref="I663:J663" si="117">IF(L663="","",L663-L662)</f>
        <v>158370071</v>
      </c>
      <c r="J663" s="25">
        <f t="shared" si="117"/>
        <v>158370071</v>
      </c>
      <c r="L663" s="4">
        <v>320371955</v>
      </c>
      <c r="M663" s="4">
        <v>320371955</v>
      </c>
    </row>
    <row r="664" spans="1:16" x14ac:dyDescent="0.45">
      <c r="A664" t="s">
        <v>11</v>
      </c>
      <c r="B664" t="s">
        <v>33</v>
      </c>
      <c r="C664" t="s">
        <v>26</v>
      </c>
      <c r="D664" s="27">
        <v>182113000</v>
      </c>
      <c r="E664" s="3">
        <v>0</v>
      </c>
      <c r="F664" s="23">
        <v>182113000</v>
      </c>
      <c r="G664" s="3">
        <v>0</v>
      </c>
      <c r="I664" s="25">
        <f t="shared" si="115"/>
        <v>145364590</v>
      </c>
      <c r="J664" s="25">
        <f t="shared" si="115"/>
        <v>145364590</v>
      </c>
      <c r="L664" s="29">
        <f>SUMIFS(Pivot_!C:C,Pivot_!A:A,'Hitung Per Bulan'!B664,Pivot_!B:B,'Hitung Per Bulan'!C664)</f>
        <v>465736545</v>
      </c>
      <c r="M664" s="29">
        <f>SUMIFS(Pivot_!D:D,Pivot_!A:A,'Hitung Per Bulan'!B664,Pivot_!B:B,'Hitung Per Bulan'!C664)</f>
        <v>465736545</v>
      </c>
    </row>
    <row r="665" spans="1:16" x14ac:dyDescent="0.45">
      <c r="A665" t="s">
        <v>12</v>
      </c>
      <c r="B665" t="s">
        <v>33</v>
      </c>
      <c r="C665" t="s">
        <v>26</v>
      </c>
      <c r="D665" s="27">
        <v>182113000</v>
      </c>
      <c r="E665" s="3" t="s">
        <v>41</v>
      </c>
      <c r="F665" s="23">
        <v>182113000</v>
      </c>
      <c r="G665" s="3" t="s">
        <v>41</v>
      </c>
      <c r="I665" s="25" t="str">
        <f t="shared" si="115"/>
        <v/>
      </c>
      <c r="J665" s="25" t="str">
        <f t="shared" si="115"/>
        <v/>
      </c>
      <c r="L665" s="29"/>
      <c r="M665" s="29"/>
      <c r="O665" s="72"/>
      <c r="P665" s="72"/>
    </row>
    <row r="666" spans="1:16" x14ac:dyDescent="0.45">
      <c r="A666" t="s">
        <v>13</v>
      </c>
      <c r="B666" t="s">
        <v>33</v>
      </c>
      <c r="C666" t="s">
        <v>26</v>
      </c>
      <c r="D666" s="27">
        <v>182113000</v>
      </c>
      <c r="E666" s="3" t="s">
        <v>41</v>
      </c>
      <c r="F666" s="23">
        <v>182113000</v>
      </c>
      <c r="G666" s="3" t="s">
        <v>41</v>
      </c>
      <c r="I666" s="25" t="str">
        <f t="shared" si="115"/>
        <v/>
      </c>
      <c r="J666" s="25" t="str">
        <f t="shared" si="115"/>
        <v/>
      </c>
      <c r="L666" s="3"/>
      <c r="M666" s="3"/>
    </row>
    <row r="667" spans="1:16" x14ac:dyDescent="0.45">
      <c r="A667" t="s">
        <v>14</v>
      </c>
      <c r="B667" t="s">
        <v>33</v>
      </c>
      <c r="C667" t="s">
        <v>26</v>
      </c>
      <c r="D667" s="27">
        <v>182113000</v>
      </c>
      <c r="E667" s="3" t="s">
        <v>41</v>
      </c>
      <c r="F667" s="23">
        <v>182113000</v>
      </c>
      <c r="G667" s="3" t="s">
        <v>41</v>
      </c>
      <c r="I667" s="25" t="str">
        <f t="shared" si="115"/>
        <v/>
      </c>
      <c r="J667" s="25" t="str">
        <f t="shared" si="115"/>
        <v/>
      </c>
      <c r="L667" s="3"/>
      <c r="M667" s="3"/>
    </row>
    <row r="668" spans="1:16" x14ac:dyDescent="0.45">
      <c r="A668" t="s">
        <v>15</v>
      </c>
      <c r="B668" t="s">
        <v>33</v>
      </c>
      <c r="C668" t="s">
        <v>26</v>
      </c>
      <c r="D668" s="27">
        <v>182113000</v>
      </c>
      <c r="E668" s="3" t="s">
        <v>41</v>
      </c>
      <c r="F668" s="23">
        <v>182113000</v>
      </c>
      <c r="G668" s="3" t="s">
        <v>41</v>
      </c>
      <c r="I668" s="25" t="str">
        <f t="shared" si="115"/>
        <v/>
      </c>
      <c r="J668" s="25" t="str">
        <f t="shared" si="115"/>
        <v/>
      </c>
      <c r="L668" s="3"/>
      <c r="M668" s="3"/>
    </row>
    <row r="669" spans="1:16" x14ac:dyDescent="0.45">
      <c r="A669" t="s">
        <v>16</v>
      </c>
      <c r="B669" t="s">
        <v>33</v>
      </c>
      <c r="C669" t="s">
        <v>26</v>
      </c>
      <c r="D669" s="27">
        <v>182113000</v>
      </c>
      <c r="E669" s="3" t="s">
        <v>41</v>
      </c>
      <c r="F669" s="23">
        <v>182113000</v>
      </c>
      <c r="G669" s="3" t="s">
        <v>41</v>
      </c>
      <c r="I669" s="25" t="str">
        <f t="shared" si="115"/>
        <v/>
      </c>
      <c r="J669" s="25" t="str">
        <f t="shared" si="115"/>
        <v/>
      </c>
      <c r="L669" s="3"/>
      <c r="M669" s="3"/>
    </row>
    <row r="670" spans="1:16" x14ac:dyDescent="0.45">
      <c r="A670" t="s">
        <v>17</v>
      </c>
      <c r="B670" t="s">
        <v>33</v>
      </c>
      <c r="C670" t="s">
        <v>26</v>
      </c>
      <c r="D670" s="27">
        <v>182113000</v>
      </c>
      <c r="E670" s="3" t="s">
        <v>41</v>
      </c>
      <c r="F670" s="23">
        <v>182113000</v>
      </c>
      <c r="G670" s="3" t="s">
        <v>41</v>
      </c>
      <c r="I670" s="25" t="str">
        <f t="shared" si="115"/>
        <v/>
      </c>
      <c r="J670" s="25" t="str">
        <f t="shared" si="115"/>
        <v/>
      </c>
      <c r="L670" s="3"/>
      <c r="M670" s="3"/>
    </row>
    <row r="671" spans="1:16" x14ac:dyDescent="0.45">
      <c r="A671" t="s">
        <v>18</v>
      </c>
      <c r="B671" t="s">
        <v>33</v>
      </c>
      <c r="C671" t="s">
        <v>26</v>
      </c>
      <c r="D671" s="27">
        <v>182113000</v>
      </c>
      <c r="E671" s="3" t="s">
        <v>41</v>
      </c>
      <c r="F671" s="23">
        <v>182113000</v>
      </c>
      <c r="G671" s="3" t="s">
        <v>41</v>
      </c>
      <c r="I671" s="25" t="str">
        <f t="shared" si="115"/>
        <v/>
      </c>
      <c r="J671" s="25" t="str">
        <f t="shared" si="115"/>
        <v/>
      </c>
      <c r="L671" s="3"/>
      <c r="M671" s="3"/>
    </row>
    <row r="672" spans="1:16" x14ac:dyDescent="0.45">
      <c r="A672" t="s">
        <v>19</v>
      </c>
      <c r="B672" t="s">
        <v>33</v>
      </c>
      <c r="C672" t="s">
        <v>26</v>
      </c>
      <c r="D672" s="27">
        <v>182113000</v>
      </c>
      <c r="E672" s="3" t="s">
        <v>41</v>
      </c>
      <c r="F672" s="23">
        <v>182113000</v>
      </c>
      <c r="G672" s="3" t="s">
        <v>41</v>
      </c>
      <c r="I672" s="25" t="str">
        <f t="shared" si="115"/>
        <v/>
      </c>
      <c r="J672" s="25" t="str">
        <f t="shared" si="115"/>
        <v/>
      </c>
      <c r="L672" s="3"/>
      <c r="M672" s="3"/>
    </row>
    <row r="673" spans="1:16" x14ac:dyDescent="0.45">
      <c r="A673" t="s">
        <v>20</v>
      </c>
      <c r="B673" t="s">
        <v>33</v>
      </c>
      <c r="C673" t="s">
        <v>26</v>
      </c>
      <c r="D673" s="27">
        <v>182117000</v>
      </c>
      <c r="E673" s="3" t="s">
        <v>41</v>
      </c>
      <c r="F673" s="23">
        <v>182117000</v>
      </c>
      <c r="G673" s="3" t="s">
        <v>41</v>
      </c>
      <c r="I673" s="25" t="str">
        <f t="shared" si="115"/>
        <v/>
      </c>
      <c r="J673" s="25" t="str">
        <f t="shared" si="115"/>
        <v/>
      </c>
      <c r="L673" s="3"/>
      <c r="M673" s="3"/>
    </row>
    <row r="674" spans="1:16" x14ac:dyDescent="0.45">
      <c r="A674" t="s">
        <v>7</v>
      </c>
      <c r="B674" t="s">
        <v>34</v>
      </c>
      <c r="C674" t="s">
        <v>9</v>
      </c>
      <c r="D674" s="27">
        <v>85000000</v>
      </c>
      <c r="E674" s="3">
        <v>2021637708</v>
      </c>
      <c r="F674" s="23">
        <v>0</v>
      </c>
      <c r="G674" s="3">
        <v>0</v>
      </c>
      <c r="I674" s="22">
        <f t="shared" ref="I674:J674" si="118">IF(L674="","",L674)</f>
        <v>2021637708</v>
      </c>
      <c r="J674" s="22">
        <f t="shared" si="118"/>
        <v>0</v>
      </c>
      <c r="L674" s="3">
        <v>2021637708</v>
      </c>
      <c r="M674" s="3">
        <v>0</v>
      </c>
    </row>
    <row r="675" spans="1:16" x14ac:dyDescent="0.45">
      <c r="A675" t="s">
        <v>10</v>
      </c>
      <c r="B675" t="s">
        <v>34</v>
      </c>
      <c r="C675" t="s">
        <v>9</v>
      </c>
      <c r="D675" s="28">
        <v>272450000</v>
      </c>
      <c r="E675" s="4">
        <v>165605895</v>
      </c>
      <c r="F675" s="24">
        <v>85000000</v>
      </c>
      <c r="G675" s="4">
        <v>86559328</v>
      </c>
      <c r="I675" s="25">
        <f t="shared" ref="I675:J675" si="119">IF(L675="","",L675-L674)</f>
        <v>165605895</v>
      </c>
      <c r="J675" s="25">
        <f t="shared" si="119"/>
        <v>86559328</v>
      </c>
      <c r="L675" s="4">
        <v>2187243603</v>
      </c>
      <c r="M675" s="4">
        <v>86559328</v>
      </c>
    </row>
    <row r="676" spans="1:16" x14ac:dyDescent="0.45">
      <c r="A676" t="s">
        <v>11</v>
      </c>
      <c r="B676" t="s">
        <v>34</v>
      </c>
      <c r="C676" t="s">
        <v>9</v>
      </c>
      <c r="D676" s="27">
        <v>4416599000</v>
      </c>
      <c r="E676" s="3">
        <v>-14599000</v>
      </c>
      <c r="F676" s="23">
        <v>25000000</v>
      </c>
      <c r="G676" s="3">
        <v>0</v>
      </c>
      <c r="I676" s="25">
        <f t="shared" si="115"/>
        <v>4966493879</v>
      </c>
      <c r="J676" s="25">
        <f t="shared" si="115"/>
        <v>166820515</v>
      </c>
      <c r="L676" s="29">
        <f>SUMIFS(Pivot_!C:C,Pivot_!A:A,'Hitung Per Bulan'!B676,Pivot_!B:B,'Hitung Per Bulan'!C676)</f>
        <v>7153737482</v>
      </c>
      <c r="M676" s="29">
        <f>SUMIFS(Pivot_!D:D,Pivot_!A:A,'Hitung Per Bulan'!B676,Pivot_!B:B,'Hitung Per Bulan'!C676)</f>
        <v>253379843</v>
      </c>
    </row>
    <row r="677" spans="1:16" x14ac:dyDescent="0.45">
      <c r="A677" t="s">
        <v>12</v>
      </c>
      <c r="B677" t="s">
        <v>34</v>
      </c>
      <c r="C677" t="s">
        <v>9</v>
      </c>
      <c r="D677" s="27">
        <v>2915231000</v>
      </c>
      <c r="E677" s="3" t="s">
        <v>41</v>
      </c>
      <c r="F677" s="23">
        <v>11100000</v>
      </c>
      <c r="G677" s="3" t="s">
        <v>41</v>
      </c>
      <c r="I677" s="25" t="str">
        <f t="shared" si="115"/>
        <v/>
      </c>
      <c r="J677" s="25" t="str">
        <f t="shared" si="115"/>
        <v/>
      </c>
      <c r="L677" s="29"/>
      <c r="M677" s="29"/>
      <c r="O677" s="72"/>
      <c r="P677" s="72"/>
    </row>
    <row r="678" spans="1:16" x14ac:dyDescent="0.45">
      <c r="A678" t="s">
        <v>13</v>
      </c>
      <c r="B678" t="s">
        <v>34</v>
      </c>
      <c r="C678" t="s">
        <v>9</v>
      </c>
      <c r="D678" s="27">
        <v>506375000</v>
      </c>
      <c r="E678" s="3" t="s">
        <v>41</v>
      </c>
      <c r="F678" s="23">
        <v>1489733000</v>
      </c>
      <c r="G678" s="3" t="s">
        <v>41</v>
      </c>
      <c r="I678" s="25" t="str">
        <f t="shared" si="115"/>
        <v/>
      </c>
      <c r="J678" s="25" t="str">
        <f t="shared" si="115"/>
        <v/>
      </c>
      <c r="L678" s="3"/>
      <c r="M678" s="3"/>
    </row>
    <row r="679" spans="1:16" x14ac:dyDescent="0.45">
      <c r="A679" t="s">
        <v>14</v>
      </c>
      <c r="B679" t="s">
        <v>34</v>
      </c>
      <c r="C679" t="s">
        <v>9</v>
      </c>
      <c r="D679" s="27">
        <v>483400000</v>
      </c>
      <c r="E679" s="3" t="s">
        <v>41</v>
      </c>
      <c r="F679" s="23">
        <v>753875000</v>
      </c>
      <c r="G679" s="3" t="s">
        <v>41</v>
      </c>
      <c r="I679" s="25" t="str">
        <f t="shared" si="115"/>
        <v/>
      </c>
      <c r="J679" s="25" t="str">
        <f t="shared" si="115"/>
        <v/>
      </c>
      <c r="L679" s="3"/>
      <c r="M679" s="3"/>
    </row>
    <row r="680" spans="1:16" x14ac:dyDescent="0.45">
      <c r="A680" t="s">
        <v>15</v>
      </c>
      <c r="B680" t="s">
        <v>34</v>
      </c>
      <c r="C680" t="s">
        <v>9</v>
      </c>
      <c r="D680" s="27">
        <v>314700000</v>
      </c>
      <c r="E680" s="3" t="s">
        <v>41</v>
      </c>
      <c r="F680" s="23">
        <v>2381757000</v>
      </c>
      <c r="G680" s="3" t="s">
        <v>41</v>
      </c>
      <c r="I680" s="25" t="str">
        <f t="shared" si="115"/>
        <v/>
      </c>
      <c r="J680" s="25" t="str">
        <f t="shared" si="115"/>
        <v/>
      </c>
      <c r="L680" s="3"/>
      <c r="M680" s="3"/>
    </row>
    <row r="681" spans="1:16" x14ac:dyDescent="0.45">
      <c r="A681" t="s">
        <v>16</v>
      </c>
      <c r="B681" t="s">
        <v>34</v>
      </c>
      <c r="C681" t="s">
        <v>9</v>
      </c>
      <c r="D681" s="27">
        <v>0</v>
      </c>
      <c r="E681" s="3" t="s">
        <v>41</v>
      </c>
      <c r="F681" s="23">
        <v>2406929000</v>
      </c>
      <c r="G681" s="3" t="s">
        <v>41</v>
      </c>
      <c r="I681" s="25" t="str">
        <f t="shared" si="115"/>
        <v/>
      </c>
      <c r="J681" s="25" t="str">
        <f t="shared" si="115"/>
        <v/>
      </c>
      <c r="L681" s="3"/>
      <c r="M681" s="3"/>
    </row>
    <row r="682" spans="1:16" x14ac:dyDescent="0.45">
      <c r="A682" t="s">
        <v>17</v>
      </c>
      <c r="B682" t="s">
        <v>34</v>
      </c>
      <c r="C682" t="s">
        <v>9</v>
      </c>
      <c r="D682" s="27">
        <v>149300000</v>
      </c>
      <c r="E682" s="3" t="s">
        <v>41</v>
      </c>
      <c r="F682" s="23">
        <v>1396861000</v>
      </c>
      <c r="G682" s="3" t="s">
        <v>41</v>
      </c>
      <c r="I682" s="25" t="str">
        <f t="shared" si="115"/>
        <v/>
      </c>
      <c r="J682" s="25" t="str">
        <f t="shared" si="115"/>
        <v/>
      </c>
      <c r="L682" s="3"/>
      <c r="M682" s="3"/>
    </row>
    <row r="683" spans="1:16" x14ac:dyDescent="0.45">
      <c r="A683" t="s">
        <v>18</v>
      </c>
      <c r="B683" t="s">
        <v>34</v>
      </c>
      <c r="C683" t="s">
        <v>9</v>
      </c>
      <c r="D683" s="27">
        <v>0</v>
      </c>
      <c r="E683" s="3" t="s">
        <v>41</v>
      </c>
      <c r="F683" s="23">
        <v>592800000</v>
      </c>
      <c r="G683" s="3" t="s">
        <v>41</v>
      </c>
      <c r="I683" s="25" t="str">
        <f t="shared" si="115"/>
        <v/>
      </c>
      <c r="J683" s="25" t="str">
        <f t="shared" si="115"/>
        <v/>
      </c>
      <c r="L683" s="3"/>
      <c r="M683" s="3"/>
    </row>
    <row r="684" spans="1:16" x14ac:dyDescent="0.45">
      <c r="A684" t="s">
        <v>19</v>
      </c>
      <c r="B684" t="s">
        <v>34</v>
      </c>
      <c r="C684" t="s">
        <v>9</v>
      </c>
      <c r="D684" s="27">
        <v>100000000</v>
      </c>
      <c r="E684" s="3" t="s">
        <v>41</v>
      </c>
      <c r="F684" s="23">
        <v>0</v>
      </c>
      <c r="G684" s="3" t="s">
        <v>41</v>
      </c>
      <c r="I684" s="25" t="str">
        <f t="shared" si="115"/>
        <v/>
      </c>
      <c r="J684" s="25" t="str">
        <f t="shared" si="115"/>
        <v/>
      </c>
      <c r="L684" s="3"/>
      <c r="M684" s="3"/>
    </row>
    <row r="685" spans="1:16" x14ac:dyDescent="0.45">
      <c r="A685" t="s">
        <v>20</v>
      </c>
      <c r="B685" t="s">
        <v>34</v>
      </c>
      <c r="C685" t="s">
        <v>9</v>
      </c>
      <c r="D685" s="27">
        <v>0</v>
      </c>
      <c r="E685" s="3" t="s">
        <v>41</v>
      </c>
      <c r="F685" s="23">
        <v>100000000</v>
      </c>
      <c r="G685" s="3" t="s">
        <v>41</v>
      </c>
      <c r="I685" s="25" t="str">
        <f t="shared" si="115"/>
        <v/>
      </c>
      <c r="J685" s="25" t="str">
        <f t="shared" si="115"/>
        <v/>
      </c>
      <c r="L685" s="3"/>
      <c r="M685" s="3"/>
    </row>
    <row r="686" spans="1:16" x14ac:dyDescent="0.45">
      <c r="A686" t="s">
        <v>7</v>
      </c>
      <c r="B686" t="s">
        <v>34</v>
      </c>
      <c r="C686" t="s">
        <v>21</v>
      </c>
      <c r="D686" s="27">
        <v>0</v>
      </c>
      <c r="E686" s="3">
        <v>0</v>
      </c>
      <c r="F686" s="23">
        <v>0</v>
      </c>
      <c r="G686" s="3">
        <v>0</v>
      </c>
      <c r="I686" s="22">
        <f t="shared" ref="I686:J686" si="120">IF(L686="","",L686)</f>
        <v>0</v>
      </c>
      <c r="J686" s="22">
        <f t="shared" si="120"/>
        <v>0</v>
      </c>
      <c r="L686" s="3">
        <v>0</v>
      </c>
      <c r="M686" s="3">
        <v>0</v>
      </c>
    </row>
    <row r="687" spans="1:16" x14ac:dyDescent="0.45">
      <c r="A687" t="s">
        <v>10</v>
      </c>
      <c r="B687" t="s">
        <v>34</v>
      </c>
      <c r="C687" t="s">
        <v>21</v>
      </c>
      <c r="D687" s="28">
        <v>0</v>
      </c>
      <c r="E687" s="4">
        <v>1944000</v>
      </c>
      <c r="F687" s="24">
        <v>0</v>
      </c>
      <c r="G687" s="4">
        <v>0</v>
      </c>
      <c r="I687" s="25">
        <f t="shared" ref="I687:J687" si="121">IF(L687="","",L687-L686)</f>
        <v>1944000</v>
      </c>
      <c r="J687" s="25">
        <f t="shared" si="121"/>
        <v>0</v>
      </c>
      <c r="L687" s="4">
        <v>1944000</v>
      </c>
      <c r="M687" s="4">
        <v>0</v>
      </c>
    </row>
    <row r="688" spans="1:16" x14ac:dyDescent="0.45">
      <c r="A688" t="s">
        <v>11</v>
      </c>
      <c r="B688" t="s">
        <v>34</v>
      </c>
      <c r="C688" t="s">
        <v>21</v>
      </c>
      <c r="D688" s="27">
        <v>0</v>
      </c>
      <c r="E688" s="3">
        <v>0</v>
      </c>
      <c r="F688" s="23">
        <v>0</v>
      </c>
      <c r="G688" s="3">
        <v>0</v>
      </c>
      <c r="I688" s="25">
        <f t="shared" si="115"/>
        <v>0</v>
      </c>
      <c r="J688" s="25">
        <f t="shared" si="115"/>
        <v>1944000</v>
      </c>
      <c r="L688" s="29">
        <f>SUMIFS(Pivot_!C:C,Pivot_!A:A,'Hitung Per Bulan'!B688,Pivot_!B:B,'Hitung Per Bulan'!C688)</f>
        <v>1944000</v>
      </c>
      <c r="M688" s="29">
        <f>SUMIFS(Pivot_!D:D,Pivot_!A:A,'Hitung Per Bulan'!B688,Pivot_!B:B,'Hitung Per Bulan'!C688)</f>
        <v>1944000</v>
      </c>
    </row>
    <row r="689" spans="1:16" x14ac:dyDescent="0.45">
      <c r="A689" t="s">
        <v>12</v>
      </c>
      <c r="B689" t="s">
        <v>34</v>
      </c>
      <c r="C689" t="s">
        <v>21</v>
      </c>
      <c r="D689" s="27">
        <v>0</v>
      </c>
      <c r="E689" s="3" t="s">
        <v>41</v>
      </c>
      <c r="F689" s="23">
        <v>0</v>
      </c>
      <c r="G689" s="3" t="s">
        <v>41</v>
      </c>
      <c r="I689" s="25" t="str">
        <f t="shared" si="115"/>
        <v/>
      </c>
      <c r="J689" s="25" t="str">
        <f t="shared" si="115"/>
        <v/>
      </c>
      <c r="L689" s="29"/>
      <c r="M689" s="29"/>
      <c r="O689" s="72"/>
      <c r="P689" s="72"/>
    </row>
    <row r="690" spans="1:16" x14ac:dyDescent="0.45">
      <c r="A690" t="s">
        <v>13</v>
      </c>
      <c r="B690" t="s">
        <v>34</v>
      </c>
      <c r="C690" t="s">
        <v>21</v>
      </c>
      <c r="D690" s="27">
        <v>613000000</v>
      </c>
      <c r="E690" s="3" t="s">
        <v>41</v>
      </c>
      <c r="F690" s="23">
        <v>0</v>
      </c>
      <c r="G690" s="3" t="s">
        <v>41</v>
      </c>
      <c r="I690" s="25" t="str">
        <f t="shared" si="115"/>
        <v/>
      </c>
      <c r="J690" s="25" t="str">
        <f t="shared" si="115"/>
        <v/>
      </c>
      <c r="L690" s="3"/>
      <c r="M690" s="3"/>
    </row>
    <row r="691" spans="1:16" x14ac:dyDescent="0.45">
      <c r="A691" t="s">
        <v>14</v>
      </c>
      <c r="B691" t="s">
        <v>34</v>
      </c>
      <c r="C691" t="s">
        <v>21</v>
      </c>
      <c r="D691" s="27">
        <v>15000000</v>
      </c>
      <c r="E691" s="3" t="s">
        <v>41</v>
      </c>
      <c r="F691" s="23">
        <v>0</v>
      </c>
      <c r="G691" s="3" t="s">
        <v>41</v>
      </c>
      <c r="I691" s="25" t="str">
        <f t="shared" si="115"/>
        <v/>
      </c>
      <c r="J691" s="25" t="str">
        <f t="shared" si="115"/>
        <v/>
      </c>
      <c r="L691" s="3"/>
      <c r="M691" s="3"/>
    </row>
    <row r="692" spans="1:16" x14ac:dyDescent="0.45">
      <c r="A692" t="s">
        <v>15</v>
      </c>
      <c r="B692" t="s">
        <v>34</v>
      </c>
      <c r="C692" t="s">
        <v>21</v>
      </c>
      <c r="D692" s="27">
        <v>0</v>
      </c>
      <c r="E692" s="3" t="s">
        <v>41</v>
      </c>
      <c r="F692" s="23">
        <v>15000000</v>
      </c>
      <c r="G692" s="3" t="s">
        <v>41</v>
      </c>
      <c r="I692" s="25" t="str">
        <f t="shared" si="115"/>
        <v/>
      </c>
      <c r="J692" s="25" t="str">
        <f t="shared" si="115"/>
        <v/>
      </c>
      <c r="L692" s="3"/>
      <c r="M692" s="3"/>
    </row>
    <row r="693" spans="1:16" x14ac:dyDescent="0.45">
      <c r="A693" t="s">
        <v>16</v>
      </c>
      <c r="B693" t="s">
        <v>34</v>
      </c>
      <c r="C693" t="s">
        <v>21</v>
      </c>
      <c r="D693" s="27">
        <v>150000000</v>
      </c>
      <c r="E693" s="3" t="s">
        <v>41</v>
      </c>
      <c r="F693" s="23">
        <v>613000000</v>
      </c>
      <c r="G693" s="3" t="s">
        <v>41</v>
      </c>
      <c r="I693" s="25" t="str">
        <f t="shared" si="115"/>
        <v/>
      </c>
      <c r="J693" s="25" t="str">
        <f t="shared" si="115"/>
        <v/>
      </c>
      <c r="L693" s="3"/>
      <c r="M693" s="3"/>
    </row>
    <row r="694" spans="1:16" x14ac:dyDescent="0.45">
      <c r="A694" t="s">
        <v>17</v>
      </c>
      <c r="B694" t="s">
        <v>34</v>
      </c>
      <c r="C694" t="s">
        <v>21</v>
      </c>
      <c r="D694" s="27">
        <v>0</v>
      </c>
      <c r="E694" s="3" t="s">
        <v>41</v>
      </c>
      <c r="F694" s="23">
        <v>0</v>
      </c>
      <c r="G694" s="3" t="s">
        <v>41</v>
      </c>
      <c r="I694" s="25" t="str">
        <f t="shared" si="115"/>
        <v/>
      </c>
      <c r="J694" s="25" t="str">
        <f t="shared" si="115"/>
        <v/>
      </c>
      <c r="L694" s="3"/>
      <c r="M694" s="3"/>
    </row>
    <row r="695" spans="1:16" x14ac:dyDescent="0.45">
      <c r="A695" t="s">
        <v>18</v>
      </c>
      <c r="B695" t="s">
        <v>34</v>
      </c>
      <c r="C695" t="s">
        <v>21</v>
      </c>
      <c r="D695" s="27">
        <v>0</v>
      </c>
      <c r="E695" s="3" t="s">
        <v>41</v>
      </c>
      <c r="F695" s="23">
        <v>0</v>
      </c>
      <c r="G695" s="3" t="s">
        <v>41</v>
      </c>
      <c r="I695" s="25" t="str">
        <f t="shared" si="115"/>
        <v/>
      </c>
      <c r="J695" s="25" t="str">
        <f t="shared" si="115"/>
        <v/>
      </c>
      <c r="L695" s="3"/>
      <c r="M695" s="3"/>
    </row>
    <row r="696" spans="1:16" x14ac:dyDescent="0.45">
      <c r="A696" t="s">
        <v>19</v>
      </c>
      <c r="B696" t="s">
        <v>34</v>
      </c>
      <c r="C696" t="s">
        <v>21</v>
      </c>
      <c r="D696" s="27">
        <v>0</v>
      </c>
      <c r="E696" s="3" t="s">
        <v>41</v>
      </c>
      <c r="F696" s="23">
        <v>150000000</v>
      </c>
      <c r="G696" s="3" t="s">
        <v>41</v>
      </c>
      <c r="I696" s="25" t="str">
        <f t="shared" si="115"/>
        <v/>
      </c>
      <c r="J696" s="25" t="str">
        <f t="shared" si="115"/>
        <v/>
      </c>
      <c r="L696" s="3"/>
      <c r="M696" s="3"/>
    </row>
    <row r="697" spans="1:16" x14ac:dyDescent="0.45">
      <c r="A697" t="s">
        <v>20</v>
      </c>
      <c r="B697" t="s">
        <v>34</v>
      </c>
      <c r="C697" t="s">
        <v>21</v>
      </c>
      <c r="D697" s="27">
        <v>0</v>
      </c>
      <c r="E697" s="3" t="s">
        <v>41</v>
      </c>
      <c r="F697" s="23">
        <v>0</v>
      </c>
      <c r="G697" s="3" t="s">
        <v>41</v>
      </c>
      <c r="I697" s="25" t="str">
        <f t="shared" si="115"/>
        <v/>
      </c>
      <c r="J697" s="25" t="str">
        <f t="shared" si="115"/>
        <v/>
      </c>
      <c r="L697" s="3"/>
      <c r="M697" s="3"/>
    </row>
    <row r="698" spans="1:16" x14ac:dyDescent="0.45">
      <c r="A698" t="s">
        <v>7</v>
      </c>
      <c r="B698" t="s">
        <v>34</v>
      </c>
      <c r="C698" t="s">
        <v>22</v>
      </c>
      <c r="D698" s="27">
        <v>0</v>
      </c>
      <c r="E698" s="3">
        <v>21262500</v>
      </c>
      <c r="F698" s="23">
        <v>0</v>
      </c>
      <c r="G698" s="3">
        <v>0</v>
      </c>
      <c r="I698" s="22">
        <f t="shared" ref="I698:J698" si="122">IF(L698="","",L698)</f>
        <v>21262500</v>
      </c>
      <c r="J698" s="22">
        <f t="shared" si="122"/>
        <v>0</v>
      </c>
      <c r="L698" s="3">
        <v>21262500</v>
      </c>
      <c r="M698" s="3">
        <v>0</v>
      </c>
    </row>
    <row r="699" spans="1:16" x14ac:dyDescent="0.45">
      <c r="A699" t="s">
        <v>10</v>
      </c>
      <c r="B699" t="s">
        <v>34</v>
      </c>
      <c r="C699" t="s">
        <v>22</v>
      </c>
      <c r="D699" s="28">
        <v>0</v>
      </c>
      <c r="E699" s="4">
        <v>0</v>
      </c>
      <c r="F699" s="24">
        <v>0</v>
      </c>
      <c r="G699" s="4">
        <v>0</v>
      </c>
      <c r="I699" s="25">
        <f t="shared" ref="I699:J699" si="123">IF(L699="","",L699-L698)</f>
        <v>0</v>
      </c>
      <c r="J699" s="25">
        <f t="shared" si="123"/>
        <v>0</v>
      </c>
      <c r="L699" s="4">
        <v>21262500</v>
      </c>
      <c r="M699" s="4">
        <v>0</v>
      </c>
    </row>
    <row r="700" spans="1:16" x14ac:dyDescent="0.45">
      <c r="A700" t="s">
        <v>11</v>
      </c>
      <c r="B700" t="s">
        <v>34</v>
      </c>
      <c r="C700" t="s">
        <v>22</v>
      </c>
      <c r="D700" s="27">
        <v>27800000</v>
      </c>
      <c r="E700" s="3">
        <v>0</v>
      </c>
      <c r="F700" s="23">
        <v>0</v>
      </c>
      <c r="G700" s="3">
        <v>21262500</v>
      </c>
      <c r="I700" s="25">
        <f t="shared" si="115"/>
        <v>0</v>
      </c>
      <c r="J700" s="25">
        <f t="shared" si="115"/>
        <v>21262500</v>
      </c>
      <c r="L700" s="29">
        <f>SUMIFS(Pivot_!C:C,Pivot_!A:A,'Hitung Per Bulan'!B700,Pivot_!B:B,'Hitung Per Bulan'!C700)</f>
        <v>21262500</v>
      </c>
      <c r="M700" s="29">
        <f>SUMIFS(Pivot_!D:D,Pivot_!A:A,'Hitung Per Bulan'!B700,Pivot_!B:B,'Hitung Per Bulan'!C700)</f>
        <v>21262500</v>
      </c>
    </row>
    <row r="701" spans="1:16" x14ac:dyDescent="0.45">
      <c r="A701" t="s">
        <v>12</v>
      </c>
      <c r="B701" t="s">
        <v>34</v>
      </c>
      <c r="C701" t="s">
        <v>22</v>
      </c>
      <c r="D701" s="27">
        <v>12500000</v>
      </c>
      <c r="E701" s="3" t="s">
        <v>41</v>
      </c>
      <c r="F701" s="23">
        <v>27800000</v>
      </c>
      <c r="G701" s="3" t="s">
        <v>41</v>
      </c>
      <c r="I701" s="25" t="str">
        <f t="shared" si="115"/>
        <v/>
      </c>
      <c r="J701" s="25" t="str">
        <f t="shared" si="115"/>
        <v/>
      </c>
      <c r="L701" s="29"/>
      <c r="M701" s="29"/>
      <c r="O701" s="72"/>
      <c r="P701" s="72"/>
    </row>
    <row r="702" spans="1:16" x14ac:dyDescent="0.45">
      <c r="A702" t="s">
        <v>13</v>
      </c>
      <c r="B702" t="s">
        <v>34</v>
      </c>
      <c r="C702" t="s">
        <v>22</v>
      </c>
      <c r="D702" s="27">
        <v>0</v>
      </c>
      <c r="E702" s="3" t="s">
        <v>41</v>
      </c>
      <c r="F702" s="23">
        <v>12500000</v>
      </c>
      <c r="G702" s="3" t="s">
        <v>41</v>
      </c>
      <c r="I702" s="25" t="str">
        <f t="shared" si="115"/>
        <v/>
      </c>
      <c r="J702" s="25" t="str">
        <f t="shared" si="115"/>
        <v/>
      </c>
      <c r="L702" s="3"/>
      <c r="M702" s="3"/>
    </row>
    <row r="703" spans="1:16" x14ac:dyDescent="0.45">
      <c r="A703" t="s">
        <v>14</v>
      </c>
      <c r="B703" t="s">
        <v>34</v>
      </c>
      <c r="C703" t="s">
        <v>22</v>
      </c>
      <c r="D703" s="27">
        <v>0</v>
      </c>
      <c r="E703" s="3" t="s">
        <v>41</v>
      </c>
      <c r="F703" s="23">
        <v>0</v>
      </c>
      <c r="G703" s="3" t="s">
        <v>41</v>
      </c>
      <c r="I703" s="25" t="str">
        <f t="shared" si="115"/>
        <v/>
      </c>
      <c r="J703" s="25" t="str">
        <f t="shared" si="115"/>
        <v/>
      </c>
      <c r="L703" s="3"/>
      <c r="M703" s="3"/>
    </row>
    <row r="704" spans="1:16" x14ac:dyDescent="0.45">
      <c r="A704" t="s">
        <v>15</v>
      </c>
      <c r="B704" t="s">
        <v>34</v>
      </c>
      <c r="C704" t="s">
        <v>22</v>
      </c>
      <c r="D704" s="27">
        <v>0</v>
      </c>
      <c r="E704" s="3" t="s">
        <v>41</v>
      </c>
      <c r="F704" s="23">
        <v>0</v>
      </c>
      <c r="G704" s="3" t="s">
        <v>41</v>
      </c>
      <c r="I704" s="25" t="str">
        <f t="shared" si="115"/>
        <v/>
      </c>
      <c r="J704" s="25" t="str">
        <f t="shared" si="115"/>
        <v/>
      </c>
      <c r="L704" s="3"/>
      <c r="M704" s="3"/>
    </row>
    <row r="705" spans="1:16" x14ac:dyDescent="0.45">
      <c r="A705" t="s">
        <v>16</v>
      </c>
      <c r="B705" t="s">
        <v>34</v>
      </c>
      <c r="C705" t="s">
        <v>22</v>
      </c>
      <c r="D705" s="27">
        <v>31010000</v>
      </c>
      <c r="E705" s="3" t="s">
        <v>41</v>
      </c>
      <c r="F705" s="23">
        <v>0</v>
      </c>
      <c r="G705" s="3" t="s">
        <v>41</v>
      </c>
      <c r="I705" s="25" t="str">
        <f t="shared" si="115"/>
        <v/>
      </c>
      <c r="J705" s="25" t="str">
        <f t="shared" si="115"/>
        <v/>
      </c>
      <c r="L705" s="3"/>
      <c r="M705" s="3"/>
    </row>
    <row r="706" spans="1:16" x14ac:dyDescent="0.45">
      <c r="A706" t="s">
        <v>17</v>
      </c>
      <c r="B706" t="s">
        <v>34</v>
      </c>
      <c r="C706" t="s">
        <v>22</v>
      </c>
      <c r="D706" s="27">
        <v>0</v>
      </c>
      <c r="E706" s="3" t="s">
        <v>41</v>
      </c>
      <c r="F706" s="23">
        <v>31010000</v>
      </c>
      <c r="G706" s="3" t="s">
        <v>41</v>
      </c>
      <c r="I706" s="25" t="str">
        <f t="shared" si="115"/>
        <v/>
      </c>
      <c r="J706" s="25" t="str">
        <f t="shared" si="115"/>
        <v/>
      </c>
      <c r="L706" s="3"/>
      <c r="M706" s="3"/>
    </row>
    <row r="707" spans="1:16" x14ac:dyDescent="0.45">
      <c r="A707" t="s">
        <v>18</v>
      </c>
      <c r="B707" t="s">
        <v>34</v>
      </c>
      <c r="C707" t="s">
        <v>22</v>
      </c>
      <c r="D707" s="27">
        <v>0</v>
      </c>
      <c r="E707" s="3" t="s">
        <v>41</v>
      </c>
      <c r="F707" s="23">
        <v>0</v>
      </c>
      <c r="G707" s="3" t="s">
        <v>41</v>
      </c>
      <c r="I707" s="25" t="str">
        <f t="shared" si="115"/>
        <v/>
      </c>
      <c r="J707" s="25" t="str">
        <f t="shared" si="115"/>
        <v/>
      </c>
      <c r="L707" s="3"/>
      <c r="M707" s="3"/>
    </row>
    <row r="708" spans="1:16" x14ac:dyDescent="0.45">
      <c r="A708" t="s">
        <v>19</v>
      </c>
      <c r="B708" t="s">
        <v>34</v>
      </c>
      <c r="C708" t="s">
        <v>22</v>
      </c>
      <c r="D708" s="27">
        <v>40000000</v>
      </c>
      <c r="E708" s="3" t="s">
        <v>41</v>
      </c>
      <c r="F708" s="23">
        <v>0</v>
      </c>
      <c r="G708" s="3" t="s">
        <v>41</v>
      </c>
      <c r="I708" s="25" t="str">
        <f t="shared" si="115"/>
        <v/>
      </c>
      <c r="J708" s="25" t="str">
        <f t="shared" si="115"/>
        <v/>
      </c>
      <c r="L708" s="3"/>
      <c r="M708" s="3"/>
    </row>
    <row r="709" spans="1:16" x14ac:dyDescent="0.45">
      <c r="A709" t="s">
        <v>20</v>
      </c>
      <c r="B709" t="s">
        <v>34</v>
      </c>
      <c r="C709" t="s">
        <v>22</v>
      </c>
      <c r="D709" s="27">
        <v>0</v>
      </c>
      <c r="E709" s="3" t="s">
        <v>41</v>
      </c>
      <c r="F709" s="23">
        <v>40000000</v>
      </c>
      <c r="G709" s="3" t="s">
        <v>41</v>
      </c>
      <c r="I709" s="25" t="str">
        <f t="shared" si="115"/>
        <v/>
      </c>
      <c r="J709" s="25" t="str">
        <f t="shared" si="115"/>
        <v/>
      </c>
      <c r="L709" s="3"/>
      <c r="M709" s="3"/>
    </row>
    <row r="710" spans="1:16" x14ac:dyDescent="0.45">
      <c r="A710" t="s">
        <v>7</v>
      </c>
      <c r="B710" t="s">
        <v>34</v>
      </c>
      <c r="C710" t="s">
        <v>23</v>
      </c>
      <c r="D710" s="27">
        <v>0</v>
      </c>
      <c r="E710" s="3">
        <v>2159300</v>
      </c>
      <c r="F710" s="23">
        <v>0</v>
      </c>
      <c r="G710" s="3">
        <v>2159300</v>
      </c>
      <c r="I710" s="22">
        <f t="shared" ref="I710:J710" si="124">IF(L710="","",L710)</f>
        <v>2159300</v>
      </c>
      <c r="J710" s="22">
        <f t="shared" si="124"/>
        <v>2159300</v>
      </c>
      <c r="L710" s="3">
        <v>2159300</v>
      </c>
      <c r="M710" s="3">
        <v>2159300</v>
      </c>
    </row>
    <row r="711" spans="1:16" x14ac:dyDescent="0.45">
      <c r="A711" t="s">
        <v>10</v>
      </c>
      <c r="B711" t="s">
        <v>34</v>
      </c>
      <c r="C711" t="s">
        <v>23</v>
      </c>
      <c r="D711" s="28">
        <v>0</v>
      </c>
      <c r="E711" s="4">
        <v>0</v>
      </c>
      <c r="F711" s="24">
        <v>0</v>
      </c>
      <c r="G711" s="4">
        <v>0</v>
      </c>
      <c r="I711" s="25">
        <f t="shared" ref="I711:J711" si="125">IF(L711="","",L711-L710)</f>
        <v>0</v>
      </c>
      <c r="J711" s="25">
        <f t="shared" si="125"/>
        <v>0</v>
      </c>
      <c r="L711" s="4">
        <v>2159300</v>
      </c>
      <c r="M711" s="4">
        <v>2159300</v>
      </c>
    </row>
    <row r="712" spans="1:16" x14ac:dyDescent="0.45">
      <c r="A712" t="s">
        <v>11</v>
      </c>
      <c r="B712" t="s">
        <v>34</v>
      </c>
      <c r="C712" t="s">
        <v>23</v>
      </c>
      <c r="D712" s="27">
        <v>0</v>
      </c>
      <c r="E712" s="3">
        <v>0</v>
      </c>
      <c r="F712" s="23">
        <v>0</v>
      </c>
      <c r="G712" s="3">
        <v>0</v>
      </c>
      <c r="I712" s="25">
        <f t="shared" si="115"/>
        <v>0</v>
      </c>
      <c r="J712" s="25">
        <f t="shared" si="115"/>
        <v>0</v>
      </c>
      <c r="L712" s="29">
        <f>SUMIFS(Pivot_!C:C,Pivot_!A:A,'Hitung Per Bulan'!B712,Pivot_!B:B,'Hitung Per Bulan'!C712)</f>
        <v>2159300</v>
      </c>
      <c r="M712" s="29">
        <f>SUMIFS(Pivot_!D:D,Pivot_!A:A,'Hitung Per Bulan'!B712,Pivot_!B:B,'Hitung Per Bulan'!C712)</f>
        <v>2159300</v>
      </c>
    </row>
    <row r="713" spans="1:16" x14ac:dyDescent="0.45">
      <c r="A713" t="s">
        <v>12</v>
      </c>
      <c r="B713" t="s">
        <v>34</v>
      </c>
      <c r="C713" t="s">
        <v>23</v>
      </c>
      <c r="D713" s="27">
        <v>15000000</v>
      </c>
      <c r="E713" s="3" t="s">
        <v>41</v>
      </c>
      <c r="F713" s="23">
        <v>0</v>
      </c>
      <c r="G713" s="3" t="s">
        <v>41</v>
      </c>
      <c r="I713" s="25" t="str">
        <f t="shared" si="115"/>
        <v/>
      </c>
      <c r="J713" s="25" t="str">
        <f t="shared" si="115"/>
        <v/>
      </c>
      <c r="L713" s="29"/>
      <c r="M713" s="29"/>
      <c r="O713" s="72"/>
      <c r="P713" s="72"/>
    </row>
    <row r="714" spans="1:16" x14ac:dyDescent="0.45">
      <c r="A714" t="s">
        <v>13</v>
      </c>
      <c r="B714" t="s">
        <v>34</v>
      </c>
      <c r="C714" t="s">
        <v>23</v>
      </c>
      <c r="D714" s="27">
        <v>40000000</v>
      </c>
      <c r="E714" s="3" t="s">
        <v>41</v>
      </c>
      <c r="F714" s="23">
        <v>0</v>
      </c>
      <c r="G714" s="3" t="s">
        <v>41</v>
      </c>
      <c r="I714" s="25" t="str">
        <f t="shared" si="115"/>
        <v/>
      </c>
      <c r="J714" s="25" t="str">
        <f t="shared" si="115"/>
        <v/>
      </c>
      <c r="L714" s="3"/>
      <c r="M714" s="3"/>
    </row>
    <row r="715" spans="1:16" x14ac:dyDescent="0.45">
      <c r="A715" t="s">
        <v>14</v>
      </c>
      <c r="B715" t="s">
        <v>34</v>
      </c>
      <c r="C715" t="s">
        <v>23</v>
      </c>
      <c r="D715" s="27">
        <v>45000000</v>
      </c>
      <c r="E715" s="3" t="s">
        <v>41</v>
      </c>
      <c r="F715" s="23">
        <v>40000000</v>
      </c>
      <c r="G715" s="3" t="s">
        <v>41</v>
      </c>
      <c r="I715" s="25" t="str">
        <f t="shared" si="115"/>
        <v/>
      </c>
      <c r="J715" s="25" t="str">
        <f t="shared" si="115"/>
        <v/>
      </c>
      <c r="L715" s="3"/>
      <c r="M715" s="3"/>
    </row>
    <row r="716" spans="1:16" x14ac:dyDescent="0.45">
      <c r="A716" t="s">
        <v>15</v>
      </c>
      <c r="B716" t="s">
        <v>34</v>
      </c>
      <c r="C716" t="s">
        <v>23</v>
      </c>
      <c r="D716" s="27">
        <v>0</v>
      </c>
      <c r="E716" s="3" t="s">
        <v>41</v>
      </c>
      <c r="F716" s="23">
        <v>0</v>
      </c>
      <c r="G716" s="3" t="s">
        <v>41</v>
      </c>
      <c r="I716" s="25" t="str">
        <f t="shared" si="115"/>
        <v/>
      </c>
      <c r="J716" s="25" t="str">
        <f t="shared" si="115"/>
        <v/>
      </c>
      <c r="L716" s="3"/>
      <c r="M716" s="3"/>
    </row>
    <row r="717" spans="1:16" x14ac:dyDescent="0.45">
      <c r="A717" t="s">
        <v>16</v>
      </c>
      <c r="B717" t="s">
        <v>34</v>
      </c>
      <c r="C717" t="s">
        <v>23</v>
      </c>
      <c r="D717" s="27">
        <v>0</v>
      </c>
      <c r="E717" s="3" t="s">
        <v>41</v>
      </c>
      <c r="F717" s="23">
        <v>30000000</v>
      </c>
      <c r="G717" s="3" t="s">
        <v>41</v>
      </c>
      <c r="I717" s="25" t="str">
        <f t="shared" si="115"/>
        <v/>
      </c>
      <c r="J717" s="25" t="str">
        <f t="shared" si="115"/>
        <v/>
      </c>
      <c r="L717" s="3"/>
      <c r="M717" s="3"/>
    </row>
    <row r="718" spans="1:16" x14ac:dyDescent="0.45">
      <c r="A718" t="s">
        <v>17</v>
      </c>
      <c r="B718" t="s">
        <v>34</v>
      </c>
      <c r="C718" t="s">
        <v>23</v>
      </c>
      <c r="D718" s="27">
        <v>0</v>
      </c>
      <c r="E718" s="3" t="s">
        <v>41</v>
      </c>
      <c r="F718" s="23">
        <v>0</v>
      </c>
      <c r="G718" s="3" t="s">
        <v>41</v>
      </c>
      <c r="I718" s="25" t="str">
        <f t="shared" si="115"/>
        <v/>
      </c>
      <c r="J718" s="25" t="str">
        <f t="shared" si="115"/>
        <v/>
      </c>
      <c r="L718" s="3"/>
      <c r="M718" s="3"/>
    </row>
    <row r="719" spans="1:16" x14ac:dyDescent="0.45">
      <c r="A719" t="s">
        <v>18</v>
      </c>
      <c r="B719" t="s">
        <v>34</v>
      </c>
      <c r="C719" t="s">
        <v>23</v>
      </c>
      <c r="D719" s="27">
        <v>0</v>
      </c>
      <c r="E719" s="3" t="s">
        <v>41</v>
      </c>
      <c r="F719" s="23">
        <v>0</v>
      </c>
      <c r="G719" s="3" t="s">
        <v>41</v>
      </c>
      <c r="I719" s="25" t="str">
        <f t="shared" ref="I719:J781" si="126">IF(L719="","",L719-L718)</f>
        <v/>
      </c>
      <c r="J719" s="25" t="str">
        <f t="shared" si="126"/>
        <v/>
      </c>
      <c r="L719" s="3"/>
      <c r="M719" s="3"/>
    </row>
    <row r="720" spans="1:16" x14ac:dyDescent="0.45">
      <c r="A720" t="s">
        <v>19</v>
      </c>
      <c r="B720" t="s">
        <v>34</v>
      </c>
      <c r="C720" t="s">
        <v>23</v>
      </c>
      <c r="D720" s="27">
        <v>0</v>
      </c>
      <c r="E720" s="3" t="s">
        <v>41</v>
      </c>
      <c r="F720" s="23">
        <v>30000000</v>
      </c>
      <c r="G720" s="3" t="s">
        <v>41</v>
      </c>
      <c r="I720" s="25" t="str">
        <f t="shared" si="126"/>
        <v/>
      </c>
      <c r="J720" s="25" t="str">
        <f t="shared" si="126"/>
        <v/>
      </c>
      <c r="L720" s="3"/>
      <c r="M720" s="3"/>
    </row>
    <row r="721" spans="1:16" x14ac:dyDescent="0.45">
      <c r="A721" t="s">
        <v>20</v>
      </c>
      <c r="B721" t="s">
        <v>34</v>
      </c>
      <c r="C721" t="s">
        <v>23</v>
      </c>
      <c r="D721" s="27">
        <v>0</v>
      </c>
      <c r="E721" s="3" t="s">
        <v>41</v>
      </c>
      <c r="F721" s="23">
        <v>0</v>
      </c>
      <c r="G721" s="3" t="s">
        <v>41</v>
      </c>
      <c r="I721" s="25" t="str">
        <f t="shared" si="126"/>
        <v/>
      </c>
      <c r="J721" s="25" t="str">
        <f t="shared" si="126"/>
        <v/>
      </c>
      <c r="L721" s="3"/>
      <c r="M721" s="3"/>
    </row>
    <row r="722" spans="1:16" x14ac:dyDescent="0.45">
      <c r="A722" t="s">
        <v>7</v>
      </c>
      <c r="B722" t="s">
        <v>34</v>
      </c>
      <c r="C722" t="s">
        <v>24</v>
      </c>
      <c r="D722" s="27">
        <v>0</v>
      </c>
      <c r="E722" s="3">
        <v>0</v>
      </c>
      <c r="F722" s="23">
        <v>0</v>
      </c>
      <c r="G722" s="3">
        <v>0</v>
      </c>
      <c r="I722" s="22">
        <f t="shared" ref="I722:J722" si="127">IF(L722="","",L722)</f>
        <v>0</v>
      </c>
      <c r="J722" s="22">
        <f t="shared" si="127"/>
        <v>0</v>
      </c>
      <c r="L722" s="3">
        <v>0</v>
      </c>
      <c r="M722" s="3">
        <v>0</v>
      </c>
    </row>
    <row r="723" spans="1:16" x14ac:dyDescent="0.45">
      <c r="A723" t="s">
        <v>10</v>
      </c>
      <c r="B723" t="s">
        <v>34</v>
      </c>
      <c r="C723" t="s">
        <v>24</v>
      </c>
      <c r="D723" s="28">
        <v>0</v>
      </c>
      <c r="E723" s="4">
        <v>0</v>
      </c>
      <c r="F723" s="24">
        <v>0</v>
      </c>
      <c r="G723" s="4">
        <v>0</v>
      </c>
      <c r="I723" s="25">
        <f t="shared" ref="I723:J723" si="128">IF(L723="","",L723-L722)</f>
        <v>0</v>
      </c>
      <c r="J723" s="25">
        <f t="shared" si="128"/>
        <v>0</v>
      </c>
      <c r="L723" s="4">
        <v>0</v>
      </c>
      <c r="M723" s="4">
        <v>0</v>
      </c>
    </row>
    <row r="724" spans="1:16" x14ac:dyDescent="0.45">
      <c r="A724" t="s">
        <v>11</v>
      </c>
      <c r="B724" t="s">
        <v>34</v>
      </c>
      <c r="C724" t="s">
        <v>24</v>
      </c>
      <c r="D724" s="27">
        <v>0</v>
      </c>
      <c r="E724" s="3">
        <v>0</v>
      </c>
      <c r="F724" s="23">
        <v>0</v>
      </c>
      <c r="G724" s="3">
        <v>0</v>
      </c>
      <c r="I724" s="25">
        <f t="shared" si="126"/>
        <v>0</v>
      </c>
      <c r="J724" s="25">
        <f t="shared" si="126"/>
        <v>0</v>
      </c>
      <c r="L724" s="29">
        <f>SUMIFS(Pivot_!C:C,Pivot_!A:A,'Hitung Per Bulan'!B724,Pivot_!B:B,'Hitung Per Bulan'!C724)</f>
        <v>0</v>
      </c>
      <c r="M724" s="29">
        <f>SUMIFS(Pivot_!D:D,Pivot_!A:A,'Hitung Per Bulan'!B724,Pivot_!B:B,'Hitung Per Bulan'!C724)</f>
        <v>0</v>
      </c>
    </row>
    <row r="725" spans="1:16" x14ac:dyDescent="0.45">
      <c r="A725" t="s">
        <v>12</v>
      </c>
      <c r="B725" t="s">
        <v>34</v>
      </c>
      <c r="C725" t="s">
        <v>24</v>
      </c>
      <c r="D725" s="27">
        <v>0</v>
      </c>
      <c r="E725" s="3" t="s">
        <v>41</v>
      </c>
      <c r="F725" s="23">
        <v>0</v>
      </c>
      <c r="G725" s="3" t="s">
        <v>41</v>
      </c>
      <c r="I725" s="25" t="str">
        <f t="shared" si="126"/>
        <v/>
      </c>
      <c r="J725" s="25" t="str">
        <f t="shared" si="126"/>
        <v/>
      </c>
      <c r="L725" s="29"/>
      <c r="M725" s="29"/>
      <c r="O725" s="72"/>
      <c r="P725" s="72"/>
    </row>
    <row r="726" spans="1:16" x14ac:dyDescent="0.45">
      <c r="A726" t="s">
        <v>13</v>
      </c>
      <c r="B726" t="s">
        <v>34</v>
      </c>
      <c r="C726" t="s">
        <v>24</v>
      </c>
      <c r="D726" s="27">
        <v>0</v>
      </c>
      <c r="E726" s="3" t="s">
        <v>41</v>
      </c>
      <c r="F726" s="23">
        <v>0</v>
      </c>
      <c r="G726" s="3" t="s">
        <v>41</v>
      </c>
      <c r="I726" s="25" t="str">
        <f t="shared" si="126"/>
        <v/>
      </c>
      <c r="J726" s="25" t="str">
        <f t="shared" si="126"/>
        <v/>
      </c>
      <c r="L726" s="3"/>
      <c r="M726" s="3"/>
    </row>
    <row r="727" spans="1:16" x14ac:dyDescent="0.45">
      <c r="A727" t="s">
        <v>14</v>
      </c>
      <c r="B727" t="s">
        <v>34</v>
      </c>
      <c r="C727" t="s">
        <v>24</v>
      </c>
      <c r="D727" s="27">
        <v>0</v>
      </c>
      <c r="E727" s="3" t="s">
        <v>41</v>
      </c>
      <c r="F727" s="23">
        <v>0</v>
      </c>
      <c r="G727" s="3" t="s">
        <v>41</v>
      </c>
      <c r="I727" s="25" t="str">
        <f t="shared" si="126"/>
        <v/>
      </c>
      <c r="J727" s="25" t="str">
        <f t="shared" si="126"/>
        <v/>
      </c>
      <c r="L727" s="3"/>
      <c r="M727" s="3"/>
    </row>
    <row r="728" spans="1:16" x14ac:dyDescent="0.45">
      <c r="A728" t="s">
        <v>15</v>
      </c>
      <c r="B728" t="s">
        <v>34</v>
      </c>
      <c r="C728" t="s">
        <v>24</v>
      </c>
      <c r="D728" s="27">
        <v>0</v>
      </c>
      <c r="E728" s="3" t="s">
        <v>41</v>
      </c>
      <c r="F728" s="23">
        <v>0</v>
      </c>
      <c r="G728" s="3" t="s">
        <v>41</v>
      </c>
      <c r="I728" s="25" t="str">
        <f t="shared" si="126"/>
        <v/>
      </c>
      <c r="J728" s="25" t="str">
        <f t="shared" si="126"/>
        <v/>
      </c>
      <c r="L728" s="3"/>
      <c r="M728" s="3"/>
    </row>
    <row r="729" spans="1:16" x14ac:dyDescent="0.45">
      <c r="A729" t="s">
        <v>16</v>
      </c>
      <c r="B729" t="s">
        <v>34</v>
      </c>
      <c r="C729" t="s">
        <v>24</v>
      </c>
      <c r="D729" s="27">
        <v>0</v>
      </c>
      <c r="E729" s="3" t="s">
        <v>41</v>
      </c>
      <c r="F729" s="23">
        <v>0</v>
      </c>
      <c r="G729" s="3" t="s">
        <v>41</v>
      </c>
      <c r="I729" s="25" t="str">
        <f t="shared" si="126"/>
        <v/>
      </c>
      <c r="J729" s="25" t="str">
        <f t="shared" si="126"/>
        <v/>
      </c>
      <c r="L729" s="3"/>
      <c r="M729" s="3"/>
    </row>
    <row r="730" spans="1:16" x14ac:dyDescent="0.45">
      <c r="A730" t="s">
        <v>17</v>
      </c>
      <c r="B730" t="s">
        <v>34</v>
      </c>
      <c r="C730" t="s">
        <v>24</v>
      </c>
      <c r="D730" s="27">
        <v>0</v>
      </c>
      <c r="E730" s="3" t="s">
        <v>41</v>
      </c>
      <c r="F730" s="23">
        <v>0</v>
      </c>
      <c r="G730" s="3" t="s">
        <v>41</v>
      </c>
      <c r="I730" s="25" t="str">
        <f t="shared" si="126"/>
        <v/>
      </c>
      <c r="J730" s="25" t="str">
        <f t="shared" si="126"/>
        <v/>
      </c>
      <c r="L730" s="3"/>
      <c r="M730" s="3"/>
    </row>
    <row r="731" spans="1:16" x14ac:dyDescent="0.45">
      <c r="A731" t="s">
        <v>18</v>
      </c>
      <c r="B731" t="s">
        <v>34</v>
      </c>
      <c r="C731" t="s">
        <v>24</v>
      </c>
      <c r="D731" s="27">
        <v>0</v>
      </c>
      <c r="E731" s="3" t="s">
        <v>41</v>
      </c>
      <c r="F731" s="23">
        <v>0</v>
      </c>
      <c r="G731" s="3" t="s">
        <v>41</v>
      </c>
      <c r="I731" s="25" t="str">
        <f t="shared" si="126"/>
        <v/>
      </c>
      <c r="J731" s="25" t="str">
        <f t="shared" si="126"/>
        <v/>
      </c>
      <c r="L731" s="3"/>
      <c r="M731" s="3"/>
    </row>
    <row r="732" spans="1:16" x14ac:dyDescent="0.45">
      <c r="A732" t="s">
        <v>19</v>
      </c>
      <c r="B732" t="s">
        <v>34</v>
      </c>
      <c r="C732" t="s">
        <v>24</v>
      </c>
      <c r="D732" s="27">
        <v>0</v>
      </c>
      <c r="E732" s="3" t="s">
        <v>41</v>
      </c>
      <c r="F732" s="23">
        <v>0</v>
      </c>
      <c r="G732" s="3" t="s">
        <v>41</v>
      </c>
      <c r="I732" s="25" t="str">
        <f t="shared" si="126"/>
        <v/>
      </c>
      <c r="J732" s="25" t="str">
        <f t="shared" si="126"/>
        <v/>
      </c>
      <c r="L732" s="3"/>
      <c r="M732" s="3"/>
    </row>
    <row r="733" spans="1:16" x14ac:dyDescent="0.45">
      <c r="A733" t="s">
        <v>20</v>
      </c>
      <c r="B733" t="s">
        <v>34</v>
      </c>
      <c r="C733" t="s">
        <v>24</v>
      </c>
      <c r="D733" s="27">
        <v>0</v>
      </c>
      <c r="E733" s="3" t="s">
        <v>41</v>
      </c>
      <c r="F733" s="23">
        <v>0</v>
      </c>
      <c r="G733" s="3" t="s">
        <v>41</v>
      </c>
      <c r="I733" s="25" t="str">
        <f t="shared" si="126"/>
        <v/>
      </c>
      <c r="J733" s="25" t="str">
        <f t="shared" si="126"/>
        <v/>
      </c>
      <c r="L733" s="3"/>
      <c r="M733" s="3"/>
    </row>
    <row r="734" spans="1:16" x14ac:dyDescent="0.45">
      <c r="A734" t="s">
        <v>7</v>
      </c>
      <c r="B734" t="s">
        <v>34</v>
      </c>
      <c r="C734" t="s">
        <v>25</v>
      </c>
      <c r="D734" s="27">
        <v>33367000</v>
      </c>
      <c r="E734" s="3">
        <v>69661093</v>
      </c>
      <c r="F734" s="23">
        <v>33367000</v>
      </c>
      <c r="G734" s="3">
        <v>13701000</v>
      </c>
      <c r="I734" s="22">
        <f t="shared" ref="I734:J734" si="129">IF(L734="","",L734)</f>
        <v>69661093</v>
      </c>
      <c r="J734" s="22">
        <f t="shared" si="129"/>
        <v>13701000</v>
      </c>
      <c r="L734" s="3">
        <v>69661093</v>
      </c>
      <c r="M734" s="3">
        <v>13701000</v>
      </c>
    </row>
    <row r="735" spans="1:16" x14ac:dyDescent="0.45">
      <c r="A735" t="s">
        <v>10</v>
      </c>
      <c r="B735" t="s">
        <v>34</v>
      </c>
      <c r="C735" t="s">
        <v>25</v>
      </c>
      <c r="D735" s="28">
        <v>41156000</v>
      </c>
      <c r="E735" s="4">
        <v>43215908</v>
      </c>
      <c r="F735" s="24">
        <v>41156000</v>
      </c>
      <c r="G735" s="4">
        <v>32679201</v>
      </c>
      <c r="I735" s="25">
        <f t="shared" ref="I735:J735" si="130">IF(L735="","",L735-L734)</f>
        <v>43215908</v>
      </c>
      <c r="J735" s="25">
        <f t="shared" si="130"/>
        <v>32679201</v>
      </c>
      <c r="L735" s="4">
        <v>112877001</v>
      </c>
      <c r="M735" s="4">
        <v>46380201</v>
      </c>
    </row>
    <row r="736" spans="1:16" x14ac:dyDescent="0.45">
      <c r="A736" t="s">
        <v>11</v>
      </c>
      <c r="B736" t="s">
        <v>34</v>
      </c>
      <c r="C736" t="s">
        <v>25</v>
      </c>
      <c r="D736" s="27">
        <v>177499000</v>
      </c>
      <c r="E736" s="3">
        <v>7637500</v>
      </c>
      <c r="F736" s="23">
        <v>42499000</v>
      </c>
      <c r="G736" s="3">
        <v>17972500</v>
      </c>
      <c r="I736" s="25">
        <f t="shared" si="126"/>
        <v>50852635</v>
      </c>
      <c r="J736" s="25">
        <f t="shared" si="126"/>
        <v>71212935</v>
      </c>
      <c r="L736" s="29">
        <f>SUMIFS(Pivot_!C:C,Pivot_!A:A,'Hitung Per Bulan'!B736,Pivot_!B:B,'Hitung Per Bulan'!C736)</f>
        <v>163729636</v>
      </c>
      <c r="M736" s="29">
        <f>SUMIFS(Pivot_!D:D,Pivot_!A:A,'Hitung Per Bulan'!B736,Pivot_!B:B,'Hitung Per Bulan'!C736)</f>
        <v>117593136</v>
      </c>
    </row>
    <row r="737" spans="1:16" x14ac:dyDescent="0.45">
      <c r="A737" t="s">
        <v>12</v>
      </c>
      <c r="B737" t="s">
        <v>34</v>
      </c>
      <c r="C737" t="s">
        <v>25</v>
      </c>
      <c r="D737" s="27">
        <v>110151000</v>
      </c>
      <c r="E737" s="3" t="s">
        <v>41</v>
      </c>
      <c r="F737" s="23">
        <v>110151000</v>
      </c>
      <c r="G737" s="3" t="s">
        <v>41</v>
      </c>
      <c r="I737" s="25" t="str">
        <f t="shared" si="126"/>
        <v/>
      </c>
      <c r="J737" s="25" t="str">
        <f t="shared" si="126"/>
        <v/>
      </c>
      <c r="L737" s="29"/>
      <c r="M737" s="29"/>
      <c r="O737" s="72"/>
      <c r="P737" s="72"/>
    </row>
    <row r="738" spans="1:16" x14ac:dyDescent="0.45">
      <c r="A738" t="s">
        <v>13</v>
      </c>
      <c r="B738" t="s">
        <v>34</v>
      </c>
      <c r="C738" t="s">
        <v>25</v>
      </c>
      <c r="D738" s="27">
        <v>111156000</v>
      </c>
      <c r="E738" s="3" t="s">
        <v>41</v>
      </c>
      <c r="F738" s="23">
        <v>111156000</v>
      </c>
      <c r="G738" s="3" t="s">
        <v>41</v>
      </c>
      <c r="I738" s="25" t="str">
        <f t="shared" si="126"/>
        <v/>
      </c>
      <c r="J738" s="25" t="str">
        <f t="shared" si="126"/>
        <v/>
      </c>
      <c r="L738" s="3"/>
      <c r="M738" s="3"/>
    </row>
    <row r="739" spans="1:16" x14ac:dyDescent="0.45">
      <c r="A739" t="s">
        <v>14</v>
      </c>
      <c r="B739" t="s">
        <v>34</v>
      </c>
      <c r="C739" t="s">
        <v>25</v>
      </c>
      <c r="D739" s="27">
        <v>277041000</v>
      </c>
      <c r="E739" s="3" t="s">
        <v>41</v>
      </c>
      <c r="F739" s="23">
        <v>277041000</v>
      </c>
      <c r="G739" s="3" t="s">
        <v>41</v>
      </c>
      <c r="I739" s="25" t="str">
        <f t="shared" si="126"/>
        <v/>
      </c>
      <c r="J739" s="25" t="str">
        <f t="shared" si="126"/>
        <v/>
      </c>
      <c r="L739" s="3"/>
      <c r="M739" s="3"/>
    </row>
    <row r="740" spans="1:16" x14ac:dyDescent="0.45">
      <c r="A740" t="s">
        <v>15</v>
      </c>
      <c r="B740" t="s">
        <v>34</v>
      </c>
      <c r="C740" t="s">
        <v>25</v>
      </c>
      <c r="D740" s="27">
        <v>100908000</v>
      </c>
      <c r="E740" s="3" t="s">
        <v>41</v>
      </c>
      <c r="F740" s="23">
        <v>100908000</v>
      </c>
      <c r="G740" s="3" t="s">
        <v>41</v>
      </c>
      <c r="I740" s="25" t="str">
        <f t="shared" si="126"/>
        <v/>
      </c>
      <c r="J740" s="25" t="str">
        <f t="shared" si="126"/>
        <v/>
      </c>
      <c r="L740" s="3"/>
      <c r="M740" s="3"/>
    </row>
    <row r="741" spans="1:16" x14ac:dyDescent="0.45">
      <c r="A741" t="s">
        <v>16</v>
      </c>
      <c r="B741" t="s">
        <v>34</v>
      </c>
      <c r="C741" t="s">
        <v>25</v>
      </c>
      <c r="D741" s="27">
        <v>45146000</v>
      </c>
      <c r="E741" s="3" t="s">
        <v>41</v>
      </c>
      <c r="F741" s="23">
        <v>180146000</v>
      </c>
      <c r="G741" s="3" t="s">
        <v>41</v>
      </c>
      <c r="I741" s="25" t="str">
        <f t="shared" si="126"/>
        <v/>
      </c>
      <c r="J741" s="25" t="str">
        <f t="shared" si="126"/>
        <v/>
      </c>
      <c r="L741" s="3"/>
      <c r="M741" s="3"/>
    </row>
    <row r="742" spans="1:16" x14ac:dyDescent="0.45">
      <c r="A742" t="s">
        <v>17</v>
      </c>
      <c r="B742" t="s">
        <v>34</v>
      </c>
      <c r="C742" t="s">
        <v>25</v>
      </c>
      <c r="D742" s="27">
        <v>121144000</v>
      </c>
      <c r="E742" s="3" t="s">
        <v>41</v>
      </c>
      <c r="F742" s="23">
        <v>34744000</v>
      </c>
      <c r="G742" s="3" t="s">
        <v>41</v>
      </c>
      <c r="I742" s="25" t="str">
        <f t="shared" si="126"/>
        <v/>
      </c>
      <c r="J742" s="25" t="str">
        <f t="shared" si="126"/>
        <v/>
      </c>
      <c r="L742" s="3"/>
      <c r="M742" s="3"/>
    </row>
    <row r="743" spans="1:16" x14ac:dyDescent="0.45">
      <c r="A743" t="s">
        <v>18</v>
      </c>
      <c r="B743" t="s">
        <v>34</v>
      </c>
      <c r="C743" t="s">
        <v>25</v>
      </c>
      <c r="D743" s="27">
        <v>62392000</v>
      </c>
      <c r="E743" s="3" t="s">
        <v>41</v>
      </c>
      <c r="F743" s="23">
        <v>62392000</v>
      </c>
      <c r="G743" s="3" t="s">
        <v>41</v>
      </c>
      <c r="I743" s="25" t="str">
        <f t="shared" si="126"/>
        <v/>
      </c>
      <c r="J743" s="25" t="str">
        <f t="shared" si="126"/>
        <v/>
      </c>
      <c r="L743" s="3"/>
      <c r="M743" s="3"/>
    </row>
    <row r="744" spans="1:16" x14ac:dyDescent="0.45">
      <c r="A744" t="s">
        <v>19</v>
      </c>
      <c r="B744" t="s">
        <v>34</v>
      </c>
      <c r="C744" t="s">
        <v>25</v>
      </c>
      <c r="D744" s="27">
        <v>101346000</v>
      </c>
      <c r="E744" s="3" t="s">
        <v>41</v>
      </c>
      <c r="F744" s="23">
        <v>101346000</v>
      </c>
      <c r="G744" s="3" t="s">
        <v>41</v>
      </c>
      <c r="I744" s="25" t="str">
        <f t="shared" si="126"/>
        <v/>
      </c>
      <c r="J744" s="25" t="str">
        <f t="shared" si="126"/>
        <v/>
      </c>
      <c r="L744" s="3"/>
      <c r="M744" s="3"/>
    </row>
    <row r="745" spans="1:16" x14ac:dyDescent="0.45">
      <c r="A745" t="s">
        <v>20</v>
      </c>
      <c r="B745" t="s">
        <v>34</v>
      </c>
      <c r="C745" t="s">
        <v>25</v>
      </c>
      <c r="D745" s="27">
        <v>35552000</v>
      </c>
      <c r="E745" s="3" t="s">
        <v>41</v>
      </c>
      <c r="F745" s="23">
        <v>121952000</v>
      </c>
      <c r="G745" s="3" t="s">
        <v>41</v>
      </c>
      <c r="I745" s="25" t="str">
        <f t="shared" si="126"/>
        <v/>
      </c>
      <c r="J745" s="25" t="str">
        <f t="shared" si="126"/>
        <v/>
      </c>
      <c r="L745" s="3"/>
      <c r="M745" s="3"/>
    </row>
    <row r="746" spans="1:16" x14ac:dyDescent="0.45">
      <c r="A746" t="s">
        <v>7</v>
      </c>
      <c r="B746" t="s">
        <v>34</v>
      </c>
      <c r="C746" t="s">
        <v>26</v>
      </c>
      <c r="D746" s="27">
        <v>192500000</v>
      </c>
      <c r="E746" s="3">
        <v>143058335</v>
      </c>
      <c r="F746" s="23">
        <v>192500000</v>
      </c>
      <c r="G746" s="3">
        <v>143058335</v>
      </c>
      <c r="I746" s="22">
        <f t="shared" ref="I746:J746" si="131">IF(L746="","",L746)</f>
        <v>143058335</v>
      </c>
      <c r="J746" s="22">
        <f t="shared" si="131"/>
        <v>143058335</v>
      </c>
      <c r="L746" s="3">
        <v>143058335</v>
      </c>
      <c r="M746" s="3">
        <v>143058335</v>
      </c>
    </row>
    <row r="747" spans="1:16" x14ac:dyDescent="0.45">
      <c r="A747" t="s">
        <v>10</v>
      </c>
      <c r="B747" t="s">
        <v>34</v>
      </c>
      <c r="C747" t="s">
        <v>26</v>
      </c>
      <c r="D747" s="28">
        <v>192500000</v>
      </c>
      <c r="E747" s="4">
        <v>141087260</v>
      </c>
      <c r="F747" s="24">
        <v>192500000</v>
      </c>
      <c r="G747" s="4">
        <v>141087260</v>
      </c>
      <c r="I747" s="25">
        <f t="shared" ref="I747:J747" si="132">IF(L747="","",L747-L746)</f>
        <v>141087260</v>
      </c>
      <c r="J747" s="25">
        <f t="shared" si="132"/>
        <v>141087260</v>
      </c>
      <c r="L747" s="4">
        <v>284145595</v>
      </c>
      <c r="M747" s="4">
        <v>284145595</v>
      </c>
    </row>
    <row r="748" spans="1:16" x14ac:dyDescent="0.45">
      <c r="A748" t="s">
        <v>11</v>
      </c>
      <c r="B748" t="s">
        <v>34</v>
      </c>
      <c r="C748" t="s">
        <v>26</v>
      </c>
      <c r="D748" s="27">
        <v>192500000</v>
      </c>
      <c r="E748" s="3">
        <v>0</v>
      </c>
      <c r="F748" s="23">
        <v>192500000</v>
      </c>
      <c r="G748" s="3">
        <v>0</v>
      </c>
      <c r="I748" s="25">
        <f t="shared" si="126"/>
        <v>123653567</v>
      </c>
      <c r="J748" s="25">
        <f t="shared" si="126"/>
        <v>123653567</v>
      </c>
      <c r="L748" s="29">
        <f>SUMIFS(Pivot_!C:C,Pivot_!A:A,'Hitung Per Bulan'!B748,Pivot_!B:B,'Hitung Per Bulan'!C748)</f>
        <v>407799162</v>
      </c>
      <c r="M748" s="29">
        <f>SUMIFS(Pivot_!D:D,Pivot_!A:A,'Hitung Per Bulan'!B748,Pivot_!B:B,'Hitung Per Bulan'!C748)</f>
        <v>407799162</v>
      </c>
    </row>
    <row r="749" spans="1:16" x14ac:dyDescent="0.45">
      <c r="A749" t="s">
        <v>12</v>
      </c>
      <c r="B749" t="s">
        <v>34</v>
      </c>
      <c r="C749" t="s">
        <v>26</v>
      </c>
      <c r="D749" s="27">
        <v>192500000</v>
      </c>
      <c r="E749" s="3" t="s">
        <v>41</v>
      </c>
      <c r="F749" s="23">
        <v>192500000</v>
      </c>
      <c r="G749" s="3" t="s">
        <v>41</v>
      </c>
      <c r="I749" s="25" t="str">
        <f t="shared" si="126"/>
        <v/>
      </c>
      <c r="J749" s="25" t="str">
        <f t="shared" si="126"/>
        <v/>
      </c>
      <c r="L749" s="29"/>
      <c r="M749" s="29"/>
      <c r="O749" s="72"/>
      <c r="P749" s="72"/>
    </row>
    <row r="750" spans="1:16" x14ac:dyDescent="0.45">
      <c r="A750" t="s">
        <v>13</v>
      </c>
      <c r="B750" t="s">
        <v>34</v>
      </c>
      <c r="C750" t="s">
        <v>26</v>
      </c>
      <c r="D750" s="27">
        <v>192500000</v>
      </c>
      <c r="E750" s="3" t="s">
        <v>41</v>
      </c>
      <c r="F750" s="23">
        <v>192500000</v>
      </c>
      <c r="G750" s="3" t="s">
        <v>41</v>
      </c>
      <c r="I750" s="25" t="str">
        <f t="shared" si="126"/>
        <v/>
      </c>
      <c r="J750" s="25" t="str">
        <f t="shared" si="126"/>
        <v/>
      </c>
      <c r="L750" s="3"/>
      <c r="M750" s="3"/>
    </row>
    <row r="751" spans="1:16" x14ac:dyDescent="0.45">
      <c r="A751" t="s">
        <v>14</v>
      </c>
      <c r="B751" t="s">
        <v>34</v>
      </c>
      <c r="C751" t="s">
        <v>26</v>
      </c>
      <c r="D751" s="27">
        <v>192500000</v>
      </c>
      <c r="E751" s="3" t="s">
        <v>41</v>
      </c>
      <c r="F751" s="23">
        <v>192500000</v>
      </c>
      <c r="G751" s="3" t="s">
        <v>41</v>
      </c>
      <c r="I751" s="25" t="str">
        <f t="shared" si="126"/>
        <v/>
      </c>
      <c r="J751" s="25" t="str">
        <f t="shared" si="126"/>
        <v/>
      </c>
      <c r="L751" s="3"/>
      <c r="M751" s="3"/>
    </row>
    <row r="752" spans="1:16" x14ac:dyDescent="0.45">
      <c r="A752" t="s">
        <v>15</v>
      </c>
      <c r="B752" t="s">
        <v>34</v>
      </c>
      <c r="C752" t="s">
        <v>26</v>
      </c>
      <c r="D752" s="27">
        <v>192500000</v>
      </c>
      <c r="E752" s="3" t="s">
        <v>41</v>
      </c>
      <c r="F752" s="23">
        <v>192500000</v>
      </c>
      <c r="G752" s="3" t="s">
        <v>41</v>
      </c>
      <c r="I752" s="25" t="str">
        <f t="shared" si="126"/>
        <v/>
      </c>
      <c r="J752" s="25" t="str">
        <f t="shared" si="126"/>
        <v/>
      </c>
      <c r="L752" s="3"/>
      <c r="M752" s="3"/>
    </row>
    <row r="753" spans="1:16" x14ac:dyDescent="0.45">
      <c r="A753" t="s">
        <v>16</v>
      </c>
      <c r="B753" t="s">
        <v>34</v>
      </c>
      <c r="C753" t="s">
        <v>26</v>
      </c>
      <c r="D753" s="27">
        <v>192500000</v>
      </c>
      <c r="E753" s="3" t="s">
        <v>41</v>
      </c>
      <c r="F753" s="23">
        <v>192500000</v>
      </c>
      <c r="G753" s="3" t="s">
        <v>41</v>
      </c>
      <c r="I753" s="25" t="str">
        <f t="shared" si="126"/>
        <v/>
      </c>
      <c r="J753" s="25" t="str">
        <f t="shared" si="126"/>
        <v/>
      </c>
      <c r="L753" s="3"/>
      <c r="M753" s="3"/>
    </row>
    <row r="754" spans="1:16" x14ac:dyDescent="0.45">
      <c r="A754" t="s">
        <v>17</v>
      </c>
      <c r="B754" t="s">
        <v>34</v>
      </c>
      <c r="C754" t="s">
        <v>26</v>
      </c>
      <c r="D754" s="27">
        <v>192500000</v>
      </c>
      <c r="E754" s="3" t="s">
        <v>41</v>
      </c>
      <c r="F754" s="23">
        <v>192500000</v>
      </c>
      <c r="G754" s="3" t="s">
        <v>41</v>
      </c>
      <c r="I754" s="25" t="str">
        <f t="shared" si="126"/>
        <v/>
      </c>
      <c r="J754" s="25" t="str">
        <f t="shared" si="126"/>
        <v/>
      </c>
      <c r="L754" s="3"/>
      <c r="M754" s="3"/>
    </row>
    <row r="755" spans="1:16" x14ac:dyDescent="0.45">
      <c r="A755" t="s">
        <v>18</v>
      </c>
      <c r="B755" t="s">
        <v>34</v>
      </c>
      <c r="C755" t="s">
        <v>26</v>
      </c>
      <c r="D755" s="27">
        <v>192500000</v>
      </c>
      <c r="E755" s="3" t="s">
        <v>41</v>
      </c>
      <c r="F755" s="23">
        <v>192500000</v>
      </c>
      <c r="G755" s="3" t="s">
        <v>41</v>
      </c>
      <c r="I755" s="25" t="str">
        <f t="shared" si="126"/>
        <v/>
      </c>
      <c r="J755" s="25" t="str">
        <f t="shared" si="126"/>
        <v/>
      </c>
      <c r="L755" s="3"/>
      <c r="M755" s="3"/>
    </row>
    <row r="756" spans="1:16" x14ac:dyDescent="0.45">
      <c r="A756" t="s">
        <v>19</v>
      </c>
      <c r="B756" t="s">
        <v>34</v>
      </c>
      <c r="C756" t="s">
        <v>26</v>
      </c>
      <c r="D756" s="27">
        <v>192500000</v>
      </c>
      <c r="E756" s="3" t="s">
        <v>41</v>
      </c>
      <c r="F756" s="23">
        <v>192500000</v>
      </c>
      <c r="G756" s="3" t="s">
        <v>41</v>
      </c>
      <c r="I756" s="25" t="str">
        <f t="shared" si="126"/>
        <v/>
      </c>
      <c r="J756" s="25" t="str">
        <f t="shared" si="126"/>
        <v/>
      </c>
      <c r="L756" s="3"/>
      <c r="M756" s="3"/>
    </row>
    <row r="757" spans="1:16" x14ac:dyDescent="0.45">
      <c r="A757" t="s">
        <v>20</v>
      </c>
      <c r="B757" t="s">
        <v>34</v>
      </c>
      <c r="C757" t="s">
        <v>26</v>
      </c>
      <c r="D757" s="27">
        <v>192500000</v>
      </c>
      <c r="E757" s="3" t="s">
        <v>41</v>
      </c>
      <c r="F757" s="23">
        <v>192500000</v>
      </c>
      <c r="G757" s="3" t="s">
        <v>41</v>
      </c>
      <c r="I757" s="25" t="str">
        <f t="shared" si="126"/>
        <v/>
      </c>
      <c r="J757" s="25" t="str">
        <f t="shared" si="126"/>
        <v/>
      </c>
      <c r="L757" s="3"/>
      <c r="M757" s="3"/>
    </row>
    <row r="758" spans="1:16" x14ac:dyDescent="0.45">
      <c r="A758" t="s">
        <v>7</v>
      </c>
      <c r="B758" t="s">
        <v>35</v>
      </c>
      <c r="C758" t="s">
        <v>9</v>
      </c>
      <c r="D758" s="27">
        <v>138362000</v>
      </c>
      <c r="E758" s="3">
        <v>2817500752</v>
      </c>
      <c r="F758" s="23">
        <v>138362000</v>
      </c>
      <c r="G758" s="3">
        <v>0</v>
      </c>
      <c r="I758" s="22">
        <f t="shared" ref="I758:J758" si="133">IF(L758="","",L758)</f>
        <v>2817500752</v>
      </c>
      <c r="J758" s="22">
        <f t="shared" si="133"/>
        <v>0</v>
      </c>
      <c r="L758" s="3">
        <v>2817500752</v>
      </c>
      <c r="M758" s="3">
        <v>0</v>
      </c>
    </row>
    <row r="759" spans="1:16" x14ac:dyDescent="0.45">
      <c r="A759" t="s">
        <v>10</v>
      </c>
      <c r="B759" t="s">
        <v>35</v>
      </c>
      <c r="C759" t="s">
        <v>9</v>
      </c>
      <c r="D759" s="28">
        <v>138362000</v>
      </c>
      <c r="E759" s="4">
        <v>14723328892</v>
      </c>
      <c r="F759" s="24">
        <v>138362000</v>
      </c>
      <c r="G759" s="4">
        <v>426154218</v>
      </c>
      <c r="I759" s="25">
        <f t="shared" ref="I759:J759" si="134">IF(L759="","",L759-L758)</f>
        <v>14723328892</v>
      </c>
      <c r="J759" s="25">
        <f t="shared" si="134"/>
        <v>426154218</v>
      </c>
      <c r="L759" s="4">
        <v>17540829644</v>
      </c>
      <c r="M759" s="4">
        <v>426154218</v>
      </c>
    </row>
    <row r="760" spans="1:16" x14ac:dyDescent="0.45">
      <c r="A760" t="s">
        <v>11</v>
      </c>
      <c r="B760" t="s">
        <v>35</v>
      </c>
      <c r="C760" t="s">
        <v>9</v>
      </c>
      <c r="D760" s="27">
        <v>15317250000</v>
      </c>
      <c r="E760" s="3">
        <v>3333257469</v>
      </c>
      <c r="F760" s="23">
        <v>138362000</v>
      </c>
      <c r="G760" s="3">
        <v>728579700</v>
      </c>
      <c r="I760" s="25">
        <f t="shared" si="126"/>
        <v>3353505257</v>
      </c>
      <c r="J760" s="25">
        <f t="shared" si="126"/>
        <v>1278956400</v>
      </c>
      <c r="L760" s="29">
        <f>SUMIFS(Pivot_!C:C,Pivot_!A:A,'Hitung Per Bulan'!B760,Pivot_!B:B,'Hitung Per Bulan'!C760)</f>
        <v>20894334901</v>
      </c>
      <c r="M760" s="29">
        <f>SUMIFS(Pivot_!D:D,Pivot_!A:A,'Hitung Per Bulan'!B760,Pivot_!B:B,'Hitung Per Bulan'!C760)</f>
        <v>1705110618</v>
      </c>
    </row>
    <row r="761" spans="1:16" x14ac:dyDescent="0.45">
      <c r="A761" t="s">
        <v>12</v>
      </c>
      <c r="B761" t="s">
        <v>35</v>
      </c>
      <c r="C761" t="s">
        <v>9</v>
      </c>
      <c r="D761" s="27">
        <v>515005000</v>
      </c>
      <c r="E761" s="3" t="s">
        <v>41</v>
      </c>
      <c r="F761" s="23">
        <v>138362000</v>
      </c>
      <c r="G761" s="3" t="s">
        <v>41</v>
      </c>
      <c r="I761" s="25" t="str">
        <f t="shared" si="126"/>
        <v/>
      </c>
      <c r="J761" s="25" t="str">
        <f t="shared" si="126"/>
        <v/>
      </c>
      <c r="L761" s="29"/>
      <c r="M761" s="29"/>
      <c r="O761" s="72"/>
      <c r="P761" s="72"/>
    </row>
    <row r="762" spans="1:16" x14ac:dyDescent="0.45">
      <c r="A762" t="s">
        <v>13</v>
      </c>
      <c r="B762" t="s">
        <v>35</v>
      </c>
      <c r="C762" t="s">
        <v>9</v>
      </c>
      <c r="D762" s="27">
        <v>1979048000</v>
      </c>
      <c r="E762" s="3" t="s">
        <v>41</v>
      </c>
      <c r="F762" s="23">
        <v>1790524000</v>
      </c>
      <c r="G762" s="3" t="s">
        <v>41</v>
      </c>
      <c r="I762" s="25" t="str">
        <f t="shared" si="126"/>
        <v/>
      </c>
      <c r="J762" s="25" t="str">
        <f t="shared" si="126"/>
        <v/>
      </c>
      <c r="L762" s="3"/>
      <c r="M762" s="3"/>
    </row>
    <row r="763" spans="1:16" x14ac:dyDescent="0.45">
      <c r="A763" t="s">
        <v>14</v>
      </c>
      <c r="B763" t="s">
        <v>35</v>
      </c>
      <c r="C763" t="s">
        <v>9</v>
      </c>
      <c r="D763" s="27">
        <v>4818772000</v>
      </c>
      <c r="E763" s="3" t="s">
        <v>41</v>
      </c>
      <c r="F763" s="23">
        <v>1231565000</v>
      </c>
      <c r="G763" s="3" t="s">
        <v>41</v>
      </c>
      <c r="I763" s="25" t="str">
        <f t="shared" si="126"/>
        <v/>
      </c>
      <c r="J763" s="25" t="str">
        <f t="shared" si="126"/>
        <v/>
      </c>
      <c r="L763" s="3"/>
      <c r="M763" s="3"/>
    </row>
    <row r="764" spans="1:16" x14ac:dyDescent="0.45">
      <c r="A764" t="s">
        <v>15</v>
      </c>
      <c r="B764" t="s">
        <v>35</v>
      </c>
      <c r="C764" t="s">
        <v>9</v>
      </c>
      <c r="D764" s="27">
        <v>138362000</v>
      </c>
      <c r="E764" s="3" t="s">
        <v>41</v>
      </c>
      <c r="F764" s="23">
        <v>542174000</v>
      </c>
      <c r="G764" s="3" t="s">
        <v>41</v>
      </c>
      <c r="I764" s="25" t="str">
        <f t="shared" si="126"/>
        <v/>
      </c>
      <c r="J764" s="25" t="str">
        <f t="shared" si="126"/>
        <v/>
      </c>
      <c r="L764" s="3"/>
      <c r="M764" s="3"/>
    </row>
    <row r="765" spans="1:16" x14ac:dyDescent="0.45">
      <c r="A765" t="s">
        <v>16</v>
      </c>
      <c r="B765" t="s">
        <v>35</v>
      </c>
      <c r="C765" t="s">
        <v>9</v>
      </c>
      <c r="D765" s="27">
        <v>2657670000</v>
      </c>
      <c r="E765" s="3" t="s">
        <v>41</v>
      </c>
      <c r="F765" s="23">
        <v>1575236000</v>
      </c>
      <c r="G765" s="3" t="s">
        <v>41</v>
      </c>
      <c r="I765" s="25" t="str">
        <f t="shared" si="126"/>
        <v/>
      </c>
      <c r="J765" s="25" t="str">
        <f t="shared" si="126"/>
        <v/>
      </c>
      <c r="L765" s="3"/>
      <c r="M765" s="3"/>
    </row>
    <row r="766" spans="1:16" x14ac:dyDescent="0.45">
      <c r="A766" t="s">
        <v>17</v>
      </c>
      <c r="B766" t="s">
        <v>35</v>
      </c>
      <c r="C766" t="s">
        <v>9</v>
      </c>
      <c r="D766" s="27">
        <v>465517000</v>
      </c>
      <c r="E766" s="3" t="s">
        <v>41</v>
      </c>
      <c r="F766" s="23">
        <v>1365573000</v>
      </c>
      <c r="G766" s="3" t="s">
        <v>41</v>
      </c>
      <c r="I766" s="25" t="str">
        <f t="shared" si="126"/>
        <v/>
      </c>
      <c r="J766" s="25" t="str">
        <f t="shared" si="126"/>
        <v/>
      </c>
      <c r="L766" s="3"/>
      <c r="M766" s="3"/>
    </row>
    <row r="767" spans="1:16" x14ac:dyDescent="0.45">
      <c r="A767" t="s">
        <v>18</v>
      </c>
      <c r="B767" t="s">
        <v>35</v>
      </c>
      <c r="C767" t="s">
        <v>9</v>
      </c>
      <c r="D767" s="27">
        <v>138362000</v>
      </c>
      <c r="E767" s="3" t="s">
        <v>41</v>
      </c>
      <c r="F767" s="23">
        <v>13779904000</v>
      </c>
      <c r="G767" s="3" t="s">
        <v>41</v>
      </c>
      <c r="I767" s="25" t="str">
        <f t="shared" si="126"/>
        <v/>
      </c>
      <c r="J767" s="25" t="str">
        <f t="shared" si="126"/>
        <v/>
      </c>
      <c r="L767" s="3"/>
      <c r="M767" s="3"/>
    </row>
    <row r="768" spans="1:16" x14ac:dyDescent="0.45">
      <c r="A768" t="s">
        <v>19</v>
      </c>
      <c r="B768" t="s">
        <v>35</v>
      </c>
      <c r="C768" t="s">
        <v>9</v>
      </c>
      <c r="D768" s="27">
        <v>138362000</v>
      </c>
      <c r="E768" s="3" t="s">
        <v>41</v>
      </c>
      <c r="F768" s="23">
        <v>3087340000</v>
      </c>
      <c r="G768" s="3" t="s">
        <v>41</v>
      </c>
      <c r="I768" s="25" t="str">
        <f t="shared" si="126"/>
        <v/>
      </c>
      <c r="J768" s="25" t="str">
        <f t="shared" si="126"/>
        <v/>
      </c>
      <c r="L768" s="3"/>
      <c r="M768" s="3"/>
    </row>
    <row r="769" spans="1:16" x14ac:dyDescent="0.45">
      <c r="A769" t="s">
        <v>20</v>
      </c>
      <c r="B769" t="s">
        <v>35</v>
      </c>
      <c r="C769" t="s">
        <v>9</v>
      </c>
      <c r="D769" s="27">
        <v>138362000</v>
      </c>
      <c r="E769" s="3" t="s">
        <v>41</v>
      </c>
      <c r="F769" s="23">
        <v>2657670000</v>
      </c>
      <c r="G769" s="3" t="s">
        <v>41</v>
      </c>
      <c r="I769" s="25" t="str">
        <f t="shared" si="126"/>
        <v/>
      </c>
      <c r="J769" s="25" t="str">
        <f t="shared" si="126"/>
        <v/>
      </c>
      <c r="L769" s="3"/>
      <c r="M769" s="3"/>
    </row>
    <row r="770" spans="1:16" x14ac:dyDescent="0.45">
      <c r="A770" t="s">
        <v>7</v>
      </c>
      <c r="B770" t="s">
        <v>35</v>
      </c>
      <c r="C770" t="s">
        <v>21</v>
      </c>
      <c r="D770" s="27">
        <v>0</v>
      </c>
      <c r="E770" s="3">
        <v>0</v>
      </c>
      <c r="F770" s="23">
        <v>0</v>
      </c>
      <c r="G770" s="3">
        <v>0</v>
      </c>
      <c r="I770" s="22">
        <f t="shared" ref="I770:J770" si="135">IF(L770="","",L770)</f>
        <v>0</v>
      </c>
      <c r="J770" s="22">
        <f t="shared" si="135"/>
        <v>0</v>
      </c>
      <c r="L770" s="3">
        <v>0</v>
      </c>
      <c r="M770" s="3">
        <v>0</v>
      </c>
    </row>
    <row r="771" spans="1:16" x14ac:dyDescent="0.45">
      <c r="A771" t="s">
        <v>10</v>
      </c>
      <c r="B771" t="s">
        <v>35</v>
      </c>
      <c r="C771" t="s">
        <v>21</v>
      </c>
      <c r="D771" s="28">
        <v>0</v>
      </c>
      <c r="E771" s="4">
        <v>0</v>
      </c>
      <c r="F771" s="24">
        <v>0</v>
      </c>
      <c r="G771" s="4">
        <v>0</v>
      </c>
      <c r="I771" s="25">
        <f t="shared" ref="I771:J771" si="136">IF(L771="","",L771-L770)</f>
        <v>0</v>
      </c>
      <c r="J771" s="25">
        <f t="shared" si="136"/>
        <v>0</v>
      </c>
      <c r="L771" s="4">
        <v>0</v>
      </c>
      <c r="M771" s="4">
        <v>0</v>
      </c>
    </row>
    <row r="772" spans="1:16" x14ac:dyDescent="0.45">
      <c r="A772" t="s">
        <v>11</v>
      </c>
      <c r="B772" t="s">
        <v>35</v>
      </c>
      <c r="C772" t="s">
        <v>21</v>
      </c>
      <c r="D772" s="27">
        <v>200000000</v>
      </c>
      <c r="E772" s="3">
        <v>0</v>
      </c>
      <c r="F772" s="23">
        <v>200000000</v>
      </c>
      <c r="G772" s="3">
        <v>0</v>
      </c>
      <c r="I772" s="25">
        <f t="shared" si="126"/>
        <v>0</v>
      </c>
      <c r="J772" s="25">
        <f t="shared" si="126"/>
        <v>0</v>
      </c>
      <c r="L772" s="29">
        <f>SUMIFS(Pivot_!C:C,Pivot_!A:A,'Hitung Per Bulan'!B772,Pivot_!B:B,'Hitung Per Bulan'!C772)</f>
        <v>0</v>
      </c>
      <c r="M772" s="29">
        <f>SUMIFS(Pivot_!D:D,Pivot_!A:A,'Hitung Per Bulan'!B772,Pivot_!B:B,'Hitung Per Bulan'!C772)</f>
        <v>0</v>
      </c>
    </row>
    <row r="773" spans="1:16" x14ac:dyDescent="0.45">
      <c r="A773" t="s">
        <v>12</v>
      </c>
      <c r="B773" t="s">
        <v>35</v>
      </c>
      <c r="C773" t="s">
        <v>21</v>
      </c>
      <c r="D773" s="27">
        <v>500000000</v>
      </c>
      <c r="E773" s="3" t="s">
        <v>41</v>
      </c>
      <c r="F773" s="23">
        <v>500000000</v>
      </c>
      <c r="G773" s="3" t="s">
        <v>41</v>
      </c>
      <c r="I773" s="25" t="str">
        <f t="shared" si="126"/>
        <v/>
      </c>
      <c r="J773" s="25" t="str">
        <f t="shared" si="126"/>
        <v/>
      </c>
      <c r="L773" s="29"/>
      <c r="M773" s="29"/>
      <c r="O773" s="72"/>
      <c r="P773" s="72"/>
    </row>
    <row r="774" spans="1:16" x14ac:dyDescent="0.45">
      <c r="A774" t="s">
        <v>13</v>
      </c>
      <c r="B774" t="s">
        <v>35</v>
      </c>
      <c r="C774" t="s">
        <v>21</v>
      </c>
      <c r="D774" s="27">
        <v>0</v>
      </c>
      <c r="E774" s="3" t="s">
        <v>41</v>
      </c>
      <c r="F774" s="23">
        <v>0</v>
      </c>
      <c r="G774" s="3" t="s">
        <v>41</v>
      </c>
      <c r="I774" s="25" t="str">
        <f t="shared" si="126"/>
        <v/>
      </c>
      <c r="J774" s="25" t="str">
        <f t="shared" si="126"/>
        <v/>
      </c>
      <c r="L774" s="3"/>
      <c r="M774" s="3"/>
    </row>
    <row r="775" spans="1:16" x14ac:dyDescent="0.45">
      <c r="A775" t="s">
        <v>14</v>
      </c>
      <c r="B775" t="s">
        <v>35</v>
      </c>
      <c r="C775" t="s">
        <v>21</v>
      </c>
      <c r="D775" s="27">
        <v>0</v>
      </c>
      <c r="E775" s="3" t="s">
        <v>41</v>
      </c>
      <c r="F775" s="23">
        <v>0</v>
      </c>
      <c r="G775" s="3" t="s">
        <v>41</v>
      </c>
      <c r="I775" s="25" t="str">
        <f t="shared" si="126"/>
        <v/>
      </c>
      <c r="J775" s="25" t="str">
        <f t="shared" si="126"/>
        <v/>
      </c>
      <c r="L775" s="3"/>
      <c r="M775" s="3"/>
    </row>
    <row r="776" spans="1:16" x14ac:dyDescent="0.45">
      <c r="A776" t="s">
        <v>15</v>
      </c>
      <c r="B776" t="s">
        <v>35</v>
      </c>
      <c r="C776" t="s">
        <v>21</v>
      </c>
      <c r="D776" s="27">
        <v>200000000</v>
      </c>
      <c r="E776" s="3" t="s">
        <v>41</v>
      </c>
      <c r="F776" s="23">
        <v>200000000</v>
      </c>
      <c r="G776" s="3" t="s">
        <v>41</v>
      </c>
      <c r="I776" s="25" t="str">
        <f t="shared" si="126"/>
        <v/>
      </c>
      <c r="J776" s="25" t="str">
        <f t="shared" si="126"/>
        <v/>
      </c>
      <c r="L776" s="3"/>
      <c r="M776" s="3"/>
    </row>
    <row r="777" spans="1:16" x14ac:dyDescent="0.45">
      <c r="A777" t="s">
        <v>16</v>
      </c>
      <c r="B777" t="s">
        <v>35</v>
      </c>
      <c r="C777" t="s">
        <v>21</v>
      </c>
      <c r="D777" s="27">
        <v>0</v>
      </c>
      <c r="E777" s="3" t="s">
        <v>41</v>
      </c>
      <c r="F777" s="23">
        <v>0</v>
      </c>
      <c r="G777" s="3" t="s">
        <v>41</v>
      </c>
      <c r="I777" s="25" t="str">
        <f t="shared" si="126"/>
        <v/>
      </c>
      <c r="J777" s="25" t="str">
        <f t="shared" si="126"/>
        <v/>
      </c>
      <c r="L777" s="3"/>
      <c r="M777" s="3"/>
    </row>
    <row r="778" spans="1:16" x14ac:dyDescent="0.45">
      <c r="A778" t="s">
        <v>17</v>
      </c>
      <c r="B778" t="s">
        <v>35</v>
      </c>
      <c r="C778" t="s">
        <v>21</v>
      </c>
      <c r="D778" s="27">
        <v>500000000</v>
      </c>
      <c r="E778" s="3" t="s">
        <v>41</v>
      </c>
      <c r="F778" s="23">
        <v>500000000</v>
      </c>
      <c r="G778" s="3" t="s">
        <v>41</v>
      </c>
      <c r="I778" s="25" t="str">
        <f t="shared" si="126"/>
        <v/>
      </c>
      <c r="J778" s="25" t="str">
        <f t="shared" si="126"/>
        <v/>
      </c>
      <c r="L778" s="3"/>
      <c r="M778" s="3"/>
    </row>
    <row r="779" spans="1:16" x14ac:dyDescent="0.45">
      <c r="A779" t="s">
        <v>18</v>
      </c>
      <c r="B779" t="s">
        <v>35</v>
      </c>
      <c r="C779" t="s">
        <v>21</v>
      </c>
      <c r="D779" s="27">
        <v>200000000</v>
      </c>
      <c r="E779" s="3" t="s">
        <v>41</v>
      </c>
      <c r="F779" s="23">
        <v>200000000</v>
      </c>
      <c r="G779" s="3" t="s">
        <v>41</v>
      </c>
      <c r="I779" s="25" t="str">
        <f t="shared" si="126"/>
        <v/>
      </c>
      <c r="J779" s="25" t="str">
        <f t="shared" si="126"/>
        <v/>
      </c>
      <c r="L779" s="3"/>
      <c r="M779" s="3"/>
    </row>
    <row r="780" spans="1:16" x14ac:dyDescent="0.45">
      <c r="A780" t="s">
        <v>19</v>
      </c>
      <c r="B780" t="s">
        <v>35</v>
      </c>
      <c r="C780" t="s">
        <v>21</v>
      </c>
      <c r="D780" s="27">
        <v>0</v>
      </c>
      <c r="E780" s="3" t="s">
        <v>41</v>
      </c>
      <c r="F780" s="23">
        <v>0</v>
      </c>
      <c r="G780" s="3" t="s">
        <v>41</v>
      </c>
      <c r="I780" s="25" t="str">
        <f t="shared" si="126"/>
        <v/>
      </c>
      <c r="J780" s="25" t="str">
        <f t="shared" si="126"/>
        <v/>
      </c>
      <c r="L780" s="3"/>
      <c r="M780" s="3"/>
    </row>
    <row r="781" spans="1:16" x14ac:dyDescent="0.45">
      <c r="A781" t="s">
        <v>20</v>
      </c>
      <c r="B781" t="s">
        <v>35</v>
      </c>
      <c r="C781" t="s">
        <v>21</v>
      </c>
      <c r="D781" s="27">
        <v>0</v>
      </c>
      <c r="E781" s="3" t="s">
        <v>41</v>
      </c>
      <c r="F781" s="23">
        <v>0</v>
      </c>
      <c r="G781" s="3" t="s">
        <v>41</v>
      </c>
      <c r="I781" s="25" t="str">
        <f t="shared" si="126"/>
        <v/>
      </c>
      <c r="J781" s="25" t="str">
        <f t="shared" si="126"/>
        <v/>
      </c>
      <c r="L781" s="3"/>
      <c r="M781" s="3"/>
    </row>
    <row r="782" spans="1:16" x14ac:dyDescent="0.45">
      <c r="A782" t="s">
        <v>7</v>
      </c>
      <c r="B782" t="s">
        <v>35</v>
      </c>
      <c r="C782" t="s">
        <v>22</v>
      </c>
      <c r="D782" s="27">
        <v>0</v>
      </c>
      <c r="E782" s="3">
        <v>3970000</v>
      </c>
      <c r="F782" s="23">
        <v>0</v>
      </c>
      <c r="G782" s="3">
        <v>0</v>
      </c>
      <c r="I782" s="22">
        <f t="shared" ref="I782:J782" si="137">IF(L782="","",L782)</f>
        <v>3970000</v>
      </c>
      <c r="J782" s="22">
        <f t="shared" si="137"/>
        <v>0</v>
      </c>
      <c r="L782" s="3">
        <v>3970000</v>
      </c>
      <c r="M782" s="3">
        <v>0</v>
      </c>
    </row>
    <row r="783" spans="1:16" x14ac:dyDescent="0.45">
      <c r="A783" t="s">
        <v>10</v>
      </c>
      <c r="B783" t="s">
        <v>35</v>
      </c>
      <c r="C783" t="s">
        <v>22</v>
      </c>
      <c r="D783" s="28">
        <v>35387500</v>
      </c>
      <c r="E783" s="4">
        <v>24082000</v>
      </c>
      <c r="F783" s="24">
        <v>0</v>
      </c>
      <c r="G783" s="4">
        <v>3970000</v>
      </c>
      <c r="I783" s="25">
        <f t="shared" ref="I783:J846" si="138">IF(L783="","",L783-L782)</f>
        <v>24082000</v>
      </c>
      <c r="J783" s="25">
        <f t="shared" si="138"/>
        <v>3970000</v>
      </c>
      <c r="L783" s="4">
        <v>28052000</v>
      </c>
      <c r="M783" s="4">
        <v>3970000</v>
      </c>
    </row>
    <row r="784" spans="1:16" x14ac:dyDescent="0.45">
      <c r="A784" t="s">
        <v>11</v>
      </c>
      <c r="B784" t="s">
        <v>35</v>
      </c>
      <c r="C784" t="s">
        <v>22</v>
      </c>
      <c r="D784" s="27">
        <v>0</v>
      </c>
      <c r="E784" s="3">
        <v>0</v>
      </c>
      <c r="F784" s="23">
        <v>35388000</v>
      </c>
      <c r="G784" s="3">
        <v>0</v>
      </c>
      <c r="I784" s="25">
        <f t="shared" si="138"/>
        <v>0</v>
      </c>
      <c r="J784" s="25">
        <f t="shared" si="138"/>
        <v>24082000</v>
      </c>
      <c r="L784" s="29">
        <f>SUMIFS(Pivot_!C:C,Pivot_!A:A,'Hitung Per Bulan'!B784,Pivot_!B:B,'Hitung Per Bulan'!C784)</f>
        <v>28052000</v>
      </c>
      <c r="M784" s="29">
        <f>SUMIFS(Pivot_!D:D,Pivot_!A:A,'Hitung Per Bulan'!B784,Pivot_!B:B,'Hitung Per Bulan'!C784)</f>
        <v>28052000</v>
      </c>
    </row>
    <row r="785" spans="1:16" x14ac:dyDescent="0.45">
      <c r="A785" t="s">
        <v>12</v>
      </c>
      <c r="B785" t="s">
        <v>35</v>
      </c>
      <c r="C785" t="s">
        <v>22</v>
      </c>
      <c r="D785" s="27">
        <v>0</v>
      </c>
      <c r="E785" s="3" t="s">
        <v>41</v>
      </c>
      <c r="F785" s="23">
        <v>0</v>
      </c>
      <c r="G785" s="3" t="s">
        <v>41</v>
      </c>
      <c r="I785" s="25" t="str">
        <f t="shared" si="138"/>
        <v/>
      </c>
      <c r="J785" s="25" t="str">
        <f t="shared" si="138"/>
        <v/>
      </c>
      <c r="L785" s="29"/>
      <c r="M785" s="29"/>
      <c r="O785" s="72"/>
      <c r="P785" s="72"/>
    </row>
    <row r="786" spans="1:16" x14ac:dyDescent="0.45">
      <c r="A786" t="s">
        <v>13</v>
      </c>
      <c r="B786" t="s">
        <v>35</v>
      </c>
      <c r="C786" t="s">
        <v>22</v>
      </c>
      <c r="D786" s="27">
        <v>35387500</v>
      </c>
      <c r="E786" s="3" t="s">
        <v>41</v>
      </c>
      <c r="F786" s="23">
        <v>0</v>
      </c>
      <c r="G786" s="3" t="s">
        <v>41</v>
      </c>
      <c r="I786" s="25" t="str">
        <f t="shared" si="138"/>
        <v/>
      </c>
      <c r="J786" s="25" t="str">
        <f t="shared" si="138"/>
        <v/>
      </c>
      <c r="L786" s="3"/>
      <c r="M786" s="3"/>
    </row>
    <row r="787" spans="1:16" x14ac:dyDescent="0.45">
      <c r="A787" t="s">
        <v>14</v>
      </c>
      <c r="B787" t="s">
        <v>35</v>
      </c>
      <c r="C787" t="s">
        <v>22</v>
      </c>
      <c r="D787" s="27">
        <v>0</v>
      </c>
      <c r="E787" s="3" t="s">
        <v>41</v>
      </c>
      <c r="F787" s="23">
        <v>35388000</v>
      </c>
      <c r="G787" s="3" t="s">
        <v>41</v>
      </c>
      <c r="I787" s="25" t="str">
        <f t="shared" si="138"/>
        <v/>
      </c>
      <c r="J787" s="25" t="str">
        <f t="shared" si="138"/>
        <v/>
      </c>
      <c r="L787" s="3"/>
      <c r="M787" s="3"/>
    </row>
    <row r="788" spans="1:16" x14ac:dyDescent="0.45">
      <c r="A788" t="s">
        <v>15</v>
      </c>
      <c r="B788" t="s">
        <v>35</v>
      </c>
      <c r="C788" t="s">
        <v>22</v>
      </c>
      <c r="D788" s="27">
        <v>0</v>
      </c>
      <c r="E788" s="3" t="s">
        <v>41</v>
      </c>
      <c r="F788" s="23">
        <v>0</v>
      </c>
      <c r="G788" s="3" t="s">
        <v>41</v>
      </c>
      <c r="I788" s="25" t="str">
        <f t="shared" si="138"/>
        <v/>
      </c>
      <c r="J788" s="25" t="str">
        <f t="shared" si="138"/>
        <v/>
      </c>
      <c r="L788" s="3"/>
      <c r="M788" s="3"/>
    </row>
    <row r="789" spans="1:16" x14ac:dyDescent="0.45">
      <c r="A789" t="s">
        <v>16</v>
      </c>
      <c r="B789" t="s">
        <v>35</v>
      </c>
      <c r="C789" t="s">
        <v>22</v>
      </c>
      <c r="D789" s="27">
        <v>35387500</v>
      </c>
      <c r="E789" s="3" t="s">
        <v>41</v>
      </c>
      <c r="F789" s="23">
        <v>0</v>
      </c>
      <c r="G789" s="3" t="s">
        <v>41</v>
      </c>
      <c r="I789" s="25" t="str">
        <f t="shared" si="138"/>
        <v/>
      </c>
      <c r="J789" s="25" t="str">
        <f t="shared" si="138"/>
        <v/>
      </c>
      <c r="L789" s="3"/>
      <c r="M789" s="3"/>
    </row>
    <row r="790" spans="1:16" x14ac:dyDescent="0.45">
      <c r="A790" t="s">
        <v>17</v>
      </c>
      <c r="B790" t="s">
        <v>35</v>
      </c>
      <c r="C790" t="s">
        <v>22</v>
      </c>
      <c r="D790" s="27">
        <v>0</v>
      </c>
      <c r="E790" s="3" t="s">
        <v>41</v>
      </c>
      <c r="F790" s="23">
        <v>35387000</v>
      </c>
      <c r="G790" s="3" t="s">
        <v>41</v>
      </c>
      <c r="I790" s="25" t="str">
        <f t="shared" si="138"/>
        <v/>
      </c>
      <c r="J790" s="25" t="str">
        <f t="shared" si="138"/>
        <v/>
      </c>
      <c r="L790" s="3"/>
      <c r="M790" s="3"/>
    </row>
    <row r="791" spans="1:16" x14ac:dyDescent="0.45">
      <c r="A791" t="s">
        <v>18</v>
      </c>
      <c r="B791" t="s">
        <v>35</v>
      </c>
      <c r="C791" t="s">
        <v>22</v>
      </c>
      <c r="D791" s="27">
        <v>0</v>
      </c>
      <c r="E791" s="3" t="s">
        <v>41</v>
      </c>
      <c r="F791" s="23">
        <v>0</v>
      </c>
      <c r="G791" s="3" t="s">
        <v>41</v>
      </c>
      <c r="I791" s="25" t="str">
        <f t="shared" si="138"/>
        <v/>
      </c>
      <c r="J791" s="25" t="str">
        <f t="shared" si="138"/>
        <v/>
      </c>
      <c r="L791" s="3"/>
      <c r="M791" s="3"/>
    </row>
    <row r="792" spans="1:16" x14ac:dyDescent="0.45">
      <c r="A792" t="s">
        <v>19</v>
      </c>
      <c r="B792" t="s">
        <v>35</v>
      </c>
      <c r="C792" t="s">
        <v>22</v>
      </c>
      <c r="D792" s="27">
        <v>35387500</v>
      </c>
      <c r="E792" s="3" t="s">
        <v>41</v>
      </c>
      <c r="F792" s="23">
        <v>0</v>
      </c>
      <c r="G792" s="3" t="s">
        <v>41</v>
      </c>
      <c r="I792" s="25" t="str">
        <f t="shared" si="138"/>
        <v/>
      </c>
      <c r="J792" s="25" t="str">
        <f t="shared" si="138"/>
        <v/>
      </c>
      <c r="L792" s="3"/>
      <c r="M792" s="3"/>
    </row>
    <row r="793" spans="1:16" x14ac:dyDescent="0.45">
      <c r="A793" t="s">
        <v>20</v>
      </c>
      <c r="B793" t="s">
        <v>35</v>
      </c>
      <c r="C793" t="s">
        <v>22</v>
      </c>
      <c r="D793" s="27">
        <v>0</v>
      </c>
      <c r="E793" s="3" t="s">
        <v>41</v>
      </c>
      <c r="F793" s="23">
        <v>35387000</v>
      </c>
      <c r="G793" s="3" t="s">
        <v>41</v>
      </c>
      <c r="I793" s="25" t="str">
        <f t="shared" si="138"/>
        <v/>
      </c>
      <c r="J793" s="25" t="str">
        <f t="shared" si="138"/>
        <v/>
      </c>
      <c r="L793" s="3"/>
      <c r="M793" s="3"/>
    </row>
    <row r="794" spans="1:16" x14ac:dyDescent="0.45">
      <c r="A794" t="s">
        <v>7</v>
      </c>
      <c r="B794" t="s">
        <v>35</v>
      </c>
      <c r="C794" t="s">
        <v>23</v>
      </c>
      <c r="D794" s="27">
        <v>0</v>
      </c>
      <c r="E794" s="3">
        <v>0</v>
      </c>
      <c r="F794" s="23">
        <v>0</v>
      </c>
      <c r="G794" s="3">
        <v>0</v>
      </c>
      <c r="I794" s="22">
        <f t="shared" ref="I794:J794" si="139">IF(L794="","",L794)</f>
        <v>0</v>
      </c>
      <c r="J794" s="22">
        <f t="shared" si="139"/>
        <v>0</v>
      </c>
      <c r="L794" s="3">
        <v>0</v>
      </c>
      <c r="M794" s="3">
        <v>0</v>
      </c>
    </row>
    <row r="795" spans="1:16" x14ac:dyDescent="0.45">
      <c r="A795" t="s">
        <v>10</v>
      </c>
      <c r="B795" t="s">
        <v>35</v>
      </c>
      <c r="C795" t="s">
        <v>23</v>
      </c>
      <c r="D795" s="28">
        <v>0</v>
      </c>
      <c r="E795" s="4">
        <v>0</v>
      </c>
      <c r="F795" s="24">
        <v>0</v>
      </c>
      <c r="G795" s="4">
        <v>0</v>
      </c>
      <c r="I795" s="25">
        <f t="shared" ref="I795:J795" si="140">IF(L795="","",L795-L794)</f>
        <v>0</v>
      </c>
      <c r="J795" s="25">
        <f t="shared" si="140"/>
        <v>0</v>
      </c>
      <c r="L795" s="4">
        <v>0</v>
      </c>
      <c r="M795" s="4">
        <v>0</v>
      </c>
    </row>
    <row r="796" spans="1:16" x14ac:dyDescent="0.45">
      <c r="A796" t="s">
        <v>11</v>
      </c>
      <c r="B796" t="s">
        <v>35</v>
      </c>
      <c r="C796" t="s">
        <v>23</v>
      </c>
      <c r="D796" s="27">
        <v>50000000</v>
      </c>
      <c r="E796" s="3">
        <v>0</v>
      </c>
      <c r="F796" s="23">
        <v>50000000</v>
      </c>
      <c r="G796" s="3">
        <v>0</v>
      </c>
      <c r="I796" s="25">
        <f t="shared" si="138"/>
        <v>0</v>
      </c>
      <c r="J796" s="25">
        <f t="shared" si="138"/>
        <v>0</v>
      </c>
      <c r="L796" s="29">
        <f>SUMIFS(Pivot_!C:C,Pivot_!A:A,'Hitung Per Bulan'!B796,Pivot_!B:B,'Hitung Per Bulan'!C796)</f>
        <v>0</v>
      </c>
      <c r="M796" s="29">
        <f>SUMIFS(Pivot_!D:D,Pivot_!A:A,'Hitung Per Bulan'!B796,Pivot_!B:B,'Hitung Per Bulan'!C796)</f>
        <v>0</v>
      </c>
    </row>
    <row r="797" spans="1:16" x14ac:dyDescent="0.45">
      <c r="A797" t="s">
        <v>12</v>
      </c>
      <c r="B797" t="s">
        <v>35</v>
      </c>
      <c r="C797" t="s">
        <v>23</v>
      </c>
      <c r="D797" s="27">
        <v>0</v>
      </c>
      <c r="E797" s="3" t="s">
        <v>41</v>
      </c>
      <c r="F797" s="23">
        <v>0</v>
      </c>
      <c r="G797" s="3" t="s">
        <v>41</v>
      </c>
      <c r="I797" s="25" t="str">
        <f t="shared" si="138"/>
        <v/>
      </c>
      <c r="J797" s="25" t="str">
        <f t="shared" si="138"/>
        <v/>
      </c>
      <c r="L797" s="29"/>
      <c r="M797" s="29"/>
      <c r="O797" s="72"/>
      <c r="P797" s="72"/>
    </row>
    <row r="798" spans="1:16" x14ac:dyDescent="0.45">
      <c r="A798" t="s">
        <v>13</v>
      </c>
      <c r="B798" t="s">
        <v>35</v>
      </c>
      <c r="C798" t="s">
        <v>23</v>
      </c>
      <c r="D798" s="27">
        <v>0</v>
      </c>
      <c r="E798" s="3" t="s">
        <v>41</v>
      </c>
      <c r="F798" s="23">
        <v>0</v>
      </c>
      <c r="G798" s="3" t="s">
        <v>41</v>
      </c>
      <c r="I798" s="25" t="str">
        <f t="shared" si="138"/>
        <v/>
      </c>
      <c r="J798" s="25" t="str">
        <f t="shared" si="138"/>
        <v/>
      </c>
      <c r="L798" s="3"/>
      <c r="M798" s="3"/>
    </row>
    <row r="799" spans="1:16" x14ac:dyDescent="0.45">
      <c r="A799" t="s">
        <v>14</v>
      </c>
      <c r="B799" t="s">
        <v>35</v>
      </c>
      <c r="C799" t="s">
        <v>23</v>
      </c>
      <c r="D799" s="27">
        <v>100000000</v>
      </c>
      <c r="E799" s="3" t="s">
        <v>41</v>
      </c>
      <c r="F799" s="23">
        <v>100000000</v>
      </c>
      <c r="G799" s="3" t="s">
        <v>41</v>
      </c>
      <c r="I799" s="25" t="str">
        <f t="shared" si="138"/>
        <v/>
      </c>
      <c r="J799" s="25" t="str">
        <f t="shared" si="138"/>
        <v/>
      </c>
      <c r="L799" s="3"/>
      <c r="M799" s="3"/>
    </row>
    <row r="800" spans="1:16" x14ac:dyDescent="0.45">
      <c r="A800" t="s">
        <v>15</v>
      </c>
      <c r="B800" t="s">
        <v>35</v>
      </c>
      <c r="C800" t="s">
        <v>23</v>
      </c>
      <c r="D800" s="27">
        <v>0</v>
      </c>
      <c r="E800" s="3" t="s">
        <v>41</v>
      </c>
      <c r="F800" s="23">
        <v>0</v>
      </c>
      <c r="G800" s="3" t="s">
        <v>41</v>
      </c>
      <c r="I800" s="25" t="str">
        <f t="shared" si="138"/>
        <v/>
      </c>
      <c r="J800" s="25" t="str">
        <f t="shared" si="138"/>
        <v/>
      </c>
      <c r="L800" s="3"/>
      <c r="M800" s="3"/>
    </row>
    <row r="801" spans="1:16" x14ac:dyDescent="0.45">
      <c r="A801" t="s">
        <v>16</v>
      </c>
      <c r="B801" t="s">
        <v>35</v>
      </c>
      <c r="C801" t="s">
        <v>23</v>
      </c>
      <c r="D801" s="27">
        <v>0</v>
      </c>
      <c r="E801" s="3" t="s">
        <v>41</v>
      </c>
      <c r="F801" s="23">
        <v>0</v>
      </c>
      <c r="G801" s="3" t="s">
        <v>41</v>
      </c>
      <c r="I801" s="25" t="str">
        <f t="shared" si="138"/>
        <v/>
      </c>
      <c r="J801" s="25" t="str">
        <f t="shared" si="138"/>
        <v/>
      </c>
      <c r="L801" s="3"/>
      <c r="M801" s="3"/>
    </row>
    <row r="802" spans="1:16" x14ac:dyDescent="0.45">
      <c r="A802" t="s">
        <v>17</v>
      </c>
      <c r="B802" t="s">
        <v>35</v>
      </c>
      <c r="C802" t="s">
        <v>23</v>
      </c>
      <c r="D802" s="27">
        <v>50000000</v>
      </c>
      <c r="E802" s="3" t="s">
        <v>41</v>
      </c>
      <c r="F802" s="23">
        <v>50000000</v>
      </c>
      <c r="G802" s="3" t="s">
        <v>41</v>
      </c>
      <c r="I802" s="25" t="str">
        <f t="shared" si="138"/>
        <v/>
      </c>
      <c r="J802" s="25" t="str">
        <f t="shared" si="138"/>
        <v/>
      </c>
      <c r="L802" s="3"/>
      <c r="M802" s="3"/>
    </row>
    <row r="803" spans="1:16" x14ac:dyDescent="0.45">
      <c r="A803" t="s">
        <v>18</v>
      </c>
      <c r="B803" t="s">
        <v>35</v>
      </c>
      <c r="C803" t="s">
        <v>23</v>
      </c>
      <c r="D803" s="27">
        <v>0</v>
      </c>
      <c r="E803" s="3" t="s">
        <v>41</v>
      </c>
      <c r="F803" s="23">
        <v>0</v>
      </c>
      <c r="G803" s="3" t="s">
        <v>41</v>
      </c>
      <c r="I803" s="25" t="str">
        <f t="shared" si="138"/>
        <v/>
      </c>
      <c r="J803" s="25" t="str">
        <f t="shared" si="138"/>
        <v/>
      </c>
      <c r="L803" s="3"/>
      <c r="M803" s="3"/>
    </row>
    <row r="804" spans="1:16" x14ac:dyDescent="0.45">
      <c r="A804" t="s">
        <v>19</v>
      </c>
      <c r="B804" t="s">
        <v>35</v>
      </c>
      <c r="C804" t="s">
        <v>23</v>
      </c>
      <c r="D804" s="27">
        <v>0</v>
      </c>
      <c r="E804" s="3" t="s">
        <v>41</v>
      </c>
      <c r="F804" s="23">
        <v>0</v>
      </c>
      <c r="G804" s="3" t="s">
        <v>41</v>
      </c>
      <c r="I804" s="25" t="str">
        <f t="shared" si="138"/>
        <v/>
      </c>
      <c r="J804" s="25" t="str">
        <f t="shared" si="138"/>
        <v/>
      </c>
      <c r="L804" s="3"/>
      <c r="M804" s="3"/>
    </row>
    <row r="805" spans="1:16" x14ac:dyDescent="0.45">
      <c r="A805" t="s">
        <v>20</v>
      </c>
      <c r="B805" t="s">
        <v>35</v>
      </c>
      <c r="C805" t="s">
        <v>23</v>
      </c>
      <c r="D805" s="27">
        <v>0</v>
      </c>
      <c r="E805" s="3" t="s">
        <v>41</v>
      </c>
      <c r="F805" s="23">
        <v>0</v>
      </c>
      <c r="G805" s="3" t="s">
        <v>41</v>
      </c>
      <c r="I805" s="25" t="str">
        <f t="shared" si="138"/>
        <v/>
      </c>
      <c r="J805" s="25" t="str">
        <f t="shared" si="138"/>
        <v/>
      </c>
      <c r="L805" s="3"/>
      <c r="M805" s="3"/>
    </row>
    <row r="806" spans="1:16" x14ac:dyDescent="0.45">
      <c r="A806" t="s">
        <v>7</v>
      </c>
      <c r="B806" t="s">
        <v>35</v>
      </c>
      <c r="C806" t="s">
        <v>24</v>
      </c>
      <c r="D806" s="27">
        <v>0</v>
      </c>
      <c r="E806" s="3">
        <v>0</v>
      </c>
      <c r="F806" s="23">
        <v>0</v>
      </c>
      <c r="G806" s="3">
        <v>0</v>
      </c>
      <c r="I806" s="22">
        <f t="shared" ref="I806:J806" si="141">IF(L806="","",L806)</f>
        <v>0</v>
      </c>
      <c r="J806" s="22">
        <f t="shared" si="141"/>
        <v>0</v>
      </c>
      <c r="L806" s="3">
        <v>0</v>
      </c>
      <c r="M806" s="3">
        <v>0</v>
      </c>
    </row>
    <row r="807" spans="1:16" x14ac:dyDescent="0.45">
      <c r="A807" t="s">
        <v>10</v>
      </c>
      <c r="B807" t="s">
        <v>35</v>
      </c>
      <c r="C807" t="s">
        <v>24</v>
      </c>
      <c r="D807" s="28">
        <v>0</v>
      </c>
      <c r="E807" s="4">
        <v>0</v>
      </c>
      <c r="F807" s="24">
        <v>0</v>
      </c>
      <c r="G807" s="4">
        <v>0</v>
      </c>
      <c r="I807" s="25">
        <f t="shared" ref="I807:J807" si="142">IF(L807="","",L807-L806)</f>
        <v>0</v>
      </c>
      <c r="J807" s="25">
        <f t="shared" si="142"/>
        <v>0</v>
      </c>
      <c r="L807" s="4">
        <v>0</v>
      </c>
      <c r="M807" s="4">
        <v>0</v>
      </c>
    </row>
    <row r="808" spans="1:16" x14ac:dyDescent="0.45">
      <c r="A808" t="s">
        <v>11</v>
      </c>
      <c r="B808" t="s">
        <v>35</v>
      </c>
      <c r="C808" t="s">
        <v>24</v>
      </c>
      <c r="D808" s="27">
        <v>0</v>
      </c>
      <c r="E808" s="3">
        <v>0</v>
      </c>
      <c r="F808" s="23">
        <v>0</v>
      </c>
      <c r="G808" s="3">
        <v>0</v>
      </c>
      <c r="I808" s="25">
        <f t="shared" si="138"/>
        <v>0</v>
      </c>
      <c r="J808" s="25">
        <f t="shared" si="138"/>
        <v>0</v>
      </c>
      <c r="L808" s="29">
        <f>SUMIFS(Pivot_!C:C,Pivot_!A:A,'Hitung Per Bulan'!B808,Pivot_!B:B,'Hitung Per Bulan'!C808)</f>
        <v>0</v>
      </c>
      <c r="M808" s="29">
        <f>SUMIFS(Pivot_!D:D,Pivot_!A:A,'Hitung Per Bulan'!B808,Pivot_!B:B,'Hitung Per Bulan'!C808)</f>
        <v>0</v>
      </c>
    </row>
    <row r="809" spans="1:16" x14ac:dyDescent="0.45">
      <c r="A809" t="s">
        <v>12</v>
      </c>
      <c r="B809" t="s">
        <v>35</v>
      </c>
      <c r="C809" t="s">
        <v>24</v>
      </c>
      <c r="D809" s="27">
        <v>0</v>
      </c>
      <c r="E809" s="3" t="s">
        <v>41</v>
      </c>
      <c r="F809" s="23">
        <v>0</v>
      </c>
      <c r="G809" s="3" t="s">
        <v>41</v>
      </c>
      <c r="I809" s="25" t="str">
        <f t="shared" si="138"/>
        <v/>
      </c>
      <c r="J809" s="25" t="str">
        <f t="shared" si="138"/>
        <v/>
      </c>
      <c r="L809" s="29"/>
      <c r="M809" s="29"/>
      <c r="O809" s="72"/>
      <c r="P809" s="72"/>
    </row>
    <row r="810" spans="1:16" x14ac:dyDescent="0.45">
      <c r="A810" t="s">
        <v>13</v>
      </c>
      <c r="B810" t="s">
        <v>35</v>
      </c>
      <c r="C810" t="s">
        <v>24</v>
      </c>
      <c r="D810" s="27">
        <v>0</v>
      </c>
      <c r="E810" s="3" t="s">
        <v>41</v>
      </c>
      <c r="F810" s="23">
        <v>0</v>
      </c>
      <c r="G810" s="3" t="s">
        <v>41</v>
      </c>
      <c r="I810" s="25" t="str">
        <f t="shared" si="138"/>
        <v/>
      </c>
      <c r="J810" s="25" t="str">
        <f t="shared" si="138"/>
        <v/>
      </c>
      <c r="L810" s="3"/>
      <c r="M810" s="3"/>
    </row>
    <row r="811" spans="1:16" x14ac:dyDescent="0.45">
      <c r="A811" t="s">
        <v>14</v>
      </c>
      <c r="B811" t="s">
        <v>35</v>
      </c>
      <c r="C811" t="s">
        <v>24</v>
      </c>
      <c r="D811" s="27">
        <v>0</v>
      </c>
      <c r="E811" s="3" t="s">
        <v>41</v>
      </c>
      <c r="F811" s="23">
        <v>0</v>
      </c>
      <c r="G811" s="3" t="s">
        <v>41</v>
      </c>
      <c r="I811" s="25" t="str">
        <f t="shared" si="138"/>
        <v/>
      </c>
      <c r="J811" s="25" t="str">
        <f t="shared" si="138"/>
        <v/>
      </c>
      <c r="L811" s="3"/>
      <c r="M811" s="3"/>
    </row>
    <row r="812" spans="1:16" x14ac:dyDescent="0.45">
      <c r="A812" t="s">
        <v>15</v>
      </c>
      <c r="B812" t="s">
        <v>35</v>
      </c>
      <c r="C812" t="s">
        <v>24</v>
      </c>
      <c r="D812" s="27">
        <v>0</v>
      </c>
      <c r="E812" s="3" t="s">
        <v>41</v>
      </c>
      <c r="F812" s="23">
        <v>0</v>
      </c>
      <c r="G812" s="3" t="s">
        <v>41</v>
      </c>
      <c r="I812" s="25" t="str">
        <f t="shared" si="138"/>
        <v/>
      </c>
      <c r="J812" s="25" t="str">
        <f t="shared" si="138"/>
        <v/>
      </c>
      <c r="L812" s="3"/>
      <c r="M812" s="3"/>
    </row>
    <row r="813" spans="1:16" x14ac:dyDescent="0.45">
      <c r="A813" t="s">
        <v>16</v>
      </c>
      <c r="B813" t="s">
        <v>35</v>
      </c>
      <c r="C813" t="s">
        <v>24</v>
      </c>
      <c r="D813" s="27">
        <v>0</v>
      </c>
      <c r="E813" s="3" t="s">
        <v>41</v>
      </c>
      <c r="F813" s="23">
        <v>0</v>
      </c>
      <c r="G813" s="3" t="s">
        <v>41</v>
      </c>
      <c r="I813" s="25" t="str">
        <f t="shared" si="138"/>
        <v/>
      </c>
      <c r="J813" s="25" t="str">
        <f t="shared" si="138"/>
        <v/>
      </c>
      <c r="L813" s="3"/>
      <c r="M813" s="3"/>
    </row>
    <row r="814" spans="1:16" x14ac:dyDescent="0.45">
      <c r="A814" t="s">
        <v>17</v>
      </c>
      <c r="B814" t="s">
        <v>35</v>
      </c>
      <c r="C814" t="s">
        <v>24</v>
      </c>
      <c r="D814" s="27">
        <v>0</v>
      </c>
      <c r="E814" s="3" t="s">
        <v>41</v>
      </c>
      <c r="F814" s="23">
        <v>0</v>
      </c>
      <c r="G814" s="3" t="s">
        <v>41</v>
      </c>
      <c r="I814" s="25" t="str">
        <f t="shared" si="138"/>
        <v/>
      </c>
      <c r="J814" s="25" t="str">
        <f t="shared" si="138"/>
        <v/>
      </c>
      <c r="L814" s="3"/>
      <c r="M814" s="3"/>
    </row>
    <row r="815" spans="1:16" x14ac:dyDescent="0.45">
      <c r="A815" t="s">
        <v>18</v>
      </c>
      <c r="B815" t="s">
        <v>35</v>
      </c>
      <c r="C815" t="s">
        <v>24</v>
      </c>
      <c r="D815" s="27">
        <v>0</v>
      </c>
      <c r="E815" s="3" t="s">
        <v>41</v>
      </c>
      <c r="F815" s="23">
        <v>0</v>
      </c>
      <c r="G815" s="3" t="s">
        <v>41</v>
      </c>
      <c r="I815" s="25" t="str">
        <f t="shared" si="138"/>
        <v/>
      </c>
      <c r="J815" s="25" t="str">
        <f t="shared" si="138"/>
        <v/>
      </c>
      <c r="L815" s="3"/>
      <c r="M815" s="3"/>
    </row>
    <row r="816" spans="1:16" x14ac:dyDescent="0.45">
      <c r="A816" t="s">
        <v>19</v>
      </c>
      <c r="B816" t="s">
        <v>35</v>
      </c>
      <c r="C816" t="s">
        <v>24</v>
      </c>
      <c r="D816" s="27">
        <v>0</v>
      </c>
      <c r="E816" s="3" t="s">
        <v>41</v>
      </c>
      <c r="F816" s="23">
        <v>0</v>
      </c>
      <c r="G816" s="3" t="s">
        <v>41</v>
      </c>
      <c r="I816" s="25" t="str">
        <f t="shared" si="138"/>
        <v/>
      </c>
      <c r="J816" s="25" t="str">
        <f t="shared" si="138"/>
        <v/>
      </c>
      <c r="L816" s="3"/>
      <c r="M816" s="3"/>
    </row>
    <row r="817" spans="1:16" x14ac:dyDescent="0.45">
      <c r="A817" t="s">
        <v>20</v>
      </c>
      <c r="B817" t="s">
        <v>35</v>
      </c>
      <c r="C817" t="s">
        <v>24</v>
      </c>
      <c r="D817" s="27">
        <v>0</v>
      </c>
      <c r="E817" s="3" t="s">
        <v>41</v>
      </c>
      <c r="F817" s="23">
        <v>0</v>
      </c>
      <c r="G817" s="3" t="s">
        <v>41</v>
      </c>
      <c r="I817" s="25" t="str">
        <f t="shared" si="138"/>
        <v/>
      </c>
      <c r="J817" s="25" t="str">
        <f t="shared" si="138"/>
        <v/>
      </c>
      <c r="L817" s="3"/>
      <c r="M817" s="3"/>
    </row>
    <row r="818" spans="1:16" x14ac:dyDescent="0.45">
      <c r="A818" t="s">
        <v>7</v>
      </c>
      <c r="B818" t="s">
        <v>35</v>
      </c>
      <c r="C818" t="s">
        <v>25</v>
      </c>
      <c r="D818" s="27">
        <v>82700000</v>
      </c>
      <c r="E818" s="3">
        <v>57340750</v>
      </c>
      <c r="F818" s="23">
        <v>82700000</v>
      </c>
      <c r="G818" s="3">
        <v>16205500</v>
      </c>
      <c r="I818" s="22">
        <f t="shared" ref="I818:J818" si="143">IF(L818="","",L818)</f>
        <v>57340750</v>
      </c>
      <c r="J818" s="22">
        <f t="shared" si="143"/>
        <v>16205500</v>
      </c>
      <c r="L818" s="3">
        <v>57340750</v>
      </c>
      <c r="M818" s="3">
        <v>16205500</v>
      </c>
    </row>
    <row r="819" spans="1:16" x14ac:dyDescent="0.45">
      <c r="A819" t="s">
        <v>10</v>
      </c>
      <c r="B819" t="s">
        <v>35</v>
      </c>
      <c r="C819" t="s">
        <v>25</v>
      </c>
      <c r="D819" s="28">
        <v>141200000</v>
      </c>
      <c r="E819" s="4">
        <v>82038470</v>
      </c>
      <c r="F819" s="24">
        <v>141200000</v>
      </c>
      <c r="G819" s="4">
        <v>70154750</v>
      </c>
      <c r="I819" s="25">
        <f t="shared" ref="I819:J819" si="144">IF(L819="","",L819-L818)</f>
        <v>82038470</v>
      </c>
      <c r="J819" s="25">
        <f t="shared" si="144"/>
        <v>70154750</v>
      </c>
      <c r="L819" s="4">
        <v>139379220</v>
      </c>
      <c r="M819" s="4">
        <v>86360250</v>
      </c>
    </row>
    <row r="820" spans="1:16" x14ac:dyDescent="0.45">
      <c r="A820" t="s">
        <v>11</v>
      </c>
      <c r="B820" t="s">
        <v>35</v>
      </c>
      <c r="C820" t="s">
        <v>25</v>
      </c>
      <c r="D820" s="27">
        <v>397700000</v>
      </c>
      <c r="E820" s="3">
        <v>69713445</v>
      </c>
      <c r="F820" s="23">
        <v>397700000</v>
      </c>
      <c r="G820" s="3">
        <v>38177100</v>
      </c>
      <c r="I820" s="25">
        <f t="shared" si="138"/>
        <v>86080523</v>
      </c>
      <c r="J820" s="25">
        <f t="shared" si="138"/>
        <v>77098478</v>
      </c>
      <c r="L820" s="29">
        <f>SUMIFS(Pivot_!C:C,Pivot_!A:A,'Hitung Per Bulan'!B820,Pivot_!B:B,'Hitung Per Bulan'!C820)</f>
        <v>225459743</v>
      </c>
      <c r="M820" s="29">
        <f>SUMIFS(Pivot_!D:D,Pivot_!A:A,'Hitung Per Bulan'!B820,Pivot_!B:B,'Hitung Per Bulan'!C820)</f>
        <v>163458728</v>
      </c>
    </row>
    <row r="821" spans="1:16" x14ac:dyDescent="0.45">
      <c r="A821" t="s">
        <v>12</v>
      </c>
      <c r="B821" t="s">
        <v>35</v>
      </c>
      <c r="C821" t="s">
        <v>25</v>
      </c>
      <c r="D821" s="27">
        <v>142700000</v>
      </c>
      <c r="E821" s="3" t="s">
        <v>41</v>
      </c>
      <c r="F821" s="23">
        <v>142700000</v>
      </c>
      <c r="G821" s="3" t="s">
        <v>41</v>
      </c>
      <c r="I821" s="25" t="str">
        <f t="shared" si="138"/>
        <v/>
      </c>
      <c r="J821" s="25" t="str">
        <f t="shared" si="138"/>
        <v/>
      </c>
      <c r="L821" s="29"/>
      <c r="M821" s="29"/>
      <c r="O821" s="72"/>
      <c r="P821" s="72"/>
    </row>
    <row r="822" spans="1:16" x14ac:dyDescent="0.45">
      <c r="A822" t="s">
        <v>13</v>
      </c>
      <c r="B822" t="s">
        <v>35</v>
      </c>
      <c r="C822" t="s">
        <v>25</v>
      </c>
      <c r="D822" s="27">
        <v>121200000</v>
      </c>
      <c r="E822" s="3" t="s">
        <v>41</v>
      </c>
      <c r="F822" s="23">
        <v>121200000</v>
      </c>
      <c r="G822" s="3" t="s">
        <v>41</v>
      </c>
      <c r="I822" s="25" t="str">
        <f t="shared" si="138"/>
        <v/>
      </c>
      <c r="J822" s="25" t="str">
        <f t="shared" si="138"/>
        <v/>
      </c>
      <c r="L822" s="3"/>
      <c r="M822" s="3"/>
    </row>
    <row r="823" spans="1:16" x14ac:dyDescent="0.45">
      <c r="A823" t="s">
        <v>14</v>
      </c>
      <c r="B823" t="s">
        <v>35</v>
      </c>
      <c r="C823" t="s">
        <v>25</v>
      </c>
      <c r="D823" s="27">
        <v>167700000</v>
      </c>
      <c r="E823" s="3" t="s">
        <v>41</v>
      </c>
      <c r="F823" s="23">
        <v>167700000</v>
      </c>
      <c r="G823" s="3" t="s">
        <v>41</v>
      </c>
      <c r="I823" s="25" t="str">
        <f t="shared" si="138"/>
        <v/>
      </c>
      <c r="J823" s="25" t="str">
        <f t="shared" si="138"/>
        <v/>
      </c>
      <c r="L823" s="3"/>
      <c r="M823" s="3"/>
    </row>
    <row r="824" spans="1:16" x14ac:dyDescent="0.45">
      <c r="A824" t="s">
        <v>15</v>
      </c>
      <c r="B824" t="s">
        <v>35</v>
      </c>
      <c r="C824" t="s">
        <v>25</v>
      </c>
      <c r="D824" s="27">
        <v>165700000</v>
      </c>
      <c r="E824" s="3" t="s">
        <v>41</v>
      </c>
      <c r="F824" s="23">
        <v>165700000</v>
      </c>
      <c r="G824" s="3" t="s">
        <v>41</v>
      </c>
      <c r="I824" s="25" t="str">
        <f t="shared" si="138"/>
        <v/>
      </c>
      <c r="J824" s="25" t="str">
        <f t="shared" si="138"/>
        <v/>
      </c>
      <c r="L824" s="3"/>
      <c r="M824" s="3"/>
    </row>
    <row r="825" spans="1:16" x14ac:dyDescent="0.45">
      <c r="A825" t="s">
        <v>16</v>
      </c>
      <c r="B825" t="s">
        <v>35</v>
      </c>
      <c r="C825" t="s">
        <v>25</v>
      </c>
      <c r="D825" s="27">
        <v>134000000</v>
      </c>
      <c r="E825" s="3" t="s">
        <v>41</v>
      </c>
      <c r="F825" s="23">
        <v>134000000</v>
      </c>
      <c r="G825" s="3" t="s">
        <v>41</v>
      </c>
      <c r="I825" s="25" t="str">
        <f t="shared" si="138"/>
        <v/>
      </c>
      <c r="J825" s="25" t="str">
        <f t="shared" si="138"/>
        <v/>
      </c>
      <c r="L825" s="3"/>
      <c r="M825" s="3"/>
    </row>
    <row r="826" spans="1:16" x14ac:dyDescent="0.45">
      <c r="A826" t="s">
        <v>17</v>
      </c>
      <c r="B826" t="s">
        <v>35</v>
      </c>
      <c r="C826" t="s">
        <v>25</v>
      </c>
      <c r="D826" s="27">
        <v>142757000</v>
      </c>
      <c r="E826" s="3" t="s">
        <v>41</v>
      </c>
      <c r="F826" s="23">
        <v>142757000</v>
      </c>
      <c r="G826" s="3" t="s">
        <v>41</v>
      </c>
      <c r="I826" s="25" t="str">
        <f t="shared" si="138"/>
        <v/>
      </c>
      <c r="J826" s="25" t="str">
        <f t="shared" si="138"/>
        <v/>
      </c>
      <c r="L826" s="3"/>
      <c r="M826" s="3"/>
    </row>
    <row r="827" spans="1:16" x14ac:dyDescent="0.45">
      <c r="A827" t="s">
        <v>18</v>
      </c>
      <c r="B827" t="s">
        <v>35</v>
      </c>
      <c r="C827" t="s">
        <v>25</v>
      </c>
      <c r="D827" s="27">
        <v>102700000</v>
      </c>
      <c r="E827" s="3" t="s">
        <v>41</v>
      </c>
      <c r="F827" s="23">
        <v>102700000</v>
      </c>
      <c r="G827" s="3" t="s">
        <v>41</v>
      </c>
      <c r="I827" s="25" t="str">
        <f t="shared" si="138"/>
        <v/>
      </c>
      <c r="J827" s="25" t="str">
        <f t="shared" si="138"/>
        <v/>
      </c>
      <c r="L827" s="3"/>
      <c r="M827" s="3"/>
    </row>
    <row r="828" spans="1:16" x14ac:dyDescent="0.45">
      <c r="A828" t="s">
        <v>19</v>
      </c>
      <c r="B828" t="s">
        <v>35</v>
      </c>
      <c r="C828" t="s">
        <v>25</v>
      </c>
      <c r="D828" s="27">
        <v>185200000</v>
      </c>
      <c r="E828" s="3" t="s">
        <v>41</v>
      </c>
      <c r="F828" s="23">
        <v>185200000</v>
      </c>
      <c r="G828" s="3" t="s">
        <v>41</v>
      </c>
      <c r="I828" s="25" t="str">
        <f t="shared" si="138"/>
        <v/>
      </c>
      <c r="J828" s="25" t="str">
        <f t="shared" si="138"/>
        <v/>
      </c>
      <c r="L828" s="3"/>
      <c r="M828" s="3"/>
    </row>
    <row r="829" spans="1:16" x14ac:dyDescent="0.45">
      <c r="A829" t="s">
        <v>20</v>
      </c>
      <c r="B829" t="s">
        <v>35</v>
      </c>
      <c r="C829" t="s">
        <v>25</v>
      </c>
      <c r="D829" s="27">
        <v>77700000</v>
      </c>
      <c r="E829" s="3" t="s">
        <v>41</v>
      </c>
      <c r="F829" s="23">
        <v>77700000</v>
      </c>
      <c r="G829" s="3" t="s">
        <v>41</v>
      </c>
      <c r="I829" s="25" t="str">
        <f t="shared" si="138"/>
        <v/>
      </c>
      <c r="J829" s="25" t="str">
        <f t="shared" si="138"/>
        <v/>
      </c>
      <c r="L829" s="3"/>
      <c r="M829" s="3"/>
    </row>
    <row r="830" spans="1:16" x14ac:dyDescent="0.45">
      <c r="A830" t="s">
        <v>7</v>
      </c>
      <c r="B830" t="s">
        <v>35</v>
      </c>
      <c r="C830" t="s">
        <v>26</v>
      </c>
      <c r="D830" s="27">
        <v>242647000</v>
      </c>
      <c r="E830" s="3">
        <v>209525890</v>
      </c>
      <c r="F830" s="23">
        <v>242647000</v>
      </c>
      <c r="G830" s="3">
        <v>203746495</v>
      </c>
      <c r="I830" s="22">
        <f t="shared" ref="I830:J830" si="145">IF(L830="","",L830)</f>
        <v>209525890</v>
      </c>
      <c r="J830" s="22">
        <f t="shared" si="145"/>
        <v>203746495</v>
      </c>
      <c r="L830" s="3">
        <v>209525890</v>
      </c>
      <c r="M830" s="3">
        <v>203746495</v>
      </c>
    </row>
    <row r="831" spans="1:16" x14ac:dyDescent="0.45">
      <c r="A831" t="s">
        <v>10</v>
      </c>
      <c r="B831" t="s">
        <v>35</v>
      </c>
      <c r="C831" t="s">
        <v>26</v>
      </c>
      <c r="D831" s="28">
        <v>242647000</v>
      </c>
      <c r="E831" s="4">
        <v>202611220</v>
      </c>
      <c r="F831" s="24">
        <v>242647000</v>
      </c>
      <c r="G831" s="4">
        <v>207808845</v>
      </c>
      <c r="I831" s="25">
        <f t="shared" ref="I831:J831" si="146">IF(L831="","",L831-L830)</f>
        <v>202611220</v>
      </c>
      <c r="J831" s="25">
        <f t="shared" si="146"/>
        <v>207808845</v>
      </c>
      <c r="L831" s="4">
        <v>412137110</v>
      </c>
      <c r="M831" s="4">
        <v>411555340</v>
      </c>
    </row>
    <row r="832" spans="1:16" x14ac:dyDescent="0.45">
      <c r="A832" t="s">
        <v>11</v>
      </c>
      <c r="B832" t="s">
        <v>35</v>
      </c>
      <c r="C832" t="s">
        <v>26</v>
      </c>
      <c r="D832" s="27">
        <v>242647000</v>
      </c>
      <c r="E832" s="3">
        <v>0</v>
      </c>
      <c r="F832" s="23">
        <v>242647000</v>
      </c>
      <c r="G832" s="3">
        <v>0</v>
      </c>
      <c r="I832" s="25">
        <f t="shared" si="138"/>
        <v>188630282</v>
      </c>
      <c r="J832" s="25">
        <f t="shared" si="138"/>
        <v>188755282</v>
      </c>
      <c r="L832" s="29">
        <f>SUMIFS(Pivot_!C:C,Pivot_!A:A,'Hitung Per Bulan'!B832,Pivot_!B:B,'Hitung Per Bulan'!C832)</f>
        <v>600767392</v>
      </c>
      <c r="M832" s="29">
        <f>SUMIFS(Pivot_!D:D,Pivot_!A:A,'Hitung Per Bulan'!B832,Pivot_!B:B,'Hitung Per Bulan'!C832)</f>
        <v>600310622</v>
      </c>
    </row>
    <row r="833" spans="1:16" x14ac:dyDescent="0.45">
      <c r="A833" t="s">
        <v>12</v>
      </c>
      <c r="B833" t="s">
        <v>35</v>
      </c>
      <c r="C833" t="s">
        <v>26</v>
      </c>
      <c r="D833" s="27">
        <v>242647000</v>
      </c>
      <c r="E833" s="3" t="s">
        <v>41</v>
      </c>
      <c r="F833" s="23">
        <v>242647000</v>
      </c>
      <c r="G833" s="3" t="s">
        <v>41</v>
      </c>
      <c r="I833" s="25" t="str">
        <f t="shared" si="138"/>
        <v/>
      </c>
      <c r="J833" s="25" t="str">
        <f t="shared" si="138"/>
        <v/>
      </c>
      <c r="L833" s="29"/>
      <c r="M833" s="29"/>
      <c r="O833" s="72"/>
      <c r="P833" s="72"/>
    </row>
    <row r="834" spans="1:16" x14ac:dyDescent="0.45">
      <c r="A834" t="s">
        <v>13</v>
      </c>
      <c r="B834" t="s">
        <v>35</v>
      </c>
      <c r="C834" t="s">
        <v>26</v>
      </c>
      <c r="D834" s="27">
        <v>242647000</v>
      </c>
      <c r="E834" s="3" t="s">
        <v>41</v>
      </c>
      <c r="F834" s="23">
        <v>242647000</v>
      </c>
      <c r="G834" s="3" t="s">
        <v>41</v>
      </c>
      <c r="I834" s="25" t="str">
        <f t="shared" si="138"/>
        <v/>
      </c>
      <c r="J834" s="25" t="str">
        <f t="shared" si="138"/>
        <v/>
      </c>
      <c r="L834" s="3"/>
      <c r="M834" s="3"/>
    </row>
    <row r="835" spans="1:16" x14ac:dyDescent="0.45">
      <c r="A835" t="s">
        <v>14</v>
      </c>
      <c r="B835" t="s">
        <v>35</v>
      </c>
      <c r="C835" t="s">
        <v>26</v>
      </c>
      <c r="D835" s="27">
        <v>242647000</v>
      </c>
      <c r="E835" s="3" t="s">
        <v>41</v>
      </c>
      <c r="F835" s="23">
        <v>242647000</v>
      </c>
      <c r="G835" s="3" t="s">
        <v>41</v>
      </c>
      <c r="I835" s="25" t="str">
        <f t="shared" si="138"/>
        <v/>
      </c>
      <c r="J835" s="25" t="str">
        <f t="shared" si="138"/>
        <v/>
      </c>
      <c r="L835" s="3"/>
      <c r="M835" s="3"/>
    </row>
    <row r="836" spans="1:16" x14ac:dyDescent="0.45">
      <c r="A836" t="s">
        <v>15</v>
      </c>
      <c r="B836" t="s">
        <v>35</v>
      </c>
      <c r="C836" t="s">
        <v>26</v>
      </c>
      <c r="D836" s="27">
        <v>242647000</v>
      </c>
      <c r="E836" s="3" t="s">
        <v>41</v>
      </c>
      <c r="F836" s="23">
        <v>242647000</v>
      </c>
      <c r="G836" s="3" t="s">
        <v>41</v>
      </c>
      <c r="I836" s="25" t="str">
        <f t="shared" si="138"/>
        <v/>
      </c>
      <c r="J836" s="25" t="str">
        <f t="shared" si="138"/>
        <v/>
      </c>
      <c r="L836" s="3"/>
      <c r="M836" s="3"/>
    </row>
    <row r="837" spans="1:16" x14ac:dyDescent="0.45">
      <c r="A837" t="s">
        <v>16</v>
      </c>
      <c r="B837" t="s">
        <v>35</v>
      </c>
      <c r="C837" t="s">
        <v>26</v>
      </c>
      <c r="D837" s="27">
        <v>242647000</v>
      </c>
      <c r="E837" s="3" t="s">
        <v>41</v>
      </c>
      <c r="F837" s="23">
        <v>242647000</v>
      </c>
      <c r="G837" s="3" t="s">
        <v>41</v>
      </c>
      <c r="I837" s="25" t="str">
        <f t="shared" si="138"/>
        <v/>
      </c>
      <c r="J837" s="25" t="str">
        <f t="shared" si="138"/>
        <v/>
      </c>
      <c r="L837" s="3"/>
      <c r="M837" s="3"/>
    </row>
    <row r="838" spans="1:16" x14ac:dyDescent="0.45">
      <c r="A838" t="s">
        <v>17</v>
      </c>
      <c r="B838" t="s">
        <v>35</v>
      </c>
      <c r="C838" t="s">
        <v>26</v>
      </c>
      <c r="D838" s="27">
        <v>242647000</v>
      </c>
      <c r="E838" s="3" t="s">
        <v>41</v>
      </c>
      <c r="F838" s="23">
        <v>242647000</v>
      </c>
      <c r="G838" s="3" t="s">
        <v>41</v>
      </c>
      <c r="I838" s="25" t="str">
        <f t="shared" si="138"/>
        <v/>
      </c>
      <c r="J838" s="25" t="str">
        <f t="shared" si="138"/>
        <v/>
      </c>
      <c r="L838" s="3"/>
      <c r="M838" s="3"/>
    </row>
    <row r="839" spans="1:16" x14ac:dyDescent="0.45">
      <c r="A839" t="s">
        <v>18</v>
      </c>
      <c r="B839" t="s">
        <v>35</v>
      </c>
      <c r="C839" t="s">
        <v>26</v>
      </c>
      <c r="D839" s="27">
        <v>242647000</v>
      </c>
      <c r="E839" s="3" t="s">
        <v>41</v>
      </c>
      <c r="F839" s="23">
        <v>242647000</v>
      </c>
      <c r="G839" s="3" t="s">
        <v>41</v>
      </c>
      <c r="I839" s="25" t="str">
        <f t="shared" si="138"/>
        <v/>
      </c>
      <c r="J839" s="25" t="str">
        <f t="shared" si="138"/>
        <v/>
      </c>
      <c r="L839" s="3"/>
      <c r="M839" s="3"/>
    </row>
    <row r="840" spans="1:16" x14ac:dyDescent="0.45">
      <c r="A840" t="s">
        <v>19</v>
      </c>
      <c r="B840" t="s">
        <v>35</v>
      </c>
      <c r="C840" t="s">
        <v>26</v>
      </c>
      <c r="D840" s="27">
        <v>242647000</v>
      </c>
      <c r="E840" s="3" t="s">
        <v>41</v>
      </c>
      <c r="F840" s="23">
        <v>242647000</v>
      </c>
      <c r="G840" s="3" t="s">
        <v>41</v>
      </c>
      <c r="I840" s="25" t="str">
        <f t="shared" si="138"/>
        <v/>
      </c>
      <c r="J840" s="25" t="str">
        <f t="shared" si="138"/>
        <v/>
      </c>
      <c r="L840" s="3"/>
      <c r="M840" s="3"/>
    </row>
    <row r="841" spans="1:16" x14ac:dyDescent="0.45">
      <c r="A841" t="s">
        <v>20</v>
      </c>
      <c r="B841" t="s">
        <v>35</v>
      </c>
      <c r="C841" t="s">
        <v>26</v>
      </c>
      <c r="D841" s="27">
        <v>242647000</v>
      </c>
      <c r="E841" s="3" t="s">
        <v>41</v>
      </c>
      <c r="F841" s="23">
        <v>242647000</v>
      </c>
      <c r="G841" s="3" t="s">
        <v>41</v>
      </c>
      <c r="I841" s="25" t="str">
        <f t="shared" si="138"/>
        <v/>
      </c>
      <c r="J841" s="25" t="str">
        <f t="shared" si="138"/>
        <v/>
      </c>
      <c r="L841" s="3"/>
      <c r="M841" s="3"/>
    </row>
    <row r="842" spans="1:16" x14ac:dyDescent="0.45">
      <c r="A842" t="s">
        <v>7</v>
      </c>
      <c r="B842" t="s">
        <v>36</v>
      </c>
      <c r="C842" t="s">
        <v>9</v>
      </c>
      <c r="D842" s="27">
        <v>256149000</v>
      </c>
      <c r="E842" s="3">
        <v>261345961</v>
      </c>
      <c r="F842" s="23">
        <v>0</v>
      </c>
      <c r="G842" s="3">
        <v>0</v>
      </c>
      <c r="I842" s="22">
        <f t="shared" ref="I842:J842" si="147">IF(L842="","",L842)</f>
        <v>261345961</v>
      </c>
      <c r="J842" s="22">
        <f t="shared" si="147"/>
        <v>0</v>
      </c>
      <c r="L842" s="3">
        <v>261345961</v>
      </c>
      <c r="M842" s="3">
        <v>0</v>
      </c>
    </row>
    <row r="843" spans="1:16" x14ac:dyDescent="0.45">
      <c r="A843" t="s">
        <v>10</v>
      </c>
      <c r="B843" t="s">
        <v>36</v>
      </c>
      <c r="C843" t="s">
        <v>9</v>
      </c>
      <c r="D843" s="28">
        <v>232029000</v>
      </c>
      <c r="E843" s="4">
        <v>316431833</v>
      </c>
      <c r="F843" s="24">
        <v>256149000</v>
      </c>
      <c r="G843" s="4">
        <v>187448104</v>
      </c>
      <c r="I843" s="25">
        <f t="shared" ref="I843:J843" si="148">IF(L843="","",L843-L842)</f>
        <v>316431833</v>
      </c>
      <c r="J843" s="25">
        <f t="shared" si="148"/>
        <v>187448104</v>
      </c>
      <c r="L843" s="4">
        <v>577777794</v>
      </c>
      <c r="M843" s="4">
        <v>187448104</v>
      </c>
    </row>
    <row r="844" spans="1:16" x14ac:dyDescent="0.45">
      <c r="A844" t="s">
        <v>11</v>
      </c>
      <c r="B844" t="s">
        <v>36</v>
      </c>
      <c r="C844" t="s">
        <v>9</v>
      </c>
      <c r="D844" s="27">
        <v>320000000</v>
      </c>
      <c r="E844" s="3">
        <v>81029084</v>
      </c>
      <c r="F844" s="23">
        <v>232029000</v>
      </c>
      <c r="G844" s="3">
        <v>47099500</v>
      </c>
      <c r="I844" s="25">
        <f t="shared" si="138"/>
        <v>548640026</v>
      </c>
      <c r="J844" s="25">
        <f t="shared" si="138"/>
        <v>234017410</v>
      </c>
      <c r="L844" s="29">
        <f>SUMIFS(Pivot_!C:C,Pivot_!A:A,'Hitung Per Bulan'!B844,Pivot_!B:B,'Hitung Per Bulan'!C844)</f>
        <v>1126417820</v>
      </c>
      <c r="M844" s="29">
        <f>SUMIFS(Pivot_!D:D,Pivot_!A:A,'Hitung Per Bulan'!B844,Pivot_!B:B,'Hitung Per Bulan'!C844)</f>
        <v>421465514</v>
      </c>
    </row>
    <row r="845" spans="1:16" x14ac:dyDescent="0.45">
      <c r="A845" t="s">
        <v>12</v>
      </c>
      <c r="B845" t="s">
        <v>36</v>
      </c>
      <c r="C845" t="s">
        <v>9</v>
      </c>
      <c r="D845" s="27">
        <v>1567132000</v>
      </c>
      <c r="E845" s="3" t="s">
        <v>41</v>
      </c>
      <c r="F845" s="23">
        <v>320000000</v>
      </c>
      <c r="G845" s="3" t="s">
        <v>41</v>
      </c>
      <c r="I845" s="25" t="str">
        <f t="shared" si="138"/>
        <v/>
      </c>
      <c r="J845" s="25" t="str">
        <f t="shared" si="138"/>
        <v/>
      </c>
      <c r="L845" s="29"/>
      <c r="M845" s="29"/>
      <c r="O845" s="72"/>
      <c r="P845" s="72"/>
    </row>
    <row r="846" spans="1:16" x14ac:dyDescent="0.45">
      <c r="A846" t="s">
        <v>13</v>
      </c>
      <c r="B846" t="s">
        <v>36</v>
      </c>
      <c r="C846" t="s">
        <v>9</v>
      </c>
      <c r="D846" s="27">
        <v>3199778000</v>
      </c>
      <c r="E846" s="3" t="s">
        <v>41</v>
      </c>
      <c r="F846" s="23">
        <v>346353000</v>
      </c>
      <c r="G846" s="3" t="s">
        <v>41</v>
      </c>
      <c r="I846" s="25" t="str">
        <f t="shared" si="138"/>
        <v/>
      </c>
      <c r="J846" s="25" t="str">
        <f t="shared" si="138"/>
        <v/>
      </c>
      <c r="L846" s="3"/>
      <c r="M846" s="3"/>
    </row>
    <row r="847" spans="1:16" x14ac:dyDescent="0.45">
      <c r="A847" t="s">
        <v>14</v>
      </c>
      <c r="B847" t="s">
        <v>36</v>
      </c>
      <c r="C847" t="s">
        <v>9</v>
      </c>
      <c r="D847" s="27">
        <v>1289274000</v>
      </c>
      <c r="E847" s="3" t="s">
        <v>41</v>
      </c>
      <c r="F847" s="23">
        <v>1574794000</v>
      </c>
      <c r="G847" s="3" t="s">
        <v>41</v>
      </c>
      <c r="I847" s="25" t="str">
        <f t="shared" ref="I847:J910" si="149">IF(L847="","",L847-L846)</f>
        <v/>
      </c>
      <c r="J847" s="25" t="str">
        <f t="shared" si="149"/>
        <v/>
      </c>
      <c r="L847" s="3"/>
      <c r="M847" s="3"/>
    </row>
    <row r="848" spans="1:16" x14ac:dyDescent="0.45">
      <c r="A848" t="s">
        <v>15</v>
      </c>
      <c r="B848" t="s">
        <v>36</v>
      </c>
      <c r="C848" t="s">
        <v>9</v>
      </c>
      <c r="D848" s="27">
        <v>1665312000</v>
      </c>
      <c r="E848" s="3" t="s">
        <v>41</v>
      </c>
      <c r="F848" s="23">
        <v>1850699000</v>
      </c>
      <c r="G848" s="3" t="s">
        <v>41</v>
      </c>
      <c r="I848" s="25" t="str">
        <f t="shared" si="149"/>
        <v/>
      </c>
      <c r="J848" s="25" t="str">
        <f t="shared" si="149"/>
        <v/>
      </c>
      <c r="L848" s="3"/>
      <c r="M848" s="3"/>
    </row>
    <row r="849" spans="1:16" x14ac:dyDescent="0.45">
      <c r="A849" t="s">
        <v>16</v>
      </c>
      <c r="B849" t="s">
        <v>36</v>
      </c>
      <c r="C849" t="s">
        <v>9</v>
      </c>
      <c r="D849" s="27">
        <v>1072588000</v>
      </c>
      <c r="E849" s="3" t="s">
        <v>41</v>
      </c>
      <c r="F849" s="23">
        <v>2404338000</v>
      </c>
      <c r="G849" s="3" t="s">
        <v>41</v>
      </c>
      <c r="I849" s="25" t="str">
        <f t="shared" si="149"/>
        <v/>
      </c>
      <c r="J849" s="25" t="str">
        <f t="shared" si="149"/>
        <v/>
      </c>
      <c r="L849" s="3"/>
      <c r="M849" s="3"/>
    </row>
    <row r="850" spans="1:16" x14ac:dyDescent="0.45">
      <c r="A850" t="s">
        <v>17</v>
      </c>
      <c r="B850" t="s">
        <v>36</v>
      </c>
      <c r="C850" t="s">
        <v>9</v>
      </c>
      <c r="D850" s="27">
        <v>1131003000</v>
      </c>
      <c r="E850" s="3" t="s">
        <v>41</v>
      </c>
      <c r="F850" s="23">
        <v>871823000</v>
      </c>
      <c r="G850" s="3" t="s">
        <v>41</v>
      </c>
      <c r="I850" s="25" t="str">
        <f t="shared" si="149"/>
        <v/>
      </c>
      <c r="J850" s="25" t="str">
        <f t="shared" si="149"/>
        <v/>
      </c>
      <c r="L850" s="3"/>
      <c r="M850" s="3"/>
    </row>
    <row r="851" spans="1:16" x14ac:dyDescent="0.45">
      <c r="A851" t="s">
        <v>18</v>
      </c>
      <c r="B851" t="s">
        <v>36</v>
      </c>
      <c r="C851" t="s">
        <v>9</v>
      </c>
      <c r="D851" s="27">
        <v>170000000</v>
      </c>
      <c r="E851" s="3" t="s">
        <v>41</v>
      </c>
      <c r="F851" s="23">
        <v>1131003000</v>
      </c>
      <c r="G851" s="3" t="s">
        <v>41</v>
      </c>
      <c r="I851" s="25" t="str">
        <f t="shared" si="149"/>
        <v/>
      </c>
      <c r="J851" s="25" t="str">
        <f t="shared" si="149"/>
        <v/>
      </c>
      <c r="L851" s="3"/>
      <c r="M851" s="3"/>
    </row>
    <row r="852" spans="1:16" x14ac:dyDescent="0.45">
      <c r="A852" t="s">
        <v>19</v>
      </c>
      <c r="B852" t="s">
        <v>36</v>
      </c>
      <c r="C852" t="s">
        <v>9</v>
      </c>
      <c r="D852" s="27">
        <v>219669000</v>
      </c>
      <c r="E852" s="3" t="s">
        <v>41</v>
      </c>
      <c r="F852" s="23">
        <v>1916077000</v>
      </c>
      <c r="G852" s="3" t="s">
        <v>41</v>
      </c>
      <c r="I852" s="25" t="str">
        <f t="shared" si="149"/>
        <v/>
      </c>
      <c r="J852" s="25" t="str">
        <f t="shared" si="149"/>
        <v/>
      </c>
      <c r="L852" s="3"/>
      <c r="M852" s="3"/>
    </row>
    <row r="853" spans="1:16" x14ac:dyDescent="0.45">
      <c r="A853" t="s">
        <v>20</v>
      </c>
      <c r="B853" t="s">
        <v>36</v>
      </c>
      <c r="C853" t="s">
        <v>9</v>
      </c>
      <c r="D853" s="27">
        <v>0</v>
      </c>
      <c r="E853" s="3" t="s">
        <v>41</v>
      </c>
      <c r="F853" s="23">
        <v>219669000</v>
      </c>
      <c r="G853" s="3" t="s">
        <v>41</v>
      </c>
      <c r="I853" s="25" t="str">
        <f t="shared" si="149"/>
        <v/>
      </c>
      <c r="J853" s="25" t="str">
        <f t="shared" si="149"/>
        <v/>
      </c>
      <c r="L853" s="3"/>
      <c r="M853" s="3"/>
    </row>
    <row r="854" spans="1:16" x14ac:dyDescent="0.45">
      <c r="A854" t="s">
        <v>7</v>
      </c>
      <c r="B854" t="s">
        <v>36</v>
      </c>
      <c r="C854" t="s">
        <v>21</v>
      </c>
      <c r="D854" s="27">
        <v>0</v>
      </c>
      <c r="E854" s="3">
        <v>0</v>
      </c>
      <c r="F854" s="23">
        <v>0</v>
      </c>
      <c r="G854" s="3">
        <v>0</v>
      </c>
      <c r="I854" s="22">
        <f t="shared" ref="I854:J854" si="150">IF(L854="","",L854)</f>
        <v>0</v>
      </c>
      <c r="J854" s="22">
        <f t="shared" si="150"/>
        <v>0</v>
      </c>
      <c r="L854" s="3">
        <v>0</v>
      </c>
      <c r="M854" s="3">
        <v>0</v>
      </c>
    </row>
    <row r="855" spans="1:16" x14ac:dyDescent="0.45">
      <c r="A855" t="s">
        <v>10</v>
      </c>
      <c r="B855" t="s">
        <v>36</v>
      </c>
      <c r="C855" t="s">
        <v>21</v>
      </c>
      <c r="D855" s="28">
        <v>0</v>
      </c>
      <c r="E855" s="4">
        <v>0</v>
      </c>
      <c r="F855" s="24">
        <v>0</v>
      </c>
      <c r="G855" s="4">
        <v>0</v>
      </c>
      <c r="I855" s="25">
        <f t="shared" ref="I855:J855" si="151">IF(L855="","",L855-L854)</f>
        <v>0</v>
      </c>
      <c r="J855" s="25">
        <f t="shared" si="151"/>
        <v>0</v>
      </c>
      <c r="L855" s="4">
        <v>0</v>
      </c>
      <c r="M855" s="4">
        <v>0</v>
      </c>
    </row>
    <row r="856" spans="1:16" x14ac:dyDescent="0.45">
      <c r="A856" t="s">
        <v>11</v>
      </c>
      <c r="B856" t="s">
        <v>36</v>
      </c>
      <c r="C856" t="s">
        <v>21</v>
      </c>
      <c r="D856" s="27">
        <v>0</v>
      </c>
      <c r="E856" s="3">
        <v>0</v>
      </c>
      <c r="F856" s="23">
        <v>0</v>
      </c>
      <c r="G856" s="3">
        <v>0</v>
      </c>
      <c r="I856" s="25">
        <f t="shared" si="149"/>
        <v>0</v>
      </c>
      <c r="J856" s="25">
        <f t="shared" si="149"/>
        <v>0</v>
      </c>
      <c r="L856" s="29">
        <f>SUMIFS(Pivot_!C:C,Pivot_!A:A,'Hitung Per Bulan'!B856,Pivot_!B:B,'Hitung Per Bulan'!C856)</f>
        <v>0</v>
      </c>
      <c r="M856" s="29">
        <f>SUMIFS(Pivot_!D:D,Pivot_!A:A,'Hitung Per Bulan'!B856,Pivot_!B:B,'Hitung Per Bulan'!C856)</f>
        <v>0</v>
      </c>
    </row>
    <row r="857" spans="1:16" x14ac:dyDescent="0.45">
      <c r="A857" t="s">
        <v>12</v>
      </c>
      <c r="B857" t="s">
        <v>36</v>
      </c>
      <c r="C857" t="s">
        <v>21</v>
      </c>
      <c r="D857" s="27">
        <v>0</v>
      </c>
      <c r="E857" s="3" t="s">
        <v>41</v>
      </c>
      <c r="F857" s="23">
        <v>0</v>
      </c>
      <c r="G857" s="3" t="s">
        <v>41</v>
      </c>
      <c r="I857" s="25" t="str">
        <f t="shared" si="149"/>
        <v/>
      </c>
      <c r="J857" s="25" t="str">
        <f t="shared" si="149"/>
        <v/>
      </c>
      <c r="L857" s="29"/>
      <c r="M857" s="29"/>
      <c r="O857" s="72"/>
      <c r="P857" s="72"/>
    </row>
    <row r="858" spans="1:16" x14ac:dyDescent="0.45">
      <c r="A858" t="s">
        <v>13</v>
      </c>
      <c r="B858" t="s">
        <v>36</v>
      </c>
      <c r="C858" t="s">
        <v>21</v>
      </c>
      <c r="D858" s="27">
        <v>200000000</v>
      </c>
      <c r="E858" s="3" t="s">
        <v>41</v>
      </c>
      <c r="F858" s="23">
        <v>0</v>
      </c>
      <c r="G858" s="3" t="s">
        <v>41</v>
      </c>
      <c r="I858" s="25" t="str">
        <f t="shared" si="149"/>
        <v/>
      </c>
      <c r="J858" s="25" t="str">
        <f t="shared" si="149"/>
        <v/>
      </c>
      <c r="L858" s="3"/>
      <c r="M858" s="3"/>
    </row>
    <row r="859" spans="1:16" x14ac:dyDescent="0.45">
      <c r="A859" t="s">
        <v>14</v>
      </c>
      <c r="B859" t="s">
        <v>36</v>
      </c>
      <c r="C859" t="s">
        <v>21</v>
      </c>
      <c r="D859" s="27">
        <v>0</v>
      </c>
      <c r="E859" s="3" t="s">
        <v>41</v>
      </c>
      <c r="F859" s="23">
        <v>0</v>
      </c>
      <c r="G859" s="3" t="s">
        <v>41</v>
      </c>
      <c r="I859" s="25" t="str">
        <f t="shared" si="149"/>
        <v/>
      </c>
      <c r="J859" s="25" t="str">
        <f t="shared" si="149"/>
        <v/>
      </c>
      <c r="L859" s="3"/>
      <c r="M859" s="3"/>
    </row>
    <row r="860" spans="1:16" x14ac:dyDescent="0.45">
      <c r="A860" t="s">
        <v>15</v>
      </c>
      <c r="B860" t="s">
        <v>36</v>
      </c>
      <c r="C860" t="s">
        <v>21</v>
      </c>
      <c r="D860" s="27">
        <v>0</v>
      </c>
      <c r="E860" s="3" t="s">
        <v>41</v>
      </c>
      <c r="F860" s="23">
        <v>200000000</v>
      </c>
      <c r="G860" s="3" t="s">
        <v>41</v>
      </c>
      <c r="I860" s="25" t="str">
        <f t="shared" si="149"/>
        <v/>
      </c>
      <c r="J860" s="25" t="str">
        <f t="shared" si="149"/>
        <v/>
      </c>
      <c r="L860" s="3"/>
      <c r="M860" s="3"/>
    </row>
    <row r="861" spans="1:16" x14ac:dyDescent="0.45">
      <c r="A861" t="s">
        <v>16</v>
      </c>
      <c r="B861" t="s">
        <v>36</v>
      </c>
      <c r="C861" t="s">
        <v>21</v>
      </c>
      <c r="D861" s="27">
        <v>0</v>
      </c>
      <c r="E861" s="3" t="s">
        <v>41</v>
      </c>
      <c r="F861" s="23">
        <v>0</v>
      </c>
      <c r="G861" s="3" t="s">
        <v>41</v>
      </c>
      <c r="I861" s="25" t="str">
        <f t="shared" si="149"/>
        <v/>
      </c>
      <c r="J861" s="25" t="str">
        <f t="shared" si="149"/>
        <v/>
      </c>
      <c r="L861" s="3"/>
      <c r="M861" s="3"/>
    </row>
    <row r="862" spans="1:16" x14ac:dyDescent="0.45">
      <c r="A862" t="s">
        <v>17</v>
      </c>
      <c r="B862" t="s">
        <v>36</v>
      </c>
      <c r="C862" t="s">
        <v>21</v>
      </c>
      <c r="D862" s="27">
        <v>0</v>
      </c>
      <c r="E862" s="3" t="s">
        <v>41</v>
      </c>
      <c r="F862" s="23">
        <v>0</v>
      </c>
      <c r="G862" s="3" t="s">
        <v>41</v>
      </c>
      <c r="I862" s="25" t="str">
        <f t="shared" si="149"/>
        <v/>
      </c>
      <c r="J862" s="25" t="str">
        <f t="shared" si="149"/>
        <v/>
      </c>
      <c r="L862" s="3"/>
      <c r="M862" s="3"/>
    </row>
    <row r="863" spans="1:16" x14ac:dyDescent="0.45">
      <c r="A863" t="s">
        <v>18</v>
      </c>
      <c r="B863" t="s">
        <v>36</v>
      </c>
      <c r="C863" t="s">
        <v>21</v>
      </c>
      <c r="D863" s="27">
        <v>0</v>
      </c>
      <c r="E863" s="3" t="s">
        <v>41</v>
      </c>
      <c r="F863" s="23">
        <v>0</v>
      </c>
      <c r="G863" s="3" t="s">
        <v>41</v>
      </c>
      <c r="I863" s="25" t="str">
        <f t="shared" si="149"/>
        <v/>
      </c>
      <c r="J863" s="25" t="str">
        <f t="shared" si="149"/>
        <v/>
      </c>
      <c r="L863" s="3"/>
      <c r="M863" s="3"/>
    </row>
    <row r="864" spans="1:16" x14ac:dyDescent="0.45">
      <c r="A864" t="s">
        <v>19</v>
      </c>
      <c r="B864" t="s">
        <v>36</v>
      </c>
      <c r="C864" t="s">
        <v>21</v>
      </c>
      <c r="D864" s="27">
        <v>0</v>
      </c>
      <c r="E864" s="3" t="s">
        <v>41</v>
      </c>
      <c r="F864" s="23">
        <v>0</v>
      </c>
      <c r="G864" s="3" t="s">
        <v>41</v>
      </c>
      <c r="I864" s="25" t="str">
        <f t="shared" si="149"/>
        <v/>
      </c>
      <c r="J864" s="25" t="str">
        <f t="shared" si="149"/>
        <v/>
      </c>
      <c r="L864" s="3"/>
      <c r="M864" s="3"/>
    </row>
    <row r="865" spans="1:16" x14ac:dyDescent="0.45">
      <c r="A865" t="s">
        <v>20</v>
      </c>
      <c r="B865" t="s">
        <v>36</v>
      </c>
      <c r="C865" t="s">
        <v>21</v>
      </c>
      <c r="D865" s="27">
        <v>0</v>
      </c>
      <c r="E865" s="3" t="s">
        <v>41</v>
      </c>
      <c r="F865" s="23">
        <v>0</v>
      </c>
      <c r="G865" s="3" t="s">
        <v>41</v>
      </c>
      <c r="I865" s="25" t="str">
        <f t="shared" si="149"/>
        <v/>
      </c>
      <c r="J865" s="25" t="str">
        <f t="shared" si="149"/>
        <v/>
      </c>
      <c r="L865" s="3"/>
      <c r="M865" s="3"/>
    </row>
    <row r="866" spans="1:16" x14ac:dyDescent="0.45">
      <c r="A866" t="s">
        <v>7</v>
      </c>
      <c r="B866" t="s">
        <v>36</v>
      </c>
      <c r="C866" t="s">
        <v>22</v>
      </c>
      <c r="D866" s="27">
        <v>0</v>
      </c>
      <c r="E866" s="3">
        <v>0</v>
      </c>
      <c r="F866" s="23">
        <v>0</v>
      </c>
      <c r="G866" s="3">
        <v>0</v>
      </c>
      <c r="I866" s="22">
        <f t="shared" ref="I866:J866" si="152">IF(L866="","",L866)</f>
        <v>0</v>
      </c>
      <c r="J866" s="22">
        <f t="shared" si="152"/>
        <v>0</v>
      </c>
      <c r="L866" s="3">
        <v>0</v>
      </c>
      <c r="M866" s="3">
        <v>0</v>
      </c>
    </row>
    <row r="867" spans="1:16" x14ac:dyDescent="0.45">
      <c r="A867" t="s">
        <v>10</v>
      </c>
      <c r="B867" t="s">
        <v>36</v>
      </c>
      <c r="C867" t="s">
        <v>22</v>
      </c>
      <c r="D867" s="28">
        <v>24996000</v>
      </c>
      <c r="E867" s="4">
        <v>0</v>
      </c>
      <c r="F867" s="24">
        <v>0</v>
      </c>
      <c r="G867" s="4">
        <v>0</v>
      </c>
      <c r="I867" s="25">
        <f t="shared" ref="I867:J867" si="153">IF(L867="","",L867-L866)</f>
        <v>0</v>
      </c>
      <c r="J867" s="25">
        <f t="shared" si="153"/>
        <v>0</v>
      </c>
      <c r="L867" s="4">
        <v>0</v>
      </c>
      <c r="M867" s="4">
        <v>0</v>
      </c>
    </row>
    <row r="868" spans="1:16" x14ac:dyDescent="0.45">
      <c r="A868" t="s">
        <v>11</v>
      </c>
      <c r="B868" t="s">
        <v>36</v>
      </c>
      <c r="C868" t="s">
        <v>22</v>
      </c>
      <c r="D868" s="27">
        <v>0</v>
      </c>
      <c r="E868" s="3">
        <v>0</v>
      </c>
      <c r="F868" s="23">
        <v>24996000</v>
      </c>
      <c r="G868" s="3">
        <v>0</v>
      </c>
      <c r="I868" s="25">
        <f t="shared" si="149"/>
        <v>19823200</v>
      </c>
      <c r="J868" s="25">
        <f t="shared" si="149"/>
        <v>0</v>
      </c>
      <c r="L868" s="29">
        <f>SUMIFS(Pivot_!C:C,Pivot_!A:A,'Hitung Per Bulan'!B868,Pivot_!B:B,'Hitung Per Bulan'!C868)</f>
        <v>19823200</v>
      </c>
      <c r="M868" s="29">
        <f>SUMIFS(Pivot_!D:D,Pivot_!A:A,'Hitung Per Bulan'!B868,Pivot_!B:B,'Hitung Per Bulan'!C868)</f>
        <v>0</v>
      </c>
    </row>
    <row r="869" spans="1:16" x14ac:dyDescent="0.45">
      <c r="A869" t="s">
        <v>12</v>
      </c>
      <c r="B869" t="s">
        <v>36</v>
      </c>
      <c r="C869" t="s">
        <v>22</v>
      </c>
      <c r="D869" s="27">
        <v>0</v>
      </c>
      <c r="E869" s="3" t="s">
        <v>41</v>
      </c>
      <c r="F869" s="23">
        <v>0</v>
      </c>
      <c r="G869" s="3" t="s">
        <v>41</v>
      </c>
      <c r="I869" s="25" t="str">
        <f t="shared" si="149"/>
        <v/>
      </c>
      <c r="J869" s="25" t="str">
        <f t="shared" si="149"/>
        <v/>
      </c>
      <c r="L869" s="29"/>
      <c r="M869" s="29"/>
      <c r="O869" s="72"/>
      <c r="P869" s="72"/>
    </row>
    <row r="870" spans="1:16" x14ac:dyDescent="0.45">
      <c r="A870" t="s">
        <v>13</v>
      </c>
      <c r="B870" t="s">
        <v>36</v>
      </c>
      <c r="C870" t="s">
        <v>22</v>
      </c>
      <c r="D870" s="27">
        <v>24994000</v>
      </c>
      <c r="E870" s="3" t="s">
        <v>41</v>
      </c>
      <c r="F870" s="23">
        <v>0</v>
      </c>
      <c r="G870" s="3" t="s">
        <v>41</v>
      </c>
      <c r="I870" s="25" t="str">
        <f t="shared" si="149"/>
        <v/>
      </c>
      <c r="J870" s="25" t="str">
        <f t="shared" si="149"/>
        <v/>
      </c>
      <c r="L870" s="3"/>
      <c r="M870" s="3"/>
    </row>
    <row r="871" spans="1:16" x14ac:dyDescent="0.45">
      <c r="A871" t="s">
        <v>14</v>
      </c>
      <c r="B871" t="s">
        <v>36</v>
      </c>
      <c r="C871" t="s">
        <v>22</v>
      </c>
      <c r="D871" s="27">
        <v>0</v>
      </c>
      <c r="E871" s="3" t="s">
        <v>41</v>
      </c>
      <c r="F871" s="23">
        <v>24994000</v>
      </c>
      <c r="G871" s="3" t="s">
        <v>41</v>
      </c>
      <c r="I871" s="25" t="str">
        <f t="shared" si="149"/>
        <v/>
      </c>
      <c r="J871" s="25" t="str">
        <f t="shared" si="149"/>
        <v/>
      </c>
      <c r="L871" s="3"/>
      <c r="M871" s="3"/>
    </row>
    <row r="872" spans="1:16" x14ac:dyDescent="0.45">
      <c r="A872" t="s">
        <v>15</v>
      </c>
      <c r="B872" t="s">
        <v>36</v>
      </c>
      <c r="C872" t="s">
        <v>22</v>
      </c>
      <c r="D872" s="27">
        <v>0</v>
      </c>
      <c r="E872" s="3" t="s">
        <v>41</v>
      </c>
      <c r="F872" s="23">
        <v>0</v>
      </c>
      <c r="G872" s="3" t="s">
        <v>41</v>
      </c>
      <c r="I872" s="25" t="str">
        <f t="shared" si="149"/>
        <v/>
      </c>
      <c r="J872" s="25" t="str">
        <f t="shared" si="149"/>
        <v/>
      </c>
      <c r="L872" s="3"/>
      <c r="M872" s="3"/>
    </row>
    <row r="873" spans="1:16" x14ac:dyDescent="0.45">
      <c r="A873" t="s">
        <v>16</v>
      </c>
      <c r="B873" t="s">
        <v>36</v>
      </c>
      <c r="C873" t="s">
        <v>22</v>
      </c>
      <c r="D873" s="27">
        <v>24996000</v>
      </c>
      <c r="E873" s="3" t="s">
        <v>41</v>
      </c>
      <c r="F873" s="23">
        <v>0</v>
      </c>
      <c r="G873" s="3" t="s">
        <v>41</v>
      </c>
      <c r="I873" s="25" t="str">
        <f t="shared" si="149"/>
        <v/>
      </c>
      <c r="J873" s="25" t="str">
        <f t="shared" si="149"/>
        <v/>
      </c>
      <c r="L873" s="3"/>
      <c r="M873" s="3"/>
    </row>
    <row r="874" spans="1:16" x14ac:dyDescent="0.45">
      <c r="A874" t="s">
        <v>17</v>
      </c>
      <c r="B874" t="s">
        <v>36</v>
      </c>
      <c r="C874" t="s">
        <v>22</v>
      </c>
      <c r="D874" s="27">
        <v>0</v>
      </c>
      <c r="E874" s="3" t="s">
        <v>41</v>
      </c>
      <c r="F874" s="23">
        <v>24996000</v>
      </c>
      <c r="G874" s="3" t="s">
        <v>41</v>
      </c>
      <c r="I874" s="25" t="str">
        <f t="shared" si="149"/>
        <v/>
      </c>
      <c r="J874" s="25" t="str">
        <f t="shared" si="149"/>
        <v/>
      </c>
      <c r="L874" s="3"/>
      <c r="M874" s="3"/>
    </row>
    <row r="875" spans="1:16" x14ac:dyDescent="0.45">
      <c r="A875" t="s">
        <v>18</v>
      </c>
      <c r="B875" t="s">
        <v>36</v>
      </c>
      <c r="C875" t="s">
        <v>22</v>
      </c>
      <c r="D875" s="27">
        <v>0</v>
      </c>
      <c r="E875" s="3" t="s">
        <v>41</v>
      </c>
      <c r="F875" s="23">
        <v>0</v>
      </c>
      <c r="G875" s="3" t="s">
        <v>41</v>
      </c>
      <c r="I875" s="25" t="str">
        <f t="shared" si="149"/>
        <v/>
      </c>
      <c r="J875" s="25" t="str">
        <f t="shared" si="149"/>
        <v/>
      </c>
      <c r="L875" s="3"/>
      <c r="M875" s="3"/>
    </row>
    <row r="876" spans="1:16" x14ac:dyDescent="0.45">
      <c r="A876" t="s">
        <v>19</v>
      </c>
      <c r="B876" t="s">
        <v>36</v>
      </c>
      <c r="C876" t="s">
        <v>22</v>
      </c>
      <c r="D876" s="27">
        <v>24994000</v>
      </c>
      <c r="E876" s="3" t="s">
        <v>41</v>
      </c>
      <c r="F876" s="23">
        <v>0</v>
      </c>
      <c r="G876" s="3" t="s">
        <v>41</v>
      </c>
      <c r="I876" s="25" t="str">
        <f t="shared" si="149"/>
        <v/>
      </c>
      <c r="J876" s="25" t="str">
        <f t="shared" si="149"/>
        <v/>
      </c>
      <c r="L876" s="3"/>
      <c r="M876" s="3"/>
    </row>
    <row r="877" spans="1:16" x14ac:dyDescent="0.45">
      <c r="A877" t="s">
        <v>20</v>
      </c>
      <c r="B877" t="s">
        <v>36</v>
      </c>
      <c r="C877" t="s">
        <v>22</v>
      </c>
      <c r="D877" s="27">
        <v>0</v>
      </c>
      <c r="E877" s="3" t="s">
        <v>41</v>
      </c>
      <c r="F877" s="23">
        <v>24994000</v>
      </c>
      <c r="G877" s="3" t="s">
        <v>41</v>
      </c>
      <c r="I877" s="25" t="str">
        <f t="shared" si="149"/>
        <v/>
      </c>
      <c r="J877" s="25" t="str">
        <f t="shared" si="149"/>
        <v/>
      </c>
      <c r="L877" s="3"/>
      <c r="M877" s="3"/>
    </row>
    <row r="878" spans="1:16" x14ac:dyDescent="0.45">
      <c r="A878" t="s">
        <v>7</v>
      </c>
      <c r="B878" t="s">
        <v>36</v>
      </c>
      <c r="C878" t="s">
        <v>23</v>
      </c>
      <c r="D878" s="27">
        <v>0</v>
      </c>
      <c r="E878" s="3">
        <v>0</v>
      </c>
      <c r="F878" s="23">
        <v>0</v>
      </c>
      <c r="G878" s="3">
        <v>0</v>
      </c>
      <c r="I878" s="22">
        <f t="shared" ref="I878:J878" si="154">IF(L878="","",L878)</f>
        <v>0</v>
      </c>
      <c r="J878" s="22">
        <f t="shared" si="154"/>
        <v>0</v>
      </c>
      <c r="L878" s="3">
        <v>0</v>
      </c>
      <c r="M878" s="3">
        <v>0</v>
      </c>
    </row>
    <row r="879" spans="1:16" x14ac:dyDescent="0.45">
      <c r="A879" t="s">
        <v>10</v>
      </c>
      <c r="B879" t="s">
        <v>36</v>
      </c>
      <c r="C879" t="s">
        <v>23</v>
      </c>
      <c r="D879" s="28">
        <v>0</v>
      </c>
      <c r="E879" s="4">
        <v>0</v>
      </c>
      <c r="F879" s="24">
        <v>0</v>
      </c>
      <c r="G879" s="4">
        <v>0</v>
      </c>
      <c r="I879" s="25">
        <f t="shared" ref="I879:J879" si="155">IF(L879="","",L879-L878)</f>
        <v>0</v>
      </c>
      <c r="J879" s="25">
        <f t="shared" si="155"/>
        <v>0</v>
      </c>
      <c r="L879" s="4">
        <v>0</v>
      </c>
      <c r="M879" s="4">
        <v>0</v>
      </c>
    </row>
    <row r="880" spans="1:16" x14ac:dyDescent="0.45">
      <c r="A880" t="s">
        <v>11</v>
      </c>
      <c r="B880" t="s">
        <v>36</v>
      </c>
      <c r="C880" t="s">
        <v>23</v>
      </c>
      <c r="D880" s="27">
        <v>0</v>
      </c>
      <c r="E880" s="3">
        <v>0</v>
      </c>
      <c r="F880" s="23">
        <v>0</v>
      </c>
      <c r="G880" s="3">
        <v>0</v>
      </c>
      <c r="I880" s="25">
        <f t="shared" si="149"/>
        <v>11000000</v>
      </c>
      <c r="J880" s="25">
        <f t="shared" si="149"/>
        <v>0</v>
      </c>
      <c r="L880" s="29">
        <f>SUMIFS(Pivot_!C:C,Pivot_!A:A,'Hitung Per Bulan'!B880,Pivot_!B:B,'Hitung Per Bulan'!C880)</f>
        <v>11000000</v>
      </c>
      <c r="M880" s="29">
        <f>SUMIFS(Pivot_!D:D,Pivot_!A:A,'Hitung Per Bulan'!B880,Pivot_!B:B,'Hitung Per Bulan'!C880)</f>
        <v>0</v>
      </c>
    </row>
    <row r="881" spans="1:16" x14ac:dyDescent="0.45">
      <c r="A881" t="s">
        <v>12</v>
      </c>
      <c r="B881" t="s">
        <v>36</v>
      </c>
      <c r="C881" t="s">
        <v>23</v>
      </c>
      <c r="D881" s="27">
        <v>0</v>
      </c>
      <c r="E881" s="3" t="s">
        <v>41</v>
      </c>
      <c r="F881" s="23">
        <v>0</v>
      </c>
      <c r="G881" s="3" t="s">
        <v>41</v>
      </c>
      <c r="I881" s="25" t="str">
        <f t="shared" si="149"/>
        <v/>
      </c>
      <c r="J881" s="25" t="str">
        <f t="shared" si="149"/>
        <v/>
      </c>
      <c r="L881" s="29"/>
      <c r="M881" s="29"/>
      <c r="O881" s="72"/>
      <c r="P881" s="72"/>
    </row>
    <row r="882" spans="1:16" x14ac:dyDescent="0.45">
      <c r="A882" t="s">
        <v>13</v>
      </c>
      <c r="B882" t="s">
        <v>36</v>
      </c>
      <c r="C882" t="s">
        <v>23</v>
      </c>
      <c r="D882" s="27">
        <v>0</v>
      </c>
      <c r="E882" s="3" t="s">
        <v>41</v>
      </c>
      <c r="F882" s="23">
        <v>0</v>
      </c>
      <c r="G882" s="3" t="s">
        <v>41</v>
      </c>
      <c r="I882" s="25" t="str">
        <f t="shared" si="149"/>
        <v/>
      </c>
      <c r="J882" s="25" t="str">
        <f t="shared" si="149"/>
        <v/>
      </c>
      <c r="L882" s="3"/>
      <c r="M882" s="3"/>
    </row>
    <row r="883" spans="1:16" x14ac:dyDescent="0.45">
      <c r="A883" t="s">
        <v>14</v>
      </c>
      <c r="B883" t="s">
        <v>36</v>
      </c>
      <c r="C883" t="s">
        <v>23</v>
      </c>
      <c r="D883" s="27">
        <v>0</v>
      </c>
      <c r="E883" s="3" t="s">
        <v>41</v>
      </c>
      <c r="F883" s="23">
        <v>0</v>
      </c>
      <c r="G883" s="3" t="s">
        <v>41</v>
      </c>
      <c r="I883" s="25" t="str">
        <f t="shared" si="149"/>
        <v/>
      </c>
      <c r="J883" s="25" t="str">
        <f t="shared" si="149"/>
        <v/>
      </c>
      <c r="L883" s="3"/>
      <c r="M883" s="3"/>
    </row>
    <row r="884" spans="1:16" x14ac:dyDescent="0.45">
      <c r="A884" t="s">
        <v>15</v>
      </c>
      <c r="B884" t="s">
        <v>36</v>
      </c>
      <c r="C884" t="s">
        <v>23</v>
      </c>
      <c r="D884" s="27">
        <v>0</v>
      </c>
      <c r="E884" s="3" t="s">
        <v>41</v>
      </c>
      <c r="F884" s="23">
        <v>0</v>
      </c>
      <c r="G884" s="3" t="s">
        <v>41</v>
      </c>
      <c r="I884" s="25" t="str">
        <f t="shared" si="149"/>
        <v/>
      </c>
      <c r="J884" s="25" t="str">
        <f t="shared" si="149"/>
        <v/>
      </c>
      <c r="L884" s="3"/>
      <c r="M884" s="3"/>
    </row>
    <row r="885" spans="1:16" x14ac:dyDescent="0.45">
      <c r="A885" t="s">
        <v>16</v>
      </c>
      <c r="B885" t="s">
        <v>36</v>
      </c>
      <c r="C885" t="s">
        <v>23</v>
      </c>
      <c r="D885" s="27">
        <v>110000000</v>
      </c>
      <c r="E885" s="3" t="s">
        <v>41</v>
      </c>
      <c r="F885" s="23">
        <v>0</v>
      </c>
      <c r="G885" s="3" t="s">
        <v>41</v>
      </c>
      <c r="I885" s="25" t="str">
        <f t="shared" si="149"/>
        <v/>
      </c>
      <c r="J885" s="25" t="str">
        <f t="shared" si="149"/>
        <v/>
      </c>
      <c r="L885" s="3"/>
      <c r="M885" s="3"/>
    </row>
    <row r="886" spans="1:16" x14ac:dyDescent="0.45">
      <c r="A886" t="s">
        <v>17</v>
      </c>
      <c r="B886" t="s">
        <v>36</v>
      </c>
      <c r="C886" t="s">
        <v>23</v>
      </c>
      <c r="D886" s="27">
        <v>0</v>
      </c>
      <c r="E886" s="3" t="s">
        <v>41</v>
      </c>
      <c r="F886" s="23">
        <v>0</v>
      </c>
      <c r="G886" s="3" t="s">
        <v>41</v>
      </c>
      <c r="I886" s="25" t="str">
        <f t="shared" si="149"/>
        <v/>
      </c>
      <c r="J886" s="25" t="str">
        <f t="shared" si="149"/>
        <v/>
      </c>
      <c r="L886" s="3"/>
      <c r="M886" s="3"/>
    </row>
    <row r="887" spans="1:16" x14ac:dyDescent="0.45">
      <c r="A887" t="s">
        <v>18</v>
      </c>
      <c r="B887" t="s">
        <v>36</v>
      </c>
      <c r="C887" t="s">
        <v>23</v>
      </c>
      <c r="D887" s="27">
        <v>0</v>
      </c>
      <c r="E887" s="3" t="s">
        <v>41</v>
      </c>
      <c r="F887" s="23">
        <v>110000000</v>
      </c>
      <c r="G887" s="3" t="s">
        <v>41</v>
      </c>
      <c r="I887" s="25" t="str">
        <f t="shared" si="149"/>
        <v/>
      </c>
      <c r="J887" s="25" t="str">
        <f t="shared" si="149"/>
        <v/>
      </c>
      <c r="L887" s="3"/>
      <c r="M887" s="3"/>
    </row>
    <row r="888" spans="1:16" x14ac:dyDescent="0.45">
      <c r="A888" t="s">
        <v>19</v>
      </c>
      <c r="B888" t="s">
        <v>36</v>
      </c>
      <c r="C888" t="s">
        <v>23</v>
      </c>
      <c r="D888" s="27">
        <v>0</v>
      </c>
      <c r="E888" s="3" t="s">
        <v>41</v>
      </c>
      <c r="F888" s="23">
        <v>0</v>
      </c>
      <c r="G888" s="3" t="s">
        <v>41</v>
      </c>
      <c r="I888" s="25" t="str">
        <f t="shared" si="149"/>
        <v/>
      </c>
      <c r="J888" s="25" t="str">
        <f t="shared" si="149"/>
        <v/>
      </c>
      <c r="L888" s="3"/>
      <c r="M888" s="3"/>
    </row>
    <row r="889" spans="1:16" x14ac:dyDescent="0.45">
      <c r="A889" t="s">
        <v>20</v>
      </c>
      <c r="B889" t="s">
        <v>36</v>
      </c>
      <c r="C889" t="s">
        <v>23</v>
      </c>
      <c r="D889" s="27">
        <v>0</v>
      </c>
      <c r="E889" s="3" t="s">
        <v>41</v>
      </c>
      <c r="F889" s="23">
        <v>0</v>
      </c>
      <c r="G889" s="3" t="s">
        <v>41</v>
      </c>
      <c r="I889" s="25" t="str">
        <f t="shared" si="149"/>
        <v/>
      </c>
      <c r="J889" s="25" t="str">
        <f t="shared" si="149"/>
        <v/>
      </c>
      <c r="L889" s="3"/>
      <c r="M889" s="3"/>
    </row>
    <row r="890" spans="1:16" x14ac:dyDescent="0.45">
      <c r="A890" t="s">
        <v>7</v>
      </c>
      <c r="B890" t="s">
        <v>36</v>
      </c>
      <c r="C890" t="s">
        <v>24</v>
      </c>
      <c r="D890" s="27">
        <v>0</v>
      </c>
      <c r="E890" s="3">
        <v>0</v>
      </c>
      <c r="F890" s="23">
        <v>0</v>
      </c>
      <c r="G890" s="3">
        <v>0</v>
      </c>
      <c r="I890" s="22">
        <f t="shared" ref="I890:J890" si="156">IF(L890="","",L890)</f>
        <v>0</v>
      </c>
      <c r="J890" s="22">
        <f t="shared" si="156"/>
        <v>0</v>
      </c>
      <c r="L890" s="3">
        <v>0</v>
      </c>
      <c r="M890" s="3">
        <v>0</v>
      </c>
    </row>
    <row r="891" spans="1:16" x14ac:dyDescent="0.45">
      <c r="A891" t="s">
        <v>10</v>
      </c>
      <c r="B891" t="s">
        <v>36</v>
      </c>
      <c r="C891" t="s">
        <v>24</v>
      </c>
      <c r="D891" s="28">
        <v>0</v>
      </c>
      <c r="E891" s="4">
        <v>0</v>
      </c>
      <c r="F891" s="24">
        <v>0</v>
      </c>
      <c r="G891" s="4">
        <v>0</v>
      </c>
      <c r="I891" s="25">
        <f t="shared" ref="I891:J891" si="157">IF(L891="","",L891-L890)</f>
        <v>0</v>
      </c>
      <c r="J891" s="25">
        <f t="shared" si="157"/>
        <v>0</v>
      </c>
      <c r="L891" s="4">
        <v>0</v>
      </c>
      <c r="M891" s="4">
        <v>0</v>
      </c>
    </row>
    <row r="892" spans="1:16" x14ac:dyDescent="0.45">
      <c r="A892" t="s">
        <v>11</v>
      </c>
      <c r="B892" t="s">
        <v>36</v>
      </c>
      <c r="C892" t="s">
        <v>24</v>
      </c>
      <c r="D892" s="27">
        <v>0</v>
      </c>
      <c r="E892" s="3">
        <v>0</v>
      </c>
      <c r="F892" s="23">
        <v>0</v>
      </c>
      <c r="G892" s="3">
        <v>0</v>
      </c>
      <c r="I892" s="25">
        <f t="shared" si="149"/>
        <v>0</v>
      </c>
      <c r="J892" s="25">
        <f t="shared" si="149"/>
        <v>0</v>
      </c>
      <c r="L892" s="29">
        <f>SUMIFS(Pivot_!C:C,Pivot_!A:A,'Hitung Per Bulan'!B892,Pivot_!B:B,'Hitung Per Bulan'!C892)</f>
        <v>0</v>
      </c>
      <c r="M892" s="29">
        <f>SUMIFS(Pivot_!D:D,Pivot_!A:A,'Hitung Per Bulan'!B892,Pivot_!B:B,'Hitung Per Bulan'!C892)</f>
        <v>0</v>
      </c>
    </row>
    <row r="893" spans="1:16" x14ac:dyDescent="0.45">
      <c r="A893" t="s">
        <v>12</v>
      </c>
      <c r="B893" t="s">
        <v>36</v>
      </c>
      <c r="C893" t="s">
        <v>24</v>
      </c>
      <c r="D893" s="27">
        <v>0</v>
      </c>
      <c r="E893" s="3" t="s">
        <v>41</v>
      </c>
      <c r="F893" s="23">
        <v>0</v>
      </c>
      <c r="G893" s="3" t="s">
        <v>41</v>
      </c>
      <c r="I893" s="25" t="str">
        <f t="shared" si="149"/>
        <v/>
      </c>
      <c r="J893" s="25" t="str">
        <f t="shared" si="149"/>
        <v/>
      </c>
      <c r="L893" s="29"/>
      <c r="M893" s="29"/>
      <c r="O893" s="72"/>
      <c r="P893" s="72"/>
    </row>
    <row r="894" spans="1:16" x14ac:dyDescent="0.45">
      <c r="A894" t="s">
        <v>13</v>
      </c>
      <c r="B894" t="s">
        <v>36</v>
      </c>
      <c r="C894" t="s">
        <v>24</v>
      </c>
      <c r="D894" s="27">
        <v>0</v>
      </c>
      <c r="E894" s="3" t="s">
        <v>41</v>
      </c>
      <c r="F894" s="23">
        <v>0</v>
      </c>
      <c r="G894" s="3" t="s">
        <v>41</v>
      </c>
      <c r="I894" s="25" t="str">
        <f t="shared" si="149"/>
        <v/>
      </c>
      <c r="J894" s="25" t="str">
        <f t="shared" si="149"/>
        <v/>
      </c>
      <c r="L894" s="3"/>
      <c r="M894" s="3"/>
    </row>
    <row r="895" spans="1:16" x14ac:dyDescent="0.45">
      <c r="A895" t="s">
        <v>14</v>
      </c>
      <c r="B895" t="s">
        <v>36</v>
      </c>
      <c r="C895" t="s">
        <v>24</v>
      </c>
      <c r="D895" s="27">
        <v>0</v>
      </c>
      <c r="E895" s="3" t="s">
        <v>41</v>
      </c>
      <c r="F895" s="23">
        <v>0</v>
      </c>
      <c r="G895" s="3" t="s">
        <v>41</v>
      </c>
      <c r="I895" s="25" t="str">
        <f t="shared" si="149"/>
        <v/>
      </c>
      <c r="J895" s="25" t="str">
        <f t="shared" si="149"/>
        <v/>
      </c>
      <c r="L895" s="3"/>
      <c r="M895" s="3"/>
    </row>
    <row r="896" spans="1:16" x14ac:dyDescent="0.45">
      <c r="A896" t="s">
        <v>15</v>
      </c>
      <c r="B896" t="s">
        <v>36</v>
      </c>
      <c r="C896" t="s">
        <v>24</v>
      </c>
      <c r="D896" s="27">
        <v>0</v>
      </c>
      <c r="E896" s="3" t="s">
        <v>41</v>
      </c>
      <c r="F896" s="23">
        <v>0</v>
      </c>
      <c r="G896" s="3" t="s">
        <v>41</v>
      </c>
      <c r="I896" s="25" t="str">
        <f t="shared" si="149"/>
        <v/>
      </c>
      <c r="J896" s="25" t="str">
        <f t="shared" si="149"/>
        <v/>
      </c>
      <c r="L896" s="3"/>
      <c r="M896" s="3"/>
    </row>
    <row r="897" spans="1:16" x14ac:dyDescent="0.45">
      <c r="A897" t="s">
        <v>16</v>
      </c>
      <c r="B897" t="s">
        <v>36</v>
      </c>
      <c r="C897" t="s">
        <v>24</v>
      </c>
      <c r="D897" s="27">
        <v>0</v>
      </c>
      <c r="E897" s="3" t="s">
        <v>41</v>
      </c>
      <c r="F897" s="23">
        <v>0</v>
      </c>
      <c r="G897" s="3" t="s">
        <v>41</v>
      </c>
      <c r="I897" s="25" t="str">
        <f t="shared" si="149"/>
        <v/>
      </c>
      <c r="J897" s="25" t="str">
        <f t="shared" si="149"/>
        <v/>
      </c>
      <c r="L897" s="3"/>
      <c r="M897" s="3"/>
    </row>
    <row r="898" spans="1:16" x14ac:dyDescent="0.45">
      <c r="A898" t="s">
        <v>17</v>
      </c>
      <c r="B898" t="s">
        <v>36</v>
      </c>
      <c r="C898" t="s">
        <v>24</v>
      </c>
      <c r="D898" s="27">
        <v>0</v>
      </c>
      <c r="E898" s="3" t="s">
        <v>41</v>
      </c>
      <c r="F898" s="23">
        <v>0</v>
      </c>
      <c r="G898" s="3" t="s">
        <v>41</v>
      </c>
      <c r="I898" s="25" t="str">
        <f t="shared" si="149"/>
        <v/>
      </c>
      <c r="J898" s="25" t="str">
        <f t="shared" si="149"/>
        <v/>
      </c>
      <c r="L898" s="3"/>
      <c r="M898" s="3"/>
    </row>
    <row r="899" spans="1:16" x14ac:dyDescent="0.45">
      <c r="A899" t="s">
        <v>18</v>
      </c>
      <c r="B899" t="s">
        <v>36</v>
      </c>
      <c r="C899" t="s">
        <v>24</v>
      </c>
      <c r="D899" s="27">
        <v>0</v>
      </c>
      <c r="E899" s="3" t="s">
        <v>41</v>
      </c>
      <c r="F899" s="23">
        <v>0</v>
      </c>
      <c r="G899" s="3" t="s">
        <v>41</v>
      </c>
      <c r="I899" s="25" t="str">
        <f t="shared" si="149"/>
        <v/>
      </c>
      <c r="J899" s="25" t="str">
        <f t="shared" si="149"/>
        <v/>
      </c>
      <c r="L899" s="3"/>
      <c r="M899" s="3"/>
    </row>
    <row r="900" spans="1:16" x14ac:dyDescent="0.45">
      <c r="A900" t="s">
        <v>19</v>
      </c>
      <c r="B900" t="s">
        <v>36</v>
      </c>
      <c r="C900" t="s">
        <v>24</v>
      </c>
      <c r="D900" s="27">
        <v>0</v>
      </c>
      <c r="E900" s="3" t="s">
        <v>41</v>
      </c>
      <c r="F900" s="23">
        <v>0</v>
      </c>
      <c r="G900" s="3" t="s">
        <v>41</v>
      </c>
      <c r="I900" s="25" t="str">
        <f t="shared" si="149"/>
        <v/>
      </c>
      <c r="J900" s="25" t="str">
        <f t="shared" si="149"/>
        <v/>
      </c>
      <c r="L900" s="3"/>
      <c r="M900" s="3"/>
    </row>
    <row r="901" spans="1:16" x14ac:dyDescent="0.45">
      <c r="A901" t="s">
        <v>20</v>
      </c>
      <c r="B901" t="s">
        <v>36</v>
      </c>
      <c r="C901" t="s">
        <v>24</v>
      </c>
      <c r="D901" s="27">
        <v>0</v>
      </c>
      <c r="E901" s="3" t="s">
        <v>41</v>
      </c>
      <c r="F901" s="23">
        <v>0</v>
      </c>
      <c r="G901" s="3" t="s">
        <v>41</v>
      </c>
      <c r="I901" s="25" t="str">
        <f t="shared" si="149"/>
        <v/>
      </c>
      <c r="J901" s="25" t="str">
        <f t="shared" si="149"/>
        <v/>
      </c>
      <c r="L901" s="3"/>
      <c r="M901" s="3"/>
    </row>
    <row r="902" spans="1:16" x14ac:dyDescent="0.45">
      <c r="A902" t="s">
        <v>7</v>
      </c>
      <c r="B902" t="s">
        <v>36</v>
      </c>
      <c r="C902" t="s">
        <v>25</v>
      </c>
      <c r="D902" s="27">
        <v>65075000</v>
      </c>
      <c r="E902" s="3">
        <v>66980000</v>
      </c>
      <c r="F902" s="23">
        <v>65075000</v>
      </c>
      <c r="G902" s="3">
        <v>33275000</v>
      </c>
      <c r="I902" s="22">
        <f t="shared" ref="I902:J902" si="158">IF(L902="","",L902)</f>
        <v>66980000</v>
      </c>
      <c r="J902" s="22">
        <f t="shared" si="158"/>
        <v>33275000</v>
      </c>
      <c r="L902" s="3">
        <v>66980000</v>
      </c>
      <c r="M902" s="3">
        <v>33275000</v>
      </c>
    </row>
    <row r="903" spans="1:16" x14ac:dyDescent="0.45">
      <c r="A903" t="s">
        <v>10</v>
      </c>
      <c r="B903" t="s">
        <v>36</v>
      </c>
      <c r="C903" t="s">
        <v>25</v>
      </c>
      <c r="D903" s="28">
        <v>32625000</v>
      </c>
      <c r="E903" s="4">
        <v>131493477</v>
      </c>
      <c r="F903" s="24">
        <v>32625000</v>
      </c>
      <c r="G903" s="4">
        <v>44852000</v>
      </c>
      <c r="I903" s="25">
        <f t="shared" ref="I903:J903" si="159">IF(L903="","",L903-L902)</f>
        <v>131493477</v>
      </c>
      <c r="J903" s="25">
        <f t="shared" si="159"/>
        <v>44852000</v>
      </c>
      <c r="L903" s="4">
        <v>198473477</v>
      </c>
      <c r="M903" s="4">
        <v>78127000</v>
      </c>
    </row>
    <row r="904" spans="1:16" x14ac:dyDescent="0.45">
      <c r="A904" t="s">
        <v>11</v>
      </c>
      <c r="B904" t="s">
        <v>36</v>
      </c>
      <c r="C904" t="s">
        <v>25</v>
      </c>
      <c r="D904" s="27">
        <v>27425000</v>
      </c>
      <c r="E904" s="3">
        <v>-11791000</v>
      </c>
      <c r="F904" s="23">
        <v>27425000</v>
      </c>
      <c r="G904" s="3">
        <v>55343462</v>
      </c>
      <c r="I904" s="25">
        <f t="shared" si="149"/>
        <v>93687935</v>
      </c>
      <c r="J904" s="25">
        <f t="shared" si="149"/>
        <v>83680412</v>
      </c>
      <c r="L904" s="29">
        <f>SUMIFS(Pivot_!C:C,Pivot_!A:A,'Hitung Per Bulan'!B904,Pivot_!B:B,'Hitung Per Bulan'!C904)</f>
        <v>292161412</v>
      </c>
      <c r="M904" s="29">
        <f>SUMIFS(Pivot_!D:D,Pivot_!A:A,'Hitung Per Bulan'!B904,Pivot_!B:B,'Hitung Per Bulan'!C904)</f>
        <v>161807412</v>
      </c>
    </row>
    <row r="905" spans="1:16" x14ac:dyDescent="0.45">
      <c r="A905" t="s">
        <v>12</v>
      </c>
      <c r="B905" t="s">
        <v>36</v>
      </c>
      <c r="C905" t="s">
        <v>25</v>
      </c>
      <c r="D905" s="27">
        <v>253975000</v>
      </c>
      <c r="E905" s="3" t="s">
        <v>41</v>
      </c>
      <c r="F905" s="23">
        <v>253975000</v>
      </c>
      <c r="G905" s="3" t="s">
        <v>41</v>
      </c>
      <c r="I905" s="25" t="str">
        <f t="shared" si="149"/>
        <v/>
      </c>
      <c r="J905" s="25" t="str">
        <f t="shared" si="149"/>
        <v/>
      </c>
      <c r="L905" s="29"/>
      <c r="M905" s="29"/>
      <c r="O905" s="72"/>
      <c r="P905" s="72"/>
    </row>
    <row r="906" spans="1:16" x14ac:dyDescent="0.45">
      <c r="A906" t="s">
        <v>13</v>
      </c>
      <c r="B906" t="s">
        <v>36</v>
      </c>
      <c r="C906" t="s">
        <v>25</v>
      </c>
      <c r="D906" s="27">
        <v>23925000</v>
      </c>
      <c r="E906" s="3" t="s">
        <v>41</v>
      </c>
      <c r="F906" s="23">
        <v>23925000</v>
      </c>
      <c r="G906" s="3" t="s">
        <v>41</v>
      </c>
      <c r="I906" s="25" t="str">
        <f t="shared" si="149"/>
        <v/>
      </c>
      <c r="J906" s="25" t="str">
        <f t="shared" si="149"/>
        <v/>
      </c>
      <c r="L906" s="3"/>
      <c r="M906" s="3"/>
    </row>
    <row r="907" spans="1:16" x14ac:dyDescent="0.45">
      <c r="A907" t="s">
        <v>14</v>
      </c>
      <c r="B907" t="s">
        <v>36</v>
      </c>
      <c r="C907" t="s">
        <v>25</v>
      </c>
      <c r="D907" s="27">
        <v>35725000</v>
      </c>
      <c r="E907" s="3" t="s">
        <v>41</v>
      </c>
      <c r="F907" s="23">
        <v>35725000</v>
      </c>
      <c r="G907" s="3" t="s">
        <v>41</v>
      </c>
      <c r="I907" s="25" t="str">
        <f t="shared" si="149"/>
        <v/>
      </c>
      <c r="J907" s="25" t="str">
        <f t="shared" si="149"/>
        <v/>
      </c>
      <c r="L907" s="3"/>
      <c r="M907" s="3"/>
    </row>
    <row r="908" spans="1:16" x14ac:dyDescent="0.45">
      <c r="A908" t="s">
        <v>15</v>
      </c>
      <c r="B908" t="s">
        <v>36</v>
      </c>
      <c r="C908" t="s">
        <v>25</v>
      </c>
      <c r="D908" s="27">
        <v>64675000</v>
      </c>
      <c r="E908" s="3" t="s">
        <v>41</v>
      </c>
      <c r="F908" s="23">
        <v>64675000</v>
      </c>
      <c r="G908" s="3" t="s">
        <v>41</v>
      </c>
      <c r="I908" s="25" t="str">
        <f t="shared" si="149"/>
        <v/>
      </c>
      <c r="J908" s="25" t="str">
        <f t="shared" si="149"/>
        <v/>
      </c>
      <c r="L908" s="3"/>
      <c r="M908" s="3"/>
    </row>
    <row r="909" spans="1:16" x14ac:dyDescent="0.45">
      <c r="A909" t="s">
        <v>16</v>
      </c>
      <c r="B909" t="s">
        <v>36</v>
      </c>
      <c r="C909" t="s">
        <v>25</v>
      </c>
      <c r="D909" s="27">
        <v>172225000</v>
      </c>
      <c r="E909" s="3" t="s">
        <v>41</v>
      </c>
      <c r="F909" s="23">
        <v>32225000</v>
      </c>
      <c r="G909" s="3" t="s">
        <v>41</v>
      </c>
      <c r="I909" s="25" t="str">
        <f t="shared" si="149"/>
        <v/>
      </c>
      <c r="J909" s="25" t="str">
        <f t="shared" si="149"/>
        <v/>
      </c>
      <c r="L909" s="3"/>
      <c r="M909" s="3"/>
    </row>
    <row r="910" spans="1:16" x14ac:dyDescent="0.45">
      <c r="A910" t="s">
        <v>17</v>
      </c>
      <c r="B910" t="s">
        <v>36</v>
      </c>
      <c r="C910" t="s">
        <v>25</v>
      </c>
      <c r="D910" s="27">
        <v>152425000</v>
      </c>
      <c r="E910" s="3" t="s">
        <v>41</v>
      </c>
      <c r="F910" s="23">
        <v>152425000</v>
      </c>
      <c r="G910" s="3" t="s">
        <v>41</v>
      </c>
      <c r="I910" s="25" t="str">
        <f t="shared" si="149"/>
        <v/>
      </c>
      <c r="J910" s="25" t="str">
        <f t="shared" si="149"/>
        <v/>
      </c>
      <c r="L910" s="3"/>
      <c r="M910" s="3"/>
    </row>
    <row r="911" spans="1:16" x14ac:dyDescent="0.45">
      <c r="A911" t="s">
        <v>18</v>
      </c>
      <c r="B911" t="s">
        <v>36</v>
      </c>
      <c r="C911" t="s">
        <v>25</v>
      </c>
      <c r="D911" s="27">
        <v>72975000</v>
      </c>
      <c r="E911" s="3" t="s">
        <v>41</v>
      </c>
      <c r="F911" s="23">
        <v>212975000</v>
      </c>
      <c r="G911" s="3" t="s">
        <v>41</v>
      </c>
      <c r="I911" s="25" t="str">
        <f t="shared" ref="I911:J973" si="160">IF(L911="","",L911-L910)</f>
        <v/>
      </c>
      <c r="J911" s="25" t="str">
        <f t="shared" si="160"/>
        <v/>
      </c>
      <c r="L911" s="3"/>
      <c r="M911" s="3"/>
    </row>
    <row r="912" spans="1:16" x14ac:dyDescent="0.45">
      <c r="A912" t="s">
        <v>19</v>
      </c>
      <c r="B912" t="s">
        <v>36</v>
      </c>
      <c r="C912" t="s">
        <v>25</v>
      </c>
      <c r="D912" s="27">
        <v>23925000</v>
      </c>
      <c r="E912" s="3" t="s">
        <v>41</v>
      </c>
      <c r="F912" s="23">
        <v>23925000</v>
      </c>
      <c r="G912" s="3" t="s">
        <v>41</v>
      </c>
      <c r="I912" s="25" t="str">
        <f t="shared" si="160"/>
        <v/>
      </c>
      <c r="J912" s="25" t="str">
        <f t="shared" si="160"/>
        <v/>
      </c>
      <c r="L912" s="3"/>
      <c r="M912" s="3"/>
    </row>
    <row r="913" spans="1:16" x14ac:dyDescent="0.45">
      <c r="A913" t="s">
        <v>20</v>
      </c>
      <c r="B913" t="s">
        <v>36</v>
      </c>
      <c r="C913" t="s">
        <v>25</v>
      </c>
      <c r="D913" s="27">
        <v>35725000</v>
      </c>
      <c r="E913" s="3" t="s">
        <v>41</v>
      </c>
      <c r="F913" s="23">
        <v>35725000</v>
      </c>
      <c r="G913" s="3" t="s">
        <v>41</v>
      </c>
      <c r="I913" s="25" t="str">
        <f t="shared" si="160"/>
        <v/>
      </c>
      <c r="J913" s="25" t="str">
        <f t="shared" si="160"/>
        <v/>
      </c>
      <c r="L913" s="3"/>
      <c r="M913" s="3"/>
    </row>
    <row r="914" spans="1:16" x14ac:dyDescent="0.45">
      <c r="A914" t="s">
        <v>7</v>
      </c>
      <c r="B914" t="s">
        <v>36</v>
      </c>
      <c r="C914" t="s">
        <v>26</v>
      </c>
      <c r="D914" s="27">
        <v>34257000</v>
      </c>
      <c r="E914" s="3">
        <v>35093864</v>
      </c>
      <c r="F914" s="23">
        <v>34257000</v>
      </c>
      <c r="G914" s="3">
        <v>35093864</v>
      </c>
      <c r="I914" s="22">
        <f t="shared" ref="I914:J914" si="161">IF(L914="","",L914)</f>
        <v>35093864</v>
      </c>
      <c r="J914" s="22">
        <f t="shared" si="161"/>
        <v>35093864</v>
      </c>
      <c r="L914" s="3">
        <v>35093864</v>
      </c>
      <c r="M914" s="3">
        <v>35093864</v>
      </c>
    </row>
    <row r="915" spans="1:16" x14ac:dyDescent="0.45">
      <c r="A915" t="s">
        <v>10</v>
      </c>
      <c r="B915" t="s">
        <v>36</v>
      </c>
      <c r="C915" t="s">
        <v>26</v>
      </c>
      <c r="D915" s="28">
        <v>34256000</v>
      </c>
      <c r="E915" s="4">
        <v>35802840</v>
      </c>
      <c r="F915" s="24">
        <v>34256000</v>
      </c>
      <c r="G915" s="4">
        <v>34478198</v>
      </c>
      <c r="I915" s="25">
        <f t="shared" ref="I915:J915" si="162">IF(L915="","",L915-L914)</f>
        <v>35802840</v>
      </c>
      <c r="J915" s="25">
        <f t="shared" si="162"/>
        <v>34478198</v>
      </c>
      <c r="L915" s="4">
        <v>70896704</v>
      </c>
      <c r="M915" s="4">
        <v>69572062</v>
      </c>
    </row>
    <row r="916" spans="1:16" x14ac:dyDescent="0.45">
      <c r="A916" t="s">
        <v>11</v>
      </c>
      <c r="B916" t="s">
        <v>36</v>
      </c>
      <c r="C916" t="s">
        <v>26</v>
      </c>
      <c r="D916" s="27">
        <v>34257000</v>
      </c>
      <c r="E916" s="3">
        <v>1639740</v>
      </c>
      <c r="F916" s="23">
        <v>34257000</v>
      </c>
      <c r="G916" s="3">
        <v>1324642</v>
      </c>
      <c r="I916" s="25">
        <f t="shared" si="160"/>
        <v>71522124</v>
      </c>
      <c r="J916" s="25">
        <f t="shared" si="160"/>
        <v>31247976</v>
      </c>
      <c r="L916" s="29">
        <f>SUMIFS(Pivot_!C:C,Pivot_!A:A,'Hitung Per Bulan'!B916,Pivot_!B:B,'Hitung Per Bulan'!C916)</f>
        <v>142418828</v>
      </c>
      <c r="M916" s="29">
        <f>SUMIFS(Pivot_!D:D,Pivot_!A:A,'Hitung Per Bulan'!B916,Pivot_!B:B,'Hitung Per Bulan'!C916)</f>
        <v>100820038</v>
      </c>
    </row>
    <row r="917" spans="1:16" x14ac:dyDescent="0.45">
      <c r="A917" t="s">
        <v>12</v>
      </c>
      <c r="B917" t="s">
        <v>36</v>
      </c>
      <c r="C917" t="s">
        <v>26</v>
      </c>
      <c r="D917" s="27">
        <v>34256000</v>
      </c>
      <c r="E917" s="3" t="s">
        <v>41</v>
      </c>
      <c r="F917" s="23">
        <v>34256000</v>
      </c>
      <c r="G917" s="3" t="s">
        <v>41</v>
      </c>
      <c r="I917" s="25" t="str">
        <f t="shared" si="160"/>
        <v/>
      </c>
      <c r="J917" s="25" t="str">
        <f t="shared" si="160"/>
        <v/>
      </c>
      <c r="L917" s="29"/>
      <c r="M917" s="29"/>
      <c r="O917" s="72"/>
      <c r="P917" s="72"/>
    </row>
    <row r="918" spans="1:16" x14ac:dyDescent="0.45">
      <c r="A918" t="s">
        <v>13</v>
      </c>
      <c r="B918" t="s">
        <v>36</v>
      </c>
      <c r="C918" t="s">
        <v>26</v>
      </c>
      <c r="D918" s="27">
        <v>34257000</v>
      </c>
      <c r="E918" s="3" t="s">
        <v>41</v>
      </c>
      <c r="F918" s="23">
        <v>34257000</v>
      </c>
      <c r="G918" s="3" t="s">
        <v>41</v>
      </c>
      <c r="I918" s="25" t="str">
        <f t="shared" si="160"/>
        <v/>
      </c>
      <c r="J918" s="25" t="str">
        <f t="shared" si="160"/>
        <v/>
      </c>
      <c r="L918" s="3"/>
      <c r="M918" s="3"/>
    </row>
    <row r="919" spans="1:16" x14ac:dyDescent="0.45">
      <c r="A919" t="s">
        <v>14</v>
      </c>
      <c r="B919" t="s">
        <v>36</v>
      </c>
      <c r="C919" t="s">
        <v>26</v>
      </c>
      <c r="D919" s="27">
        <v>34257000</v>
      </c>
      <c r="E919" s="3" t="s">
        <v>41</v>
      </c>
      <c r="F919" s="23">
        <v>34257000</v>
      </c>
      <c r="G919" s="3" t="s">
        <v>41</v>
      </c>
      <c r="I919" s="25" t="str">
        <f t="shared" si="160"/>
        <v/>
      </c>
      <c r="J919" s="25" t="str">
        <f t="shared" si="160"/>
        <v/>
      </c>
      <c r="L919" s="3"/>
      <c r="M919" s="3"/>
    </row>
    <row r="920" spans="1:16" x14ac:dyDescent="0.45">
      <c r="A920" t="s">
        <v>15</v>
      </c>
      <c r="B920" t="s">
        <v>36</v>
      </c>
      <c r="C920" t="s">
        <v>26</v>
      </c>
      <c r="D920" s="27">
        <v>34257000</v>
      </c>
      <c r="E920" s="3" t="s">
        <v>41</v>
      </c>
      <c r="F920" s="23">
        <v>34257000</v>
      </c>
      <c r="G920" s="3" t="s">
        <v>41</v>
      </c>
      <c r="I920" s="25" t="str">
        <f t="shared" si="160"/>
        <v/>
      </c>
      <c r="J920" s="25" t="str">
        <f t="shared" si="160"/>
        <v/>
      </c>
      <c r="L920" s="3"/>
      <c r="M920" s="3"/>
    </row>
    <row r="921" spans="1:16" x14ac:dyDescent="0.45">
      <c r="A921" t="s">
        <v>16</v>
      </c>
      <c r="B921" t="s">
        <v>36</v>
      </c>
      <c r="C921" t="s">
        <v>26</v>
      </c>
      <c r="D921" s="27">
        <v>34256000</v>
      </c>
      <c r="E921" s="3" t="s">
        <v>41</v>
      </c>
      <c r="F921" s="23">
        <v>34256000</v>
      </c>
      <c r="G921" s="3" t="s">
        <v>41</v>
      </c>
      <c r="I921" s="25" t="str">
        <f t="shared" si="160"/>
        <v/>
      </c>
      <c r="J921" s="25" t="str">
        <f t="shared" si="160"/>
        <v/>
      </c>
      <c r="L921" s="3"/>
      <c r="M921" s="3"/>
    </row>
    <row r="922" spans="1:16" x14ac:dyDescent="0.45">
      <c r="A922" t="s">
        <v>17</v>
      </c>
      <c r="B922" t="s">
        <v>36</v>
      </c>
      <c r="C922" t="s">
        <v>26</v>
      </c>
      <c r="D922" s="27">
        <v>34257000</v>
      </c>
      <c r="E922" s="3" t="s">
        <v>41</v>
      </c>
      <c r="F922" s="23">
        <v>34257000</v>
      </c>
      <c r="G922" s="3" t="s">
        <v>41</v>
      </c>
      <c r="I922" s="25" t="str">
        <f t="shared" si="160"/>
        <v/>
      </c>
      <c r="J922" s="25" t="str">
        <f t="shared" si="160"/>
        <v/>
      </c>
      <c r="L922" s="3"/>
      <c r="M922" s="3"/>
    </row>
    <row r="923" spans="1:16" x14ac:dyDescent="0.45">
      <c r="A923" t="s">
        <v>18</v>
      </c>
      <c r="B923" t="s">
        <v>36</v>
      </c>
      <c r="C923" t="s">
        <v>26</v>
      </c>
      <c r="D923" s="27">
        <v>34256000</v>
      </c>
      <c r="E923" s="3" t="s">
        <v>41</v>
      </c>
      <c r="F923" s="23">
        <v>34256000</v>
      </c>
      <c r="G923" s="3" t="s">
        <v>41</v>
      </c>
      <c r="I923" s="25" t="str">
        <f t="shared" si="160"/>
        <v/>
      </c>
      <c r="J923" s="25" t="str">
        <f t="shared" si="160"/>
        <v/>
      </c>
      <c r="L923" s="3"/>
      <c r="M923" s="3"/>
    </row>
    <row r="924" spans="1:16" x14ac:dyDescent="0.45">
      <c r="A924" t="s">
        <v>19</v>
      </c>
      <c r="B924" t="s">
        <v>36</v>
      </c>
      <c r="C924" t="s">
        <v>26</v>
      </c>
      <c r="D924" s="27">
        <v>34257000</v>
      </c>
      <c r="E924" s="3" t="s">
        <v>41</v>
      </c>
      <c r="F924" s="23">
        <v>34257000</v>
      </c>
      <c r="G924" s="3" t="s">
        <v>41</v>
      </c>
      <c r="I924" s="25" t="str">
        <f t="shared" si="160"/>
        <v/>
      </c>
      <c r="J924" s="25" t="str">
        <f t="shared" si="160"/>
        <v/>
      </c>
      <c r="L924" s="3"/>
      <c r="M924" s="3"/>
    </row>
    <row r="925" spans="1:16" x14ac:dyDescent="0.45">
      <c r="A925" t="s">
        <v>20</v>
      </c>
      <c r="B925" t="s">
        <v>36</v>
      </c>
      <c r="C925" t="s">
        <v>26</v>
      </c>
      <c r="D925" s="27">
        <v>34257000</v>
      </c>
      <c r="E925" s="3" t="s">
        <v>41</v>
      </c>
      <c r="F925" s="23">
        <v>34257000</v>
      </c>
      <c r="G925" s="3" t="s">
        <v>41</v>
      </c>
      <c r="I925" s="25" t="str">
        <f t="shared" si="160"/>
        <v/>
      </c>
      <c r="J925" s="25" t="str">
        <f t="shared" si="160"/>
        <v/>
      </c>
      <c r="L925" s="3"/>
      <c r="M925" s="3"/>
    </row>
    <row r="926" spans="1:16" x14ac:dyDescent="0.45">
      <c r="A926" t="s">
        <v>7</v>
      </c>
      <c r="B926" t="s">
        <v>37</v>
      </c>
      <c r="C926" t="s">
        <v>9</v>
      </c>
      <c r="D926" s="27">
        <v>0</v>
      </c>
      <c r="E926" s="3">
        <v>0</v>
      </c>
      <c r="F926" s="23">
        <v>0</v>
      </c>
      <c r="G926" s="3">
        <v>0</v>
      </c>
      <c r="I926" s="22">
        <f t="shared" ref="I926:J926" si="163">IF(L926="","",L926)</f>
        <v>0</v>
      </c>
      <c r="J926" s="22">
        <f t="shared" si="163"/>
        <v>0</v>
      </c>
      <c r="L926" s="3">
        <v>0</v>
      </c>
      <c r="M926" s="3">
        <v>0</v>
      </c>
    </row>
    <row r="927" spans="1:16" x14ac:dyDescent="0.45">
      <c r="A927" t="s">
        <v>10</v>
      </c>
      <c r="B927" t="s">
        <v>37</v>
      </c>
      <c r="C927" t="s">
        <v>9</v>
      </c>
      <c r="D927" s="28">
        <v>147500000</v>
      </c>
      <c r="E927" s="4">
        <v>660310335</v>
      </c>
      <c r="F927" s="24">
        <v>0</v>
      </c>
      <c r="G927" s="4">
        <v>0</v>
      </c>
      <c r="I927" s="25">
        <f t="shared" ref="I927:J927" si="164">IF(L927="","",L927-L926)</f>
        <v>660310335</v>
      </c>
      <c r="J927" s="25">
        <f t="shared" si="164"/>
        <v>0</v>
      </c>
      <c r="L927" s="4">
        <v>660310335</v>
      </c>
      <c r="M927" s="4">
        <v>0</v>
      </c>
    </row>
    <row r="928" spans="1:16" x14ac:dyDescent="0.45">
      <c r="A928" t="s">
        <v>11</v>
      </c>
      <c r="B928" t="s">
        <v>37</v>
      </c>
      <c r="C928" t="s">
        <v>9</v>
      </c>
      <c r="D928" s="27">
        <v>4975166000</v>
      </c>
      <c r="E928" s="3">
        <v>82094080</v>
      </c>
      <c r="F928" s="23">
        <v>0</v>
      </c>
      <c r="G928" s="3">
        <v>0</v>
      </c>
      <c r="I928" s="25">
        <f t="shared" si="160"/>
        <v>199823025</v>
      </c>
      <c r="J928" s="25">
        <f t="shared" si="160"/>
        <v>148749912</v>
      </c>
      <c r="L928" s="29">
        <f>SUMIFS(Pivot_!C:C,Pivot_!A:A,'Hitung Per Bulan'!B928,Pivot_!B:B,'Hitung Per Bulan'!C928)</f>
        <v>860133360</v>
      </c>
      <c r="M928" s="29">
        <f>SUMIFS(Pivot_!D:D,Pivot_!A:A,'Hitung Per Bulan'!B928,Pivot_!B:B,'Hitung Per Bulan'!C928)</f>
        <v>148749912</v>
      </c>
    </row>
    <row r="929" spans="1:16" x14ac:dyDescent="0.45">
      <c r="A929" t="s">
        <v>12</v>
      </c>
      <c r="B929" t="s">
        <v>37</v>
      </c>
      <c r="C929" t="s">
        <v>9</v>
      </c>
      <c r="D929" s="27">
        <v>1596468000</v>
      </c>
      <c r="E929" s="3" t="s">
        <v>41</v>
      </c>
      <c r="F929" s="23">
        <v>50000000</v>
      </c>
      <c r="G929" s="3" t="s">
        <v>41</v>
      </c>
      <c r="I929" s="25" t="str">
        <f t="shared" si="160"/>
        <v/>
      </c>
      <c r="J929" s="25" t="str">
        <f t="shared" si="160"/>
        <v/>
      </c>
      <c r="L929" s="29"/>
      <c r="M929" s="29"/>
      <c r="O929" s="72"/>
      <c r="P929" s="72"/>
    </row>
    <row r="930" spans="1:16" x14ac:dyDescent="0.45">
      <c r="A930" t="s">
        <v>13</v>
      </c>
      <c r="B930" t="s">
        <v>37</v>
      </c>
      <c r="C930" t="s">
        <v>9</v>
      </c>
      <c r="D930" s="27">
        <v>1166224000</v>
      </c>
      <c r="E930" s="3" t="s">
        <v>41</v>
      </c>
      <c r="F930" s="23">
        <v>147500000</v>
      </c>
      <c r="G930" s="3" t="s">
        <v>41</v>
      </c>
      <c r="I930" s="25" t="str">
        <f t="shared" si="160"/>
        <v/>
      </c>
      <c r="J930" s="25" t="str">
        <f t="shared" si="160"/>
        <v/>
      </c>
      <c r="L930" s="3"/>
      <c r="M930" s="3"/>
    </row>
    <row r="931" spans="1:16" x14ac:dyDescent="0.45">
      <c r="A931" t="s">
        <v>14</v>
      </c>
      <c r="B931" t="s">
        <v>37</v>
      </c>
      <c r="C931" t="s">
        <v>9</v>
      </c>
      <c r="D931" s="27">
        <v>457212000</v>
      </c>
      <c r="E931" s="3" t="s">
        <v>41</v>
      </c>
      <c r="F931" s="23">
        <v>50000000</v>
      </c>
      <c r="G931" s="3" t="s">
        <v>41</v>
      </c>
      <c r="I931" s="25" t="str">
        <f t="shared" si="160"/>
        <v/>
      </c>
      <c r="J931" s="25" t="str">
        <f t="shared" si="160"/>
        <v/>
      </c>
      <c r="L931" s="3"/>
      <c r="M931" s="3"/>
    </row>
    <row r="932" spans="1:16" x14ac:dyDescent="0.45">
      <c r="A932" t="s">
        <v>15</v>
      </c>
      <c r="B932" t="s">
        <v>37</v>
      </c>
      <c r="C932" t="s">
        <v>9</v>
      </c>
      <c r="D932" s="27">
        <v>100000000</v>
      </c>
      <c r="E932" s="3" t="s">
        <v>41</v>
      </c>
      <c r="F932" s="23">
        <v>1663840000</v>
      </c>
      <c r="G932" s="3" t="s">
        <v>41</v>
      </c>
      <c r="I932" s="25" t="str">
        <f t="shared" si="160"/>
        <v/>
      </c>
      <c r="J932" s="25" t="str">
        <f t="shared" si="160"/>
        <v/>
      </c>
      <c r="L932" s="3"/>
      <c r="M932" s="3"/>
    </row>
    <row r="933" spans="1:16" x14ac:dyDescent="0.45">
      <c r="A933" t="s">
        <v>16</v>
      </c>
      <c r="B933" t="s">
        <v>37</v>
      </c>
      <c r="C933" t="s">
        <v>9</v>
      </c>
      <c r="D933" s="27">
        <v>147500000</v>
      </c>
      <c r="E933" s="3" t="s">
        <v>41</v>
      </c>
      <c r="F933" s="23">
        <v>2498475000</v>
      </c>
      <c r="G933" s="3" t="s">
        <v>41</v>
      </c>
      <c r="I933" s="25" t="str">
        <f t="shared" si="160"/>
        <v/>
      </c>
      <c r="J933" s="25" t="str">
        <f t="shared" si="160"/>
        <v/>
      </c>
      <c r="L933" s="3"/>
      <c r="M933" s="3"/>
    </row>
    <row r="934" spans="1:16" x14ac:dyDescent="0.45">
      <c r="A934" t="s">
        <v>17</v>
      </c>
      <c r="B934" t="s">
        <v>37</v>
      </c>
      <c r="C934" t="s">
        <v>9</v>
      </c>
      <c r="D934" s="27">
        <v>0</v>
      </c>
      <c r="E934" s="3" t="s">
        <v>41</v>
      </c>
      <c r="F934" s="23">
        <v>3932755000</v>
      </c>
      <c r="G934" s="3" t="s">
        <v>41</v>
      </c>
      <c r="I934" s="25" t="str">
        <f t="shared" si="160"/>
        <v/>
      </c>
      <c r="J934" s="25" t="str">
        <f t="shared" si="160"/>
        <v/>
      </c>
      <c r="L934" s="3"/>
      <c r="M934" s="3"/>
    </row>
    <row r="935" spans="1:16" x14ac:dyDescent="0.45">
      <c r="A935" t="s">
        <v>18</v>
      </c>
      <c r="B935" t="s">
        <v>37</v>
      </c>
      <c r="C935" t="s">
        <v>9</v>
      </c>
      <c r="D935" s="27">
        <v>147500000</v>
      </c>
      <c r="E935" s="3" t="s">
        <v>41</v>
      </c>
      <c r="F935" s="23">
        <v>247500000</v>
      </c>
      <c r="G935" s="3" t="s">
        <v>41</v>
      </c>
      <c r="I935" s="25" t="str">
        <f t="shared" si="160"/>
        <v/>
      </c>
      <c r="J935" s="25" t="str">
        <f t="shared" si="160"/>
        <v/>
      </c>
      <c r="L935" s="3"/>
      <c r="M935" s="3"/>
    </row>
    <row r="936" spans="1:16" x14ac:dyDescent="0.45">
      <c r="A936" t="s">
        <v>19</v>
      </c>
      <c r="B936" t="s">
        <v>37</v>
      </c>
      <c r="C936" t="s">
        <v>9</v>
      </c>
      <c r="D936" s="27">
        <v>0</v>
      </c>
      <c r="E936" s="3" t="s">
        <v>41</v>
      </c>
      <c r="F936" s="23">
        <v>0</v>
      </c>
      <c r="G936" s="3" t="s">
        <v>41</v>
      </c>
      <c r="I936" s="25" t="str">
        <f t="shared" si="160"/>
        <v/>
      </c>
      <c r="J936" s="25" t="str">
        <f t="shared" si="160"/>
        <v/>
      </c>
      <c r="L936" s="3"/>
      <c r="M936" s="3"/>
    </row>
    <row r="937" spans="1:16" x14ac:dyDescent="0.45">
      <c r="A937" t="s">
        <v>20</v>
      </c>
      <c r="B937" t="s">
        <v>37</v>
      </c>
      <c r="C937" t="s">
        <v>9</v>
      </c>
      <c r="D937" s="27">
        <v>0</v>
      </c>
      <c r="E937" s="3" t="s">
        <v>41</v>
      </c>
      <c r="F937" s="23">
        <v>147500000</v>
      </c>
      <c r="G937" s="3" t="s">
        <v>41</v>
      </c>
      <c r="I937" s="25" t="str">
        <f t="shared" si="160"/>
        <v/>
      </c>
      <c r="J937" s="25" t="str">
        <f t="shared" si="160"/>
        <v/>
      </c>
      <c r="L937" s="3"/>
      <c r="M937" s="3"/>
    </row>
    <row r="938" spans="1:16" x14ac:dyDescent="0.45">
      <c r="A938" t="s">
        <v>7</v>
      </c>
      <c r="B938" t="s">
        <v>37</v>
      </c>
      <c r="C938" t="s">
        <v>21</v>
      </c>
      <c r="D938" s="27">
        <v>0</v>
      </c>
      <c r="E938" s="3">
        <v>0</v>
      </c>
      <c r="F938" s="23">
        <v>0</v>
      </c>
      <c r="G938" s="3">
        <v>0</v>
      </c>
      <c r="I938" s="22">
        <f t="shared" ref="I938:J938" si="165">IF(L938="","",L938)</f>
        <v>0</v>
      </c>
      <c r="J938" s="22">
        <f t="shared" si="165"/>
        <v>0</v>
      </c>
      <c r="L938" s="3">
        <v>0</v>
      </c>
      <c r="M938" s="3">
        <v>0</v>
      </c>
    </row>
    <row r="939" spans="1:16" x14ac:dyDescent="0.45">
      <c r="A939" t="s">
        <v>10</v>
      </c>
      <c r="B939" t="s">
        <v>37</v>
      </c>
      <c r="C939" t="s">
        <v>21</v>
      </c>
      <c r="D939" s="28">
        <v>0</v>
      </c>
      <c r="E939" s="4">
        <v>0</v>
      </c>
      <c r="F939" s="24">
        <v>0</v>
      </c>
      <c r="G939" s="4">
        <v>0</v>
      </c>
      <c r="I939" s="25">
        <f t="shared" ref="I939:J939" si="166">IF(L939="","",L939-L938)</f>
        <v>0</v>
      </c>
      <c r="J939" s="25">
        <f t="shared" si="166"/>
        <v>0</v>
      </c>
      <c r="L939" s="4">
        <v>0</v>
      </c>
      <c r="M939" s="4">
        <v>0</v>
      </c>
    </row>
    <row r="940" spans="1:16" x14ac:dyDescent="0.45">
      <c r="A940" t="s">
        <v>11</v>
      </c>
      <c r="B940" t="s">
        <v>37</v>
      </c>
      <c r="C940" t="s">
        <v>21</v>
      </c>
      <c r="D940" s="27">
        <v>150000000</v>
      </c>
      <c r="E940" s="3">
        <v>0</v>
      </c>
      <c r="F940" s="23">
        <v>150000000</v>
      </c>
      <c r="G940" s="3">
        <v>0</v>
      </c>
      <c r="I940" s="25">
        <f t="shared" si="160"/>
        <v>0</v>
      </c>
      <c r="J940" s="25">
        <f t="shared" si="160"/>
        <v>0</v>
      </c>
      <c r="L940" s="29">
        <f>SUMIFS(Pivot_!C:C,Pivot_!A:A,'Hitung Per Bulan'!B940,Pivot_!B:B,'Hitung Per Bulan'!C940)</f>
        <v>0</v>
      </c>
      <c r="M940" s="29">
        <f>SUMIFS(Pivot_!D:D,Pivot_!A:A,'Hitung Per Bulan'!B940,Pivot_!B:B,'Hitung Per Bulan'!C940)</f>
        <v>0</v>
      </c>
    </row>
    <row r="941" spans="1:16" x14ac:dyDescent="0.45">
      <c r="A941" t="s">
        <v>12</v>
      </c>
      <c r="B941" t="s">
        <v>37</v>
      </c>
      <c r="C941" t="s">
        <v>21</v>
      </c>
      <c r="D941" s="27">
        <v>250000000</v>
      </c>
      <c r="E941" s="3" t="s">
        <v>41</v>
      </c>
      <c r="F941" s="23">
        <v>250000000</v>
      </c>
      <c r="G941" s="3" t="s">
        <v>41</v>
      </c>
      <c r="I941" s="25" t="str">
        <f t="shared" si="160"/>
        <v/>
      </c>
      <c r="J941" s="25" t="str">
        <f t="shared" si="160"/>
        <v/>
      </c>
      <c r="L941" s="29"/>
      <c r="M941" s="29"/>
      <c r="O941" s="72"/>
      <c r="P941" s="72"/>
    </row>
    <row r="942" spans="1:16" x14ac:dyDescent="0.45">
      <c r="A942" t="s">
        <v>13</v>
      </c>
      <c r="B942" t="s">
        <v>37</v>
      </c>
      <c r="C942" t="s">
        <v>21</v>
      </c>
      <c r="D942" s="27">
        <v>0</v>
      </c>
      <c r="E942" s="3" t="s">
        <v>41</v>
      </c>
      <c r="F942" s="23">
        <v>0</v>
      </c>
      <c r="G942" s="3" t="s">
        <v>41</v>
      </c>
      <c r="I942" s="25" t="str">
        <f t="shared" si="160"/>
        <v/>
      </c>
      <c r="J942" s="25" t="str">
        <f t="shared" si="160"/>
        <v/>
      </c>
      <c r="L942" s="3"/>
      <c r="M942" s="3"/>
    </row>
    <row r="943" spans="1:16" x14ac:dyDescent="0.45">
      <c r="A943" t="s">
        <v>14</v>
      </c>
      <c r="B943" t="s">
        <v>37</v>
      </c>
      <c r="C943" t="s">
        <v>21</v>
      </c>
      <c r="D943" s="27">
        <v>150000000</v>
      </c>
      <c r="E943" s="3" t="s">
        <v>41</v>
      </c>
      <c r="F943" s="23">
        <v>150000000</v>
      </c>
      <c r="G943" s="3" t="s">
        <v>41</v>
      </c>
      <c r="I943" s="25" t="str">
        <f t="shared" si="160"/>
        <v/>
      </c>
      <c r="J943" s="25" t="str">
        <f t="shared" si="160"/>
        <v/>
      </c>
      <c r="L943" s="3"/>
      <c r="M943" s="3"/>
    </row>
    <row r="944" spans="1:16" x14ac:dyDescent="0.45">
      <c r="A944" t="s">
        <v>15</v>
      </c>
      <c r="B944" t="s">
        <v>37</v>
      </c>
      <c r="C944" t="s">
        <v>21</v>
      </c>
      <c r="D944" s="27">
        <v>0</v>
      </c>
      <c r="E944" s="3" t="s">
        <v>41</v>
      </c>
      <c r="F944" s="23">
        <v>0</v>
      </c>
      <c r="G944" s="3" t="s">
        <v>41</v>
      </c>
      <c r="I944" s="25" t="str">
        <f t="shared" si="160"/>
        <v/>
      </c>
      <c r="J944" s="25" t="str">
        <f t="shared" si="160"/>
        <v/>
      </c>
      <c r="L944" s="3"/>
      <c r="M944" s="3"/>
    </row>
    <row r="945" spans="1:16" x14ac:dyDescent="0.45">
      <c r="A945" t="s">
        <v>16</v>
      </c>
      <c r="B945" t="s">
        <v>37</v>
      </c>
      <c r="C945" t="s">
        <v>21</v>
      </c>
      <c r="D945" s="27">
        <v>0</v>
      </c>
      <c r="E945" s="3" t="s">
        <v>41</v>
      </c>
      <c r="F945" s="23">
        <v>0</v>
      </c>
      <c r="G945" s="3" t="s">
        <v>41</v>
      </c>
      <c r="I945" s="25" t="str">
        <f t="shared" si="160"/>
        <v/>
      </c>
      <c r="J945" s="25" t="str">
        <f t="shared" si="160"/>
        <v/>
      </c>
      <c r="L945" s="3"/>
      <c r="M945" s="3"/>
    </row>
    <row r="946" spans="1:16" x14ac:dyDescent="0.45">
      <c r="A946" t="s">
        <v>17</v>
      </c>
      <c r="B946" t="s">
        <v>37</v>
      </c>
      <c r="C946" t="s">
        <v>21</v>
      </c>
      <c r="D946" s="27">
        <v>200000000</v>
      </c>
      <c r="E946" s="3" t="s">
        <v>41</v>
      </c>
      <c r="F946" s="23">
        <v>200000000</v>
      </c>
      <c r="G946" s="3" t="s">
        <v>41</v>
      </c>
      <c r="I946" s="25" t="str">
        <f t="shared" si="160"/>
        <v/>
      </c>
      <c r="J946" s="25" t="str">
        <f t="shared" si="160"/>
        <v/>
      </c>
      <c r="L946" s="3"/>
      <c r="M946" s="3"/>
    </row>
    <row r="947" spans="1:16" x14ac:dyDescent="0.45">
      <c r="A947" t="s">
        <v>18</v>
      </c>
      <c r="B947" t="s">
        <v>37</v>
      </c>
      <c r="C947" t="s">
        <v>21</v>
      </c>
      <c r="D947" s="27">
        <v>0</v>
      </c>
      <c r="E947" s="3" t="s">
        <v>41</v>
      </c>
      <c r="F947" s="23">
        <v>0</v>
      </c>
      <c r="G947" s="3" t="s">
        <v>41</v>
      </c>
      <c r="I947" s="25" t="str">
        <f t="shared" si="160"/>
        <v/>
      </c>
      <c r="J947" s="25" t="str">
        <f t="shared" si="160"/>
        <v/>
      </c>
      <c r="L947" s="3"/>
      <c r="M947" s="3"/>
    </row>
    <row r="948" spans="1:16" x14ac:dyDescent="0.45">
      <c r="A948" t="s">
        <v>19</v>
      </c>
      <c r="B948" t="s">
        <v>37</v>
      </c>
      <c r="C948" t="s">
        <v>21</v>
      </c>
      <c r="D948" s="27">
        <v>0</v>
      </c>
      <c r="E948" s="3" t="s">
        <v>41</v>
      </c>
      <c r="F948" s="23">
        <v>0</v>
      </c>
      <c r="G948" s="3" t="s">
        <v>41</v>
      </c>
      <c r="I948" s="25" t="str">
        <f t="shared" si="160"/>
        <v/>
      </c>
      <c r="J948" s="25" t="str">
        <f t="shared" si="160"/>
        <v/>
      </c>
      <c r="L948" s="3"/>
      <c r="M948" s="3"/>
    </row>
    <row r="949" spans="1:16" x14ac:dyDescent="0.45">
      <c r="A949" t="s">
        <v>20</v>
      </c>
      <c r="B949" t="s">
        <v>37</v>
      </c>
      <c r="C949" t="s">
        <v>21</v>
      </c>
      <c r="D949" s="27">
        <v>0</v>
      </c>
      <c r="E949" s="3" t="s">
        <v>41</v>
      </c>
      <c r="F949" s="23">
        <v>0</v>
      </c>
      <c r="G949" s="3" t="s">
        <v>41</v>
      </c>
      <c r="I949" s="25" t="str">
        <f t="shared" si="160"/>
        <v/>
      </c>
      <c r="J949" s="25" t="str">
        <f t="shared" si="160"/>
        <v/>
      </c>
      <c r="L949" s="3"/>
      <c r="M949" s="3"/>
    </row>
    <row r="950" spans="1:16" x14ac:dyDescent="0.45">
      <c r="A950" t="s">
        <v>7</v>
      </c>
      <c r="B950" t="s">
        <v>37</v>
      </c>
      <c r="C950" t="s">
        <v>22</v>
      </c>
      <c r="D950" s="27">
        <v>0</v>
      </c>
      <c r="E950" s="3">
        <v>0</v>
      </c>
      <c r="F950" s="23">
        <v>0</v>
      </c>
      <c r="G950" s="3">
        <v>0</v>
      </c>
      <c r="I950" s="22">
        <f t="shared" ref="I950:J950" si="167">IF(L950="","",L950)</f>
        <v>0</v>
      </c>
      <c r="J950" s="22">
        <f t="shared" si="167"/>
        <v>0</v>
      </c>
      <c r="L950" s="3">
        <v>0</v>
      </c>
      <c r="M950" s="3">
        <v>0</v>
      </c>
    </row>
    <row r="951" spans="1:16" x14ac:dyDescent="0.45">
      <c r="A951" t="s">
        <v>10</v>
      </c>
      <c r="B951" t="s">
        <v>37</v>
      </c>
      <c r="C951" t="s">
        <v>22</v>
      </c>
      <c r="D951" s="28">
        <v>79200000</v>
      </c>
      <c r="E951" s="4">
        <v>37804500</v>
      </c>
      <c r="F951" s="24">
        <v>79200000</v>
      </c>
      <c r="G951" s="4">
        <v>0</v>
      </c>
      <c r="I951" s="25">
        <f t="shared" ref="I951:J951" si="168">IF(L951="","",L951-L950)</f>
        <v>37804500</v>
      </c>
      <c r="J951" s="25">
        <f t="shared" si="168"/>
        <v>0</v>
      </c>
      <c r="L951" s="4">
        <v>37804500</v>
      </c>
      <c r="M951" s="4">
        <v>0</v>
      </c>
    </row>
    <row r="952" spans="1:16" x14ac:dyDescent="0.45">
      <c r="A952" t="s">
        <v>11</v>
      </c>
      <c r="B952" t="s">
        <v>37</v>
      </c>
      <c r="C952" t="s">
        <v>22</v>
      </c>
      <c r="D952" s="27">
        <v>0</v>
      </c>
      <c r="E952" s="3">
        <v>14403650</v>
      </c>
      <c r="F952" s="23">
        <v>0</v>
      </c>
      <c r="G952" s="3">
        <v>0</v>
      </c>
      <c r="I952" s="25">
        <f t="shared" si="160"/>
        <v>14403650</v>
      </c>
      <c r="J952" s="25">
        <f t="shared" si="160"/>
        <v>0</v>
      </c>
      <c r="L952" s="29">
        <f>SUMIFS(Pivot_!C:C,Pivot_!A:A,'Hitung Per Bulan'!B952,Pivot_!B:B,'Hitung Per Bulan'!C952)</f>
        <v>52208150</v>
      </c>
      <c r="M952" s="29">
        <f>SUMIFS(Pivot_!D:D,Pivot_!A:A,'Hitung Per Bulan'!B952,Pivot_!B:B,'Hitung Per Bulan'!C952)</f>
        <v>0</v>
      </c>
    </row>
    <row r="953" spans="1:16" x14ac:dyDescent="0.45">
      <c r="A953" t="s">
        <v>12</v>
      </c>
      <c r="B953" t="s">
        <v>37</v>
      </c>
      <c r="C953" t="s">
        <v>22</v>
      </c>
      <c r="D953" s="27">
        <v>0</v>
      </c>
      <c r="E953" s="3" t="s">
        <v>41</v>
      </c>
      <c r="F953" s="23">
        <v>0</v>
      </c>
      <c r="G953" s="3" t="s">
        <v>41</v>
      </c>
      <c r="I953" s="25" t="str">
        <f t="shared" si="160"/>
        <v/>
      </c>
      <c r="J953" s="25" t="str">
        <f t="shared" si="160"/>
        <v/>
      </c>
      <c r="L953" s="29"/>
      <c r="M953" s="29"/>
      <c r="O953" s="72"/>
      <c r="P953" s="72"/>
    </row>
    <row r="954" spans="1:16" x14ac:dyDescent="0.45">
      <c r="A954" t="s">
        <v>13</v>
      </c>
      <c r="B954" t="s">
        <v>37</v>
      </c>
      <c r="C954" t="s">
        <v>22</v>
      </c>
      <c r="D954" s="27">
        <v>79200000</v>
      </c>
      <c r="E954" s="3" t="s">
        <v>41</v>
      </c>
      <c r="F954" s="23">
        <v>79200000</v>
      </c>
      <c r="G954" s="3" t="s">
        <v>41</v>
      </c>
      <c r="I954" s="25" t="str">
        <f t="shared" si="160"/>
        <v/>
      </c>
      <c r="J954" s="25" t="str">
        <f t="shared" si="160"/>
        <v/>
      </c>
      <c r="L954" s="3"/>
      <c r="M954" s="3"/>
    </row>
    <row r="955" spans="1:16" x14ac:dyDescent="0.45">
      <c r="A955" t="s">
        <v>14</v>
      </c>
      <c r="B955" t="s">
        <v>37</v>
      </c>
      <c r="C955" t="s">
        <v>22</v>
      </c>
      <c r="D955" s="27">
        <v>0</v>
      </c>
      <c r="E955" s="3" t="s">
        <v>41</v>
      </c>
      <c r="F955" s="23">
        <v>0</v>
      </c>
      <c r="G955" s="3" t="s">
        <v>41</v>
      </c>
      <c r="I955" s="25" t="str">
        <f t="shared" si="160"/>
        <v/>
      </c>
      <c r="J955" s="25" t="str">
        <f t="shared" si="160"/>
        <v/>
      </c>
      <c r="L955" s="3"/>
      <c r="M955" s="3"/>
    </row>
    <row r="956" spans="1:16" x14ac:dyDescent="0.45">
      <c r="A956" t="s">
        <v>15</v>
      </c>
      <c r="B956" t="s">
        <v>37</v>
      </c>
      <c r="C956" t="s">
        <v>22</v>
      </c>
      <c r="D956" s="27">
        <v>0</v>
      </c>
      <c r="E956" s="3" t="s">
        <v>41</v>
      </c>
      <c r="F956" s="23">
        <v>0</v>
      </c>
      <c r="G956" s="3" t="s">
        <v>41</v>
      </c>
      <c r="I956" s="25" t="str">
        <f t="shared" si="160"/>
        <v/>
      </c>
      <c r="J956" s="25" t="str">
        <f t="shared" si="160"/>
        <v/>
      </c>
      <c r="L956" s="3"/>
      <c r="M956" s="3"/>
    </row>
    <row r="957" spans="1:16" x14ac:dyDescent="0.45">
      <c r="A957" t="s">
        <v>16</v>
      </c>
      <c r="B957" t="s">
        <v>37</v>
      </c>
      <c r="C957" t="s">
        <v>22</v>
      </c>
      <c r="D957" s="27">
        <v>79200000</v>
      </c>
      <c r="E957" s="3" t="s">
        <v>41</v>
      </c>
      <c r="F957" s="23">
        <v>79200000</v>
      </c>
      <c r="G957" s="3" t="s">
        <v>41</v>
      </c>
      <c r="I957" s="25" t="str">
        <f t="shared" si="160"/>
        <v/>
      </c>
      <c r="J957" s="25" t="str">
        <f t="shared" si="160"/>
        <v/>
      </c>
      <c r="L957" s="3"/>
      <c r="M957" s="3"/>
    </row>
    <row r="958" spans="1:16" x14ac:dyDescent="0.45">
      <c r="A958" t="s">
        <v>17</v>
      </c>
      <c r="B958" t="s">
        <v>37</v>
      </c>
      <c r="C958" t="s">
        <v>22</v>
      </c>
      <c r="D958" s="27">
        <v>0</v>
      </c>
      <c r="E958" s="3" t="s">
        <v>41</v>
      </c>
      <c r="F958" s="23">
        <v>0</v>
      </c>
      <c r="G958" s="3" t="s">
        <v>41</v>
      </c>
      <c r="I958" s="25" t="str">
        <f t="shared" si="160"/>
        <v/>
      </c>
      <c r="J958" s="25" t="str">
        <f t="shared" si="160"/>
        <v/>
      </c>
      <c r="L958" s="3"/>
      <c r="M958" s="3"/>
    </row>
    <row r="959" spans="1:16" x14ac:dyDescent="0.45">
      <c r="A959" t="s">
        <v>18</v>
      </c>
      <c r="B959" t="s">
        <v>37</v>
      </c>
      <c r="C959" t="s">
        <v>22</v>
      </c>
      <c r="D959" s="27">
        <v>0</v>
      </c>
      <c r="E959" s="3" t="s">
        <v>41</v>
      </c>
      <c r="F959" s="23">
        <v>0</v>
      </c>
      <c r="G959" s="3" t="s">
        <v>41</v>
      </c>
      <c r="I959" s="25" t="str">
        <f t="shared" si="160"/>
        <v/>
      </c>
      <c r="J959" s="25" t="str">
        <f t="shared" si="160"/>
        <v/>
      </c>
      <c r="L959" s="3"/>
      <c r="M959" s="3"/>
    </row>
    <row r="960" spans="1:16" x14ac:dyDescent="0.45">
      <c r="A960" t="s">
        <v>19</v>
      </c>
      <c r="B960" t="s">
        <v>37</v>
      </c>
      <c r="C960" t="s">
        <v>22</v>
      </c>
      <c r="D960" s="27">
        <v>79200000</v>
      </c>
      <c r="E960" s="3" t="s">
        <v>41</v>
      </c>
      <c r="F960" s="23">
        <v>79200000</v>
      </c>
      <c r="G960" s="3" t="s">
        <v>41</v>
      </c>
      <c r="I960" s="25" t="str">
        <f t="shared" si="160"/>
        <v/>
      </c>
      <c r="J960" s="25" t="str">
        <f t="shared" si="160"/>
        <v/>
      </c>
      <c r="L960" s="3"/>
      <c r="M960" s="3"/>
    </row>
    <row r="961" spans="1:16" x14ac:dyDescent="0.45">
      <c r="A961" t="s">
        <v>20</v>
      </c>
      <c r="B961" t="s">
        <v>37</v>
      </c>
      <c r="C961" t="s">
        <v>22</v>
      </c>
      <c r="D961" s="27">
        <v>0</v>
      </c>
      <c r="E961" s="3" t="s">
        <v>41</v>
      </c>
      <c r="F961" s="23">
        <v>0</v>
      </c>
      <c r="G961" s="3" t="s">
        <v>41</v>
      </c>
      <c r="I961" s="25" t="str">
        <f t="shared" si="160"/>
        <v/>
      </c>
      <c r="J961" s="25" t="str">
        <f t="shared" si="160"/>
        <v/>
      </c>
      <c r="L961" s="3"/>
      <c r="M961" s="3"/>
    </row>
    <row r="962" spans="1:16" x14ac:dyDescent="0.45">
      <c r="A962" t="s">
        <v>7</v>
      </c>
      <c r="B962" t="s">
        <v>37</v>
      </c>
      <c r="C962" t="s">
        <v>23</v>
      </c>
      <c r="D962" s="27">
        <v>0</v>
      </c>
      <c r="E962" s="3">
        <v>0</v>
      </c>
      <c r="F962" s="23">
        <v>0</v>
      </c>
      <c r="G962" s="3">
        <v>0</v>
      </c>
      <c r="I962" s="22">
        <f t="shared" ref="I962:J962" si="169">IF(L962="","",L962)</f>
        <v>0</v>
      </c>
      <c r="J962" s="22">
        <f t="shared" si="169"/>
        <v>0</v>
      </c>
      <c r="L962" s="3">
        <v>0</v>
      </c>
      <c r="M962" s="3">
        <v>0</v>
      </c>
    </row>
    <row r="963" spans="1:16" x14ac:dyDescent="0.45">
      <c r="A963" t="s">
        <v>10</v>
      </c>
      <c r="B963" t="s">
        <v>37</v>
      </c>
      <c r="C963" t="s">
        <v>23</v>
      </c>
      <c r="D963" s="28">
        <v>0</v>
      </c>
      <c r="E963" s="4">
        <v>0</v>
      </c>
      <c r="F963" s="24">
        <v>0</v>
      </c>
      <c r="G963" s="4">
        <v>0</v>
      </c>
      <c r="I963" s="25">
        <f t="shared" ref="I963:J963" si="170">IF(L963="","",L963-L962)</f>
        <v>0</v>
      </c>
      <c r="J963" s="25">
        <f t="shared" si="170"/>
        <v>0</v>
      </c>
      <c r="L963" s="4">
        <v>0</v>
      </c>
      <c r="M963" s="4">
        <v>0</v>
      </c>
    </row>
    <row r="964" spans="1:16" x14ac:dyDescent="0.45">
      <c r="A964" t="s">
        <v>11</v>
      </c>
      <c r="B964" t="s">
        <v>37</v>
      </c>
      <c r="C964" t="s">
        <v>23</v>
      </c>
      <c r="D964" s="27">
        <v>250000000</v>
      </c>
      <c r="E964" s="3">
        <v>0</v>
      </c>
      <c r="F964" s="23">
        <v>250000000</v>
      </c>
      <c r="G964" s="3">
        <v>0</v>
      </c>
      <c r="I964" s="25">
        <f t="shared" si="160"/>
        <v>0</v>
      </c>
      <c r="J964" s="25">
        <f t="shared" si="160"/>
        <v>0</v>
      </c>
      <c r="L964" s="29">
        <f>SUMIFS(Pivot_!C:C,Pivot_!A:A,'Hitung Per Bulan'!B964,Pivot_!B:B,'Hitung Per Bulan'!C964)</f>
        <v>0</v>
      </c>
      <c r="M964" s="29">
        <f>SUMIFS(Pivot_!D:D,Pivot_!A:A,'Hitung Per Bulan'!B964,Pivot_!B:B,'Hitung Per Bulan'!C964)</f>
        <v>0</v>
      </c>
    </row>
    <row r="965" spans="1:16" x14ac:dyDescent="0.45">
      <c r="A965" t="s">
        <v>12</v>
      </c>
      <c r="B965" t="s">
        <v>37</v>
      </c>
      <c r="C965" t="s">
        <v>23</v>
      </c>
      <c r="D965" s="27">
        <v>0</v>
      </c>
      <c r="E965" s="3" t="s">
        <v>41</v>
      </c>
      <c r="F965" s="23">
        <v>0</v>
      </c>
      <c r="G965" s="3" t="s">
        <v>41</v>
      </c>
      <c r="I965" s="25" t="str">
        <f t="shared" si="160"/>
        <v/>
      </c>
      <c r="J965" s="25" t="str">
        <f t="shared" si="160"/>
        <v/>
      </c>
      <c r="L965" s="29"/>
      <c r="M965" s="29"/>
      <c r="O965" s="72"/>
      <c r="P965" s="72"/>
    </row>
    <row r="966" spans="1:16" x14ac:dyDescent="0.45">
      <c r="A966" t="s">
        <v>13</v>
      </c>
      <c r="B966" t="s">
        <v>37</v>
      </c>
      <c r="C966" t="s">
        <v>23</v>
      </c>
      <c r="D966" s="27">
        <v>0</v>
      </c>
      <c r="E966" s="3" t="s">
        <v>41</v>
      </c>
      <c r="F966" s="23">
        <v>0</v>
      </c>
      <c r="G966" s="3" t="s">
        <v>41</v>
      </c>
      <c r="I966" s="25" t="str">
        <f t="shared" si="160"/>
        <v/>
      </c>
      <c r="J966" s="25" t="str">
        <f t="shared" si="160"/>
        <v/>
      </c>
      <c r="L966" s="3"/>
      <c r="M966" s="3"/>
    </row>
    <row r="967" spans="1:16" x14ac:dyDescent="0.45">
      <c r="A967" t="s">
        <v>14</v>
      </c>
      <c r="B967" t="s">
        <v>37</v>
      </c>
      <c r="C967" t="s">
        <v>23</v>
      </c>
      <c r="D967" s="27">
        <v>0</v>
      </c>
      <c r="E967" s="3" t="s">
        <v>41</v>
      </c>
      <c r="F967" s="23">
        <v>0</v>
      </c>
      <c r="G967" s="3" t="s">
        <v>41</v>
      </c>
      <c r="I967" s="25" t="str">
        <f t="shared" si="160"/>
        <v/>
      </c>
      <c r="J967" s="25" t="str">
        <f t="shared" si="160"/>
        <v/>
      </c>
      <c r="L967" s="3"/>
      <c r="M967" s="3"/>
    </row>
    <row r="968" spans="1:16" x14ac:dyDescent="0.45">
      <c r="A968" t="s">
        <v>15</v>
      </c>
      <c r="B968" t="s">
        <v>37</v>
      </c>
      <c r="C968" t="s">
        <v>23</v>
      </c>
      <c r="D968" s="27">
        <v>0</v>
      </c>
      <c r="E968" s="3" t="s">
        <v>41</v>
      </c>
      <c r="F968" s="23">
        <v>0</v>
      </c>
      <c r="G968" s="3" t="s">
        <v>41</v>
      </c>
      <c r="I968" s="25" t="str">
        <f t="shared" si="160"/>
        <v/>
      </c>
      <c r="J968" s="25" t="str">
        <f t="shared" si="160"/>
        <v/>
      </c>
      <c r="L968" s="3"/>
      <c r="M968" s="3"/>
    </row>
    <row r="969" spans="1:16" x14ac:dyDescent="0.45">
      <c r="A969" t="s">
        <v>16</v>
      </c>
      <c r="B969" t="s">
        <v>37</v>
      </c>
      <c r="C969" t="s">
        <v>23</v>
      </c>
      <c r="D969" s="27">
        <v>0</v>
      </c>
      <c r="E969" s="3" t="s">
        <v>41</v>
      </c>
      <c r="F969" s="23">
        <v>0</v>
      </c>
      <c r="G969" s="3" t="s">
        <v>41</v>
      </c>
      <c r="I969" s="25" t="str">
        <f t="shared" si="160"/>
        <v/>
      </c>
      <c r="J969" s="25" t="str">
        <f t="shared" si="160"/>
        <v/>
      </c>
      <c r="L969" s="3"/>
      <c r="M969" s="3"/>
    </row>
    <row r="970" spans="1:16" x14ac:dyDescent="0.45">
      <c r="A970" t="s">
        <v>17</v>
      </c>
      <c r="B970" t="s">
        <v>37</v>
      </c>
      <c r="C970" t="s">
        <v>23</v>
      </c>
      <c r="D970" s="27">
        <v>0</v>
      </c>
      <c r="E970" s="3" t="s">
        <v>41</v>
      </c>
      <c r="F970" s="23">
        <v>0</v>
      </c>
      <c r="G970" s="3" t="s">
        <v>41</v>
      </c>
      <c r="I970" s="25" t="str">
        <f t="shared" si="160"/>
        <v/>
      </c>
      <c r="J970" s="25" t="str">
        <f t="shared" si="160"/>
        <v/>
      </c>
      <c r="L970" s="3"/>
      <c r="M970" s="3"/>
    </row>
    <row r="971" spans="1:16" x14ac:dyDescent="0.45">
      <c r="A971" t="s">
        <v>18</v>
      </c>
      <c r="B971" t="s">
        <v>37</v>
      </c>
      <c r="C971" t="s">
        <v>23</v>
      </c>
      <c r="D971" s="27">
        <v>0</v>
      </c>
      <c r="E971" s="3" t="s">
        <v>41</v>
      </c>
      <c r="F971" s="23">
        <v>0</v>
      </c>
      <c r="G971" s="3" t="s">
        <v>41</v>
      </c>
      <c r="I971" s="25" t="str">
        <f t="shared" si="160"/>
        <v/>
      </c>
      <c r="J971" s="25" t="str">
        <f t="shared" si="160"/>
        <v/>
      </c>
      <c r="L971" s="3"/>
      <c r="M971" s="3"/>
    </row>
    <row r="972" spans="1:16" x14ac:dyDescent="0.45">
      <c r="A972" t="s">
        <v>19</v>
      </c>
      <c r="B972" t="s">
        <v>37</v>
      </c>
      <c r="C972" t="s">
        <v>23</v>
      </c>
      <c r="D972" s="27">
        <v>0</v>
      </c>
      <c r="E972" s="3" t="s">
        <v>41</v>
      </c>
      <c r="F972" s="23">
        <v>0</v>
      </c>
      <c r="G972" s="3" t="s">
        <v>41</v>
      </c>
      <c r="I972" s="25" t="str">
        <f t="shared" si="160"/>
        <v/>
      </c>
      <c r="J972" s="25" t="str">
        <f t="shared" si="160"/>
        <v/>
      </c>
      <c r="L972" s="3"/>
      <c r="M972" s="3"/>
    </row>
    <row r="973" spans="1:16" x14ac:dyDescent="0.45">
      <c r="A973" t="s">
        <v>20</v>
      </c>
      <c r="B973" t="s">
        <v>37</v>
      </c>
      <c r="C973" t="s">
        <v>23</v>
      </c>
      <c r="D973" s="27">
        <v>0</v>
      </c>
      <c r="E973" s="3" t="s">
        <v>41</v>
      </c>
      <c r="F973" s="23">
        <v>0</v>
      </c>
      <c r="G973" s="3" t="s">
        <v>41</v>
      </c>
      <c r="I973" s="25" t="str">
        <f t="shared" si="160"/>
        <v/>
      </c>
      <c r="J973" s="25" t="str">
        <f t="shared" si="160"/>
        <v/>
      </c>
      <c r="L973" s="3"/>
      <c r="M973" s="3"/>
    </row>
    <row r="974" spans="1:16" x14ac:dyDescent="0.45">
      <c r="A974" t="s">
        <v>7</v>
      </c>
      <c r="B974" t="s">
        <v>37</v>
      </c>
      <c r="C974" t="s">
        <v>24</v>
      </c>
      <c r="D974" s="27">
        <v>0</v>
      </c>
      <c r="E974" s="3">
        <v>0</v>
      </c>
      <c r="F974" s="23">
        <v>0</v>
      </c>
      <c r="G974" s="3">
        <v>0</v>
      </c>
      <c r="I974" s="22">
        <f t="shared" ref="I974:J974" si="171">IF(L974="","",L974)</f>
        <v>0</v>
      </c>
      <c r="J974" s="22">
        <f t="shared" si="171"/>
        <v>0</v>
      </c>
      <c r="L974" s="3">
        <v>0</v>
      </c>
      <c r="M974" s="3">
        <v>0</v>
      </c>
    </row>
    <row r="975" spans="1:16" x14ac:dyDescent="0.45">
      <c r="A975" t="s">
        <v>10</v>
      </c>
      <c r="B975" t="s">
        <v>37</v>
      </c>
      <c r="C975" t="s">
        <v>24</v>
      </c>
      <c r="D975" s="28">
        <v>0</v>
      </c>
      <c r="E975" s="4">
        <v>0</v>
      </c>
      <c r="F975" s="24">
        <v>0</v>
      </c>
      <c r="G975" s="4">
        <v>0</v>
      </c>
      <c r="I975" s="25">
        <f t="shared" ref="I975:J1038" si="172">IF(L975="","",L975-L974)</f>
        <v>0</v>
      </c>
      <c r="J975" s="25">
        <f t="shared" si="172"/>
        <v>0</v>
      </c>
      <c r="L975" s="4">
        <v>0</v>
      </c>
      <c r="M975" s="4">
        <v>0</v>
      </c>
    </row>
    <row r="976" spans="1:16" x14ac:dyDescent="0.45">
      <c r="A976" t="s">
        <v>11</v>
      </c>
      <c r="B976" t="s">
        <v>37</v>
      </c>
      <c r="C976" t="s">
        <v>24</v>
      </c>
      <c r="D976" s="27">
        <v>0</v>
      </c>
      <c r="E976" s="3">
        <v>0</v>
      </c>
      <c r="F976" s="23">
        <v>0</v>
      </c>
      <c r="G976" s="3">
        <v>0</v>
      </c>
      <c r="I976" s="25">
        <f t="shared" si="172"/>
        <v>0</v>
      </c>
      <c r="J976" s="25">
        <f t="shared" si="172"/>
        <v>0</v>
      </c>
      <c r="L976" s="29">
        <f>SUMIFS(Pivot_!C:C,Pivot_!A:A,'Hitung Per Bulan'!B976,Pivot_!B:B,'Hitung Per Bulan'!C976)</f>
        <v>0</v>
      </c>
      <c r="M976" s="29">
        <f>SUMIFS(Pivot_!D:D,Pivot_!A:A,'Hitung Per Bulan'!B976,Pivot_!B:B,'Hitung Per Bulan'!C976)</f>
        <v>0</v>
      </c>
    </row>
    <row r="977" spans="1:16" x14ac:dyDescent="0.45">
      <c r="A977" t="s">
        <v>12</v>
      </c>
      <c r="B977" t="s">
        <v>37</v>
      </c>
      <c r="C977" t="s">
        <v>24</v>
      </c>
      <c r="D977" s="27">
        <v>0</v>
      </c>
      <c r="E977" s="3" t="s">
        <v>41</v>
      </c>
      <c r="F977" s="23">
        <v>0</v>
      </c>
      <c r="G977" s="3" t="s">
        <v>41</v>
      </c>
      <c r="I977" s="25" t="str">
        <f t="shared" si="172"/>
        <v/>
      </c>
      <c r="J977" s="25" t="str">
        <f t="shared" si="172"/>
        <v/>
      </c>
      <c r="L977" s="29"/>
      <c r="M977" s="29"/>
      <c r="O977" s="72"/>
      <c r="P977" s="72"/>
    </row>
    <row r="978" spans="1:16" x14ac:dyDescent="0.45">
      <c r="A978" t="s">
        <v>13</v>
      </c>
      <c r="B978" t="s">
        <v>37</v>
      </c>
      <c r="C978" t="s">
        <v>24</v>
      </c>
      <c r="D978" s="27">
        <v>0</v>
      </c>
      <c r="E978" s="3" t="s">
        <v>41</v>
      </c>
      <c r="F978" s="23">
        <v>0</v>
      </c>
      <c r="G978" s="3" t="s">
        <v>41</v>
      </c>
      <c r="I978" s="25" t="str">
        <f t="shared" si="172"/>
        <v/>
      </c>
      <c r="J978" s="25" t="str">
        <f t="shared" si="172"/>
        <v/>
      </c>
      <c r="L978" s="3"/>
      <c r="M978" s="3"/>
    </row>
    <row r="979" spans="1:16" x14ac:dyDescent="0.45">
      <c r="A979" t="s">
        <v>14</v>
      </c>
      <c r="B979" t="s">
        <v>37</v>
      </c>
      <c r="C979" t="s">
        <v>24</v>
      </c>
      <c r="D979" s="27">
        <v>0</v>
      </c>
      <c r="E979" s="3" t="s">
        <v>41</v>
      </c>
      <c r="F979" s="23">
        <v>0</v>
      </c>
      <c r="G979" s="3" t="s">
        <v>41</v>
      </c>
      <c r="I979" s="25" t="str">
        <f t="shared" si="172"/>
        <v/>
      </c>
      <c r="J979" s="25" t="str">
        <f t="shared" si="172"/>
        <v/>
      </c>
      <c r="L979" s="3"/>
      <c r="M979" s="3"/>
    </row>
    <row r="980" spans="1:16" x14ac:dyDescent="0.45">
      <c r="A980" t="s">
        <v>15</v>
      </c>
      <c r="B980" t="s">
        <v>37</v>
      </c>
      <c r="C980" t="s">
        <v>24</v>
      </c>
      <c r="D980" s="27">
        <v>0</v>
      </c>
      <c r="E980" s="3" t="s">
        <v>41</v>
      </c>
      <c r="F980" s="23">
        <v>0</v>
      </c>
      <c r="G980" s="3" t="s">
        <v>41</v>
      </c>
      <c r="I980" s="25" t="str">
        <f t="shared" si="172"/>
        <v/>
      </c>
      <c r="J980" s="25" t="str">
        <f t="shared" si="172"/>
        <v/>
      </c>
      <c r="L980" s="3"/>
      <c r="M980" s="3"/>
    </row>
    <row r="981" spans="1:16" x14ac:dyDescent="0.45">
      <c r="A981" t="s">
        <v>16</v>
      </c>
      <c r="B981" t="s">
        <v>37</v>
      </c>
      <c r="C981" t="s">
        <v>24</v>
      </c>
      <c r="D981" s="27">
        <v>0</v>
      </c>
      <c r="E981" s="3" t="s">
        <v>41</v>
      </c>
      <c r="F981" s="23">
        <v>0</v>
      </c>
      <c r="G981" s="3" t="s">
        <v>41</v>
      </c>
      <c r="I981" s="25" t="str">
        <f t="shared" si="172"/>
        <v/>
      </c>
      <c r="J981" s="25" t="str">
        <f t="shared" si="172"/>
        <v/>
      </c>
      <c r="L981" s="3"/>
      <c r="M981" s="3"/>
    </row>
    <row r="982" spans="1:16" x14ac:dyDescent="0.45">
      <c r="A982" t="s">
        <v>17</v>
      </c>
      <c r="B982" t="s">
        <v>37</v>
      </c>
      <c r="C982" t="s">
        <v>24</v>
      </c>
      <c r="D982" s="27">
        <v>0</v>
      </c>
      <c r="E982" s="3" t="s">
        <v>41</v>
      </c>
      <c r="F982" s="23">
        <v>0</v>
      </c>
      <c r="G982" s="3" t="s">
        <v>41</v>
      </c>
      <c r="I982" s="25" t="str">
        <f t="shared" si="172"/>
        <v/>
      </c>
      <c r="J982" s="25" t="str">
        <f t="shared" si="172"/>
        <v/>
      </c>
      <c r="L982" s="3"/>
      <c r="M982" s="3"/>
    </row>
    <row r="983" spans="1:16" x14ac:dyDescent="0.45">
      <c r="A983" t="s">
        <v>18</v>
      </c>
      <c r="B983" t="s">
        <v>37</v>
      </c>
      <c r="C983" t="s">
        <v>24</v>
      </c>
      <c r="D983" s="27">
        <v>0</v>
      </c>
      <c r="E983" s="3" t="s">
        <v>41</v>
      </c>
      <c r="F983" s="23">
        <v>0</v>
      </c>
      <c r="G983" s="3" t="s">
        <v>41</v>
      </c>
      <c r="I983" s="25" t="str">
        <f t="shared" si="172"/>
        <v/>
      </c>
      <c r="J983" s="25" t="str">
        <f t="shared" si="172"/>
        <v/>
      </c>
      <c r="L983" s="3"/>
      <c r="M983" s="3"/>
    </row>
    <row r="984" spans="1:16" x14ac:dyDescent="0.45">
      <c r="A984" t="s">
        <v>19</v>
      </c>
      <c r="B984" t="s">
        <v>37</v>
      </c>
      <c r="C984" t="s">
        <v>24</v>
      </c>
      <c r="D984" s="27">
        <v>0</v>
      </c>
      <c r="E984" s="3" t="s">
        <v>41</v>
      </c>
      <c r="F984" s="23">
        <v>0</v>
      </c>
      <c r="G984" s="3" t="s">
        <v>41</v>
      </c>
      <c r="I984" s="25" t="str">
        <f t="shared" si="172"/>
        <v/>
      </c>
      <c r="J984" s="25" t="str">
        <f t="shared" si="172"/>
        <v/>
      </c>
      <c r="L984" s="3"/>
      <c r="M984" s="3"/>
    </row>
    <row r="985" spans="1:16" x14ac:dyDescent="0.45">
      <c r="A985" t="s">
        <v>20</v>
      </c>
      <c r="B985" t="s">
        <v>37</v>
      </c>
      <c r="C985" t="s">
        <v>24</v>
      </c>
      <c r="D985" s="27">
        <v>0</v>
      </c>
      <c r="E985" s="3" t="s">
        <v>41</v>
      </c>
      <c r="F985" s="23">
        <v>0</v>
      </c>
      <c r="G985" s="3" t="s">
        <v>41</v>
      </c>
      <c r="I985" s="25" t="str">
        <f t="shared" si="172"/>
        <v/>
      </c>
      <c r="J985" s="25" t="str">
        <f t="shared" si="172"/>
        <v/>
      </c>
      <c r="L985" s="3"/>
      <c r="M985" s="3"/>
    </row>
    <row r="986" spans="1:16" x14ac:dyDescent="0.45">
      <c r="A986" t="s">
        <v>7</v>
      </c>
      <c r="B986" t="s">
        <v>37</v>
      </c>
      <c r="C986" t="s">
        <v>25</v>
      </c>
      <c r="D986" s="27">
        <v>123852333.33333334</v>
      </c>
      <c r="E986" s="3">
        <v>73891500</v>
      </c>
      <c r="F986" s="23">
        <v>123852333.33333334</v>
      </c>
      <c r="G986" s="3">
        <v>5977500</v>
      </c>
      <c r="I986" s="22">
        <f t="shared" ref="I986:J986" si="173">IF(L986="","",L986)</f>
        <v>73891500</v>
      </c>
      <c r="J986" s="22">
        <f t="shared" si="173"/>
        <v>5977500</v>
      </c>
      <c r="L986" s="3">
        <v>73891500</v>
      </c>
      <c r="M986" s="3">
        <v>5977500</v>
      </c>
    </row>
    <row r="987" spans="1:16" x14ac:dyDescent="0.45">
      <c r="A987" t="s">
        <v>10</v>
      </c>
      <c r="B987" t="s">
        <v>37</v>
      </c>
      <c r="C987" t="s">
        <v>25</v>
      </c>
      <c r="D987" s="28">
        <v>113852333.33333334</v>
      </c>
      <c r="E987" s="4">
        <v>121455950</v>
      </c>
      <c r="F987" s="24">
        <v>113852333.33333334</v>
      </c>
      <c r="G987" s="4">
        <v>91152500</v>
      </c>
      <c r="I987" s="25">
        <f t="shared" ref="I987:J987" si="174">IF(L987="","",L987-L986)</f>
        <v>121455950</v>
      </c>
      <c r="J987" s="25">
        <f t="shared" si="174"/>
        <v>91152500</v>
      </c>
      <c r="L987" s="4">
        <v>195347450</v>
      </c>
      <c r="M987" s="4">
        <v>97130000</v>
      </c>
    </row>
    <row r="988" spans="1:16" x14ac:dyDescent="0.45">
      <c r="A988" t="s">
        <v>11</v>
      </c>
      <c r="B988" t="s">
        <v>37</v>
      </c>
      <c r="C988" t="s">
        <v>25</v>
      </c>
      <c r="D988" s="27">
        <v>113852333.33333334</v>
      </c>
      <c r="E988" s="3">
        <v>51886096</v>
      </c>
      <c r="F988" s="23">
        <v>113852333.33333334</v>
      </c>
      <c r="G988" s="3">
        <v>8250000</v>
      </c>
      <c r="I988" s="25">
        <f t="shared" si="172"/>
        <v>122435362</v>
      </c>
      <c r="J988" s="25">
        <f t="shared" si="172"/>
        <v>70950362</v>
      </c>
      <c r="L988" s="29">
        <f>SUMIFS(Pivot_!C:C,Pivot_!A:A,'Hitung Per Bulan'!B988,Pivot_!B:B,'Hitung Per Bulan'!C988)</f>
        <v>317782812</v>
      </c>
      <c r="M988" s="29">
        <f>SUMIFS(Pivot_!D:D,Pivot_!A:A,'Hitung Per Bulan'!B988,Pivot_!B:B,'Hitung Per Bulan'!C988)</f>
        <v>168080362</v>
      </c>
    </row>
    <row r="989" spans="1:16" x14ac:dyDescent="0.45">
      <c r="A989" t="s">
        <v>12</v>
      </c>
      <c r="B989" t="s">
        <v>37</v>
      </c>
      <c r="C989" t="s">
        <v>25</v>
      </c>
      <c r="D989" s="27">
        <v>123852333.33333334</v>
      </c>
      <c r="E989" s="3" t="s">
        <v>41</v>
      </c>
      <c r="F989" s="23">
        <v>123852333.33333334</v>
      </c>
      <c r="G989" s="3" t="s">
        <v>41</v>
      </c>
      <c r="I989" s="25" t="str">
        <f t="shared" si="172"/>
        <v/>
      </c>
      <c r="J989" s="25" t="str">
        <f t="shared" si="172"/>
        <v/>
      </c>
      <c r="L989" s="29"/>
      <c r="M989" s="29"/>
      <c r="O989" s="72"/>
      <c r="P989" s="72"/>
    </row>
    <row r="990" spans="1:16" x14ac:dyDescent="0.45">
      <c r="A990" t="s">
        <v>13</v>
      </c>
      <c r="B990" t="s">
        <v>37</v>
      </c>
      <c r="C990" t="s">
        <v>25</v>
      </c>
      <c r="D990" s="27">
        <v>253852333.33333334</v>
      </c>
      <c r="E990" s="3" t="s">
        <v>41</v>
      </c>
      <c r="F990" s="23">
        <v>253852333.33333334</v>
      </c>
      <c r="G990" s="3" t="s">
        <v>41</v>
      </c>
      <c r="I990" s="25" t="str">
        <f t="shared" si="172"/>
        <v/>
      </c>
      <c r="J990" s="25" t="str">
        <f t="shared" si="172"/>
        <v/>
      </c>
      <c r="L990" s="3"/>
      <c r="M990" s="3"/>
    </row>
    <row r="991" spans="1:16" x14ac:dyDescent="0.45">
      <c r="A991" t="s">
        <v>14</v>
      </c>
      <c r="B991" t="s">
        <v>37</v>
      </c>
      <c r="C991" t="s">
        <v>25</v>
      </c>
      <c r="D991" s="27">
        <v>113853333.33333334</v>
      </c>
      <c r="E991" s="3" t="s">
        <v>41</v>
      </c>
      <c r="F991" s="23">
        <v>113853333.33333334</v>
      </c>
      <c r="G991" s="3" t="s">
        <v>41</v>
      </c>
      <c r="I991" s="25" t="str">
        <f t="shared" si="172"/>
        <v/>
      </c>
      <c r="J991" s="25" t="str">
        <f t="shared" si="172"/>
        <v/>
      </c>
      <c r="L991" s="3"/>
      <c r="M991" s="3"/>
    </row>
    <row r="992" spans="1:16" x14ac:dyDescent="0.45">
      <c r="A992" t="s">
        <v>15</v>
      </c>
      <c r="B992" t="s">
        <v>37</v>
      </c>
      <c r="C992" t="s">
        <v>25</v>
      </c>
      <c r="D992" s="27">
        <v>123852333.33333334</v>
      </c>
      <c r="E992" s="3" t="s">
        <v>41</v>
      </c>
      <c r="F992" s="23">
        <v>123852333.33333334</v>
      </c>
      <c r="G992" s="3" t="s">
        <v>41</v>
      </c>
      <c r="I992" s="25" t="str">
        <f t="shared" si="172"/>
        <v/>
      </c>
      <c r="J992" s="25" t="str">
        <f t="shared" si="172"/>
        <v/>
      </c>
      <c r="L992" s="3"/>
      <c r="M992" s="3"/>
    </row>
    <row r="993" spans="1:16" x14ac:dyDescent="0.45">
      <c r="A993" t="s">
        <v>16</v>
      </c>
      <c r="B993" t="s">
        <v>37</v>
      </c>
      <c r="C993" t="s">
        <v>25</v>
      </c>
      <c r="D993" s="27">
        <v>243852333.33333334</v>
      </c>
      <c r="E993" s="3" t="s">
        <v>41</v>
      </c>
      <c r="F993" s="23">
        <v>243852333.33333334</v>
      </c>
      <c r="G993" s="3" t="s">
        <v>41</v>
      </c>
      <c r="I993" s="25" t="str">
        <f t="shared" si="172"/>
        <v/>
      </c>
      <c r="J993" s="25" t="str">
        <f t="shared" si="172"/>
        <v/>
      </c>
      <c r="L993" s="3"/>
      <c r="M993" s="3"/>
    </row>
    <row r="994" spans="1:16" x14ac:dyDescent="0.45">
      <c r="A994" t="s">
        <v>17</v>
      </c>
      <c r="B994" t="s">
        <v>37</v>
      </c>
      <c r="C994" t="s">
        <v>25</v>
      </c>
      <c r="D994" s="27">
        <v>113853333.33333334</v>
      </c>
      <c r="E994" s="3" t="s">
        <v>41</v>
      </c>
      <c r="F994" s="23">
        <v>113853333.33333334</v>
      </c>
      <c r="G994" s="3" t="s">
        <v>41</v>
      </c>
      <c r="I994" s="25" t="str">
        <f t="shared" si="172"/>
        <v/>
      </c>
      <c r="J994" s="25" t="str">
        <f t="shared" si="172"/>
        <v/>
      </c>
      <c r="L994" s="3"/>
      <c r="M994" s="3"/>
    </row>
    <row r="995" spans="1:16" x14ac:dyDescent="0.45">
      <c r="A995" t="s">
        <v>18</v>
      </c>
      <c r="B995" t="s">
        <v>37</v>
      </c>
      <c r="C995" t="s">
        <v>25</v>
      </c>
      <c r="D995" s="27">
        <v>123852333.33333334</v>
      </c>
      <c r="E995" s="3" t="s">
        <v>41</v>
      </c>
      <c r="F995" s="23">
        <v>123852333.33333334</v>
      </c>
      <c r="G995" s="3" t="s">
        <v>41</v>
      </c>
      <c r="I995" s="25" t="str">
        <f t="shared" si="172"/>
        <v/>
      </c>
      <c r="J995" s="25" t="str">
        <f t="shared" si="172"/>
        <v/>
      </c>
      <c r="L995" s="3"/>
      <c r="M995" s="3"/>
    </row>
    <row r="996" spans="1:16" x14ac:dyDescent="0.45">
      <c r="A996" t="s">
        <v>19</v>
      </c>
      <c r="B996" t="s">
        <v>37</v>
      </c>
      <c r="C996" t="s">
        <v>25</v>
      </c>
      <c r="D996" s="27">
        <v>229852333.33333334</v>
      </c>
      <c r="E996" s="3" t="s">
        <v>41</v>
      </c>
      <c r="F996" s="23">
        <v>229852333.33333334</v>
      </c>
      <c r="G996" s="3" t="s">
        <v>41</v>
      </c>
      <c r="I996" s="25" t="str">
        <f t="shared" si="172"/>
        <v/>
      </c>
      <c r="J996" s="25" t="str">
        <f t="shared" si="172"/>
        <v/>
      </c>
      <c r="L996" s="3"/>
      <c r="M996" s="3"/>
    </row>
    <row r="997" spans="1:16" x14ac:dyDescent="0.45">
      <c r="A997" t="s">
        <v>20</v>
      </c>
      <c r="B997" t="s">
        <v>37</v>
      </c>
      <c r="C997" t="s">
        <v>25</v>
      </c>
      <c r="D997" s="27">
        <v>113853333.33333334</v>
      </c>
      <c r="E997" s="3" t="s">
        <v>41</v>
      </c>
      <c r="F997" s="23">
        <v>113853333.33333334</v>
      </c>
      <c r="G997" s="3" t="s">
        <v>41</v>
      </c>
      <c r="I997" s="25" t="str">
        <f t="shared" si="172"/>
        <v/>
      </c>
      <c r="J997" s="25" t="str">
        <f t="shared" si="172"/>
        <v/>
      </c>
      <c r="L997" s="3"/>
      <c r="M997" s="3"/>
    </row>
    <row r="998" spans="1:16" x14ac:dyDescent="0.45">
      <c r="A998" t="s">
        <v>7</v>
      </c>
      <c r="B998" t="s">
        <v>37</v>
      </c>
      <c r="C998" t="s">
        <v>26</v>
      </c>
      <c r="D998" s="27">
        <v>185833333.33333334</v>
      </c>
      <c r="E998" s="3">
        <v>96928940</v>
      </c>
      <c r="F998" s="23">
        <v>185833333.33333334</v>
      </c>
      <c r="G998" s="3">
        <v>96928940</v>
      </c>
      <c r="I998" s="22">
        <f t="shared" ref="I998:J998" si="175">IF(L998="","",L998)</f>
        <v>96928940</v>
      </c>
      <c r="J998" s="22">
        <f t="shared" si="175"/>
        <v>96928940</v>
      </c>
      <c r="L998" s="3">
        <v>96928940</v>
      </c>
      <c r="M998" s="3">
        <v>96928940</v>
      </c>
    </row>
    <row r="999" spans="1:16" x14ac:dyDescent="0.45">
      <c r="A999" t="s">
        <v>10</v>
      </c>
      <c r="B999" t="s">
        <v>37</v>
      </c>
      <c r="C999" t="s">
        <v>26</v>
      </c>
      <c r="D999" s="28">
        <v>185833333.33333334</v>
      </c>
      <c r="E999" s="4">
        <v>130722605</v>
      </c>
      <c r="F999" s="24">
        <v>185833333.33333334</v>
      </c>
      <c r="G999" s="4">
        <v>121222605</v>
      </c>
      <c r="I999" s="25">
        <f t="shared" ref="I999:J999" si="176">IF(L999="","",L999-L998)</f>
        <v>130722605</v>
      </c>
      <c r="J999" s="25">
        <f t="shared" si="176"/>
        <v>121222605</v>
      </c>
      <c r="L999" s="4">
        <v>227651545</v>
      </c>
      <c r="M999" s="4">
        <v>218151545</v>
      </c>
    </row>
    <row r="1000" spans="1:16" x14ac:dyDescent="0.45">
      <c r="A1000" t="s">
        <v>11</v>
      </c>
      <c r="B1000" t="s">
        <v>37</v>
      </c>
      <c r="C1000" t="s">
        <v>26</v>
      </c>
      <c r="D1000" s="27">
        <v>185833333.33333334</v>
      </c>
      <c r="E1000" s="3">
        <v>0</v>
      </c>
      <c r="F1000" s="23">
        <v>185833333.33333334</v>
      </c>
      <c r="G1000" s="3">
        <v>0</v>
      </c>
      <c r="I1000" s="25">
        <f t="shared" si="172"/>
        <v>121328273</v>
      </c>
      <c r="J1000" s="25">
        <f t="shared" si="172"/>
        <v>111828273</v>
      </c>
      <c r="L1000" s="29">
        <f>SUMIFS(Pivot_!C:C,Pivot_!A:A,'Hitung Per Bulan'!B1000,Pivot_!B:B,'Hitung Per Bulan'!C1000)</f>
        <v>348979818</v>
      </c>
      <c r="M1000" s="29">
        <f>SUMIFS(Pivot_!D:D,Pivot_!A:A,'Hitung Per Bulan'!B1000,Pivot_!B:B,'Hitung Per Bulan'!C1000)</f>
        <v>329979818</v>
      </c>
    </row>
    <row r="1001" spans="1:16" x14ac:dyDescent="0.45">
      <c r="A1001" t="s">
        <v>12</v>
      </c>
      <c r="B1001" t="s">
        <v>37</v>
      </c>
      <c r="C1001" t="s">
        <v>26</v>
      </c>
      <c r="D1001" s="27">
        <v>185833333.33333334</v>
      </c>
      <c r="E1001" s="3" t="s">
        <v>41</v>
      </c>
      <c r="F1001" s="23">
        <v>185833333.33333334</v>
      </c>
      <c r="G1001" s="3" t="s">
        <v>41</v>
      </c>
      <c r="I1001" s="25" t="str">
        <f t="shared" si="172"/>
        <v/>
      </c>
      <c r="J1001" s="25" t="str">
        <f t="shared" si="172"/>
        <v/>
      </c>
      <c r="L1001" s="29"/>
      <c r="M1001" s="29"/>
      <c r="O1001" s="72"/>
      <c r="P1001" s="72"/>
    </row>
    <row r="1002" spans="1:16" x14ac:dyDescent="0.45">
      <c r="A1002" t="s">
        <v>13</v>
      </c>
      <c r="B1002" t="s">
        <v>37</v>
      </c>
      <c r="C1002" t="s">
        <v>26</v>
      </c>
      <c r="D1002" s="27">
        <v>185833333.33333334</v>
      </c>
      <c r="E1002" s="3" t="s">
        <v>41</v>
      </c>
      <c r="F1002" s="23">
        <v>185833333.33333334</v>
      </c>
      <c r="G1002" s="3" t="s">
        <v>41</v>
      </c>
      <c r="I1002" s="25" t="str">
        <f t="shared" si="172"/>
        <v/>
      </c>
      <c r="J1002" s="25" t="str">
        <f t="shared" si="172"/>
        <v/>
      </c>
      <c r="L1002" s="3"/>
      <c r="M1002" s="3"/>
    </row>
    <row r="1003" spans="1:16" x14ac:dyDescent="0.45">
      <c r="A1003" t="s">
        <v>14</v>
      </c>
      <c r="B1003" t="s">
        <v>37</v>
      </c>
      <c r="C1003" t="s">
        <v>26</v>
      </c>
      <c r="D1003" s="27">
        <v>185833333.33333334</v>
      </c>
      <c r="E1003" s="3" t="s">
        <v>41</v>
      </c>
      <c r="F1003" s="23">
        <v>185833333.33333334</v>
      </c>
      <c r="G1003" s="3" t="s">
        <v>41</v>
      </c>
      <c r="I1003" s="25" t="str">
        <f t="shared" si="172"/>
        <v/>
      </c>
      <c r="J1003" s="25" t="str">
        <f t="shared" si="172"/>
        <v/>
      </c>
      <c r="L1003" s="3"/>
      <c r="M1003" s="3"/>
    </row>
    <row r="1004" spans="1:16" x14ac:dyDescent="0.45">
      <c r="A1004" t="s">
        <v>15</v>
      </c>
      <c r="B1004" t="s">
        <v>37</v>
      </c>
      <c r="C1004" t="s">
        <v>26</v>
      </c>
      <c r="D1004" s="27">
        <v>185833333.33333334</v>
      </c>
      <c r="E1004" s="3" t="s">
        <v>41</v>
      </c>
      <c r="F1004" s="23">
        <v>185833333.33333334</v>
      </c>
      <c r="G1004" s="3" t="s">
        <v>41</v>
      </c>
      <c r="I1004" s="25" t="str">
        <f t="shared" si="172"/>
        <v/>
      </c>
      <c r="J1004" s="25" t="str">
        <f t="shared" si="172"/>
        <v/>
      </c>
      <c r="L1004" s="3"/>
      <c r="M1004" s="3"/>
    </row>
    <row r="1005" spans="1:16" x14ac:dyDescent="0.45">
      <c r="A1005" t="s">
        <v>16</v>
      </c>
      <c r="B1005" t="s">
        <v>37</v>
      </c>
      <c r="C1005" t="s">
        <v>26</v>
      </c>
      <c r="D1005" s="27">
        <v>185833333.33333334</v>
      </c>
      <c r="E1005" s="3" t="s">
        <v>41</v>
      </c>
      <c r="F1005" s="23">
        <v>185833333.33333334</v>
      </c>
      <c r="G1005" s="3" t="s">
        <v>41</v>
      </c>
      <c r="I1005" s="25" t="str">
        <f t="shared" si="172"/>
        <v/>
      </c>
      <c r="J1005" s="25" t="str">
        <f t="shared" si="172"/>
        <v/>
      </c>
      <c r="L1005" s="3"/>
      <c r="M1005" s="3"/>
    </row>
    <row r="1006" spans="1:16" x14ac:dyDescent="0.45">
      <c r="A1006" t="s">
        <v>17</v>
      </c>
      <c r="B1006" t="s">
        <v>37</v>
      </c>
      <c r="C1006" t="s">
        <v>26</v>
      </c>
      <c r="D1006" s="27">
        <v>185833333.33333334</v>
      </c>
      <c r="E1006" s="3" t="s">
        <v>41</v>
      </c>
      <c r="F1006" s="23">
        <v>185833333.33333334</v>
      </c>
      <c r="G1006" s="3" t="s">
        <v>41</v>
      </c>
      <c r="I1006" s="25" t="str">
        <f t="shared" si="172"/>
        <v/>
      </c>
      <c r="J1006" s="25" t="str">
        <f t="shared" si="172"/>
        <v/>
      </c>
      <c r="L1006" s="3"/>
      <c r="M1006" s="3"/>
    </row>
    <row r="1007" spans="1:16" x14ac:dyDescent="0.45">
      <c r="A1007" t="s">
        <v>18</v>
      </c>
      <c r="B1007" t="s">
        <v>37</v>
      </c>
      <c r="C1007" t="s">
        <v>26</v>
      </c>
      <c r="D1007" s="27">
        <v>185833333.33333334</v>
      </c>
      <c r="E1007" s="3" t="s">
        <v>41</v>
      </c>
      <c r="F1007" s="23">
        <v>185833333.33333334</v>
      </c>
      <c r="G1007" s="3" t="s">
        <v>41</v>
      </c>
      <c r="I1007" s="25" t="str">
        <f t="shared" si="172"/>
        <v/>
      </c>
      <c r="J1007" s="25" t="str">
        <f t="shared" si="172"/>
        <v/>
      </c>
      <c r="L1007" s="3"/>
      <c r="M1007" s="3"/>
    </row>
    <row r="1008" spans="1:16" x14ac:dyDescent="0.45">
      <c r="A1008" t="s">
        <v>19</v>
      </c>
      <c r="B1008" t="s">
        <v>37</v>
      </c>
      <c r="C1008" t="s">
        <v>26</v>
      </c>
      <c r="D1008" s="27">
        <v>185833333.33333334</v>
      </c>
      <c r="E1008" s="3" t="s">
        <v>41</v>
      </c>
      <c r="F1008" s="23">
        <v>185833333.33333334</v>
      </c>
      <c r="G1008" s="3" t="s">
        <v>41</v>
      </c>
      <c r="I1008" s="25" t="str">
        <f t="shared" si="172"/>
        <v/>
      </c>
      <c r="J1008" s="25" t="str">
        <f t="shared" si="172"/>
        <v/>
      </c>
      <c r="L1008" s="3"/>
      <c r="M1008" s="3"/>
    </row>
    <row r="1009" spans="1:16" x14ac:dyDescent="0.45">
      <c r="A1009" t="s">
        <v>20</v>
      </c>
      <c r="B1009" t="s">
        <v>37</v>
      </c>
      <c r="C1009" t="s">
        <v>26</v>
      </c>
      <c r="D1009" s="27">
        <v>185833333.33333334</v>
      </c>
      <c r="E1009" s="3" t="s">
        <v>41</v>
      </c>
      <c r="F1009" s="23">
        <v>185833333.33333334</v>
      </c>
      <c r="G1009" s="3" t="s">
        <v>41</v>
      </c>
      <c r="I1009" s="25" t="str">
        <f t="shared" si="172"/>
        <v/>
      </c>
      <c r="J1009" s="25" t="str">
        <f t="shared" si="172"/>
        <v/>
      </c>
      <c r="L1009" s="3"/>
      <c r="M1009" s="3"/>
    </row>
    <row r="1010" spans="1:16" x14ac:dyDescent="0.45">
      <c r="A1010" t="s">
        <v>7</v>
      </c>
      <c r="B1010" t="s">
        <v>38</v>
      </c>
      <c r="C1010" t="s">
        <v>9</v>
      </c>
      <c r="D1010" s="27">
        <v>20000000</v>
      </c>
      <c r="E1010" s="3">
        <v>114501830</v>
      </c>
      <c r="F1010" s="23">
        <v>0</v>
      </c>
      <c r="G1010" s="3">
        <v>0</v>
      </c>
      <c r="I1010" s="22">
        <f t="shared" ref="I1010:J1010" si="177">IF(L1010="","",L1010)</f>
        <v>114501830</v>
      </c>
      <c r="J1010" s="22">
        <f t="shared" si="177"/>
        <v>0</v>
      </c>
      <c r="L1010" s="3">
        <v>114501830</v>
      </c>
      <c r="M1010" s="3">
        <v>0</v>
      </c>
    </row>
    <row r="1011" spans="1:16" x14ac:dyDescent="0.45">
      <c r="A1011" t="s">
        <v>10</v>
      </c>
      <c r="B1011" t="s">
        <v>38</v>
      </c>
      <c r="C1011" t="s">
        <v>9</v>
      </c>
      <c r="D1011" s="28">
        <v>0</v>
      </c>
      <c r="E1011" s="4">
        <v>13970000</v>
      </c>
      <c r="F1011" s="24">
        <v>20000000</v>
      </c>
      <c r="G1011" s="4">
        <v>0</v>
      </c>
      <c r="I1011" s="25">
        <f t="shared" ref="I1011:J1011" si="178">IF(L1011="","",L1011-L1010)</f>
        <v>13970000</v>
      </c>
      <c r="J1011" s="25">
        <f t="shared" si="178"/>
        <v>0</v>
      </c>
      <c r="L1011" s="4">
        <v>128471830</v>
      </c>
      <c r="M1011" s="4">
        <v>0</v>
      </c>
    </row>
    <row r="1012" spans="1:16" x14ac:dyDescent="0.45">
      <c r="A1012" t="s">
        <v>11</v>
      </c>
      <c r="B1012" t="s">
        <v>38</v>
      </c>
      <c r="C1012" t="s">
        <v>9</v>
      </c>
      <c r="D1012" s="27">
        <v>55000000</v>
      </c>
      <c r="E1012" s="3">
        <v>0</v>
      </c>
      <c r="F1012" s="23">
        <v>0</v>
      </c>
      <c r="G1012" s="3">
        <v>78896778</v>
      </c>
      <c r="I1012" s="25">
        <f t="shared" si="172"/>
        <v>355360000</v>
      </c>
      <c r="J1012" s="25">
        <f t="shared" si="172"/>
        <v>65501830</v>
      </c>
      <c r="L1012" s="29">
        <f>SUMIFS(Pivot_!C:C,Pivot_!A:A,'Hitung Per Bulan'!B1012,Pivot_!B:B,'Hitung Per Bulan'!C1012)</f>
        <v>483831830</v>
      </c>
      <c r="M1012" s="29">
        <f>SUMIFS(Pivot_!D:D,Pivot_!A:A,'Hitung Per Bulan'!B1012,Pivot_!B:B,'Hitung Per Bulan'!C1012)</f>
        <v>65501830</v>
      </c>
    </row>
    <row r="1013" spans="1:16" x14ac:dyDescent="0.45">
      <c r="A1013" t="s">
        <v>12</v>
      </c>
      <c r="B1013" t="s">
        <v>38</v>
      </c>
      <c r="C1013" t="s">
        <v>9</v>
      </c>
      <c r="D1013" s="27">
        <v>461300000</v>
      </c>
      <c r="E1013" s="3" t="s">
        <v>41</v>
      </c>
      <c r="F1013" s="23">
        <v>55000000</v>
      </c>
      <c r="G1013" s="3" t="s">
        <v>41</v>
      </c>
      <c r="I1013" s="25" t="str">
        <f t="shared" si="172"/>
        <v/>
      </c>
      <c r="J1013" s="25" t="str">
        <f t="shared" si="172"/>
        <v/>
      </c>
      <c r="L1013" s="29"/>
      <c r="M1013" s="29"/>
      <c r="O1013" s="72"/>
      <c r="P1013" s="72"/>
    </row>
    <row r="1014" spans="1:16" x14ac:dyDescent="0.45">
      <c r="A1014" t="s">
        <v>13</v>
      </c>
      <c r="B1014" t="s">
        <v>38</v>
      </c>
      <c r="C1014" t="s">
        <v>9</v>
      </c>
      <c r="D1014" s="27">
        <v>412440000</v>
      </c>
      <c r="E1014" s="3" t="s">
        <v>41</v>
      </c>
      <c r="F1014" s="23">
        <v>0</v>
      </c>
      <c r="G1014" s="3" t="s">
        <v>41</v>
      </c>
      <c r="I1014" s="25" t="str">
        <f t="shared" si="172"/>
        <v/>
      </c>
      <c r="J1014" s="25" t="str">
        <f t="shared" si="172"/>
        <v/>
      </c>
      <c r="L1014" s="3"/>
      <c r="M1014" s="3"/>
    </row>
    <row r="1015" spans="1:16" x14ac:dyDescent="0.45">
      <c r="A1015" t="s">
        <v>14</v>
      </c>
      <c r="B1015" t="s">
        <v>38</v>
      </c>
      <c r="C1015" t="s">
        <v>9</v>
      </c>
      <c r="D1015" s="27">
        <v>130000000</v>
      </c>
      <c r="E1015" s="3" t="s">
        <v>41</v>
      </c>
      <c r="F1015" s="23">
        <v>0</v>
      </c>
      <c r="G1015" s="3" t="s">
        <v>41</v>
      </c>
      <c r="I1015" s="25" t="str">
        <f t="shared" si="172"/>
        <v/>
      </c>
      <c r="J1015" s="25" t="str">
        <f t="shared" si="172"/>
        <v/>
      </c>
      <c r="L1015" s="3"/>
      <c r="M1015" s="3"/>
    </row>
    <row r="1016" spans="1:16" x14ac:dyDescent="0.45">
      <c r="A1016" t="s">
        <v>15</v>
      </c>
      <c r="B1016" t="s">
        <v>38</v>
      </c>
      <c r="C1016" t="s">
        <v>9</v>
      </c>
      <c r="D1016" s="27">
        <v>683211000</v>
      </c>
      <c r="E1016" s="3" t="s">
        <v>41</v>
      </c>
      <c r="F1016" s="23">
        <v>516300000</v>
      </c>
      <c r="G1016" s="3" t="s">
        <v>41</v>
      </c>
      <c r="I1016" s="25" t="str">
        <f t="shared" si="172"/>
        <v/>
      </c>
      <c r="J1016" s="25" t="str">
        <f t="shared" si="172"/>
        <v/>
      </c>
      <c r="L1016" s="3"/>
      <c r="M1016" s="3"/>
    </row>
    <row r="1017" spans="1:16" x14ac:dyDescent="0.45">
      <c r="A1017" t="s">
        <v>16</v>
      </c>
      <c r="B1017" t="s">
        <v>38</v>
      </c>
      <c r="C1017" t="s">
        <v>9</v>
      </c>
      <c r="D1017" s="27">
        <v>0</v>
      </c>
      <c r="E1017" s="3" t="s">
        <v>41</v>
      </c>
      <c r="F1017" s="23">
        <v>412440000</v>
      </c>
      <c r="G1017" s="3" t="s">
        <v>41</v>
      </c>
      <c r="I1017" s="25" t="str">
        <f t="shared" si="172"/>
        <v/>
      </c>
      <c r="J1017" s="25" t="str">
        <f t="shared" si="172"/>
        <v/>
      </c>
      <c r="L1017" s="3"/>
      <c r="M1017" s="3"/>
    </row>
    <row r="1018" spans="1:16" x14ac:dyDescent="0.45">
      <c r="A1018" t="s">
        <v>17</v>
      </c>
      <c r="B1018" t="s">
        <v>38</v>
      </c>
      <c r="C1018" t="s">
        <v>9</v>
      </c>
      <c r="D1018" s="27">
        <v>55000000</v>
      </c>
      <c r="E1018" s="3" t="s">
        <v>41</v>
      </c>
      <c r="F1018" s="23">
        <v>75000000</v>
      </c>
      <c r="G1018" s="3" t="s">
        <v>41</v>
      </c>
      <c r="I1018" s="25" t="str">
        <f t="shared" si="172"/>
        <v/>
      </c>
      <c r="J1018" s="25" t="str">
        <f t="shared" si="172"/>
        <v/>
      </c>
      <c r="L1018" s="3"/>
      <c r="M1018" s="3"/>
    </row>
    <row r="1019" spans="1:16" x14ac:dyDescent="0.45">
      <c r="A1019" t="s">
        <v>18</v>
      </c>
      <c r="B1019" t="s">
        <v>38</v>
      </c>
      <c r="C1019" t="s">
        <v>9</v>
      </c>
      <c r="D1019" s="27">
        <v>0</v>
      </c>
      <c r="E1019" s="3" t="s">
        <v>41</v>
      </c>
      <c r="F1019" s="23">
        <v>55000000</v>
      </c>
      <c r="G1019" s="3" t="s">
        <v>41</v>
      </c>
      <c r="I1019" s="25" t="str">
        <f t="shared" si="172"/>
        <v/>
      </c>
      <c r="J1019" s="25" t="str">
        <f t="shared" si="172"/>
        <v/>
      </c>
      <c r="L1019" s="3"/>
      <c r="M1019" s="3"/>
    </row>
    <row r="1020" spans="1:16" x14ac:dyDescent="0.45">
      <c r="A1020" t="s">
        <v>19</v>
      </c>
      <c r="B1020" t="s">
        <v>38</v>
      </c>
      <c r="C1020" t="s">
        <v>9</v>
      </c>
      <c r="D1020" s="27">
        <v>0</v>
      </c>
      <c r="E1020" s="3" t="s">
        <v>41</v>
      </c>
      <c r="F1020" s="23">
        <v>683211000</v>
      </c>
      <c r="G1020" s="3" t="s">
        <v>41</v>
      </c>
      <c r="I1020" s="25" t="str">
        <f t="shared" si="172"/>
        <v/>
      </c>
      <c r="J1020" s="25" t="str">
        <f t="shared" si="172"/>
        <v/>
      </c>
      <c r="L1020" s="3"/>
      <c r="M1020" s="3"/>
    </row>
    <row r="1021" spans="1:16" x14ac:dyDescent="0.45">
      <c r="A1021" t="s">
        <v>20</v>
      </c>
      <c r="B1021" t="s">
        <v>38</v>
      </c>
      <c r="C1021" t="s">
        <v>9</v>
      </c>
      <c r="D1021" s="27">
        <v>55000000</v>
      </c>
      <c r="E1021" s="3" t="s">
        <v>41</v>
      </c>
      <c r="F1021" s="23">
        <v>55000000</v>
      </c>
      <c r="G1021" s="3" t="s">
        <v>41</v>
      </c>
      <c r="I1021" s="25" t="str">
        <f t="shared" si="172"/>
        <v/>
      </c>
      <c r="J1021" s="25" t="str">
        <f t="shared" si="172"/>
        <v/>
      </c>
      <c r="L1021" s="3"/>
      <c r="M1021" s="3"/>
    </row>
    <row r="1022" spans="1:16" x14ac:dyDescent="0.45">
      <c r="A1022" t="s">
        <v>7</v>
      </c>
      <c r="B1022" t="s">
        <v>38</v>
      </c>
      <c r="C1022" t="s">
        <v>21</v>
      </c>
      <c r="D1022" s="27">
        <v>0</v>
      </c>
      <c r="E1022" s="3">
        <v>0</v>
      </c>
      <c r="F1022" s="23">
        <v>0</v>
      </c>
      <c r="G1022" s="3">
        <v>0</v>
      </c>
      <c r="I1022" s="22">
        <f t="shared" ref="I1022:J1022" si="179">IF(L1022="","",L1022)</f>
        <v>0</v>
      </c>
      <c r="J1022" s="22">
        <f t="shared" si="179"/>
        <v>0</v>
      </c>
      <c r="L1022" s="3">
        <v>0</v>
      </c>
      <c r="M1022" s="3">
        <v>0</v>
      </c>
    </row>
    <row r="1023" spans="1:16" x14ac:dyDescent="0.45">
      <c r="A1023" t="s">
        <v>10</v>
      </c>
      <c r="B1023" t="s">
        <v>38</v>
      </c>
      <c r="C1023" t="s">
        <v>21</v>
      </c>
      <c r="D1023" s="28">
        <v>0</v>
      </c>
      <c r="E1023" s="4">
        <v>0</v>
      </c>
      <c r="F1023" s="24">
        <v>0</v>
      </c>
      <c r="G1023" s="4">
        <v>0</v>
      </c>
      <c r="I1023" s="25">
        <f t="shared" ref="I1023:J1023" si="180">IF(L1023="","",L1023-L1022)</f>
        <v>0</v>
      </c>
      <c r="J1023" s="25">
        <f t="shared" si="180"/>
        <v>0</v>
      </c>
      <c r="L1023" s="4">
        <v>0</v>
      </c>
      <c r="M1023" s="4">
        <v>0</v>
      </c>
    </row>
    <row r="1024" spans="1:16" x14ac:dyDescent="0.45">
      <c r="A1024" t="s">
        <v>11</v>
      </c>
      <c r="B1024" t="s">
        <v>38</v>
      </c>
      <c r="C1024" t="s">
        <v>21</v>
      </c>
      <c r="D1024" s="27">
        <v>0</v>
      </c>
      <c r="E1024" s="3">
        <v>0</v>
      </c>
      <c r="F1024" s="23">
        <v>0</v>
      </c>
      <c r="G1024" s="3">
        <v>0</v>
      </c>
      <c r="I1024" s="25">
        <f t="shared" si="172"/>
        <v>0</v>
      </c>
      <c r="J1024" s="25">
        <f t="shared" si="172"/>
        <v>0</v>
      </c>
      <c r="L1024" s="29">
        <f>SUMIFS(Pivot_!C:C,Pivot_!A:A,'Hitung Per Bulan'!B1024,Pivot_!B:B,'Hitung Per Bulan'!C1024)</f>
        <v>0</v>
      </c>
      <c r="M1024" s="29">
        <f>SUMIFS(Pivot_!D:D,Pivot_!A:A,'Hitung Per Bulan'!B1024,Pivot_!B:B,'Hitung Per Bulan'!C1024)</f>
        <v>0</v>
      </c>
    </row>
    <row r="1025" spans="1:16" x14ac:dyDescent="0.45">
      <c r="A1025" t="s">
        <v>12</v>
      </c>
      <c r="B1025" t="s">
        <v>38</v>
      </c>
      <c r="C1025" t="s">
        <v>21</v>
      </c>
      <c r="D1025" s="27">
        <v>0</v>
      </c>
      <c r="E1025" s="3" t="s">
        <v>41</v>
      </c>
      <c r="F1025" s="23">
        <v>0</v>
      </c>
      <c r="G1025" s="3" t="s">
        <v>41</v>
      </c>
      <c r="I1025" s="25" t="str">
        <f t="shared" si="172"/>
        <v/>
      </c>
      <c r="J1025" s="25" t="str">
        <f t="shared" si="172"/>
        <v/>
      </c>
      <c r="L1025" s="29"/>
      <c r="M1025" s="29"/>
      <c r="O1025" s="72"/>
      <c r="P1025" s="72"/>
    </row>
    <row r="1026" spans="1:16" x14ac:dyDescent="0.45">
      <c r="A1026" t="s">
        <v>13</v>
      </c>
      <c r="B1026" t="s">
        <v>38</v>
      </c>
      <c r="C1026" t="s">
        <v>21</v>
      </c>
      <c r="D1026" s="27">
        <v>0</v>
      </c>
      <c r="E1026" s="3" t="s">
        <v>41</v>
      </c>
      <c r="F1026" s="23">
        <v>0</v>
      </c>
      <c r="G1026" s="3" t="s">
        <v>41</v>
      </c>
      <c r="I1026" s="25" t="str">
        <f t="shared" si="172"/>
        <v/>
      </c>
      <c r="J1026" s="25" t="str">
        <f t="shared" si="172"/>
        <v/>
      </c>
      <c r="L1026" s="3"/>
      <c r="M1026" s="3"/>
    </row>
    <row r="1027" spans="1:16" x14ac:dyDescent="0.45">
      <c r="A1027" t="s">
        <v>14</v>
      </c>
      <c r="B1027" t="s">
        <v>38</v>
      </c>
      <c r="C1027" t="s">
        <v>21</v>
      </c>
      <c r="D1027" s="27">
        <v>0</v>
      </c>
      <c r="E1027" s="3" t="s">
        <v>41</v>
      </c>
      <c r="F1027" s="23">
        <v>0</v>
      </c>
      <c r="G1027" s="3" t="s">
        <v>41</v>
      </c>
      <c r="I1027" s="25" t="str">
        <f t="shared" si="172"/>
        <v/>
      </c>
      <c r="J1027" s="25" t="str">
        <f t="shared" si="172"/>
        <v/>
      </c>
      <c r="L1027" s="3"/>
      <c r="M1027" s="3"/>
    </row>
    <row r="1028" spans="1:16" x14ac:dyDescent="0.45">
      <c r="A1028" t="s">
        <v>15</v>
      </c>
      <c r="B1028" t="s">
        <v>38</v>
      </c>
      <c r="C1028" t="s">
        <v>21</v>
      </c>
      <c r="D1028" s="27">
        <v>0</v>
      </c>
      <c r="E1028" s="3" t="s">
        <v>41</v>
      </c>
      <c r="F1028" s="23">
        <v>0</v>
      </c>
      <c r="G1028" s="3" t="s">
        <v>41</v>
      </c>
      <c r="I1028" s="25" t="str">
        <f t="shared" si="172"/>
        <v/>
      </c>
      <c r="J1028" s="25" t="str">
        <f t="shared" si="172"/>
        <v/>
      </c>
      <c r="L1028" s="3"/>
      <c r="M1028" s="3"/>
    </row>
    <row r="1029" spans="1:16" x14ac:dyDescent="0.45">
      <c r="A1029" t="s">
        <v>16</v>
      </c>
      <c r="B1029" t="s">
        <v>38</v>
      </c>
      <c r="C1029" t="s">
        <v>21</v>
      </c>
      <c r="D1029" s="27">
        <v>0</v>
      </c>
      <c r="E1029" s="3" t="s">
        <v>41</v>
      </c>
      <c r="F1029" s="23">
        <v>0</v>
      </c>
      <c r="G1029" s="3" t="s">
        <v>41</v>
      </c>
      <c r="I1029" s="25" t="str">
        <f t="shared" si="172"/>
        <v/>
      </c>
      <c r="J1029" s="25" t="str">
        <f t="shared" si="172"/>
        <v/>
      </c>
      <c r="L1029" s="3"/>
      <c r="M1029" s="3"/>
    </row>
    <row r="1030" spans="1:16" x14ac:dyDescent="0.45">
      <c r="A1030" t="s">
        <v>17</v>
      </c>
      <c r="B1030" t="s">
        <v>38</v>
      </c>
      <c r="C1030" t="s">
        <v>21</v>
      </c>
      <c r="D1030" s="27">
        <v>0</v>
      </c>
      <c r="E1030" s="3" t="s">
        <v>41</v>
      </c>
      <c r="F1030" s="23">
        <v>0</v>
      </c>
      <c r="G1030" s="3" t="s">
        <v>41</v>
      </c>
      <c r="I1030" s="25" t="str">
        <f t="shared" si="172"/>
        <v/>
      </c>
      <c r="J1030" s="25" t="str">
        <f t="shared" si="172"/>
        <v/>
      </c>
      <c r="L1030" s="3"/>
      <c r="M1030" s="3"/>
    </row>
    <row r="1031" spans="1:16" x14ac:dyDescent="0.45">
      <c r="A1031" t="s">
        <v>18</v>
      </c>
      <c r="B1031" t="s">
        <v>38</v>
      </c>
      <c r="C1031" t="s">
        <v>21</v>
      </c>
      <c r="D1031" s="27">
        <v>0</v>
      </c>
      <c r="E1031" s="3" t="s">
        <v>41</v>
      </c>
      <c r="F1031" s="23">
        <v>0</v>
      </c>
      <c r="G1031" s="3" t="s">
        <v>41</v>
      </c>
      <c r="I1031" s="25" t="str">
        <f t="shared" si="172"/>
        <v/>
      </c>
      <c r="J1031" s="25" t="str">
        <f t="shared" si="172"/>
        <v/>
      </c>
      <c r="L1031" s="3"/>
      <c r="M1031" s="3"/>
    </row>
    <row r="1032" spans="1:16" x14ac:dyDescent="0.45">
      <c r="A1032" t="s">
        <v>19</v>
      </c>
      <c r="B1032" t="s">
        <v>38</v>
      </c>
      <c r="C1032" t="s">
        <v>21</v>
      </c>
      <c r="D1032" s="27">
        <v>0</v>
      </c>
      <c r="E1032" s="3" t="s">
        <v>41</v>
      </c>
      <c r="F1032" s="23">
        <v>0</v>
      </c>
      <c r="G1032" s="3" t="s">
        <v>41</v>
      </c>
      <c r="I1032" s="25" t="str">
        <f t="shared" si="172"/>
        <v/>
      </c>
      <c r="J1032" s="25" t="str">
        <f t="shared" si="172"/>
        <v/>
      </c>
      <c r="L1032" s="3"/>
      <c r="M1032" s="3"/>
    </row>
    <row r="1033" spans="1:16" x14ac:dyDescent="0.45">
      <c r="A1033" t="s">
        <v>20</v>
      </c>
      <c r="B1033" t="s">
        <v>38</v>
      </c>
      <c r="C1033" t="s">
        <v>21</v>
      </c>
      <c r="D1033" s="27">
        <v>0</v>
      </c>
      <c r="E1033" s="3" t="s">
        <v>41</v>
      </c>
      <c r="F1033" s="23">
        <v>0</v>
      </c>
      <c r="G1033" s="3" t="s">
        <v>41</v>
      </c>
      <c r="I1033" s="25" t="str">
        <f t="shared" si="172"/>
        <v/>
      </c>
      <c r="J1033" s="25" t="str">
        <f t="shared" si="172"/>
        <v/>
      </c>
      <c r="L1033" s="3"/>
      <c r="M1033" s="3"/>
    </row>
    <row r="1034" spans="1:16" x14ac:dyDescent="0.45">
      <c r="A1034" t="s">
        <v>7</v>
      </c>
      <c r="B1034" t="s">
        <v>38</v>
      </c>
      <c r="C1034" t="s">
        <v>22</v>
      </c>
      <c r="D1034" s="27">
        <v>0</v>
      </c>
      <c r="E1034" s="3">
        <v>6119400</v>
      </c>
      <c r="F1034" s="23">
        <v>11287500</v>
      </c>
      <c r="G1034" s="3">
        <v>0</v>
      </c>
      <c r="I1034" s="22">
        <f t="shared" ref="I1034:J1034" si="181">IF(L1034="","",L1034)</f>
        <v>6119400</v>
      </c>
      <c r="J1034" s="22">
        <f t="shared" si="181"/>
        <v>0</v>
      </c>
      <c r="L1034" s="3">
        <v>6119400</v>
      </c>
      <c r="M1034" s="3">
        <v>0</v>
      </c>
    </row>
    <row r="1035" spans="1:16" x14ac:dyDescent="0.45">
      <c r="A1035" t="s">
        <v>10</v>
      </c>
      <c r="B1035" t="s">
        <v>38</v>
      </c>
      <c r="C1035" t="s">
        <v>22</v>
      </c>
      <c r="D1035" s="28">
        <v>0</v>
      </c>
      <c r="E1035" s="4">
        <v>0</v>
      </c>
      <c r="F1035" s="24">
        <v>0</v>
      </c>
      <c r="G1035" s="4">
        <v>0</v>
      </c>
      <c r="I1035" s="25">
        <f t="shared" ref="I1035:J1035" si="182">IF(L1035="","",L1035-L1034)</f>
        <v>0</v>
      </c>
      <c r="J1035" s="25">
        <f t="shared" si="182"/>
        <v>0</v>
      </c>
      <c r="L1035" s="4">
        <v>6119400</v>
      </c>
      <c r="M1035" s="4">
        <v>0</v>
      </c>
    </row>
    <row r="1036" spans="1:16" x14ac:dyDescent="0.45">
      <c r="A1036" t="s">
        <v>11</v>
      </c>
      <c r="B1036" t="s">
        <v>38</v>
      </c>
      <c r="C1036" t="s">
        <v>22</v>
      </c>
      <c r="D1036" s="27">
        <v>11287500</v>
      </c>
      <c r="E1036" s="3">
        <v>6423200</v>
      </c>
      <c r="F1036" s="23">
        <v>0</v>
      </c>
      <c r="G1036" s="3">
        <v>6119400</v>
      </c>
      <c r="I1036" s="25">
        <f t="shared" si="172"/>
        <v>6423200</v>
      </c>
      <c r="J1036" s="25">
        <f t="shared" si="172"/>
        <v>6119400</v>
      </c>
      <c r="L1036" s="29">
        <f>SUMIFS(Pivot_!C:C,Pivot_!A:A,'Hitung Per Bulan'!B1036,Pivot_!B:B,'Hitung Per Bulan'!C1036)</f>
        <v>12542600</v>
      </c>
      <c r="M1036" s="29">
        <f>SUMIFS(Pivot_!D:D,Pivot_!A:A,'Hitung Per Bulan'!B1036,Pivot_!B:B,'Hitung Per Bulan'!C1036)</f>
        <v>6119400</v>
      </c>
    </row>
    <row r="1037" spans="1:16" x14ac:dyDescent="0.45">
      <c r="A1037" t="s">
        <v>12</v>
      </c>
      <c r="B1037" t="s">
        <v>38</v>
      </c>
      <c r="C1037" t="s">
        <v>22</v>
      </c>
      <c r="D1037" s="27">
        <v>0</v>
      </c>
      <c r="E1037" s="3" t="s">
        <v>41</v>
      </c>
      <c r="F1037" s="23">
        <v>11287500</v>
      </c>
      <c r="G1037" s="3" t="s">
        <v>41</v>
      </c>
      <c r="I1037" s="25" t="str">
        <f t="shared" si="172"/>
        <v/>
      </c>
      <c r="J1037" s="25" t="str">
        <f t="shared" si="172"/>
        <v/>
      </c>
      <c r="L1037" s="29"/>
      <c r="M1037" s="29"/>
      <c r="O1037" s="72"/>
      <c r="P1037" s="72"/>
    </row>
    <row r="1038" spans="1:16" x14ac:dyDescent="0.45">
      <c r="A1038" t="s">
        <v>13</v>
      </c>
      <c r="B1038" t="s">
        <v>38</v>
      </c>
      <c r="C1038" t="s">
        <v>22</v>
      </c>
      <c r="D1038" s="27">
        <v>0</v>
      </c>
      <c r="E1038" s="3" t="s">
        <v>41</v>
      </c>
      <c r="F1038" s="23">
        <v>0</v>
      </c>
      <c r="G1038" s="3" t="s">
        <v>41</v>
      </c>
      <c r="I1038" s="25" t="str">
        <f t="shared" si="172"/>
        <v/>
      </c>
      <c r="J1038" s="25" t="str">
        <f t="shared" si="172"/>
        <v/>
      </c>
      <c r="L1038" s="3"/>
      <c r="M1038" s="3"/>
    </row>
    <row r="1039" spans="1:16" x14ac:dyDescent="0.45">
      <c r="A1039" t="s">
        <v>14</v>
      </c>
      <c r="B1039" t="s">
        <v>38</v>
      </c>
      <c r="C1039" t="s">
        <v>22</v>
      </c>
      <c r="D1039" s="27">
        <v>11287500</v>
      </c>
      <c r="E1039" s="3" t="s">
        <v>41</v>
      </c>
      <c r="F1039" s="23">
        <v>0</v>
      </c>
      <c r="G1039" s="3" t="s">
        <v>41</v>
      </c>
      <c r="I1039" s="25" t="str">
        <f t="shared" ref="I1039:J1102" si="183">IF(L1039="","",L1039-L1038)</f>
        <v/>
      </c>
      <c r="J1039" s="25" t="str">
        <f t="shared" si="183"/>
        <v/>
      </c>
      <c r="L1039" s="3"/>
      <c r="M1039" s="3"/>
    </row>
    <row r="1040" spans="1:16" x14ac:dyDescent="0.45">
      <c r="A1040" t="s">
        <v>15</v>
      </c>
      <c r="B1040" t="s">
        <v>38</v>
      </c>
      <c r="C1040" t="s">
        <v>22</v>
      </c>
      <c r="D1040" s="27">
        <v>0</v>
      </c>
      <c r="E1040" s="3" t="s">
        <v>41</v>
      </c>
      <c r="F1040" s="23">
        <v>11287500</v>
      </c>
      <c r="G1040" s="3" t="s">
        <v>41</v>
      </c>
      <c r="I1040" s="25" t="str">
        <f t="shared" si="183"/>
        <v/>
      </c>
      <c r="J1040" s="25" t="str">
        <f t="shared" si="183"/>
        <v/>
      </c>
      <c r="L1040" s="3"/>
      <c r="M1040" s="3"/>
    </row>
    <row r="1041" spans="1:16" x14ac:dyDescent="0.45">
      <c r="A1041" t="s">
        <v>16</v>
      </c>
      <c r="B1041" t="s">
        <v>38</v>
      </c>
      <c r="C1041" t="s">
        <v>22</v>
      </c>
      <c r="D1041" s="27">
        <v>0</v>
      </c>
      <c r="E1041" s="3" t="s">
        <v>41</v>
      </c>
      <c r="F1041" s="23">
        <v>0</v>
      </c>
      <c r="G1041" s="3" t="s">
        <v>41</v>
      </c>
      <c r="I1041" s="25" t="str">
        <f t="shared" si="183"/>
        <v/>
      </c>
      <c r="J1041" s="25" t="str">
        <f t="shared" si="183"/>
        <v/>
      </c>
      <c r="L1041" s="3"/>
      <c r="M1041" s="3"/>
    </row>
    <row r="1042" spans="1:16" x14ac:dyDescent="0.45">
      <c r="A1042" t="s">
        <v>17</v>
      </c>
      <c r="B1042" t="s">
        <v>38</v>
      </c>
      <c r="C1042" t="s">
        <v>22</v>
      </c>
      <c r="D1042" s="27">
        <v>11287500</v>
      </c>
      <c r="E1042" s="3" t="s">
        <v>41</v>
      </c>
      <c r="F1042" s="23">
        <v>0</v>
      </c>
      <c r="G1042" s="3" t="s">
        <v>41</v>
      </c>
      <c r="I1042" s="25" t="str">
        <f t="shared" si="183"/>
        <v/>
      </c>
      <c r="J1042" s="25" t="str">
        <f t="shared" si="183"/>
        <v/>
      </c>
      <c r="L1042" s="3"/>
      <c r="M1042" s="3"/>
    </row>
    <row r="1043" spans="1:16" x14ac:dyDescent="0.45">
      <c r="A1043" t="s">
        <v>18</v>
      </c>
      <c r="B1043" t="s">
        <v>38</v>
      </c>
      <c r="C1043" t="s">
        <v>22</v>
      </c>
      <c r="D1043" s="27">
        <v>0</v>
      </c>
      <c r="E1043" s="3" t="s">
        <v>41</v>
      </c>
      <c r="F1043" s="23">
        <v>11287500</v>
      </c>
      <c r="G1043" s="3" t="s">
        <v>41</v>
      </c>
      <c r="I1043" s="25" t="str">
        <f t="shared" si="183"/>
        <v/>
      </c>
      <c r="J1043" s="25" t="str">
        <f t="shared" si="183"/>
        <v/>
      </c>
      <c r="L1043" s="3"/>
      <c r="M1043" s="3"/>
    </row>
    <row r="1044" spans="1:16" x14ac:dyDescent="0.45">
      <c r="A1044" t="s">
        <v>19</v>
      </c>
      <c r="B1044" t="s">
        <v>38</v>
      </c>
      <c r="C1044" t="s">
        <v>22</v>
      </c>
      <c r="D1044" s="27">
        <v>0</v>
      </c>
      <c r="E1044" s="3" t="s">
        <v>41</v>
      </c>
      <c r="F1044" s="23">
        <v>0</v>
      </c>
      <c r="G1044" s="3" t="s">
        <v>41</v>
      </c>
      <c r="I1044" s="25" t="str">
        <f t="shared" si="183"/>
        <v/>
      </c>
      <c r="J1044" s="25" t="str">
        <f t="shared" si="183"/>
        <v/>
      </c>
      <c r="L1044" s="3"/>
      <c r="M1044" s="3"/>
    </row>
    <row r="1045" spans="1:16" x14ac:dyDescent="0.45">
      <c r="A1045" t="s">
        <v>20</v>
      </c>
      <c r="B1045" t="s">
        <v>38</v>
      </c>
      <c r="C1045" t="s">
        <v>22</v>
      </c>
      <c r="D1045" s="27">
        <v>11287500</v>
      </c>
      <c r="E1045" s="3" t="s">
        <v>41</v>
      </c>
      <c r="F1045" s="23">
        <v>0</v>
      </c>
      <c r="G1045" s="3" t="s">
        <v>41</v>
      </c>
      <c r="I1045" s="25" t="str">
        <f t="shared" si="183"/>
        <v/>
      </c>
      <c r="J1045" s="25" t="str">
        <f t="shared" si="183"/>
        <v/>
      </c>
      <c r="L1045" s="3"/>
      <c r="M1045" s="3"/>
    </row>
    <row r="1046" spans="1:16" x14ac:dyDescent="0.45">
      <c r="A1046" t="s">
        <v>7</v>
      </c>
      <c r="B1046" t="s">
        <v>38</v>
      </c>
      <c r="C1046" t="s">
        <v>23</v>
      </c>
      <c r="D1046" s="27">
        <v>0</v>
      </c>
      <c r="E1046" s="3">
        <v>0</v>
      </c>
      <c r="F1046" s="23">
        <v>0</v>
      </c>
      <c r="G1046" s="3">
        <v>0</v>
      </c>
      <c r="I1046" s="22">
        <f t="shared" ref="I1046:J1046" si="184">IF(L1046="","",L1046)</f>
        <v>0</v>
      </c>
      <c r="J1046" s="22">
        <f t="shared" si="184"/>
        <v>0</v>
      </c>
      <c r="L1046" s="3">
        <v>0</v>
      </c>
      <c r="M1046" s="3">
        <v>0</v>
      </c>
    </row>
    <row r="1047" spans="1:16" x14ac:dyDescent="0.45">
      <c r="A1047" t="s">
        <v>10</v>
      </c>
      <c r="B1047" t="s">
        <v>38</v>
      </c>
      <c r="C1047" t="s">
        <v>23</v>
      </c>
      <c r="D1047" s="28">
        <v>15000000</v>
      </c>
      <c r="E1047" s="4">
        <v>9000000</v>
      </c>
      <c r="F1047" s="24">
        <v>0</v>
      </c>
      <c r="G1047" s="4">
        <v>0</v>
      </c>
      <c r="I1047" s="25">
        <f t="shared" ref="I1047:J1047" si="185">IF(L1047="","",L1047-L1046)</f>
        <v>9000000</v>
      </c>
      <c r="J1047" s="25">
        <f t="shared" si="185"/>
        <v>0</v>
      </c>
      <c r="L1047" s="4">
        <v>9000000</v>
      </c>
      <c r="M1047" s="4">
        <v>0</v>
      </c>
    </row>
    <row r="1048" spans="1:16" x14ac:dyDescent="0.45">
      <c r="A1048" t="s">
        <v>11</v>
      </c>
      <c r="B1048" t="s">
        <v>38</v>
      </c>
      <c r="C1048" t="s">
        <v>23</v>
      </c>
      <c r="D1048" s="27">
        <v>0</v>
      </c>
      <c r="E1048" s="3">
        <v>0</v>
      </c>
      <c r="F1048" s="23">
        <v>15000000</v>
      </c>
      <c r="G1048" s="3">
        <v>0</v>
      </c>
      <c r="I1048" s="25">
        <f t="shared" si="183"/>
        <v>0</v>
      </c>
      <c r="J1048" s="25">
        <f t="shared" si="183"/>
        <v>0</v>
      </c>
      <c r="L1048" s="29">
        <f>SUMIFS(Pivot_!C:C,Pivot_!A:A,'Hitung Per Bulan'!B1048,Pivot_!B:B,'Hitung Per Bulan'!C1048)</f>
        <v>9000000</v>
      </c>
      <c r="M1048" s="29">
        <f>SUMIFS(Pivot_!D:D,Pivot_!A:A,'Hitung Per Bulan'!B1048,Pivot_!B:B,'Hitung Per Bulan'!C1048)</f>
        <v>0</v>
      </c>
    </row>
    <row r="1049" spans="1:16" x14ac:dyDescent="0.45">
      <c r="A1049" t="s">
        <v>12</v>
      </c>
      <c r="B1049" t="s">
        <v>38</v>
      </c>
      <c r="C1049" t="s">
        <v>23</v>
      </c>
      <c r="D1049" s="27">
        <v>0</v>
      </c>
      <c r="E1049" s="3" t="s">
        <v>41</v>
      </c>
      <c r="F1049" s="23">
        <v>0</v>
      </c>
      <c r="G1049" s="3" t="s">
        <v>41</v>
      </c>
      <c r="I1049" s="25" t="str">
        <f t="shared" si="183"/>
        <v/>
      </c>
      <c r="J1049" s="25" t="str">
        <f t="shared" si="183"/>
        <v/>
      </c>
      <c r="L1049" s="29"/>
      <c r="M1049" s="29"/>
      <c r="O1049" s="72"/>
      <c r="P1049" s="72"/>
    </row>
    <row r="1050" spans="1:16" x14ac:dyDescent="0.45">
      <c r="A1050" t="s">
        <v>13</v>
      </c>
      <c r="B1050" t="s">
        <v>38</v>
      </c>
      <c r="C1050" t="s">
        <v>23</v>
      </c>
      <c r="D1050" s="27">
        <v>15000000</v>
      </c>
      <c r="E1050" s="3" t="s">
        <v>41</v>
      </c>
      <c r="F1050" s="23">
        <v>0</v>
      </c>
      <c r="G1050" s="3" t="s">
        <v>41</v>
      </c>
      <c r="I1050" s="25" t="str">
        <f t="shared" si="183"/>
        <v/>
      </c>
      <c r="J1050" s="25" t="str">
        <f t="shared" si="183"/>
        <v/>
      </c>
      <c r="L1050" s="3"/>
      <c r="M1050" s="3"/>
    </row>
    <row r="1051" spans="1:16" x14ac:dyDescent="0.45">
      <c r="A1051" t="s">
        <v>14</v>
      </c>
      <c r="B1051" t="s">
        <v>38</v>
      </c>
      <c r="C1051" t="s">
        <v>23</v>
      </c>
      <c r="D1051" s="27">
        <v>0</v>
      </c>
      <c r="E1051" s="3" t="s">
        <v>41</v>
      </c>
      <c r="F1051" s="23">
        <v>15000000</v>
      </c>
      <c r="G1051" s="3" t="s">
        <v>41</v>
      </c>
      <c r="I1051" s="25" t="str">
        <f t="shared" si="183"/>
        <v/>
      </c>
      <c r="J1051" s="25" t="str">
        <f t="shared" si="183"/>
        <v/>
      </c>
      <c r="L1051" s="3"/>
      <c r="M1051" s="3"/>
    </row>
    <row r="1052" spans="1:16" x14ac:dyDescent="0.45">
      <c r="A1052" t="s">
        <v>15</v>
      </c>
      <c r="B1052" t="s">
        <v>38</v>
      </c>
      <c r="C1052" t="s">
        <v>23</v>
      </c>
      <c r="D1052" s="27">
        <v>0</v>
      </c>
      <c r="E1052" s="3" t="s">
        <v>41</v>
      </c>
      <c r="F1052" s="23">
        <v>0</v>
      </c>
      <c r="G1052" s="3" t="s">
        <v>41</v>
      </c>
      <c r="I1052" s="25" t="str">
        <f t="shared" si="183"/>
        <v/>
      </c>
      <c r="J1052" s="25" t="str">
        <f t="shared" si="183"/>
        <v/>
      </c>
      <c r="L1052" s="3"/>
      <c r="M1052" s="3"/>
    </row>
    <row r="1053" spans="1:16" x14ac:dyDescent="0.45">
      <c r="A1053" t="s">
        <v>16</v>
      </c>
      <c r="B1053" t="s">
        <v>38</v>
      </c>
      <c r="C1053" t="s">
        <v>23</v>
      </c>
      <c r="D1053" s="27">
        <v>15000000</v>
      </c>
      <c r="E1053" s="3" t="s">
        <v>41</v>
      </c>
      <c r="F1053" s="23">
        <v>0</v>
      </c>
      <c r="G1053" s="3" t="s">
        <v>41</v>
      </c>
      <c r="I1053" s="25" t="str">
        <f t="shared" si="183"/>
        <v/>
      </c>
      <c r="J1053" s="25" t="str">
        <f t="shared" si="183"/>
        <v/>
      </c>
      <c r="L1053" s="3"/>
      <c r="M1053" s="3"/>
    </row>
    <row r="1054" spans="1:16" x14ac:dyDescent="0.45">
      <c r="A1054" t="s">
        <v>17</v>
      </c>
      <c r="B1054" t="s">
        <v>38</v>
      </c>
      <c r="C1054" t="s">
        <v>23</v>
      </c>
      <c r="D1054" s="27">
        <v>0</v>
      </c>
      <c r="E1054" s="3" t="s">
        <v>41</v>
      </c>
      <c r="F1054" s="23">
        <v>15000000</v>
      </c>
      <c r="G1054" s="3" t="s">
        <v>41</v>
      </c>
      <c r="I1054" s="25" t="str">
        <f t="shared" si="183"/>
        <v/>
      </c>
      <c r="J1054" s="25" t="str">
        <f t="shared" si="183"/>
        <v/>
      </c>
      <c r="L1054" s="3"/>
      <c r="M1054" s="3"/>
    </row>
    <row r="1055" spans="1:16" x14ac:dyDescent="0.45">
      <c r="A1055" t="s">
        <v>18</v>
      </c>
      <c r="B1055" t="s">
        <v>38</v>
      </c>
      <c r="C1055" t="s">
        <v>23</v>
      </c>
      <c r="D1055" s="27">
        <v>0</v>
      </c>
      <c r="E1055" s="3" t="s">
        <v>41</v>
      </c>
      <c r="F1055" s="23">
        <v>0</v>
      </c>
      <c r="G1055" s="3" t="s">
        <v>41</v>
      </c>
      <c r="I1055" s="25" t="str">
        <f t="shared" si="183"/>
        <v/>
      </c>
      <c r="J1055" s="25" t="str">
        <f t="shared" si="183"/>
        <v/>
      </c>
      <c r="L1055" s="3"/>
      <c r="M1055" s="3"/>
    </row>
    <row r="1056" spans="1:16" x14ac:dyDescent="0.45">
      <c r="A1056" t="s">
        <v>19</v>
      </c>
      <c r="B1056" t="s">
        <v>38</v>
      </c>
      <c r="C1056" t="s">
        <v>23</v>
      </c>
      <c r="D1056" s="27">
        <v>15000000</v>
      </c>
      <c r="E1056" s="3" t="s">
        <v>41</v>
      </c>
      <c r="F1056" s="23">
        <v>0</v>
      </c>
      <c r="G1056" s="3" t="s">
        <v>41</v>
      </c>
      <c r="I1056" s="25" t="str">
        <f t="shared" si="183"/>
        <v/>
      </c>
      <c r="J1056" s="25" t="str">
        <f t="shared" si="183"/>
        <v/>
      </c>
      <c r="L1056" s="3"/>
      <c r="M1056" s="3"/>
    </row>
    <row r="1057" spans="1:16" x14ac:dyDescent="0.45">
      <c r="A1057" t="s">
        <v>20</v>
      </c>
      <c r="B1057" t="s">
        <v>38</v>
      </c>
      <c r="C1057" t="s">
        <v>23</v>
      </c>
      <c r="D1057" s="27">
        <v>0</v>
      </c>
      <c r="E1057" s="3" t="s">
        <v>41</v>
      </c>
      <c r="F1057" s="23">
        <v>15000000</v>
      </c>
      <c r="G1057" s="3" t="s">
        <v>41</v>
      </c>
      <c r="I1057" s="25" t="str">
        <f t="shared" si="183"/>
        <v/>
      </c>
      <c r="J1057" s="25" t="str">
        <f t="shared" si="183"/>
        <v/>
      </c>
      <c r="L1057" s="3"/>
      <c r="M1057" s="3"/>
    </row>
    <row r="1058" spans="1:16" x14ac:dyDescent="0.45">
      <c r="A1058" t="s">
        <v>7</v>
      </c>
      <c r="B1058" t="s">
        <v>38</v>
      </c>
      <c r="C1058" t="s">
        <v>24</v>
      </c>
      <c r="D1058" s="27">
        <v>0</v>
      </c>
      <c r="E1058" s="3">
        <v>0</v>
      </c>
      <c r="F1058" s="23">
        <v>0</v>
      </c>
      <c r="G1058" s="3">
        <v>0</v>
      </c>
      <c r="I1058" s="22">
        <f t="shared" ref="I1058:J1058" si="186">IF(L1058="","",L1058)</f>
        <v>0</v>
      </c>
      <c r="J1058" s="22">
        <f t="shared" si="186"/>
        <v>0</v>
      </c>
      <c r="L1058" s="3">
        <v>0</v>
      </c>
      <c r="M1058" s="3">
        <v>0</v>
      </c>
    </row>
    <row r="1059" spans="1:16" x14ac:dyDescent="0.45">
      <c r="A1059" t="s">
        <v>10</v>
      </c>
      <c r="B1059" t="s">
        <v>38</v>
      </c>
      <c r="C1059" t="s">
        <v>24</v>
      </c>
      <c r="D1059" s="28">
        <v>0</v>
      </c>
      <c r="E1059" s="4">
        <v>0</v>
      </c>
      <c r="F1059" s="24">
        <v>0</v>
      </c>
      <c r="G1059" s="4">
        <v>0</v>
      </c>
      <c r="I1059" s="25">
        <f t="shared" ref="I1059:J1059" si="187">IF(L1059="","",L1059-L1058)</f>
        <v>0</v>
      </c>
      <c r="J1059" s="25">
        <f t="shared" si="187"/>
        <v>0</v>
      </c>
      <c r="L1059" s="4">
        <v>0</v>
      </c>
      <c r="M1059" s="4">
        <v>0</v>
      </c>
    </row>
    <row r="1060" spans="1:16" x14ac:dyDescent="0.45">
      <c r="A1060" t="s">
        <v>11</v>
      </c>
      <c r="B1060" t="s">
        <v>38</v>
      </c>
      <c r="C1060" t="s">
        <v>24</v>
      </c>
      <c r="D1060" s="27">
        <v>0</v>
      </c>
      <c r="E1060" s="3">
        <v>0</v>
      </c>
      <c r="F1060" s="23">
        <v>0</v>
      </c>
      <c r="G1060" s="3">
        <v>0</v>
      </c>
      <c r="I1060" s="25">
        <f t="shared" si="183"/>
        <v>0</v>
      </c>
      <c r="J1060" s="25">
        <f t="shared" si="183"/>
        <v>0</v>
      </c>
      <c r="L1060" s="29">
        <f>SUMIFS(Pivot_!C:C,Pivot_!A:A,'Hitung Per Bulan'!B1060,Pivot_!B:B,'Hitung Per Bulan'!C1060)</f>
        <v>0</v>
      </c>
      <c r="M1060" s="29">
        <f>SUMIFS(Pivot_!D:D,Pivot_!A:A,'Hitung Per Bulan'!B1060,Pivot_!B:B,'Hitung Per Bulan'!C1060)</f>
        <v>0</v>
      </c>
    </row>
    <row r="1061" spans="1:16" x14ac:dyDescent="0.45">
      <c r="A1061" t="s">
        <v>12</v>
      </c>
      <c r="B1061" t="s">
        <v>38</v>
      </c>
      <c r="C1061" t="s">
        <v>24</v>
      </c>
      <c r="D1061" s="27">
        <v>0</v>
      </c>
      <c r="E1061" s="3" t="s">
        <v>41</v>
      </c>
      <c r="F1061" s="23">
        <v>0</v>
      </c>
      <c r="G1061" s="3" t="s">
        <v>41</v>
      </c>
      <c r="I1061" s="25" t="str">
        <f t="shared" si="183"/>
        <v/>
      </c>
      <c r="J1061" s="25" t="str">
        <f t="shared" si="183"/>
        <v/>
      </c>
      <c r="L1061" s="29"/>
      <c r="M1061" s="29"/>
      <c r="O1061" s="72"/>
      <c r="P1061" s="72"/>
    </row>
    <row r="1062" spans="1:16" x14ac:dyDescent="0.45">
      <c r="A1062" t="s">
        <v>13</v>
      </c>
      <c r="B1062" t="s">
        <v>38</v>
      </c>
      <c r="C1062" t="s">
        <v>24</v>
      </c>
      <c r="D1062" s="27">
        <v>0</v>
      </c>
      <c r="E1062" s="3" t="s">
        <v>41</v>
      </c>
      <c r="F1062" s="23">
        <v>0</v>
      </c>
      <c r="G1062" s="3" t="s">
        <v>41</v>
      </c>
      <c r="I1062" s="25" t="str">
        <f t="shared" si="183"/>
        <v/>
      </c>
      <c r="J1062" s="25" t="str">
        <f t="shared" si="183"/>
        <v/>
      </c>
      <c r="L1062" s="3"/>
      <c r="M1062" s="3"/>
    </row>
    <row r="1063" spans="1:16" x14ac:dyDescent="0.45">
      <c r="A1063" t="s">
        <v>14</v>
      </c>
      <c r="B1063" t="s">
        <v>38</v>
      </c>
      <c r="C1063" t="s">
        <v>24</v>
      </c>
      <c r="D1063" s="27">
        <v>0</v>
      </c>
      <c r="E1063" s="3" t="s">
        <v>41</v>
      </c>
      <c r="F1063" s="23">
        <v>0</v>
      </c>
      <c r="G1063" s="3" t="s">
        <v>41</v>
      </c>
      <c r="I1063" s="25" t="str">
        <f t="shared" si="183"/>
        <v/>
      </c>
      <c r="J1063" s="25" t="str">
        <f t="shared" si="183"/>
        <v/>
      </c>
      <c r="L1063" s="3"/>
      <c r="M1063" s="3"/>
    </row>
    <row r="1064" spans="1:16" x14ac:dyDescent="0.45">
      <c r="A1064" t="s">
        <v>15</v>
      </c>
      <c r="B1064" t="s">
        <v>38</v>
      </c>
      <c r="C1064" t="s">
        <v>24</v>
      </c>
      <c r="D1064" s="27">
        <v>0</v>
      </c>
      <c r="E1064" s="3" t="s">
        <v>41</v>
      </c>
      <c r="F1064" s="23">
        <v>0</v>
      </c>
      <c r="G1064" s="3" t="s">
        <v>41</v>
      </c>
      <c r="I1064" s="25" t="str">
        <f t="shared" si="183"/>
        <v/>
      </c>
      <c r="J1064" s="25" t="str">
        <f t="shared" si="183"/>
        <v/>
      </c>
      <c r="L1064" s="3"/>
      <c r="M1064" s="3"/>
    </row>
    <row r="1065" spans="1:16" x14ac:dyDescent="0.45">
      <c r="A1065" t="s">
        <v>16</v>
      </c>
      <c r="B1065" t="s">
        <v>38</v>
      </c>
      <c r="C1065" t="s">
        <v>24</v>
      </c>
      <c r="D1065" s="27">
        <v>0</v>
      </c>
      <c r="E1065" s="3" t="s">
        <v>41</v>
      </c>
      <c r="F1065" s="23">
        <v>0</v>
      </c>
      <c r="G1065" s="3" t="s">
        <v>41</v>
      </c>
      <c r="I1065" s="25" t="str">
        <f t="shared" si="183"/>
        <v/>
      </c>
      <c r="J1065" s="25" t="str">
        <f t="shared" si="183"/>
        <v/>
      </c>
      <c r="L1065" s="3"/>
      <c r="M1065" s="3"/>
    </row>
    <row r="1066" spans="1:16" x14ac:dyDescent="0.45">
      <c r="A1066" t="s">
        <v>17</v>
      </c>
      <c r="B1066" t="s">
        <v>38</v>
      </c>
      <c r="C1066" t="s">
        <v>24</v>
      </c>
      <c r="D1066" s="27">
        <v>0</v>
      </c>
      <c r="E1066" s="3" t="s">
        <v>41</v>
      </c>
      <c r="F1066" s="23">
        <v>0</v>
      </c>
      <c r="G1066" s="3" t="s">
        <v>41</v>
      </c>
      <c r="I1066" s="25" t="str">
        <f t="shared" si="183"/>
        <v/>
      </c>
      <c r="J1066" s="25" t="str">
        <f t="shared" si="183"/>
        <v/>
      </c>
      <c r="L1066" s="3"/>
      <c r="M1066" s="3"/>
    </row>
    <row r="1067" spans="1:16" x14ac:dyDescent="0.45">
      <c r="A1067" t="s">
        <v>18</v>
      </c>
      <c r="B1067" t="s">
        <v>38</v>
      </c>
      <c r="C1067" t="s">
        <v>24</v>
      </c>
      <c r="D1067" s="27">
        <v>0</v>
      </c>
      <c r="E1067" s="3" t="s">
        <v>41</v>
      </c>
      <c r="F1067" s="23">
        <v>0</v>
      </c>
      <c r="G1067" s="3" t="s">
        <v>41</v>
      </c>
      <c r="I1067" s="25" t="str">
        <f t="shared" si="183"/>
        <v/>
      </c>
      <c r="J1067" s="25" t="str">
        <f t="shared" si="183"/>
        <v/>
      </c>
      <c r="L1067" s="3"/>
      <c r="M1067" s="3"/>
    </row>
    <row r="1068" spans="1:16" x14ac:dyDescent="0.45">
      <c r="A1068" t="s">
        <v>19</v>
      </c>
      <c r="B1068" t="s">
        <v>38</v>
      </c>
      <c r="C1068" t="s">
        <v>24</v>
      </c>
      <c r="D1068" s="27">
        <v>0</v>
      </c>
      <c r="E1068" s="3" t="s">
        <v>41</v>
      </c>
      <c r="F1068" s="23">
        <v>0</v>
      </c>
      <c r="G1068" s="3" t="s">
        <v>41</v>
      </c>
      <c r="I1068" s="25" t="str">
        <f t="shared" si="183"/>
        <v/>
      </c>
      <c r="J1068" s="25" t="str">
        <f t="shared" si="183"/>
        <v/>
      </c>
      <c r="L1068" s="3"/>
      <c r="M1068" s="3"/>
    </row>
    <row r="1069" spans="1:16" x14ac:dyDescent="0.45">
      <c r="A1069" t="s">
        <v>20</v>
      </c>
      <c r="B1069" t="s">
        <v>38</v>
      </c>
      <c r="C1069" t="s">
        <v>24</v>
      </c>
      <c r="D1069" s="27">
        <v>0</v>
      </c>
      <c r="E1069" s="3" t="s">
        <v>41</v>
      </c>
      <c r="F1069" s="23">
        <v>0</v>
      </c>
      <c r="G1069" s="3" t="s">
        <v>41</v>
      </c>
      <c r="I1069" s="25" t="str">
        <f t="shared" si="183"/>
        <v/>
      </c>
      <c r="J1069" s="25" t="str">
        <f t="shared" si="183"/>
        <v/>
      </c>
      <c r="L1069" s="3"/>
      <c r="M1069" s="3"/>
    </row>
    <row r="1070" spans="1:16" x14ac:dyDescent="0.45">
      <c r="A1070" t="s">
        <v>7</v>
      </c>
      <c r="B1070" t="s">
        <v>38</v>
      </c>
      <c r="C1070" t="s">
        <v>25</v>
      </c>
      <c r="D1070" s="27">
        <v>11870000</v>
      </c>
      <c r="E1070" s="3">
        <v>3485900</v>
      </c>
      <c r="F1070" s="23">
        <v>11870000</v>
      </c>
      <c r="G1070" s="3">
        <v>2487500</v>
      </c>
      <c r="I1070" s="22">
        <f t="shared" ref="I1070:J1070" si="188">IF(L1070="","",L1070)</f>
        <v>3485900</v>
      </c>
      <c r="J1070" s="22">
        <f t="shared" si="188"/>
        <v>2487500</v>
      </c>
      <c r="L1070" s="3">
        <v>3485900</v>
      </c>
      <c r="M1070" s="3">
        <v>2487500</v>
      </c>
    </row>
    <row r="1071" spans="1:16" x14ac:dyDescent="0.45">
      <c r="A1071" t="s">
        <v>10</v>
      </c>
      <c r="B1071" t="s">
        <v>38</v>
      </c>
      <c r="C1071" t="s">
        <v>25</v>
      </c>
      <c r="D1071" s="28">
        <v>17925000</v>
      </c>
      <c r="E1071" s="4">
        <v>3123150</v>
      </c>
      <c r="F1071" s="24">
        <v>16425000</v>
      </c>
      <c r="G1071" s="4">
        <v>3117150</v>
      </c>
      <c r="I1071" s="25">
        <f t="shared" ref="I1071:J1071" si="189">IF(L1071="","",L1071-L1070)</f>
        <v>3123150</v>
      </c>
      <c r="J1071" s="25">
        <f t="shared" si="189"/>
        <v>3117150</v>
      </c>
      <c r="L1071" s="4">
        <v>6609050</v>
      </c>
      <c r="M1071" s="4">
        <v>5604650</v>
      </c>
    </row>
    <row r="1072" spans="1:16" x14ac:dyDescent="0.45">
      <c r="A1072" t="s">
        <v>11</v>
      </c>
      <c r="B1072" t="s">
        <v>38</v>
      </c>
      <c r="C1072" t="s">
        <v>25</v>
      </c>
      <c r="D1072" s="27">
        <v>14870000</v>
      </c>
      <c r="E1072" s="3">
        <v>2658300</v>
      </c>
      <c r="F1072" s="23">
        <v>16370000</v>
      </c>
      <c r="G1072" s="3">
        <v>0</v>
      </c>
      <c r="I1072" s="25">
        <f t="shared" si="183"/>
        <v>12363300</v>
      </c>
      <c r="J1072" s="25">
        <f t="shared" si="183"/>
        <v>3825000</v>
      </c>
      <c r="L1072" s="29">
        <f>SUMIFS(Pivot_!C:C,Pivot_!A:A,'Hitung Per Bulan'!B1072,Pivot_!B:B,'Hitung Per Bulan'!C1072)</f>
        <v>18972350</v>
      </c>
      <c r="M1072" s="29">
        <f>SUMIFS(Pivot_!D:D,Pivot_!A:A,'Hitung Per Bulan'!B1072,Pivot_!B:B,'Hitung Per Bulan'!C1072)</f>
        <v>9429650</v>
      </c>
    </row>
    <row r="1073" spans="1:16" x14ac:dyDescent="0.45">
      <c r="A1073" t="s">
        <v>12</v>
      </c>
      <c r="B1073" t="s">
        <v>38</v>
      </c>
      <c r="C1073" t="s">
        <v>25</v>
      </c>
      <c r="D1073" s="27">
        <v>11870000</v>
      </c>
      <c r="E1073" s="3" t="s">
        <v>41</v>
      </c>
      <c r="F1073" s="23">
        <v>11870000</v>
      </c>
      <c r="G1073" s="3" t="s">
        <v>41</v>
      </c>
      <c r="I1073" s="25" t="str">
        <f t="shared" si="183"/>
        <v/>
      </c>
      <c r="J1073" s="25" t="str">
        <f t="shared" si="183"/>
        <v/>
      </c>
      <c r="L1073" s="29"/>
      <c r="M1073" s="29"/>
      <c r="O1073" s="72"/>
      <c r="P1073" s="72"/>
    </row>
    <row r="1074" spans="1:16" x14ac:dyDescent="0.45">
      <c r="A1074" t="s">
        <v>13</v>
      </c>
      <c r="B1074" t="s">
        <v>38</v>
      </c>
      <c r="C1074" t="s">
        <v>25</v>
      </c>
      <c r="D1074" s="27">
        <v>85925000</v>
      </c>
      <c r="E1074" s="3" t="s">
        <v>41</v>
      </c>
      <c r="F1074" s="23">
        <v>16425000</v>
      </c>
      <c r="G1074" s="3" t="s">
        <v>41</v>
      </c>
      <c r="I1074" s="25" t="str">
        <f t="shared" si="183"/>
        <v/>
      </c>
      <c r="J1074" s="25" t="str">
        <f t="shared" si="183"/>
        <v/>
      </c>
      <c r="L1074" s="3"/>
      <c r="M1074" s="3"/>
    </row>
    <row r="1075" spans="1:16" x14ac:dyDescent="0.45">
      <c r="A1075" t="s">
        <v>14</v>
      </c>
      <c r="B1075" t="s">
        <v>38</v>
      </c>
      <c r="C1075" t="s">
        <v>25</v>
      </c>
      <c r="D1075" s="27">
        <v>85870000</v>
      </c>
      <c r="E1075" s="3" t="s">
        <v>41</v>
      </c>
      <c r="F1075" s="23">
        <v>101370000</v>
      </c>
      <c r="G1075" s="3" t="s">
        <v>41</v>
      </c>
      <c r="I1075" s="25" t="str">
        <f t="shared" si="183"/>
        <v/>
      </c>
      <c r="J1075" s="25" t="str">
        <f t="shared" si="183"/>
        <v/>
      </c>
      <c r="L1075" s="3"/>
      <c r="M1075" s="3"/>
    </row>
    <row r="1076" spans="1:16" x14ac:dyDescent="0.45">
      <c r="A1076" t="s">
        <v>15</v>
      </c>
      <c r="B1076" t="s">
        <v>38</v>
      </c>
      <c r="C1076" t="s">
        <v>25</v>
      </c>
      <c r="D1076" s="27">
        <v>66870000</v>
      </c>
      <c r="E1076" s="3" t="s">
        <v>41</v>
      </c>
      <c r="F1076" s="23">
        <v>65870000</v>
      </c>
      <c r="G1076" s="3" t="s">
        <v>41</v>
      </c>
      <c r="I1076" s="25" t="str">
        <f t="shared" si="183"/>
        <v/>
      </c>
      <c r="J1076" s="25" t="str">
        <f t="shared" si="183"/>
        <v/>
      </c>
      <c r="L1076" s="3"/>
      <c r="M1076" s="3"/>
    </row>
    <row r="1077" spans="1:16" x14ac:dyDescent="0.45">
      <c r="A1077" t="s">
        <v>16</v>
      </c>
      <c r="B1077" t="s">
        <v>38</v>
      </c>
      <c r="C1077" t="s">
        <v>25</v>
      </c>
      <c r="D1077" s="27">
        <v>17925000</v>
      </c>
      <c r="E1077" s="3" t="s">
        <v>41</v>
      </c>
      <c r="F1077" s="23">
        <v>71425000</v>
      </c>
      <c r="G1077" s="3" t="s">
        <v>41</v>
      </c>
      <c r="I1077" s="25" t="str">
        <f t="shared" si="183"/>
        <v/>
      </c>
      <c r="J1077" s="25" t="str">
        <f t="shared" si="183"/>
        <v/>
      </c>
      <c r="L1077" s="3"/>
      <c r="M1077" s="3"/>
    </row>
    <row r="1078" spans="1:16" x14ac:dyDescent="0.45">
      <c r="A1078" t="s">
        <v>17</v>
      </c>
      <c r="B1078" t="s">
        <v>38</v>
      </c>
      <c r="C1078" t="s">
        <v>25</v>
      </c>
      <c r="D1078" s="27">
        <v>14870000</v>
      </c>
      <c r="E1078" s="3" t="s">
        <v>41</v>
      </c>
      <c r="F1078" s="23">
        <v>16370000</v>
      </c>
      <c r="G1078" s="3" t="s">
        <v>41</v>
      </c>
      <c r="I1078" s="25" t="str">
        <f t="shared" si="183"/>
        <v/>
      </c>
      <c r="J1078" s="25" t="str">
        <f t="shared" si="183"/>
        <v/>
      </c>
      <c r="L1078" s="3"/>
      <c r="M1078" s="3"/>
    </row>
    <row r="1079" spans="1:16" x14ac:dyDescent="0.45">
      <c r="A1079" t="s">
        <v>18</v>
      </c>
      <c r="B1079" t="s">
        <v>38</v>
      </c>
      <c r="C1079" t="s">
        <v>25</v>
      </c>
      <c r="D1079" s="27">
        <v>11870000</v>
      </c>
      <c r="E1079" s="3" t="s">
        <v>41</v>
      </c>
      <c r="F1079" s="23">
        <v>11870000</v>
      </c>
      <c r="G1079" s="3" t="s">
        <v>41</v>
      </c>
      <c r="I1079" s="25" t="str">
        <f t="shared" si="183"/>
        <v/>
      </c>
      <c r="J1079" s="25" t="str">
        <f t="shared" si="183"/>
        <v/>
      </c>
      <c r="L1079" s="3"/>
      <c r="M1079" s="3"/>
    </row>
    <row r="1080" spans="1:16" x14ac:dyDescent="0.45">
      <c r="A1080" t="s">
        <v>19</v>
      </c>
      <c r="B1080" t="s">
        <v>38</v>
      </c>
      <c r="C1080" t="s">
        <v>25</v>
      </c>
      <c r="D1080" s="27">
        <v>17925000</v>
      </c>
      <c r="E1080" s="3" t="s">
        <v>41</v>
      </c>
      <c r="F1080" s="23">
        <v>16425000</v>
      </c>
      <c r="G1080" s="3" t="s">
        <v>41</v>
      </c>
      <c r="I1080" s="25" t="str">
        <f t="shared" si="183"/>
        <v/>
      </c>
      <c r="J1080" s="25" t="str">
        <f t="shared" si="183"/>
        <v/>
      </c>
      <c r="L1080" s="3"/>
      <c r="M1080" s="3"/>
    </row>
    <row r="1081" spans="1:16" x14ac:dyDescent="0.45">
      <c r="A1081" t="s">
        <v>20</v>
      </c>
      <c r="B1081" t="s">
        <v>38</v>
      </c>
      <c r="C1081" t="s">
        <v>25</v>
      </c>
      <c r="D1081" s="27">
        <v>14870000</v>
      </c>
      <c r="E1081" s="3" t="s">
        <v>41</v>
      </c>
      <c r="F1081" s="23">
        <v>16370000</v>
      </c>
      <c r="G1081" s="3" t="s">
        <v>41</v>
      </c>
      <c r="I1081" s="25" t="str">
        <f t="shared" si="183"/>
        <v/>
      </c>
      <c r="J1081" s="25" t="str">
        <f t="shared" si="183"/>
        <v/>
      </c>
      <c r="L1081" s="3"/>
      <c r="M1081" s="3"/>
    </row>
    <row r="1082" spans="1:16" x14ac:dyDescent="0.45">
      <c r="A1082" t="s">
        <v>7</v>
      </c>
      <c r="B1082" t="s">
        <v>38</v>
      </c>
      <c r="C1082" t="s">
        <v>26</v>
      </c>
      <c r="D1082" s="27">
        <v>0</v>
      </c>
      <c r="E1082" s="3">
        <v>0</v>
      </c>
      <c r="F1082" s="23">
        <v>0</v>
      </c>
      <c r="G1082" s="3">
        <v>0</v>
      </c>
      <c r="I1082" s="22">
        <f t="shared" ref="I1082:J1082" si="190">IF(L1082="","",L1082)</f>
        <v>0</v>
      </c>
      <c r="J1082" s="22">
        <f t="shared" si="190"/>
        <v>0</v>
      </c>
      <c r="L1082" s="3">
        <v>0</v>
      </c>
      <c r="M1082" s="3">
        <v>0</v>
      </c>
    </row>
    <row r="1083" spans="1:16" x14ac:dyDescent="0.45">
      <c r="A1083" t="s">
        <v>10</v>
      </c>
      <c r="B1083" t="s">
        <v>38</v>
      </c>
      <c r="C1083" t="s">
        <v>26</v>
      </c>
      <c r="D1083" s="28">
        <v>0</v>
      </c>
      <c r="E1083" s="4">
        <v>0</v>
      </c>
      <c r="F1083" s="24">
        <v>0</v>
      </c>
      <c r="G1083" s="4">
        <v>0</v>
      </c>
      <c r="I1083" s="25">
        <f t="shared" ref="I1083:J1083" si="191">IF(L1083="","",L1083-L1082)</f>
        <v>0</v>
      </c>
      <c r="J1083" s="25">
        <f t="shared" si="191"/>
        <v>0</v>
      </c>
      <c r="L1083" s="4">
        <v>0</v>
      </c>
      <c r="M1083" s="4">
        <v>0</v>
      </c>
    </row>
    <row r="1084" spans="1:16" x14ac:dyDescent="0.45">
      <c r="A1084" t="s">
        <v>11</v>
      </c>
      <c r="B1084" t="s">
        <v>38</v>
      </c>
      <c r="C1084" t="s">
        <v>26</v>
      </c>
      <c r="D1084" s="27">
        <v>0</v>
      </c>
      <c r="E1084" s="3">
        <v>0</v>
      </c>
      <c r="F1084" s="23">
        <v>0</v>
      </c>
      <c r="G1084" s="3">
        <v>0</v>
      </c>
      <c r="I1084" s="25">
        <f t="shared" si="183"/>
        <v>0</v>
      </c>
      <c r="J1084" s="25">
        <f t="shared" si="183"/>
        <v>0</v>
      </c>
      <c r="L1084" s="29">
        <f>SUMIFS(Pivot_!C:C,Pivot_!A:A,'Hitung Per Bulan'!B1084,Pivot_!B:B,'Hitung Per Bulan'!C1084)</f>
        <v>0</v>
      </c>
      <c r="M1084" s="29">
        <f>SUMIFS(Pivot_!D:D,Pivot_!A:A,'Hitung Per Bulan'!B1084,Pivot_!B:B,'Hitung Per Bulan'!C1084)</f>
        <v>0</v>
      </c>
    </row>
    <row r="1085" spans="1:16" x14ac:dyDescent="0.45">
      <c r="A1085" t="s">
        <v>12</v>
      </c>
      <c r="B1085" t="s">
        <v>38</v>
      </c>
      <c r="C1085" t="s">
        <v>26</v>
      </c>
      <c r="D1085" s="27">
        <v>0</v>
      </c>
      <c r="E1085" s="3" t="s">
        <v>41</v>
      </c>
      <c r="F1085" s="23">
        <v>0</v>
      </c>
      <c r="G1085" s="3" t="s">
        <v>41</v>
      </c>
      <c r="I1085" s="25" t="str">
        <f t="shared" si="183"/>
        <v/>
      </c>
      <c r="J1085" s="25" t="str">
        <f t="shared" si="183"/>
        <v/>
      </c>
      <c r="L1085" s="29"/>
      <c r="M1085" s="29"/>
      <c r="O1085" s="72"/>
      <c r="P1085" s="72"/>
    </row>
    <row r="1086" spans="1:16" x14ac:dyDescent="0.45">
      <c r="A1086" t="s">
        <v>13</v>
      </c>
      <c r="B1086" t="s">
        <v>38</v>
      </c>
      <c r="C1086" t="s">
        <v>26</v>
      </c>
      <c r="D1086" s="27">
        <v>0</v>
      </c>
      <c r="E1086" s="3" t="s">
        <v>41</v>
      </c>
      <c r="F1086" s="23">
        <v>0</v>
      </c>
      <c r="G1086" s="3" t="s">
        <v>41</v>
      </c>
      <c r="I1086" s="25" t="str">
        <f t="shared" si="183"/>
        <v/>
      </c>
      <c r="J1086" s="25" t="str">
        <f t="shared" si="183"/>
        <v/>
      </c>
      <c r="L1086" s="3"/>
      <c r="M1086" s="3"/>
    </row>
    <row r="1087" spans="1:16" x14ac:dyDescent="0.45">
      <c r="A1087" t="s">
        <v>14</v>
      </c>
      <c r="B1087" t="s">
        <v>38</v>
      </c>
      <c r="C1087" t="s">
        <v>26</v>
      </c>
      <c r="D1087" s="27">
        <v>0</v>
      </c>
      <c r="E1087" s="3" t="s">
        <v>41</v>
      </c>
      <c r="F1087" s="23">
        <v>0</v>
      </c>
      <c r="G1087" s="3" t="s">
        <v>41</v>
      </c>
      <c r="I1087" s="25" t="str">
        <f t="shared" si="183"/>
        <v/>
      </c>
      <c r="J1087" s="25" t="str">
        <f t="shared" si="183"/>
        <v/>
      </c>
      <c r="L1087" s="3"/>
      <c r="M1087" s="3"/>
    </row>
    <row r="1088" spans="1:16" x14ac:dyDescent="0.45">
      <c r="A1088" t="s">
        <v>15</v>
      </c>
      <c r="B1088" t="s">
        <v>38</v>
      </c>
      <c r="C1088" t="s">
        <v>26</v>
      </c>
      <c r="D1088" s="27">
        <v>0</v>
      </c>
      <c r="E1088" s="3" t="s">
        <v>41</v>
      </c>
      <c r="F1088" s="23">
        <v>0</v>
      </c>
      <c r="G1088" s="3" t="s">
        <v>41</v>
      </c>
      <c r="I1088" s="25" t="str">
        <f t="shared" si="183"/>
        <v/>
      </c>
      <c r="J1088" s="25" t="str">
        <f t="shared" si="183"/>
        <v/>
      </c>
      <c r="L1088" s="3"/>
      <c r="M1088" s="3"/>
    </row>
    <row r="1089" spans="1:16" x14ac:dyDescent="0.45">
      <c r="A1089" t="s">
        <v>16</v>
      </c>
      <c r="B1089" t="s">
        <v>38</v>
      </c>
      <c r="C1089" t="s">
        <v>26</v>
      </c>
      <c r="D1089" s="27">
        <v>0</v>
      </c>
      <c r="E1089" s="3" t="s">
        <v>41</v>
      </c>
      <c r="F1089" s="23">
        <v>0</v>
      </c>
      <c r="G1089" s="3" t="s">
        <v>41</v>
      </c>
      <c r="I1089" s="25" t="str">
        <f t="shared" si="183"/>
        <v/>
      </c>
      <c r="J1089" s="25" t="str">
        <f t="shared" si="183"/>
        <v/>
      </c>
      <c r="L1089" s="3"/>
      <c r="M1089" s="3"/>
    </row>
    <row r="1090" spans="1:16" x14ac:dyDescent="0.45">
      <c r="A1090" t="s">
        <v>17</v>
      </c>
      <c r="B1090" t="s">
        <v>38</v>
      </c>
      <c r="C1090" t="s">
        <v>26</v>
      </c>
      <c r="D1090" s="27">
        <v>0</v>
      </c>
      <c r="E1090" s="3" t="s">
        <v>41</v>
      </c>
      <c r="F1090" s="23">
        <v>0</v>
      </c>
      <c r="G1090" s="3" t="s">
        <v>41</v>
      </c>
      <c r="I1090" s="25" t="str">
        <f t="shared" si="183"/>
        <v/>
      </c>
      <c r="J1090" s="25" t="str">
        <f t="shared" si="183"/>
        <v/>
      </c>
      <c r="L1090" s="3"/>
      <c r="M1090" s="3"/>
    </row>
    <row r="1091" spans="1:16" x14ac:dyDescent="0.45">
      <c r="A1091" t="s">
        <v>18</v>
      </c>
      <c r="B1091" t="s">
        <v>38</v>
      </c>
      <c r="C1091" t="s">
        <v>26</v>
      </c>
      <c r="D1091" s="27">
        <v>0</v>
      </c>
      <c r="E1091" s="3" t="s">
        <v>41</v>
      </c>
      <c r="F1091" s="23">
        <v>0</v>
      </c>
      <c r="G1091" s="3" t="s">
        <v>41</v>
      </c>
      <c r="I1091" s="25" t="str">
        <f t="shared" si="183"/>
        <v/>
      </c>
      <c r="J1091" s="25" t="str">
        <f t="shared" si="183"/>
        <v/>
      </c>
      <c r="L1091" s="3"/>
      <c r="M1091" s="3"/>
    </row>
    <row r="1092" spans="1:16" x14ac:dyDescent="0.45">
      <c r="A1092" t="s">
        <v>19</v>
      </c>
      <c r="B1092" t="s">
        <v>38</v>
      </c>
      <c r="C1092" t="s">
        <v>26</v>
      </c>
      <c r="D1092" s="27">
        <v>0</v>
      </c>
      <c r="E1092" s="3" t="s">
        <v>41</v>
      </c>
      <c r="F1092" s="23">
        <v>0</v>
      </c>
      <c r="G1092" s="3" t="s">
        <v>41</v>
      </c>
      <c r="I1092" s="25" t="str">
        <f t="shared" si="183"/>
        <v/>
      </c>
      <c r="J1092" s="25" t="str">
        <f t="shared" si="183"/>
        <v/>
      </c>
      <c r="L1092" s="3"/>
      <c r="M1092" s="3"/>
    </row>
    <row r="1093" spans="1:16" x14ac:dyDescent="0.45">
      <c r="A1093" t="s">
        <v>20</v>
      </c>
      <c r="B1093" t="s">
        <v>38</v>
      </c>
      <c r="C1093" t="s">
        <v>26</v>
      </c>
      <c r="D1093" s="27">
        <v>0</v>
      </c>
      <c r="E1093" s="3" t="s">
        <v>41</v>
      </c>
      <c r="F1093" s="23">
        <v>0</v>
      </c>
      <c r="G1093" s="3" t="s">
        <v>41</v>
      </c>
      <c r="I1093" s="25" t="str">
        <f t="shared" si="183"/>
        <v/>
      </c>
      <c r="J1093" s="25" t="str">
        <f t="shared" si="183"/>
        <v/>
      </c>
      <c r="L1093" s="3"/>
      <c r="M1093" s="3"/>
    </row>
    <row r="1094" spans="1:16" x14ac:dyDescent="0.45">
      <c r="A1094" t="s">
        <v>7</v>
      </c>
      <c r="B1094" t="s">
        <v>39</v>
      </c>
      <c r="C1094" t="s">
        <v>9</v>
      </c>
      <c r="D1094" s="27">
        <v>0</v>
      </c>
      <c r="E1094" s="3">
        <v>0</v>
      </c>
      <c r="F1094" s="23">
        <v>0</v>
      </c>
      <c r="G1094" s="3">
        <v>0</v>
      </c>
      <c r="I1094" s="22">
        <f t="shared" ref="I1094:J1094" si="192">IF(L1094="","",L1094)</f>
        <v>0</v>
      </c>
      <c r="J1094" s="22">
        <f t="shared" si="192"/>
        <v>0</v>
      </c>
      <c r="L1094" s="3">
        <v>0</v>
      </c>
      <c r="M1094" s="3">
        <v>0</v>
      </c>
    </row>
    <row r="1095" spans="1:16" x14ac:dyDescent="0.45">
      <c r="A1095" t="s">
        <v>10</v>
      </c>
      <c r="B1095" t="s">
        <v>39</v>
      </c>
      <c r="C1095" t="s">
        <v>9</v>
      </c>
      <c r="D1095" s="28">
        <v>0</v>
      </c>
      <c r="E1095" s="4">
        <v>0</v>
      </c>
      <c r="F1095" s="24">
        <v>0</v>
      </c>
      <c r="G1095" s="4">
        <v>0</v>
      </c>
      <c r="I1095" s="25">
        <f t="shared" ref="I1095:J1095" si="193">IF(L1095="","",L1095-L1094)</f>
        <v>0</v>
      </c>
      <c r="J1095" s="25">
        <f t="shared" si="193"/>
        <v>0</v>
      </c>
      <c r="L1095" s="4">
        <v>0</v>
      </c>
      <c r="M1095" s="4">
        <v>0</v>
      </c>
    </row>
    <row r="1096" spans="1:16" x14ac:dyDescent="0.45">
      <c r="A1096" t="s">
        <v>11</v>
      </c>
      <c r="B1096" t="s">
        <v>39</v>
      </c>
      <c r="C1096" t="s">
        <v>9</v>
      </c>
      <c r="D1096" s="27">
        <v>0</v>
      </c>
      <c r="E1096" s="3">
        <v>0</v>
      </c>
      <c r="F1096" s="23">
        <v>0</v>
      </c>
      <c r="G1096" s="3">
        <v>0</v>
      </c>
      <c r="I1096" s="25">
        <f t="shared" si="183"/>
        <v>7759691599</v>
      </c>
      <c r="J1096" s="25">
        <f t="shared" si="183"/>
        <v>0</v>
      </c>
      <c r="L1096" s="29">
        <f>SUMIFS(Pivot_!C:C,Pivot_!A:A,'Hitung Per Bulan'!B1096,Pivot_!B:B,'Hitung Per Bulan'!C1096)</f>
        <v>7759691599</v>
      </c>
      <c r="M1096" s="29">
        <f>SUMIFS(Pivot_!D:D,Pivot_!A:A,'Hitung Per Bulan'!B1096,Pivot_!B:B,'Hitung Per Bulan'!C1096)</f>
        <v>0</v>
      </c>
    </row>
    <row r="1097" spans="1:16" x14ac:dyDescent="0.45">
      <c r="A1097" t="s">
        <v>12</v>
      </c>
      <c r="B1097" t="s">
        <v>39</v>
      </c>
      <c r="C1097" t="s">
        <v>9</v>
      </c>
      <c r="D1097" s="27">
        <v>0</v>
      </c>
      <c r="E1097" s="3" t="s">
        <v>41</v>
      </c>
      <c r="F1097" s="23">
        <v>0</v>
      </c>
      <c r="G1097" s="3" t="s">
        <v>41</v>
      </c>
      <c r="I1097" s="25" t="str">
        <f t="shared" si="183"/>
        <v/>
      </c>
      <c r="J1097" s="25" t="str">
        <f t="shared" si="183"/>
        <v/>
      </c>
      <c r="L1097" s="29"/>
      <c r="M1097" s="29"/>
      <c r="O1097" s="72"/>
      <c r="P1097" s="72"/>
    </row>
    <row r="1098" spans="1:16" x14ac:dyDescent="0.45">
      <c r="A1098" t="s">
        <v>13</v>
      </c>
      <c r="B1098" t="s">
        <v>39</v>
      </c>
      <c r="C1098" t="s">
        <v>9</v>
      </c>
      <c r="D1098" s="27">
        <v>0</v>
      </c>
      <c r="E1098" s="3" t="s">
        <v>41</v>
      </c>
      <c r="F1098" s="23">
        <v>0</v>
      </c>
      <c r="G1098" s="3" t="s">
        <v>41</v>
      </c>
      <c r="I1098" s="25" t="str">
        <f t="shared" si="183"/>
        <v/>
      </c>
      <c r="J1098" s="25" t="str">
        <f t="shared" si="183"/>
        <v/>
      </c>
      <c r="L1098" s="3"/>
      <c r="M1098" s="3"/>
    </row>
    <row r="1099" spans="1:16" x14ac:dyDescent="0.45">
      <c r="A1099" t="s">
        <v>14</v>
      </c>
      <c r="B1099" t="s">
        <v>39</v>
      </c>
      <c r="C1099" t="s">
        <v>9</v>
      </c>
      <c r="D1099" s="27">
        <v>0</v>
      </c>
      <c r="E1099" s="3" t="s">
        <v>41</v>
      </c>
      <c r="F1099" s="23">
        <v>0</v>
      </c>
      <c r="G1099" s="3" t="s">
        <v>41</v>
      </c>
      <c r="I1099" s="25" t="str">
        <f t="shared" si="183"/>
        <v/>
      </c>
      <c r="J1099" s="25" t="str">
        <f t="shared" si="183"/>
        <v/>
      </c>
      <c r="L1099" s="3"/>
      <c r="M1099" s="3"/>
    </row>
    <row r="1100" spans="1:16" x14ac:dyDescent="0.45">
      <c r="A1100" t="s">
        <v>15</v>
      </c>
      <c r="B1100" t="s">
        <v>39</v>
      </c>
      <c r="C1100" t="s">
        <v>9</v>
      </c>
      <c r="D1100" s="27">
        <v>0</v>
      </c>
      <c r="E1100" s="3" t="s">
        <v>41</v>
      </c>
      <c r="F1100" s="23">
        <v>0</v>
      </c>
      <c r="G1100" s="3" t="s">
        <v>41</v>
      </c>
      <c r="I1100" s="25" t="str">
        <f t="shared" si="183"/>
        <v/>
      </c>
      <c r="J1100" s="25" t="str">
        <f t="shared" si="183"/>
        <v/>
      </c>
      <c r="L1100" s="3"/>
      <c r="M1100" s="3"/>
    </row>
    <row r="1101" spans="1:16" x14ac:dyDescent="0.45">
      <c r="A1101" t="s">
        <v>16</v>
      </c>
      <c r="B1101" t="s">
        <v>39</v>
      </c>
      <c r="C1101" t="s">
        <v>9</v>
      </c>
      <c r="D1101" s="27">
        <v>0</v>
      </c>
      <c r="E1101" s="3" t="s">
        <v>41</v>
      </c>
      <c r="F1101" s="23">
        <v>0</v>
      </c>
      <c r="G1101" s="3" t="s">
        <v>41</v>
      </c>
      <c r="I1101" s="25" t="str">
        <f t="shared" si="183"/>
        <v/>
      </c>
      <c r="J1101" s="25" t="str">
        <f t="shared" si="183"/>
        <v/>
      </c>
      <c r="L1101" s="3"/>
      <c r="M1101" s="3"/>
    </row>
    <row r="1102" spans="1:16" x14ac:dyDescent="0.45">
      <c r="A1102" t="s">
        <v>17</v>
      </c>
      <c r="B1102" t="s">
        <v>39</v>
      </c>
      <c r="C1102" t="s">
        <v>9</v>
      </c>
      <c r="D1102" s="27">
        <v>0</v>
      </c>
      <c r="E1102" s="3" t="s">
        <v>41</v>
      </c>
      <c r="F1102" s="23">
        <v>0</v>
      </c>
      <c r="G1102" s="3" t="s">
        <v>41</v>
      </c>
      <c r="I1102" s="25" t="str">
        <f t="shared" si="183"/>
        <v/>
      </c>
      <c r="J1102" s="25" t="str">
        <f t="shared" si="183"/>
        <v/>
      </c>
      <c r="L1102" s="3"/>
      <c r="M1102" s="3"/>
    </row>
    <row r="1103" spans="1:16" x14ac:dyDescent="0.45">
      <c r="A1103" t="s">
        <v>18</v>
      </c>
      <c r="B1103" t="s">
        <v>39</v>
      </c>
      <c r="C1103" t="s">
        <v>9</v>
      </c>
      <c r="D1103" s="27">
        <v>0</v>
      </c>
      <c r="E1103" s="3" t="s">
        <v>41</v>
      </c>
      <c r="F1103" s="23">
        <v>0</v>
      </c>
      <c r="G1103" s="3" t="s">
        <v>41</v>
      </c>
      <c r="I1103" s="25" t="str">
        <f t="shared" ref="I1103:J1165" si="194">IF(L1103="","",L1103-L1102)</f>
        <v/>
      </c>
      <c r="J1103" s="25" t="str">
        <f t="shared" si="194"/>
        <v/>
      </c>
      <c r="L1103" s="3"/>
      <c r="M1103" s="3"/>
    </row>
    <row r="1104" spans="1:16" x14ac:dyDescent="0.45">
      <c r="A1104" t="s">
        <v>19</v>
      </c>
      <c r="B1104" t="s">
        <v>39</v>
      </c>
      <c r="C1104" t="s">
        <v>9</v>
      </c>
      <c r="D1104" s="27">
        <v>0</v>
      </c>
      <c r="E1104" s="3" t="s">
        <v>41</v>
      </c>
      <c r="F1104" s="23">
        <v>0</v>
      </c>
      <c r="G1104" s="3" t="s">
        <v>41</v>
      </c>
      <c r="I1104" s="25" t="str">
        <f t="shared" si="194"/>
        <v/>
      </c>
      <c r="J1104" s="25" t="str">
        <f t="shared" si="194"/>
        <v/>
      </c>
      <c r="L1104" s="3"/>
      <c r="M1104" s="3"/>
    </row>
    <row r="1105" spans="1:16" x14ac:dyDescent="0.45">
      <c r="A1105" t="s">
        <v>20</v>
      </c>
      <c r="B1105" t="s">
        <v>39</v>
      </c>
      <c r="C1105" t="s">
        <v>9</v>
      </c>
      <c r="D1105" s="27">
        <v>0</v>
      </c>
      <c r="E1105" s="3" t="s">
        <v>41</v>
      </c>
      <c r="F1105" s="23">
        <v>0</v>
      </c>
      <c r="G1105" s="3" t="s">
        <v>41</v>
      </c>
      <c r="I1105" s="25" t="str">
        <f t="shared" si="194"/>
        <v/>
      </c>
      <c r="J1105" s="25" t="str">
        <f t="shared" si="194"/>
        <v/>
      </c>
      <c r="L1105" s="3"/>
      <c r="M1105" s="3"/>
    </row>
    <row r="1106" spans="1:16" x14ac:dyDescent="0.45">
      <c r="A1106" t="s">
        <v>7</v>
      </c>
      <c r="B1106" t="s">
        <v>39</v>
      </c>
      <c r="C1106" t="s">
        <v>21</v>
      </c>
      <c r="D1106" s="27">
        <v>781668000</v>
      </c>
      <c r="E1106" s="3">
        <v>4033286500</v>
      </c>
      <c r="F1106" s="23">
        <v>0</v>
      </c>
      <c r="G1106" s="3">
        <v>0</v>
      </c>
      <c r="I1106" s="22">
        <f t="shared" ref="I1106:J1106" si="195">IF(L1106="","",L1106)</f>
        <v>4033286500</v>
      </c>
      <c r="J1106" s="22">
        <f t="shared" si="195"/>
        <v>0</v>
      </c>
      <c r="L1106" s="3">
        <v>4033286500</v>
      </c>
      <c r="M1106" s="3">
        <v>0</v>
      </c>
    </row>
    <row r="1107" spans="1:16" x14ac:dyDescent="0.45">
      <c r="A1107" t="s">
        <v>10</v>
      </c>
      <c r="B1107" t="s">
        <v>39</v>
      </c>
      <c r="C1107" t="s">
        <v>21</v>
      </c>
      <c r="D1107" s="28">
        <v>660000000</v>
      </c>
      <c r="E1107" s="4">
        <v>4210736952</v>
      </c>
      <c r="F1107" s="24">
        <v>80000000</v>
      </c>
      <c r="G1107" s="4">
        <v>96556000</v>
      </c>
      <c r="I1107" s="25">
        <f t="shared" ref="I1107:J1107" si="196">IF(L1107="","",L1107-L1106)</f>
        <v>4210736952</v>
      </c>
      <c r="J1107" s="25">
        <f t="shared" si="196"/>
        <v>96556000</v>
      </c>
      <c r="L1107" s="4">
        <v>8244023452</v>
      </c>
      <c r="M1107" s="4">
        <v>96556000</v>
      </c>
    </row>
    <row r="1108" spans="1:16" x14ac:dyDescent="0.45">
      <c r="A1108" t="s">
        <v>11</v>
      </c>
      <c r="B1108" t="s">
        <v>39</v>
      </c>
      <c r="C1108" t="s">
        <v>21</v>
      </c>
      <c r="D1108" s="27">
        <v>997950000</v>
      </c>
      <c r="E1108" s="3">
        <v>271010715</v>
      </c>
      <c r="F1108" s="23">
        <v>90000000</v>
      </c>
      <c r="G1108" s="3">
        <v>104836248</v>
      </c>
      <c r="I1108" s="25">
        <f t="shared" si="194"/>
        <v>-2392957906</v>
      </c>
      <c r="J1108" s="25">
        <f t="shared" si="194"/>
        <v>347918748</v>
      </c>
      <c r="L1108" s="29">
        <f>SUMIFS(Pivot_!C:C,Pivot_!A:A,'Hitung Per Bulan'!B1108,Pivot_!B:B,'Hitung Per Bulan'!C1108)</f>
        <v>5851065546</v>
      </c>
      <c r="M1108" s="29">
        <f>SUMIFS(Pivot_!D:D,Pivot_!A:A,'Hitung Per Bulan'!B1108,Pivot_!B:B,'Hitung Per Bulan'!C1108)</f>
        <v>444474748</v>
      </c>
    </row>
    <row r="1109" spans="1:16" x14ac:dyDescent="0.45">
      <c r="A1109" t="s">
        <v>12</v>
      </c>
      <c r="B1109" t="s">
        <v>39</v>
      </c>
      <c r="C1109" t="s">
        <v>21</v>
      </c>
      <c r="D1109" s="27">
        <v>12352032000</v>
      </c>
      <c r="E1109" s="3" t="s">
        <v>41</v>
      </c>
      <c r="F1109" s="23">
        <v>300000000</v>
      </c>
      <c r="G1109" s="3" t="s">
        <v>41</v>
      </c>
      <c r="I1109" s="25" t="str">
        <f t="shared" si="194"/>
        <v/>
      </c>
      <c r="J1109" s="25" t="str">
        <f t="shared" si="194"/>
        <v/>
      </c>
      <c r="L1109" s="29"/>
      <c r="M1109" s="29"/>
      <c r="O1109" s="72"/>
      <c r="P1109" s="72"/>
    </row>
    <row r="1110" spans="1:16" x14ac:dyDescent="0.45">
      <c r="A1110" t="s">
        <v>13</v>
      </c>
      <c r="B1110" t="s">
        <v>39</v>
      </c>
      <c r="C1110" t="s">
        <v>21</v>
      </c>
      <c r="D1110" s="27">
        <v>2505262000</v>
      </c>
      <c r="E1110" s="3" t="s">
        <v>41</v>
      </c>
      <c r="F1110" s="23">
        <v>288400000</v>
      </c>
      <c r="G1110" s="3" t="s">
        <v>41</v>
      </c>
      <c r="I1110" s="25" t="str">
        <f t="shared" si="194"/>
        <v/>
      </c>
      <c r="J1110" s="25" t="str">
        <f t="shared" si="194"/>
        <v/>
      </c>
      <c r="L1110" s="3"/>
      <c r="M1110" s="3"/>
    </row>
    <row r="1111" spans="1:16" x14ac:dyDescent="0.45">
      <c r="A1111" t="s">
        <v>14</v>
      </c>
      <c r="B1111" t="s">
        <v>39</v>
      </c>
      <c r="C1111" t="s">
        <v>21</v>
      </c>
      <c r="D1111" s="27">
        <v>2623666000</v>
      </c>
      <c r="E1111" s="3" t="s">
        <v>41</v>
      </c>
      <c r="F1111" s="23">
        <v>1190651000</v>
      </c>
      <c r="G1111" s="3" t="s">
        <v>41</v>
      </c>
      <c r="I1111" s="25" t="str">
        <f t="shared" si="194"/>
        <v/>
      </c>
      <c r="J1111" s="25" t="str">
        <f t="shared" si="194"/>
        <v/>
      </c>
      <c r="L1111" s="3"/>
      <c r="M1111" s="3"/>
    </row>
    <row r="1112" spans="1:16" x14ac:dyDescent="0.45">
      <c r="A1112" t="s">
        <v>15</v>
      </c>
      <c r="B1112" t="s">
        <v>39</v>
      </c>
      <c r="C1112" t="s">
        <v>21</v>
      </c>
      <c r="D1112" s="27">
        <v>1447500000</v>
      </c>
      <c r="E1112" s="3" t="s">
        <v>41</v>
      </c>
      <c r="F1112" s="23">
        <v>680000000</v>
      </c>
      <c r="G1112" s="3" t="s">
        <v>41</v>
      </c>
      <c r="I1112" s="25" t="str">
        <f t="shared" si="194"/>
        <v/>
      </c>
      <c r="J1112" s="25" t="str">
        <f t="shared" si="194"/>
        <v/>
      </c>
      <c r="L1112" s="3"/>
      <c r="M1112" s="3"/>
    </row>
    <row r="1113" spans="1:16" x14ac:dyDescent="0.45">
      <c r="A1113" t="s">
        <v>16</v>
      </c>
      <c r="B1113" t="s">
        <v>39</v>
      </c>
      <c r="C1113" t="s">
        <v>21</v>
      </c>
      <c r="D1113" s="27">
        <v>1655000000</v>
      </c>
      <c r="E1113" s="3" t="s">
        <v>41</v>
      </c>
      <c r="F1113" s="23">
        <v>3524356000</v>
      </c>
      <c r="G1113" s="3" t="s">
        <v>41</v>
      </c>
      <c r="I1113" s="25" t="str">
        <f t="shared" si="194"/>
        <v/>
      </c>
      <c r="J1113" s="25" t="str">
        <f t="shared" si="194"/>
        <v/>
      </c>
      <c r="L1113" s="3"/>
      <c r="M1113" s="3"/>
    </row>
    <row r="1114" spans="1:16" x14ac:dyDescent="0.45">
      <c r="A1114" t="s">
        <v>17</v>
      </c>
      <c r="B1114" t="s">
        <v>39</v>
      </c>
      <c r="C1114" t="s">
        <v>21</v>
      </c>
      <c r="D1114" s="27">
        <v>2324500000</v>
      </c>
      <c r="E1114" s="3" t="s">
        <v>41</v>
      </c>
      <c r="F1114" s="23">
        <v>3769450000</v>
      </c>
      <c r="G1114" s="3" t="s">
        <v>41</v>
      </c>
      <c r="I1114" s="25" t="str">
        <f t="shared" si="194"/>
        <v/>
      </c>
      <c r="J1114" s="25" t="str">
        <f t="shared" si="194"/>
        <v/>
      </c>
      <c r="L1114" s="3"/>
      <c r="M1114" s="3"/>
    </row>
    <row r="1115" spans="1:16" x14ac:dyDescent="0.45">
      <c r="A1115" t="s">
        <v>18</v>
      </c>
      <c r="B1115" t="s">
        <v>39</v>
      </c>
      <c r="C1115" t="s">
        <v>21</v>
      </c>
      <c r="D1115" s="27">
        <v>2065000000</v>
      </c>
      <c r="E1115" s="3" t="s">
        <v>41</v>
      </c>
      <c r="F1115" s="23">
        <v>9580221000</v>
      </c>
      <c r="G1115" s="3" t="s">
        <v>41</v>
      </c>
      <c r="I1115" s="25" t="str">
        <f t="shared" si="194"/>
        <v/>
      </c>
      <c r="J1115" s="25" t="str">
        <f t="shared" si="194"/>
        <v/>
      </c>
      <c r="L1115" s="3"/>
      <c r="M1115" s="3"/>
    </row>
    <row r="1116" spans="1:16" x14ac:dyDescent="0.45">
      <c r="A1116" t="s">
        <v>19</v>
      </c>
      <c r="B1116" t="s">
        <v>39</v>
      </c>
      <c r="C1116" t="s">
        <v>21</v>
      </c>
      <c r="D1116" s="27">
        <v>349900000</v>
      </c>
      <c r="E1116" s="3" t="s">
        <v>41</v>
      </c>
      <c r="F1116" s="23">
        <v>2624900000</v>
      </c>
      <c r="G1116" s="3" t="s">
        <v>41</v>
      </c>
      <c r="I1116" s="25" t="str">
        <f t="shared" si="194"/>
        <v/>
      </c>
      <c r="J1116" s="25" t="str">
        <f t="shared" si="194"/>
        <v/>
      </c>
      <c r="L1116" s="3"/>
      <c r="M1116" s="3"/>
    </row>
    <row r="1117" spans="1:16" x14ac:dyDescent="0.45">
      <c r="A1117" t="s">
        <v>20</v>
      </c>
      <c r="B1117" t="s">
        <v>39</v>
      </c>
      <c r="C1117" t="s">
        <v>21</v>
      </c>
      <c r="D1117" s="27">
        <v>230000000</v>
      </c>
      <c r="E1117" s="3" t="s">
        <v>41</v>
      </c>
      <c r="F1117" s="23">
        <v>5864500000</v>
      </c>
      <c r="G1117" s="3" t="s">
        <v>41</v>
      </c>
      <c r="I1117" s="25" t="str">
        <f t="shared" si="194"/>
        <v/>
      </c>
      <c r="J1117" s="25" t="str">
        <f t="shared" si="194"/>
        <v/>
      </c>
      <c r="L1117" s="3"/>
      <c r="M1117" s="3"/>
    </row>
    <row r="1118" spans="1:16" x14ac:dyDescent="0.45">
      <c r="A1118" t="s">
        <v>7</v>
      </c>
      <c r="B1118" t="s">
        <v>39</v>
      </c>
      <c r="C1118" t="s">
        <v>22</v>
      </c>
      <c r="D1118" s="27">
        <v>0</v>
      </c>
      <c r="E1118" s="3">
        <v>82800000</v>
      </c>
      <c r="F1118" s="23">
        <v>0</v>
      </c>
      <c r="G1118" s="3">
        <v>0</v>
      </c>
      <c r="I1118" s="22">
        <f t="shared" ref="I1118:J1118" si="197">IF(L1118="","",L1118)</f>
        <v>82800000</v>
      </c>
      <c r="J1118" s="22">
        <f t="shared" si="197"/>
        <v>0</v>
      </c>
      <c r="L1118" s="3">
        <v>82800000</v>
      </c>
      <c r="M1118" s="3">
        <v>0</v>
      </c>
    </row>
    <row r="1119" spans="1:16" x14ac:dyDescent="0.45">
      <c r="A1119" t="s">
        <v>10</v>
      </c>
      <c r="B1119" t="s">
        <v>39</v>
      </c>
      <c r="C1119" t="s">
        <v>22</v>
      </c>
      <c r="D1119" s="28">
        <v>254037000</v>
      </c>
      <c r="E1119" s="4">
        <v>45540000</v>
      </c>
      <c r="F1119" s="24">
        <v>0</v>
      </c>
      <c r="G1119" s="4">
        <v>82800000</v>
      </c>
      <c r="I1119" s="25">
        <f t="shared" ref="I1119:J1119" si="198">IF(L1119="","",L1119-L1118)</f>
        <v>45540000</v>
      </c>
      <c r="J1119" s="25">
        <f t="shared" si="198"/>
        <v>82800000</v>
      </c>
      <c r="L1119" s="4">
        <v>128340000</v>
      </c>
      <c r="M1119" s="4">
        <v>82800000</v>
      </c>
    </row>
    <row r="1120" spans="1:16" x14ac:dyDescent="0.45">
      <c r="A1120" t="s">
        <v>11</v>
      </c>
      <c r="B1120" t="s">
        <v>39</v>
      </c>
      <c r="C1120" t="s">
        <v>22</v>
      </c>
      <c r="D1120" s="27">
        <v>0</v>
      </c>
      <c r="E1120" s="3">
        <v>20325000</v>
      </c>
      <c r="F1120" s="23">
        <v>254037000</v>
      </c>
      <c r="G1120" s="3">
        <v>45540000</v>
      </c>
      <c r="I1120" s="25">
        <f t="shared" si="194"/>
        <v>34825000</v>
      </c>
      <c r="J1120" s="25">
        <f t="shared" si="194"/>
        <v>45540000</v>
      </c>
      <c r="L1120" s="29">
        <f>SUMIFS(Pivot_!C:C,Pivot_!A:A,'Hitung Per Bulan'!B1120,Pivot_!B:B,'Hitung Per Bulan'!C1120)</f>
        <v>163165000</v>
      </c>
      <c r="M1120" s="29">
        <f>SUMIFS(Pivot_!D:D,Pivot_!A:A,'Hitung Per Bulan'!B1120,Pivot_!B:B,'Hitung Per Bulan'!C1120)</f>
        <v>128340000</v>
      </c>
    </row>
    <row r="1121" spans="1:16" x14ac:dyDescent="0.45">
      <c r="A1121" t="s">
        <v>12</v>
      </c>
      <c r="B1121" t="s">
        <v>39</v>
      </c>
      <c r="C1121" t="s">
        <v>22</v>
      </c>
      <c r="D1121" s="27">
        <v>0</v>
      </c>
      <c r="E1121" s="3" t="s">
        <v>41</v>
      </c>
      <c r="F1121" s="23">
        <v>0</v>
      </c>
      <c r="G1121" s="3" t="s">
        <v>41</v>
      </c>
      <c r="I1121" s="25" t="str">
        <f t="shared" si="194"/>
        <v/>
      </c>
      <c r="J1121" s="25" t="str">
        <f t="shared" si="194"/>
        <v/>
      </c>
      <c r="L1121" s="29"/>
      <c r="M1121" s="29"/>
      <c r="O1121" s="72"/>
      <c r="P1121" s="72"/>
    </row>
    <row r="1122" spans="1:16" x14ac:dyDescent="0.45">
      <c r="A1122" t="s">
        <v>13</v>
      </c>
      <c r="B1122" t="s">
        <v>39</v>
      </c>
      <c r="C1122" t="s">
        <v>22</v>
      </c>
      <c r="D1122" s="27">
        <v>254037000</v>
      </c>
      <c r="E1122" s="3" t="s">
        <v>41</v>
      </c>
      <c r="F1122" s="23">
        <v>0</v>
      </c>
      <c r="G1122" s="3" t="s">
        <v>41</v>
      </c>
      <c r="I1122" s="25" t="str">
        <f t="shared" si="194"/>
        <v/>
      </c>
      <c r="J1122" s="25" t="str">
        <f t="shared" si="194"/>
        <v/>
      </c>
      <c r="L1122" s="3"/>
      <c r="M1122" s="3"/>
    </row>
    <row r="1123" spans="1:16" x14ac:dyDescent="0.45">
      <c r="A1123" t="s">
        <v>14</v>
      </c>
      <c r="B1123" t="s">
        <v>39</v>
      </c>
      <c r="C1123" t="s">
        <v>22</v>
      </c>
      <c r="D1123" s="27">
        <v>0</v>
      </c>
      <c r="E1123" s="3" t="s">
        <v>41</v>
      </c>
      <c r="F1123" s="23">
        <v>254037000</v>
      </c>
      <c r="G1123" s="3" t="s">
        <v>41</v>
      </c>
      <c r="I1123" s="25" t="str">
        <f t="shared" si="194"/>
        <v/>
      </c>
      <c r="J1123" s="25" t="str">
        <f t="shared" si="194"/>
        <v/>
      </c>
      <c r="L1123" s="3"/>
      <c r="M1123" s="3"/>
    </row>
    <row r="1124" spans="1:16" x14ac:dyDescent="0.45">
      <c r="A1124" t="s">
        <v>15</v>
      </c>
      <c r="B1124" t="s">
        <v>39</v>
      </c>
      <c r="C1124" t="s">
        <v>22</v>
      </c>
      <c r="D1124" s="27">
        <v>0</v>
      </c>
      <c r="E1124" s="3" t="s">
        <v>41</v>
      </c>
      <c r="F1124" s="23">
        <v>0</v>
      </c>
      <c r="G1124" s="3" t="s">
        <v>41</v>
      </c>
      <c r="I1124" s="25" t="str">
        <f t="shared" si="194"/>
        <v/>
      </c>
      <c r="J1124" s="25" t="str">
        <f t="shared" si="194"/>
        <v/>
      </c>
      <c r="L1124" s="3"/>
      <c r="M1124" s="3"/>
    </row>
    <row r="1125" spans="1:16" x14ac:dyDescent="0.45">
      <c r="A1125" t="s">
        <v>16</v>
      </c>
      <c r="B1125" t="s">
        <v>39</v>
      </c>
      <c r="C1125" t="s">
        <v>22</v>
      </c>
      <c r="D1125" s="27">
        <v>254037000</v>
      </c>
      <c r="E1125" s="3" t="s">
        <v>41</v>
      </c>
      <c r="F1125" s="23">
        <v>0</v>
      </c>
      <c r="G1125" s="3" t="s">
        <v>41</v>
      </c>
      <c r="I1125" s="25" t="str">
        <f t="shared" si="194"/>
        <v/>
      </c>
      <c r="J1125" s="25" t="str">
        <f t="shared" si="194"/>
        <v/>
      </c>
      <c r="L1125" s="3"/>
      <c r="M1125" s="3"/>
    </row>
    <row r="1126" spans="1:16" x14ac:dyDescent="0.45">
      <c r="A1126" t="s">
        <v>17</v>
      </c>
      <c r="B1126" t="s">
        <v>39</v>
      </c>
      <c r="C1126" t="s">
        <v>22</v>
      </c>
      <c r="D1126" s="27">
        <v>0</v>
      </c>
      <c r="E1126" s="3" t="s">
        <v>41</v>
      </c>
      <c r="F1126" s="23">
        <v>254037000</v>
      </c>
      <c r="G1126" s="3" t="s">
        <v>41</v>
      </c>
      <c r="I1126" s="25" t="str">
        <f t="shared" si="194"/>
        <v/>
      </c>
      <c r="J1126" s="25" t="str">
        <f t="shared" si="194"/>
        <v/>
      </c>
      <c r="L1126" s="3"/>
      <c r="M1126" s="3"/>
    </row>
    <row r="1127" spans="1:16" x14ac:dyDescent="0.45">
      <c r="A1127" t="s">
        <v>18</v>
      </c>
      <c r="B1127" t="s">
        <v>39</v>
      </c>
      <c r="C1127" t="s">
        <v>22</v>
      </c>
      <c r="D1127" s="27">
        <v>0</v>
      </c>
      <c r="E1127" s="3" t="s">
        <v>41</v>
      </c>
      <c r="F1127" s="23">
        <v>0</v>
      </c>
      <c r="G1127" s="3" t="s">
        <v>41</v>
      </c>
      <c r="I1127" s="25" t="str">
        <f t="shared" si="194"/>
        <v/>
      </c>
      <c r="J1127" s="25" t="str">
        <f t="shared" si="194"/>
        <v/>
      </c>
      <c r="L1127" s="3"/>
      <c r="M1127" s="3"/>
    </row>
    <row r="1128" spans="1:16" x14ac:dyDescent="0.45">
      <c r="A1128" t="s">
        <v>19</v>
      </c>
      <c r="B1128" t="s">
        <v>39</v>
      </c>
      <c r="C1128" t="s">
        <v>22</v>
      </c>
      <c r="D1128" s="27">
        <v>254039000</v>
      </c>
      <c r="E1128" s="3" t="s">
        <v>41</v>
      </c>
      <c r="F1128" s="23">
        <v>0</v>
      </c>
      <c r="G1128" s="3" t="s">
        <v>41</v>
      </c>
      <c r="I1128" s="25" t="str">
        <f t="shared" si="194"/>
        <v/>
      </c>
      <c r="J1128" s="25" t="str">
        <f t="shared" si="194"/>
        <v/>
      </c>
      <c r="L1128" s="3"/>
      <c r="M1128" s="3"/>
    </row>
    <row r="1129" spans="1:16" x14ac:dyDescent="0.45">
      <c r="A1129" t="s">
        <v>20</v>
      </c>
      <c r="B1129" t="s">
        <v>39</v>
      </c>
      <c r="C1129" t="s">
        <v>22</v>
      </c>
      <c r="D1129" s="27">
        <v>0</v>
      </c>
      <c r="E1129" s="3" t="s">
        <v>41</v>
      </c>
      <c r="F1129" s="23">
        <v>254039000</v>
      </c>
      <c r="G1129" s="3" t="s">
        <v>41</v>
      </c>
      <c r="I1129" s="25" t="str">
        <f t="shared" si="194"/>
        <v/>
      </c>
      <c r="J1129" s="25" t="str">
        <f t="shared" si="194"/>
        <v/>
      </c>
      <c r="L1129" s="3"/>
      <c r="M1129" s="3"/>
    </row>
    <row r="1130" spans="1:16" x14ac:dyDescent="0.45">
      <c r="A1130" t="s">
        <v>7</v>
      </c>
      <c r="B1130" t="s">
        <v>39</v>
      </c>
      <c r="C1130" t="s">
        <v>23</v>
      </c>
      <c r="D1130" s="27">
        <v>0</v>
      </c>
      <c r="E1130" s="3">
        <v>0</v>
      </c>
      <c r="F1130" s="23">
        <v>0</v>
      </c>
      <c r="G1130" s="3">
        <v>0</v>
      </c>
      <c r="I1130" s="22">
        <f t="shared" ref="I1130:J1130" si="199">IF(L1130="","",L1130)</f>
        <v>0</v>
      </c>
      <c r="J1130" s="22">
        <f t="shared" si="199"/>
        <v>0</v>
      </c>
      <c r="L1130" s="3">
        <v>0</v>
      </c>
      <c r="M1130" s="3">
        <v>0</v>
      </c>
    </row>
    <row r="1131" spans="1:16" x14ac:dyDescent="0.45">
      <c r="A1131" t="s">
        <v>10</v>
      </c>
      <c r="B1131" t="s">
        <v>39</v>
      </c>
      <c r="C1131" t="s">
        <v>23</v>
      </c>
      <c r="D1131" s="28">
        <v>0</v>
      </c>
      <c r="E1131" s="4">
        <v>12720000</v>
      </c>
      <c r="F1131" s="24">
        <v>0</v>
      </c>
      <c r="G1131" s="4">
        <v>0</v>
      </c>
      <c r="I1131" s="25">
        <f t="shared" ref="I1131:J1131" si="200">IF(L1131="","",L1131-L1130)</f>
        <v>12720000</v>
      </c>
      <c r="J1131" s="25">
        <f t="shared" si="200"/>
        <v>0</v>
      </c>
      <c r="L1131" s="4">
        <v>12720000</v>
      </c>
      <c r="M1131" s="4">
        <v>0</v>
      </c>
    </row>
    <row r="1132" spans="1:16" x14ac:dyDescent="0.45">
      <c r="A1132" t="s">
        <v>11</v>
      </c>
      <c r="B1132" t="s">
        <v>39</v>
      </c>
      <c r="C1132" t="s">
        <v>23</v>
      </c>
      <c r="D1132" s="27">
        <v>0</v>
      </c>
      <c r="E1132" s="3">
        <v>0</v>
      </c>
      <c r="F1132" s="23">
        <v>0</v>
      </c>
      <c r="G1132" s="3">
        <v>0</v>
      </c>
      <c r="I1132" s="25">
        <f t="shared" si="194"/>
        <v>0</v>
      </c>
      <c r="J1132" s="25">
        <f t="shared" si="194"/>
        <v>12720000</v>
      </c>
      <c r="L1132" s="29">
        <f>SUMIFS(Pivot_!C:C,Pivot_!A:A,'Hitung Per Bulan'!B1132,Pivot_!B:B,'Hitung Per Bulan'!C1132)</f>
        <v>12720000</v>
      </c>
      <c r="M1132" s="29">
        <f>SUMIFS(Pivot_!D:D,Pivot_!A:A,'Hitung Per Bulan'!B1132,Pivot_!B:B,'Hitung Per Bulan'!C1132)</f>
        <v>12720000</v>
      </c>
    </row>
    <row r="1133" spans="1:16" x14ac:dyDescent="0.45">
      <c r="A1133" t="s">
        <v>12</v>
      </c>
      <c r="B1133" t="s">
        <v>39</v>
      </c>
      <c r="C1133" t="s">
        <v>23</v>
      </c>
      <c r="D1133" s="27">
        <v>0</v>
      </c>
      <c r="E1133" s="3" t="s">
        <v>41</v>
      </c>
      <c r="F1133" s="23">
        <v>0</v>
      </c>
      <c r="G1133" s="3" t="s">
        <v>41</v>
      </c>
      <c r="I1133" s="25" t="str">
        <f t="shared" si="194"/>
        <v/>
      </c>
      <c r="J1133" s="25" t="str">
        <f t="shared" si="194"/>
        <v/>
      </c>
      <c r="L1133" s="29"/>
      <c r="M1133" s="29"/>
      <c r="O1133" s="72"/>
      <c r="P1133" s="72"/>
    </row>
    <row r="1134" spans="1:16" x14ac:dyDescent="0.45">
      <c r="A1134" t="s">
        <v>13</v>
      </c>
      <c r="B1134" t="s">
        <v>39</v>
      </c>
      <c r="C1134" t="s">
        <v>23</v>
      </c>
      <c r="D1134" s="27">
        <v>0</v>
      </c>
      <c r="E1134" s="3" t="s">
        <v>41</v>
      </c>
      <c r="F1134" s="23">
        <v>0</v>
      </c>
      <c r="G1134" s="3" t="s">
        <v>41</v>
      </c>
      <c r="I1134" s="25" t="str">
        <f t="shared" si="194"/>
        <v/>
      </c>
      <c r="J1134" s="25" t="str">
        <f t="shared" si="194"/>
        <v/>
      </c>
      <c r="L1134" s="3"/>
      <c r="M1134" s="3"/>
    </row>
    <row r="1135" spans="1:16" x14ac:dyDescent="0.45">
      <c r="A1135" t="s">
        <v>14</v>
      </c>
      <c r="B1135" t="s">
        <v>39</v>
      </c>
      <c r="C1135" t="s">
        <v>23</v>
      </c>
      <c r="D1135" s="27">
        <v>0</v>
      </c>
      <c r="E1135" s="3" t="s">
        <v>41</v>
      </c>
      <c r="F1135" s="23">
        <v>0</v>
      </c>
      <c r="G1135" s="3" t="s">
        <v>41</v>
      </c>
      <c r="I1135" s="25" t="str">
        <f t="shared" si="194"/>
        <v/>
      </c>
      <c r="J1135" s="25" t="str">
        <f t="shared" si="194"/>
        <v/>
      </c>
      <c r="L1135" s="3"/>
      <c r="M1135" s="3"/>
    </row>
    <row r="1136" spans="1:16" x14ac:dyDescent="0.45">
      <c r="A1136" t="s">
        <v>15</v>
      </c>
      <c r="B1136" t="s">
        <v>39</v>
      </c>
      <c r="C1136" t="s">
        <v>23</v>
      </c>
      <c r="D1136" s="27">
        <v>50000000</v>
      </c>
      <c r="E1136" s="3" t="s">
        <v>41</v>
      </c>
      <c r="F1136" s="23">
        <v>0</v>
      </c>
      <c r="G1136" s="3" t="s">
        <v>41</v>
      </c>
      <c r="I1136" s="25" t="str">
        <f t="shared" si="194"/>
        <v/>
      </c>
      <c r="J1136" s="25" t="str">
        <f t="shared" si="194"/>
        <v/>
      </c>
      <c r="L1136" s="3"/>
      <c r="M1136" s="3"/>
    </row>
    <row r="1137" spans="1:16" x14ac:dyDescent="0.45">
      <c r="A1137" t="s">
        <v>16</v>
      </c>
      <c r="B1137" t="s">
        <v>39</v>
      </c>
      <c r="C1137" t="s">
        <v>23</v>
      </c>
      <c r="D1137" s="27">
        <v>0</v>
      </c>
      <c r="E1137" s="3" t="s">
        <v>41</v>
      </c>
      <c r="F1137" s="23">
        <v>50000000</v>
      </c>
      <c r="G1137" s="3" t="s">
        <v>41</v>
      </c>
      <c r="I1137" s="25" t="str">
        <f t="shared" si="194"/>
        <v/>
      </c>
      <c r="J1137" s="25" t="str">
        <f t="shared" si="194"/>
        <v/>
      </c>
      <c r="L1137" s="3"/>
      <c r="M1137" s="3"/>
    </row>
    <row r="1138" spans="1:16" x14ac:dyDescent="0.45">
      <c r="A1138" t="s">
        <v>17</v>
      </c>
      <c r="B1138" t="s">
        <v>39</v>
      </c>
      <c r="C1138" t="s">
        <v>23</v>
      </c>
      <c r="D1138" s="27">
        <v>50000000</v>
      </c>
      <c r="E1138" s="3" t="s">
        <v>41</v>
      </c>
      <c r="F1138" s="23">
        <v>0</v>
      </c>
      <c r="G1138" s="3" t="s">
        <v>41</v>
      </c>
      <c r="I1138" s="25" t="str">
        <f t="shared" si="194"/>
        <v/>
      </c>
      <c r="J1138" s="25" t="str">
        <f t="shared" si="194"/>
        <v/>
      </c>
      <c r="L1138" s="3"/>
      <c r="M1138" s="3"/>
    </row>
    <row r="1139" spans="1:16" x14ac:dyDescent="0.45">
      <c r="A1139" t="s">
        <v>18</v>
      </c>
      <c r="B1139" t="s">
        <v>39</v>
      </c>
      <c r="C1139" t="s">
        <v>23</v>
      </c>
      <c r="D1139" s="27">
        <v>0</v>
      </c>
      <c r="E1139" s="3" t="s">
        <v>41</v>
      </c>
      <c r="F1139" s="23">
        <v>50000000</v>
      </c>
      <c r="G1139" s="3" t="s">
        <v>41</v>
      </c>
      <c r="I1139" s="25" t="str">
        <f t="shared" si="194"/>
        <v/>
      </c>
      <c r="J1139" s="25" t="str">
        <f t="shared" si="194"/>
        <v/>
      </c>
      <c r="L1139" s="3"/>
      <c r="M1139" s="3"/>
    </row>
    <row r="1140" spans="1:16" x14ac:dyDescent="0.45">
      <c r="A1140" t="s">
        <v>19</v>
      </c>
      <c r="B1140" t="s">
        <v>39</v>
      </c>
      <c r="C1140" t="s">
        <v>23</v>
      </c>
      <c r="D1140" s="27">
        <v>0</v>
      </c>
      <c r="E1140" s="3" t="s">
        <v>41</v>
      </c>
      <c r="F1140" s="23">
        <v>0</v>
      </c>
      <c r="G1140" s="3" t="s">
        <v>41</v>
      </c>
      <c r="I1140" s="25" t="str">
        <f t="shared" si="194"/>
        <v/>
      </c>
      <c r="J1140" s="25" t="str">
        <f t="shared" si="194"/>
        <v/>
      </c>
      <c r="L1140" s="3"/>
      <c r="M1140" s="3"/>
    </row>
    <row r="1141" spans="1:16" x14ac:dyDescent="0.45">
      <c r="A1141" t="s">
        <v>20</v>
      </c>
      <c r="B1141" t="s">
        <v>39</v>
      </c>
      <c r="C1141" t="s">
        <v>23</v>
      </c>
      <c r="D1141" s="27">
        <v>0</v>
      </c>
      <c r="E1141" s="3" t="s">
        <v>41</v>
      </c>
      <c r="F1141" s="23">
        <v>0</v>
      </c>
      <c r="G1141" s="3" t="s">
        <v>41</v>
      </c>
      <c r="I1141" s="25" t="str">
        <f t="shared" si="194"/>
        <v/>
      </c>
      <c r="J1141" s="25" t="str">
        <f t="shared" si="194"/>
        <v/>
      </c>
      <c r="L1141" s="3"/>
      <c r="M1141" s="3"/>
    </row>
    <row r="1142" spans="1:16" x14ac:dyDescent="0.45">
      <c r="A1142" t="s">
        <v>7</v>
      </c>
      <c r="B1142" t="s">
        <v>39</v>
      </c>
      <c r="C1142" t="s">
        <v>24</v>
      </c>
      <c r="D1142" s="27">
        <v>0</v>
      </c>
      <c r="E1142" s="3">
        <v>0</v>
      </c>
      <c r="F1142" s="23">
        <v>0</v>
      </c>
      <c r="G1142" s="3">
        <v>0</v>
      </c>
      <c r="I1142" s="22">
        <f t="shared" ref="I1142:J1142" si="201">IF(L1142="","",L1142)</f>
        <v>0</v>
      </c>
      <c r="J1142" s="22">
        <f t="shared" si="201"/>
        <v>0</v>
      </c>
      <c r="L1142" s="3">
        <v>0</v>
      </c>
      <c r="M1142" s="3">
        <v>0</v>
      </c>
    </row>
    <row r="1143" spans="1:16" x14ac:dyDescent="0.45">
      <c r="A1143" t="s">
        <v>10</v>
      </c>
      <c r="B1143" t="s">
        <v>39</v>
      </c>
      <c r="C1143" t="s">
        <v>24</v>
      </c>
      <c r="D1143" s="28">
        <v>0</v>
      </c>
      <c r="E1143" s="4">
        <v>0</v>
      </c>
      <c r="F1143" s="24">
        <v>0</v>
      </c>
      <c r="G1143" s="4">
        <v>0</v>
      </c>
      <c r="I1143" s="25">
        <f t="shared" ref="I1143:J1143" si="202">IF(L1143="","",L1143-L1142)</f>
        <v>0</v>
      </c>
      <c r="J1143" s="25">
        <f t="shared" si="202"/>
        <v>0</v>
      </c>
      <c r="L1143" s="4">
        <v>0</v>
      </c>
      <c r="M1143" s="4">
        <v>0</v>
      </c>
    </row>
    <row r="1144" spans="1:16" x14ac:dyDescent="0.45">
      <c r="A1144" t="s">
        <v>11</v>
      </c>
      <c r="B1144" t="s">
        <v>39</v>
      </c>
      <c r="C1144" t="s">
        <v>24</v>
      </c>
      <c r="D1144" s="27">
        <v>0</v>
      </c>
      <c r="E1144" s="3">
        <v>0</v>
      </c>
      <c r="F1144" s="23">
        <v>0</v>
      </c>
      <c r="G1144" s="3">
        <v>0</v>
      </c>
      <c r="I1144" s="25">
        <f t="shared" si="194"/>
        <v>0</v>
      </c>
      <c r="J1144" s="25">
        <f t="shared" si="194"/>
        <v>0</v>
      </c>
      <c r="L1144" s="29">
        <f>SUMIFS(Pivot_!C:C,Pivot_!A:A,'Hitung Per Bulan'!B1144,Pivot_!B:B,'Hitung Per Bulan'!C1144)</f>
        <v>0</v>
      </c>
      <c r="M1144" s="29">
        <f>SUMIFS(Pivot_!D:D,Pivot_!A:A,'Hitung Per Bulan'!B1144,Pivot_!B:B,'Hitung Per Bulan'!C1144)</f>
        <v>0</v>
      </c>
    </row>
    <row r="1145" spans="1:16" x14ac:dyDescent="0.45">
      <c r="A1145" t="s">
        <v>12</v>
      </c>
      <c r="B1145" t="s">
        <v>39</v>
      </c>
      <c r="C1145" t="s">
        <v>24</v>
      </c>
      <c r="D1145" s="27">
        <v>0</v>
      </c>
      <c r="E1145" s="3" t="s">
        <v>41</v>
      </c>
      <c r="F1145" s="23">
        <v>0</v>
      </c>
      <c r="G1145" s="3" t="s">
        <v>41</v>
      </c>
      <c r="I1145" s="25" t="str">
        <f t="shared" si="194"/>
        <v/>
      </c>
      <c r="J1145" s="25" t="str">
        <f t="shared" si="194"/>
        <v/>
      </c>
      <c r="L1145" s="29"/>
      <c r="M1145" s="29"/>
      <c r="O1145" s="72"/>
      <c r="P1145" s="72"/>
    </row>
    <row r="1146" spans="1:16" x14ac:dyDescent="0.45">
      <c r="A1146" t="s">
        <v>13</v>
      </c>
      <c r="B1146" t="s">
        <v>39</v>
      </c>
      <c r="C1146" t="s">
        <v>24</v>
      </c>
      <c r="D1146" s="27">
        <v>0</v>
      </c>
      <c r="E1146" s="3" t="s">
        <v>41</v>
      </c>
      <c r="F1146" s="23">
        <v>0</v>
      </c>
      <c r="G1146" s="3" t="s">
        <v>41</v>
      </c>
      <c r="I1146" s="25" t="str">
        <f t="shared" si="194"/>
        <v/>
      </c>
      <c r="J1146" s="25" t="str">
        <f t="shared" si="194"/>
        <v/>
      </c>
      <c r="L1146" s="3"/>
      <c r="M1146" s="3"/>
    </row>
    <row r="1147" spans="1:16" x14ac:dyDescent="0.45">
      <c r="A1147" t="s">
        <v>14</v>
      </c>
      <c r="B1147" t="s">
        <v>39</v>
      </c>
      <c r="C1147" t="s">
        <v>24</v>
      </c>
      <c r="D1147" s="27">
        <v>0</v>
      </c>
      <c r="E1147" s="3" t="s">
        <v>41</v>
      </c>
      <c r="F1147" s="23">
        <v>0</v>
      </c>
      <c r="G1147" s="3" t="s">
        <v>41</v>
      </c>
      <c r="I1147" s="25" t="str">
        <f t="shared" si="194"/>
        <v/>
      </c>
      <c r="J1147" s="25" t="str">
        <f t="shared" si="194"/>
        <v/>
      </c>
      <c r="L1147" s="3"/>
      <c r="M1147" s="3"/>
    </row>
    <row r="1148" spans="1:16" x14ac:dyDescent="0.45">
      <c r="A1148" t="s">
        <v>15</v>
      </c>
      <c r="B1148" t="s">
        <v>39</v>
      </c>
      <c r="C1148" t="s">
        <v>24</v>
      </c>
      <c r="D1148" s="27">
        <v>0</v>
      </c>
      <c r="E1148" s="3" t="s">
        <v>41</v>
      </c>
      <c r="F1148" s="23">
        <v>0</v>
      </c>
      <c r="G1148" s="3" t="s">
        <v>41</v>
      </c>
      <c r="I1148" s="25" t="str">
        <f t="shared" si="194"/>
        <v/>
      </c>
      <c r="J1148" s="25" t="str">
        <f t="shared" si="194"/>
        <v/>
      </c>
      <c r="L1148" s="3"/>
      <c r="M1148" s="3"/>
    </row>
    <row r="1149" spans="1:16" x14ac:dyDescent="0.45">
      <c r="A1149" t="s">
        <v>16</v>
      </c>
      <c r="B1149" t="s">
        <v>39</v>
      </c>
      <c r="C1149" t="s">
        <v>24</v>
      </c>
      <c r="D1149" s="27">
        <v>0</v>
      </c>
      <c r="E1149" s="3" t="s">
        <v>41</v>
      </c>
      <c r="F1149" s="23">
        <v>0</v>
      </c>
      <c r="G1149" s="3" t="s">
        <v>41</v>
      </c>
      <c r="I1149" s="25" t="str">
        <f t="shared" si="194"/>
        <v/>
      </c>
      <c r="J1149" s="25" t="str">
        <f t="shared" si="194"/>
        <v/>
      </c>
      <c r="L1149" s="3"/>
      <c r="M1149" s="3"/>
    </row>
    <row r="1150" spans="1:16" x14ac:dyDescent="0.45">
      <c r="A1150" t="s">
        <v>17</v>
      </c>
      <c r="B1150" t="s">
        <v>39</v>
      </c>
      <c r="C1150" t="s">
        <v>24</v>
      </c>
      <c r="D1150" s="27">
        <v>0</v>
      </c>
      <c r="E1150" s="3" t="s">
        <v>41</v>
      </c>
      <c r="F1150" s="23">
        <v>0</v>
      </c>
      <c r="G1150" s="3" t="s">
        <v>41</v>
      </c>
      <c r="I1150" s="25" t="str">
        <f t="shared" si="194"/>
        <v/>
      </c>
      <c r="J1150" s="25" t="str">
        <f t="shared" si="194"/>
        <v/>
      </c>
      <c r="L1150" s="3"/>
      <c r="M1150" s="3"/>
    </row>
    <row r="1151" spans="1:16" x14ac:dyDescent="0.45">
      <c r="A1151" t="s">
        <v>18</v>
      </c>
      <c r="B1151" t="s">
        <v>39</v>
      </c>
      <c r="C1151" t="s">
        <v>24</v>
      </c>
      <c r="D1151" s="27">
        <v>0</v>
      </c>
      <c r="E1151" s="3" t="s">
        <v>41</v>
      </c>
      <c r="F1151" s="23">
        <v>0</v>
      </c>
      <c r="G1151" s="3" t="s">
        <v>41</v>
      </c>
      <c r="I1151" s="25" t="str">
        <f t="shared" si="194"/>
        <v/>
      </c>
      <c r="J1151" s="25" t="str">
        <f t="shared" si="194"/>
        <v/>
      </c>
      <c r="L1151" s="3"/>
      <c r="M1151" s="3"/>
    </row>
    <row r="1152" spans="1:16" x14ac:dyDescent="0.45">
      <c r="A1152" t="s">
        <v>19</v>
      </c>
      <c r="B1152" t="s">
        <v>39</v>
      </c>
      <c r="C1152" t="s">
        <v>24</v>
      </c>
      <c r="D1152" s="27">
        <v>0</v>
      </c>
      <c r="E1152" s="3" t="s">
        <v>41</v>
      </c>
      <c r="F1152" s="23">
        <v>0</v>
      </c>
      <c r="G1152" s="3" t="s">
        <v>41</v>
      </c>
      <c r="I1152" s="25" t="str">
        <f t="shared" si="194"/>
        <v/>
      </c>
      <c r="J1152" s="25" t="str">
        <f t="shared" si="194"/>
        <v/>
      </c>
      <c r="L1152" s="3"/>
      <c r="M1152" s="3"/>
    </row>
    <row r="1153" spans="1:16" x14ac:dyDescent="0.45">
      <c r="A1153" t="s">
        <v>20</v>
      </c>
      <c r="B1153" t="s">
        <v>39</v>
      </c>
      <c r="C1153" t="s">
        <v>24</v>
      </c>
      <c r="D1153" s="27">
        <v>0</v>
      </c>
      <c r="E1153" s="3" t="s">
        <v>41</v>
      </c>
      <c r="F1153" s="23">
        <v>0</v>
      </c>
      <c r="G1153" s="3" t="s">
        <v>41</v>
      </c>
      <c r="I1153" s="25" t="str">
        <f t="shared" si="194"/>
        <v/>
      </c>
      <c r="J1153" s="25" t="str">
        <f t="shared" si="194"/>
        <v/>
      </c>
      <c r="L1153" s="3"/>
      <c r="M1153" s="3"/>
    </row>
    <row r="1154" spans="1:16" x14ac:dyDescent="0.45">
      <c r="A1154" t="s">
        <v>7</v>
      </c>
      <c r="B1154" t="s">
        <v>39</v>
      </c>
      <c r="C1154" t="s">
        <v>25</v>
      </c>
      <c r="D1154" s="27">
        <v>183078000</v>
      </c>
      <c r="E1154" s="3">
        <v>142025182</v>
      </c>
      <c r="F1154" s="23">
        <v>178078000</v>
      </c>
      <c r="G1154" s="3">
        <v>20219062</v>
      </c>
      <c r="I1154" s="22">
        <f t="shared" ref="I1154:J1154" si="203">IF(L1154="","",L1154)</f>
        <v>142025182</v>
      </c>
      <c r="J1154" s="22">
        <f t="shared" si="203"/>
        <v>20219062</v>
      </c>
      <c r="L1154" s="3">
        <v>142025182</v>
      </c>
      <c r="M1154" s="3">
        <v>20219062</v>
      </c>
    </row>
    <row r="1155" spans="1:16" x14ac:dyDescent="0.45">
      <c r="A1155" t="s">
        <v>10</v>
      </c>
      <c r="B1155" t="s">
        <v>39</v>
      </c>
      <c r="C1155" t="s">
        <v>25</v>
      </c>
      <c r="D1155" s="28">
        <v>278078000</v>
      </c>
      <c r="E1155" s="4">
        <v>130923900</v>
      </c>
      <c r="F1155" s="24">
        <v>183078000</v>
      </c>
      <c r="G1155" s="4">
        <v>163539770</v>
      </c>
      <c r="I1155" s="25">
        <f t="shared" ref="I1155:J1155" si="204">IF(L1155="","",L1155-L1154)</f>
        <v>130923900</v>
      </c>
      <c r="J1155" s="25">
        <f t="shared" si="204"/>
        <v>163539770</v>
      </c>
      <c r="L1155" s="4">
        <v>272949082</v>
      </c>
      <c r="M1155" s="4">
        <v>183758832</v>
      </c>
    </row>
    <row r="1156" spans="1:16" x14ac:dyDescent="0.45">
      <c r="A1156" t="s">
        <v>11</v>
      </c>
      <c r="B1156" t="s">
        <v>39</v>
      </c>
      <c r="C1156" t="s">
        <v>25</v>
      </c>
      <c r="D1156" s="27">
        <v>232846000</v>
      </c>
      <c r="E1156" s="3">
        <v>179797884</v>
      </c>
      <c r="F1156" s="23">
        <v>286078000</v>
      </c>
      <c r="G1156" s="3">
        <v>18847500</v>
      </c>
      <c r="I1156" s="25">
        <f t="shared" si="194"/>
        <v>257143834</v>
      </c>
      <c r="J1156" s="25">
        <f t="shared" si="194"/>
        <v>126378095</v>
      </c>
      <c r="L1156" s="29">
        <f>SUMIFS(Pivot_!C:C,Pivot_!A:A,'Hitung Per Bulan'!B1156,Pivot_!B:B,'Hitung Per Bulan'!C1156)</f>
        <v>530092916</v>
      </c>
      <c r="M1156" s="29">
        <f>SUMIFS(Pivot_!D:D,Pivot_!A:A,'Hitung Per Bulan'!B1156,Pivot_!B:B,'Hitung Per Bulan'!C1156)</f>
        <v>310136927</v>
      </c>
    </row>
    <row r="1157" spans="1:16" x14ac:dyDescent="0.45">
      <c r="A1157" t="s">
        <v>12</v>
      </c>
      <c r="B1157" t="s">
        <v>39</v>
      </c>
      <c r="C1157" t="s">
        <v>25</v>
      </c>
      <c r="D1157" s="27">
        <v>282233000</v>
      </c>
      <c r="E1157" s="3" t="s">
        <v>41</v>
      </c>
      <c r="F1157" s="23">
        <v>224846000</v>
      </c>
      <c r="G1157" s="3" t="s">
        <v>41</v>
      </c>
      <c r="I1157" s="25" t="str">
        <f t="shared" si="194"/>
        <v/>
      </c>
      <c r="J1157" s="25" t="str">
        <f t="shared" si="194"/>
        <v/>
      </c>
      <c r="L1157" s="29"/>
      <c r="M1157" s="29"/>
      <c r="O1157" s="72"/>
      <c r="P1157" s="72"/>
    </row>
    <row r="1158" spans="1:16" x14ac:dyDescent="0.45">
      <c r="A1158" t="s">
        <v>13</v>
      </c>
      <c r="B1158" t="s">
        <v>39</v>
      </c>
      <c r="C1158" t="s">
        <v>25</v>
      </c>
      <c r="D1158" s="27">
        <v>200078000</v>
      </c>
      <c r="E1158" s="3" t="s">
        <v>41</v>
      </c>
      <c r="F1158" s="23">
        <v>282233000</v>
      </c>
      <c r="G1158" s="3" t="s">
        <v>41</v>
      </c>
      <c r="I1158" s="25" t="str">
        <f t="shared" si="194"/>
        <v/>
      </c>
      <c r="J1158" s="25" t="str">
        <f t="shared" si="194"/>
        <v/>
      </c>
      <c r="L1158" s="3"/>
      <c r="M1158" s="3"/>
    </row>
    <row r="1159" spans="1:16" x14ac:dyDescent="0.45">
      <c r="A1159" t="s">
        <v>14</v>
      </c>
      <c r="B1159" t="s">
        <v>39</v>
      </c>
      <c r="C1159" t="s">
        <v>25</v>
      </c>
      <c r="D1159" s="27">
        <v>318078000</v>
      </c>
      <c r="E1159" s="3" t="s">
        <v>41</v>
      </c>
      <c r="F1159" s="23">
        <v>240078000</v>
      </c>
      <c r="G1159" s="3" t="s">
        <v>41</v>
      </c>
      <c r="I1159" s="25" t="str">
        <f t="shared" si="194"/>
        <v/>
      </c>
      <c r="J1159" s="25" t="str">
        <f t="shared" si="194"/>
        <v/>
      </c>
      <c r="L1159" s="3"/>
      <c r="M1159" s="3"/>
    </row>
    <row r="1160" spans="1:16" x14ac:dyDescent="0.45">
      <c r="A1160" t="s">
        <v>15</v>
      </c>
      <c r="B1160" t="s">
        <v>39</v>
      </c>
      <c r="C1160" t="s">
        <v>25</v>
      </c>
      <c r="D1160" s="27">
        <v>228078000</v>
      </c>
      <c r="E1160" s="3" t="s">
        <v>41</v>
      </c>
      <c r="F1160" s="23">
        <v>278078000</v>
      </c>
      <c r="G1160" s="3" t="s">
        <v>41</v>
      </c>
      <c r="I1160" s="25" t="str">
        <f t="shared" si="194"/>
        <v/>
      </c>
      <c r="J1160" s="25" t="str">
        <f t="shared" si="194"/>
        <v/>
      </c>
      <c r="L1160" s="3"/>
      <c r="M1160" s="3"/>
    </row>
    <row r="1161" spans="1:16" x14ac:dyDescent="0.45">
      <c r="A1161" t="s">
        <v>16</v>
      </c>
      <c r="B1161" t="s">
        <v>39</v>
      </c>
      <c r="C1161" t="s">
        <v>25</v>
      </c>
      <c r="D1161" s="27">
        <v>896057000</v>
      </c>
      <c r="E1161" s="3" t="s">
        <v>41</v>
      </c>
      <c r="F1161" s="23">
        <v>228078000</v>
      </c>
      <c r="G1161" s="3" t="s">
        <v>41</v>
      </c>
      <c r="I1161" s="25" t="str">
        <f t="shared" si="194"/>
        <v/>
      </c>
      <c r="J1161" s="25" t="str">
        <f t="shared" si="194"/>
        <v/>
      </c>
      <c r="L1161" s="3"/>
      <c r="M1161" s="3"/>
    </row>
    <row r="1162" spans="1:16" x14ac:dyDescent="0.45">
      <c r="A1162" t="s">
        <v>17</v>
      </c>
      <c r="B1162" t="s">
        <v>39</v>
      </c>
      <c r="C1162" t="s">
        <v>25</v>
      </c>
      <c r="D1162" s="27">
        <v>190078000</v>
      </c>
      <c r="E1162" s="3" t="s">
        <v>41</v>
      </c>
      <c r="F1162" s="23">
        <v>245078000</v>
      </c>
      <c r="G1162" s="3" t="s">
        <v>41</v>
      </c>
      <c r="I1162" s="25" t="str">
        <f t="shared" si="194"/>
        <v/>
      </c>
      <c r="J1162" s="25" t="str">
        <f t="shared" si="194"/>
        <v/>
      </c>
      <c r="L1162" s="3"/>
      <c r="M1162" s="3"/>
    </row>
    <row r="1163" spans="1:16" x14ac:dyDescent="0.45">
      <c r="A1163" t="s">
        <v>18</v>
      </c>
      <c r="B1163" t="s">
        <v>39</v>
      </c>
      <c r="C1163" t="s">
        <v>25</v>
      </c>
      <c r="D1163" s="27">
        <v>329274000</v>
      </c>
      <c r="E1163" s="3" t="s">
        <v>41</v>
      </c>
      <c r="F1163" s="23">
        <v>202533000</v>
      </c>
      <c r="G1163" s="3" t="s">
        <v>41</v>
      </c>
      <c r="I1163" s="25" t="str">
        <f t="shared" si="194"/>
        <v/>
      </c>
      <c r="J1163" s="25" t="str">
        <f t="shared" si="194"/>
        <v/>
      </c>
      <c r="L1163" s="3"/>
      <c r="M1163" s="3"/>
    </row>
    <row r="1164" spans="1:16" x14ac:dyDescent="0.45">
      <c r="A1164" t="s">
        <v>19</v>
      </c>
      <c r="B1164" t="s">
        <v>39</v>
      </c>
      <c r="C1164" t="s">
        <v>25</v>
      </c>
      <c r="D1164" s="27">
        <v>178088000</v>
      </c>
      <c r="E1164" s="3" t="s">
        <v>41</v>
      </c>
      <c r="F1164" s="23">
        <v>309829000</v>
      </c>
      <c r="G1164" s="3" t="s">
        <v>41</v>
      </c>
      <c r="I1164" s="25" t="str">
        <f t="shared" si="194"/>
        <v/>
      </c>
      <c r="J1164" s="25" t="str">
        <f t="shared" si="194"/>
        <v/>
      </c>
      <c r="L1164" s="3"/>
      <c r="M1164" s="3"/>
    </row>
    <row r="1165" spans="1:16" x14ac:dyDescent="0.45">
      <c r="A1165" t="s">
        <v>20</v>
      </c>
      <c r="B1165" t="s">
        <v>39</v>
      </c>
      <c r="C1165" t="s">
        <v>25</v>
      </c>
      <c r="D1165" s="27">
        <v>178084000</v>
      </c>
      <c r="E1165" s="3" t="s">
        <v>41</v>
      </c>
      <c r="F1165" s="23">
        <v>836063000</v>
      </c>
      <c r="G1165" s="3" t="s">
        <v>41</v>
      </c>
      <c r="I1165" s="25" t="str">
        <f t="shared" si="194"/>
        <v/>
      </c>
      <c r="J1165" s="25" t="str">
        <f t="shared" si="194"/>
        <v/>
      </c>
      <c r="L1165" s="3"/>
      <c r="M1165" s="3"/>
    </row>
    <row r="1166" spans="1:16" x14ac:dyDescent="0.45">
      <c r="A1166" t="s">
        <v>7</v>
      </c>
      <c r="B1166" t="s">
        <v>39</v>
      </c>
      <c r="C1166" t="s">
        <v>26</v>
      </c>
      <c r="D1166" s="27">
        <v>213333000</v>
      </c>
      <c r="E1166" s="3">
        <v>268881303</v>
      </c>
      <c r="F1166" s="23">
        <v>213333000</v>
      </c>
      <c r="G1166" s="3">
        <v>268553262</v>
      </c>
      <c r="I1166" s="22">
        <f t="shared" ref="I1166:J1166" si="205">IF(L1166="","",L1166)</f>
        <v>268881303</v>
      </c>
      <c r="J1166" s="22">
        <f t="shared" si="205"/>
        <v>268553262</v>
      </c>
      <c r="L1166" s="3">
        <v>268881303</v>
      </c>
      <c r="M1166" s="3">
        <v>268553262</v>
      </c>
    </row>
    <row r="1167" spans="1:16" x14ac:dyDescent="0.45">
      <c r="A1167" t="s">
        <v>10</v>
      </c>
      <c r="B1167" t="s">
        <v>39</v>
      </c>
      <c r="C1167" t="s">
        <v>26</v>
      </c>
      <c r="D1167" s="28">
        <v>213333000</v>
      </c>
      <c r="E1167" s="4">
        <v>186153806</v>
      </c>
      <c r="F1167" s="24">
        <v>213333000</v>
      </c>
      <c r="G1167" s="4">
        <v>178077441</v>
      </c>
      <c r="I1167" s="25">
        <f t="shared" ref="I1167:J1230" si="206">IF(L1167="","",L1167-L1166)</f>
        <v>186153806</v>
      </c>
      <c r="J1167" s="25">
        <f t="shared" si="206"/>
        <v>178077441</v>
      </c>
      <c r="L1167" s="4">
        <v>455035109</v>
      </c>
      <c r="M1167" s="4">
        <v>446630703</v>
      </c>
    </row>
    <row r="1168" spans="1:16" x14ac:dyDescent="0.45">
      <c r="A1168" t="s">
        <v>11</v>
      </c>
      <c r="B1168" t="s">
        <v>39</v>
      </c>
      <c r="C1168" t="s">
        <v>26</v>
      </c>
      <c r="D1168" s="27">
        <v>213333000</v>
      </c>
      <c r="E1168" s="3">
        <v>0</v>
      </c>
      <c r="F1168" s="23">
        <v>213333000</v>
      </c>
      <c r="G1168" s="3">
        <v>0</v>
      </c>
      <c r="I1168" s="25">
        <f t="shared" si="206"/>
        <v>174396994</v>
      </c>
      <c r="J1168" s="25">
        <f t="shared" si="206"/>
        <v>161417367</v>
      </c>
      <c r="L1168" s="29">
        <f>SUMIFS(Pivot_!C:C,Pivot_!A:A,'Hitung Per Bulan'!B1168,Pivot_!B:B,'Hitung Per Bulan'!C1168)</f>
        <v>629432103</v>
      </c>
      <c r="M1168" s="29">
        <f>SUMIFS(Pivot_!D:D,Pivot_!A:A,'Hitung Per Bulan'!B1168,Pivot_!B:B,'Hitung Per Bulan'!C1168)</f>
        <v>608048070</v>
      </c>
    </row>
    <row r="1169" spans="1:16" x14ac:dyDescent="0.45">
      <c r="A1169" t="s">
        <v>12</v>
      </c>
      <c r="B1169" t="s">
        <v>39</v>
      </c>
      <c r="C1169" t="s">
        <v>26</v>
      </c>
      <c r="D1169" s="27">
        <v>213333000</v>
      </c>
      <c r="E1169" s="3" t="s">
        <v>41</v>
      </c>
      <c r="F1169" s="23">
        <v>213333000</v>
      </c>
      <c r="G1169" s="3" t="s">
        <v>41</v>
      </c>
      <c r="I1169" s="25" t="str">
        <f t="shared" si="206"/>
        <v/>
      </c>
      <c r="J1169" s="25" t="str">
        <f t="shared" si="206"/>
        <v/>
      </c>
      <c r="L1169" s="29"/>
      <c r="M1169" s="29"/>
      <c r="O1169" s="72"/>
      <c r="P1169" s="72"/>
    </row>
    <row r="1170" spans="1:16" x14ac:dyDescent="0.45">
      <c r="A1170" t="s">
        <v>13</v>
      </c>
      <c r="B1170" t="s">
        <v>39</v>
      </c>
      <c r="C1170" t="s">
        <v>26</v>
      </c>
      <c r="D1170" s="27">
        <v>213333000</v>
      </c>
      <c r="E1170" s="3" t="s">
        <v>41</v>
      </c>
      <c r="F1170" s="23">
        <v>213333000</v>
      </c>
      <c r="G1170" s="3" t="s">
        <v>41</v>
      </c>
      <c r="I1170" s="25" t="str">
        <f t="shared" si="206"/>
        <v/>
      </c>
      <c r="J1170" s="25" t="str">
        <f t="shared" si="206"/>
        <v/>
      </c>
      <c r="L1170" s="3"/>
      <c r="M1170" s="3"/>
    </row>
    <row r="1171" spans="1:16" x14ac:dyDescent="0.45">
      <c r="A1171" t="s">
        <v>14</v>
      </c>
      <c r="B1171" t="s">
        <v>39</v>
      </c>
      <c r="C1171" t="s">
        <v>26</v>
      </c>
      <c r="D1171" s="27">
        <v>213333000</v>
      </c>
      <c r="E1171" s="3" t="s">
        <v>41</v>
      </c>
      <c r="F1171" s="23">
        <v>213333000</v>
      </c>
      <c r="G1171" s="3" t="s">
        <v>41</v>
      </c>
      <c r="I1171" s="25" t="str">
        <f t="shared" si="206"/>
        <v/>
      </c>
      <c r="J1171" s="25" t="str">
        <f t="shared" si="206"/>
        <v/>
      </c>
      <c r="L1171" s="3"/>
      <c r="M1171" s="3"/>
    </row>
    <row r="1172" spans="1:16" x14ac:dyDescent="0.45">
      <c r="A1172" t="s">
        <v>15</v>
      </c>
      <c r="B1172" t="s">
        <v>39</v>
      </c>
      <c r="C1172" t="s">
        <v>26</v>
      </c>
      <c r="D1172" s="27">
        <v>213333000</v>
      </c>
      <c r="E1172" s="3" t="s">
        <v>41</v>
      </c>
      <c r="F1172" s="23">
        <v>213333000</v>
      </c>
      <c r="G1172" s="3" t="s">
        <v>41</v>
      </c>
      <c r="I1172" s="25" t="str">
        <f t="shared" si="206"/>
        <v/>
      </c>
      <c r="J1172" s="25" t="str">
        <f t="shared" si="206"/>
        <v/>
      </c>
      <c r="L1172" s="3"/>
      <c r="M1172" s="3"/>
    </row>
    <row r="1173" spans="1:16" x14ac:dyDescent="0.45">
      <c r="A1173" t="s">
        <v>16</v>
      </c>
      <c r="B1173" t="s">
        <v>39</v>
      </c>
      <c r="C1173" t="s">
        <v>26</v>
      </c>
      <c r="D1173" s="27">
        <v>213333000</v>
      </c>
      <c r="E1173" s="3" t="s">
        <v>41</v>
      </c>
      <c r="F1173" s="23">
        <v>213333000</v>
      </c>
      <c r="G1173" s="3" t="s">
        <v>41</v>
      </c>
      <c r="I1173" s="25" t="str">
        <f t="shared" si="206"/>
        <v/>
      </c>
      <c r="J1173" s="25" t="str">
        <f t="shared" si="206"/>
        <v/>
      </c>
      <c r="L1173" s="3"/>
      <c r="M1173" s="3"/>
    </row>
    <row r="1174" spans="1:16" x14ac:dyDescent="0.45">
      <c r="A1174" t="s">
        <v>17</v>
      </c>
      <c r="B1174" t="s">
        <v>39</v>
      </c>
      <c r="C1174" t="s">
        <v>26</v>
      </c>
      <c r="D1174" s="27">
        <v>213333000</v>
      </c>
      <c r="E1174" s="3" t="s">
        <v>41</v>
      </c>
      <c r="F1174" s="23">
        <v>213333000</v>
      </c>
      <c r="G1174" s="3" t="s">
        <v>41</v>
      </c>
      <c r="I1174" s="25" t="str">
        <f t="shared" si="206"/>
        <v/>
      </c>
      <c r="J1174" s="25" t="str">
        <f t="shared" si="206"/>
        <v/>
      </c>
      <c r="L1174" s="3"/>
      <c r="M1174" s="3"/>
    </row>
    <row r="1175" spans="1:16" x14ac:dyDescent="0.45">
      <c r="A1175" t="s">
        <v>18</v>
      </c>
      <c r="B1175" t="s">
        <v>39</v>
      </c>
      <c r="C1175" t="s">
        <v>26</v>
      </c>
      <c r="D1175" s="27">
        <v>213333000</v>
      </c>
      <c r="E1175" s="3" t="s">
        <v>41</v>
      </c>
      <c r="F1175" s="23">
        <v>213333000</v>
      </c>
      <c r="G1175" s="3" t="s">
        <v>41</v>
      </c>
      <c r="I1175" s="25" t="str">
        <f t="shared" si="206"/>
        <v/>
      </c>
      <c r="J1175" s="25" t="str">
        <f t="shared" si="206"/>
        <v/>
      </c>
      <c r="L1175" s="3"/>
      <c r="M1175" s="3"/>
    </row>
    <row r="1176" spans="1:16" x14ac:dyDescent="0.45">
      <c r="A1176" t="s">
        <v>19</v>
      </c>
      <c r="B1176" t="s">
        <v>39</v>
      </c>
      <c r="C1176" t="s">
        <v>26</v>
      </c>
      <c r="D1176" s="27">
        <v>213333000</v>
      </c>
      <c r="E1176" s="3" t="s">
        <v>41</v>
      </c>
      <c r="F1176" s="23">
        <v>213333000</v>
      </c>
      <c r="G1176" s="3" t="s">
        <v>41</v>
      </c>
      <c r="I1176" s="25" t="str">
        <f t="shared" si="206"/>
        <v/>
      </c>
      <c r="J1176" s="25" t="str">
        <f t="shared" si="206"/>
        <v/>
      </c>
      <c r="L1176" s="3"/>
      <c r="M1176" s="3"/>
    </row>
    <row r="1177" spans="1:16" x14ac:dyDescent="0.45">
      <c r="A1177" t="s">
        <v>20</v>
      </c>
      <c r="B1177" t="s">
        <v>39</v>
      </c>
      <c r="C1177" t="s">
        <v>26</v>
      </c>
      <c r="D1177" s="27">
        <v>213337000</v>
      </c>
      <c r="E1177" s="3" t="s">
        <v>41</v>
      </c>
      <c r="F1177" s="23">
        <v>213337000</v>
      </c>
      <c r="G1177" s="3" t="s">
        <v>41</v>
      </c>
      <c r="I1177" s="25" t="str">
        <f t="shared" si="206"/>
        <v/>
      </c>
      <c r="J1177" s="25" t="str">
        <f t="shared" si="206"/>
        <v/>
      </c>
      <c r="L1177" s="3"/>
      <c r="M1177" s="3"/>
    </row>
    <row r="1178" spans="1:16" x14ac:dyDescent="0.45">
      <c r="A1178" t="s">
        <v>7</v>
      </c>
      <c r="B1178" t="s">
        <v>40</v>
      </c>
      <c r="C1178" t="s">
        <v>9</v>
      </c>
      <c r="D1178" s="27">
        <v>100000000</v>
      </c>
      <c r="E1178" s="3">
        <v>9143456586</v>
      </c>
      <c r="F1178" s="23">
        <v>0</v>
      </c>
      <c r="G1178" s="3">
        <v>0</v>
      </c>
      <c r="I1178" s="22">
        <f t="shared" ref="I1178:J1178" si="207">IF(L1178="","",L1178)</f>
        <v>9143456586</v>
      </c>
      <c r="J1178" s="22">
        <f t="shared" si="207"/>
        <v>0</v>
      </c>
      <c r="L1178" s="3">
        <v>9143456586</v>
      </c>
      <c r="M1178" s="3">
        <v>0</v>
      </c>
    </row>
    <row r="1179" spans="1:16" x14ac:dyDescent="0.45">
      <c r="A1179" t="s">
        <v>10</v>
      </c>
      <c r="B1179" t="s">
        <v>40</v>
      </c>
      <c r="C1179" t="s">
        <v>9</v>
      </c>
      <c r="D1179" s="28">
        <v>720600000</v>
      </c>
      <c r="E1179" s="4">
        <v>477983925</v>
      </c>
      <c r="F1179" s="24">
        <v>100000000</v>
      </c>
      <c r="G1179" s="4">
        <v>166766116</v>
      </c>
      <c r="I1179" s="25">
        <f t="shared" ref="I1179:J1179" si="208">IF(L1179="","",L1179-L1178)</f>
        <v>477983925</v>
      </c>
      <c r="J1179" s="25">
        <f t="shared" si="208"/>
        <v>166766116</v>
      </c>
      <c r="L1179" s="4">
        <v>9621440511</v>
      </c>
      <c r="M1179" s="4">
        <v>166766116</v>
      </c>
    </row>
    <row r="1180" spans="1:16" x14ac:dyDescent="0.45">
      <c r="A1180" t="s">
        <v>11</v>
      </c>
      <c r="B1180" t="s">
        <v>40</v>
      </c>
      <c r="C1180" t="s">
        <v>9</v>
      </c>
      <c r="D1180" s="27">
        <v>12889972000</v>
      </c>
      <c r="E1180" s="3">
        <v>22962533</v>
      </c>
      <c r="F1180" s="23">
        <v>100000000</v>
      </c>
      <c r="G1180" s="3">
        <v>53553451</v>
      </c>
      <c r="I1180" s="25">
        <f t="shared" si="206"/>
        <v>13536388216</v>
      </c>
      <c r="J1180" s="25">
        <f t="shared" si="206"/>
        <v>603050931</v>
      </c>
      <c r="L1180" s="29">
        <f>SUMIFS(Pivot_!C:C,Pivot_!A:A,'Hitung Per Bulan'!B1180,Pivot_!B:B,'Hitung Per Bulan'!C1180)</f>
        <v>23157828727</v>
      </c>
      <c r="M1180" s="29">
        <f>SUMIFS(Pivot_!D:D,Pivot_!A:A,'Hitung Per Bulan'!B1180,Pivot_!B:B,'Hitung Per Bulan'!C1180)</f>
        <v>769817047</v>
      </c>
    </row>
    <row r="1181" spans="1:16" x14ac:dyDescent="0.45">
      <c r="A1181" t="s">
        <v>12</v>
      </c>
      <c r="B1181" t="s">
        <v>40</v>
      </c>
      <c r="C1181" t="s">
        <v>9</v>
      </c>
      <c r="D1181" s="27">
        <v>2342762000</v>
      </c>
      <c r="E1181" s="3" t="s">
        <v>41</v>
      </c>
      <c r="F1181" s="23">
        <v>400000000</v>
      </c>
      <c r="G1181" s="3" t="s">
        <v>41</v>
      </c>
      <c r="I1181" s="25" t="str">
        <f t="shared" si="206"/>
        <v/>
      </c>
      <c r="J1181" s="25" t="str">
        <f t="shared" si="206"/>
        <v/>
      </c>
      <c r="L1181" s="29"/>
      <c r="M1181" s="29"/>
      <c r="O1181" s="72"/>
      <c r="P1181" s="72"/>
    </row>
    <row r="1182" spans="1:16" x14ac:dyDescent="0.45">
      <c r="A1182" t="s">
        <v>13</v>
      </c>
      <c r="B1182" t="s">
        <v>40</v>
      </c>
      <c r="C1182" t="s">
        <v>9</v>
      </c>
      <c r="D1182" s="27">
        <v>4570752000</v>
      </c>
      <c r="E1182" s="3" t="s">
        <v>41</v>
      </c>
      <c r="F1182" s="23">
        <v>1255838000</v>
      </c>
      <c r="G1182" s="3" t="s">
        <v>41</v>
      </c>
      <c r="I1182" s="25" t="str">
        <f t="shared" si="206"/>
        <v/>
      </c>
      <c r="J1182" s="25" t="str">
        <f t="shared" si="206"/>
        <v/>
      </c>
      <c r="L1182" s="3"/>
      <c r="M1182" s="3"/>
    </row>
    <row r="1183" spans="1:16" x14ac:dyDescent="0.45">
      <c r="A1183" t="s">
        <v>14</v>
      </c>
      <c r="B1183" t="s">
        <v>40</v>
      </c>
      <c r="C1183" t="s">
        <v>9</v>
      </c>
      <c r="D1183" s="27">
        <v>3338000000</v>
      </c>
      <c r="E1183" s="3" t="s">
        <v>41</v>
      </c>
      <c r="F1183" s="23">
        <v>2086687000</v>
      </c>
      <c r="G1183" s="3" t="s">
        <v>41</v>
      </c>
      <c r="I1183" s="25" t="str">
        <f t="shared" si="206"/>
        <v/>
      </c>
      <c r="J1183" s="25" t="str">
        <f t="shared" si="206"/>
        <v/>
      </c>
      <c r="L1183" s="3"/>
      <c r="M1183" s="3"/>
    </row>
    <row r="1184" spans="1:16" x14ac:dyDescent="0.45">
      <c r="A1184" t="s">
        <v>15</v>
      </c>
      <c r="B1184" t="s">
        <v>40</v>
      </c>
      <c r="C1184" t="s">
        <v>9</v>
      </c>
      <c r="D1184" s="27">
        <v>3740485000</v>
      </c>
      <c r="E1184" s="3" t="s">
        <v>41</v>
      </c>
      <c r="F1184" s="23">
        <v>1503128000</v>
      </c>
      <c r="G1184" s="3" t="s">
        <v>41</v>
      </c>
      <c r="I1184" s="25" t="str">
        <f t="shared" si="206"/>
        <v/>
      </c>
      <c r="J1184" s="25" t="str">
        <f t="shared" si="206"/>
        <v/>
      </c>
      <c r="L1184" s="3"/>
      <c r="M1184" s="3"/>
    </row>
    <row r="1185" spans="1:16" x14ac:dyDescent="0.45">
      <c r="A1185" t="s">
        <v>16</v>
      </c>
      <c r="B1185" t="s">
        <v>40</v>
      </c>
      <c r="C1185" t="s">
        <v>9</v>
      </c>
      <c r="D1185" s="27">
        <v>957197000</v>
      </c>
      <c r="E1185" s="3" t="s">
        <v>41</v>
      </c>
      <c r="F1185" s="23">
        <v>463000000</v>
      </c>
      <c r="G1185" s="3" t="s">
        <v>41</v>
      </c>
      <c r="I1185" s="25" t="str">
        <f t="shared" si="206"/>
        <v/>
      </c>
      <c r="J1185" s="25" t="str">
        <f t="shared" si="206"/>
        <v/>
      </c>
      <c r="L1185" s="3"/>
      <c r="M1185" s="3"/>
    </row>
    <row r="1186" spans="1:16" x14ac:dyDescent="0.45">
      <c r="A1186" t="s">
        <v>17</v>
      </c>
      <c r="B1186" t="s">
        <v>40</v>
      </c>
      <c r="C1186" t="s">
        <v>9</v>
      </c>
      <c r="D1186" s="27">
        <v>700784000</v>
      </c>
      <c r="E1186" s="3" t="s">
        <v>41</v>
      </c>
      <c r="F1186" s="23">
        <v>5434938000</v>
      </c>
      <c r="G1186" s="3" t="s">
        <v>41</v>
      </c>
      <c r="I1186" s="25" t="str">
        <f t="shared" si="206"/>
        <v/>
      </c>
      <c r="J1186" s="25" t="str">
        <f t="shared" si="206"/>
        <v/>
      </c>
      <c r="L1186" s="3"/>
      <c r="M1186" s="3"/>
    </row>
    <row r="1187" spans="1:16" x14ac:dyDescent="0.45">
      <c r="A1187" t="s">
        <v>18</v>
      </c>
      <c r="B1187" t="s">
        <v>40</v>
      </c>
      <c r="C1187" t="s">
        <v>9</v>
      </c>
      <c r="D1187" s="27">
        <v>600000000</v>
      </c>
      <c r="E1187" s="3" t="s">
        <v>41</v>
      </c>
      <c r="F1187" s="23">
        <v>6916826000</v>
      </c>
      <c r="G1187" s="3" t="s">
        <v>41</v>
      </c>
      <c r="I1187" s="25" t="str">
        <f t="shared" si="206"/>
        <v/>
      </c>
      <c r="J1187" s="25" t="str">
        <f t="shared" si="206"/>
        <v/>
      </c>
      <c r="L1187" s="3"/>
      <c r="M1187" s="3"/>
    </row>
    <row r="1188" spans="1:16" x14ac:dyDescent="0.45">
      <c r="A1188" t="s">
        <v>19</v>
      </c>
      <c r="B1188" t="s">
        <v>40</v>
      </c>
      <c r="C1188" t="s">
        <v>9</v>
      </c>
      <c r="D1188" s="27">
        <v>264698000</v>
      </c>
      <c r="E1188" s="3" t="s">
        <v>41</v>
      </c>
      <c r="F1188" s="23">
        <v>8663150000</v>
      </c>
      <c r="G1188" s="3" t="s">
        <v>41</v>
      </c>
      <c r="I1188" s="25" t="str">
        <f t="shared" si="206"/>
        <v/>
      </c>
      <c r="J1188" s="25" t="str">
        <f t="shared" si="206"/>
        <v/>
      </c>
      <c r="L1188" s="3"/>
      <c r="M1188" s="3"/>
    </row>
    <row r="1189" spans="1:16" x14ac:dyDescent="0.45">
      <c r="A1189" t="s">
        <v>20</v>
      </c>
      <c r="B1189" t="s">
        <v>40</v>
      </c>
      <c r="C1189" t="s">
        <v>9</v>
      </c>
      <c r="D1189" s="27">
        <v>100000000</v>
      </c>
      <c r="E1189" s="3" t="s">
        <v>41</v>
      </c>
      <c r="F1189" s="23">
        <v>3401683000</v>
      </c>
      <c r="G1189" s="3" t="s">
        <v>41</v>
      </c>
      <c r="I1189" s="25" t="str">
        <f t="shared" si="206"/>
        <v/>
      </c>
      <c r="J1189" s="25" t="str">
        <f t="shared" si="206"/>
        <v/>
      </c>
      <c r="L1189" s="3"/>
      <c r="M1189" s="3"/>
    </row>
    <row r="1190" spans="1:16" x14ac:dyDescent="0.45">
      <c r="A1190" t="s">
        <v>7</v>
      </c>
      <c r="B1190" t="s">
        <v>40</v>
      </c>
      <c r="C1190" t="s">
        <v>21</v>
      </c>
      <c r="D1190" s="27">
        <v>0</v>
      </c>
      <c r="E1190" s="3">
        <v>0</v>
      </c>
      <c r="F1190" s="23">
        <v>0</v>
      </c>
      <c r="G1190" s="3">
        <v>0</v>
      </c>
      <c r="I1190" s="22">
        <f t="shared" ref="I1190:J1190" si="209">IF(L1190="","",L1190)</f>
        <v>0</v>
      </c>
      <c r="J1190" s="22">
        <f t="shared" si="209"/>
        <v>0</v>
      </c>
      <c r="L1190" s="3">
        <v>0</v>
      </c>
      <c r="M1190" s="3">
        <v>0</v>
      </c>
    </row>
    <row r="1191" spans="1:16" x14ac:dyDescent="0.45">
      <c r="A1191" t="s">
        <v>10</v>
      </c>
      <c r="B1191" t="s">
        <v>40</v>
      </c>
      <c r="C1191" t="s">
        <v>21</v>
      </c>
      <c r="D1191" s="28">
        <v>0</v>
      </c>
      <c r="E1191" s="4">
        <v>0</v>
      </c>
      <c r="F1191" s="24">
        <v>0</v>
      </c>
      <c r="G1191" s="4">
        <v>0</v>
      </c>
      <c r="I1191" s="25">
        <f t="shared" ref="I1191:J1191" si="210">IF(L1191="","",L1191-L1190)</f>
        <v>0</v>
      </c>
      <c r="J1191" s="25">
        <f t="shared" si="210"/>
        <v>0</v>
      </c>
      <c r="L1191" s="4">
        <v>0</v>
      </c>
      <c r="M1191" s="4">
        <v>0</v>
      </c>
    </row>
    <row r="1192" spans="1:16" x14ac:dyDescent="0.45">
      <c r="A1192" t="s">
        <v>11</v>
      </c>
      <c r="B1192" t="s">
        <v>40</v>
      </c>
      <c r="C1192" t="s">
        <v>21</v>
      </c>
      <c r="D1192" s="27">
        <v>0</v>
      </c>
      <c r="E1192" s="3">
        <v>4951687</v>
      </c>
      <c r="F1192" s="23">
        <v>0</v>
      </c>
      <c r="G1192" s="3">
        <v>0</v>
      </c>
      <c r="I1192" s="25">
        <f t="shared" si="206"/>
        <v>4951687</v>
      </c>
      <c r="J1192" s="25">
        <f t="shared" si="206"/>
        <v>0</v>
      </c>
      <c r="L1192" s="29">
        <f>SUMIFS(Pivot_!C:C,Pivot_!A:A,'Hitung Per Bulan'!B1192,Pivot_!B:B,'Hitung Per Bulan'!C1192)</f>
        <v>4951687</v>
      </c>
      <c r="M1192" s="29">
        <f>SUMIFS(Pivot_!D:D,Pivot_!A:A,'Hitung Per Bulan'!B1192,Pivot_!B:B,'Hitung Per Bulan'!C1192)</f>
        <v>0</v>
      </c>
    </row>
    <row r="1193" spans="1:16" x14ac:dyDescent="0.45">
      <c r="A1193" t="s">
        <v>12</v>
      </c>
      <c r="B1193" t="s">
        <v>40</v>
      </c>
      <c r="C1193" t="s">
        <v>21</v>
      </c>
      <c r="D1193" s="27">
        <v>0</v>
      </c>
      <c r="E1193" s="3" t="s">
        <v>41</v>
      </c>
      <c r="F1193" s="23">
        <v>0</v>
      </c>
      <c r="G1193" s="3" t="s">
        <v>41</v>
      </c>
      <c r="I1193" s="25" t="str">
        <f t="shared" si="206"/>
        <v/>
      </c>
      <c r="J1193" s="25" t="str">
        <f t="shared" si="206"/>
        <v/>
      </c>
      <c r="L1193" s="29"/>
      <c r="M1193" s="29"/>
      <c r="O1193" s="72"/>
      <c r="P1193" s="72"/>
    </row>
    <row r="1194" spans="1:16" x14ac:dyDescent="0.45">
      <c r="A1194" t="s">
        <v>13</v>
      </c>
      <c r="B1194" t="s">
        <v>40</v>
      </c>
      <c r="C1194" t="s">
        <v>21</v>
      </c>
      <c r="D1194" s="27">
        <v>0</v>
      </c>
      <c r="E1194" s="3" t="s">
        <v>41</v>
      </c>
      <c r="F1194" s="23">
        <v>0</v>
      </c>
      <c r="G1194" s="3" t="s">
        <v>41</v>
      </c>
      <c r="I1194" s="25" t="str">
        <f t="shared" si="206"/>
        <v/>
      </c>
      <c r="J1194" s="25" t="str">
        <f t="shared" si="206"/>
        <v/>
      </c>
      <c r="L1194" s="3"/>
      <c r="M1194" s="3"/>
    </row>
    <row r="1195" spans="1:16" x14ac:dyDescent="0.45">
      <c r="A1195" t="s">
        <v>14</v>
      </c>
      <c r="B1195" t="s">
        <v>40</v>
      </c>
      <c r="C1195" t="s">
        <v>21</v>
      </c>
      <c r="D1195" s="27">
        <v>0</v>
      </c>
      <c r="E1195" s="3" t="s">
        <v>41</v>
      </c>
      <c r="F1195" s="23">
        <v>0</v>
      </c>
      <c r="G1195" s="3" t="s">
        <v>41</v>
      </c>
      <c r="I1195" s="25" t="str">
        <f t="shared" si="206"/>
        <v/>
      </c>
      <c r="J1195" s="25" t="str">
        <f t="shared" si="206"/>
        <v/>
      </c>
      <c r="L1195" s="3"/>
      <c r="M1195" s="3"/>
    </row>
    <row r="1196" spans="1:16" x14ac:dyDescent="0.45">
      <c r="A1196" t="s">
        <v>15</v>
      </c>
      <c r="B1196" t="s">
        <v>40</v>
      </c>
      <c r="C1196" t="s">
        <v>21</v>
      </c>
      <c r="D1196" s="27">
        <v>0</v>
      </c>
      <c r="E1196" s="3" t="s">
        <v>41</v>
      </c>
      <c r="F1196" s="23">
        <v>0</v>
      </c>
      <c r="G1196" s="3" t="s">
        <v>41</v>
      </c>
      <c r="I1196" s="25" t="str">
        <f t="shared" si="206"/>
        <v/>
      </c>
      <c r="J1196" s="25" t="str">
        <f t="shared" si="206"/>
        <v/>
      </c>
      <c r="L1196" s="3"/>
      <c r="M1196" s="3"/>
    </row>
    <row r="1197" spans="1:16" x14ac:dyDescent="0.45">
      <c r="A1197" t="s">
        <v>16</v>
      </c>
      <c r="B1197" t="s">
        <v>40</v>
      </c>
      <c r="C1197" t="s">
        <v>21</v>
      </c>
      <c r="D1197" s="27">
        <v>150000000</v>
      </c>
      <c r="E1197" s="3" t="s">
        <v>41</v>
      </c>
      <c r="F1197" s="23">
        <v>0</v>
      </c>
      <c r="G1197" s="3" t="s">
        <v>41</v>
      </c>
      <c r="I1197" s="25" t="str">
        <f t="shared" si="206"/>
        <v/>
      </c>
      <c r="J1197" s="25" t="str">
        <f t="shared" si="206"/>
        <v/>
      </c>
      <c r="L1197" s="3"/>
      <c r="M1197" s="3"/>
    </row>
    <row r="1198" spans="1:16" x14ac:dyDescent="0.45">
      <c r="A1198" t="s">
        <v>17</v>
      </c>
      <c r="B1198" t="s">
        <v>40</v>
      </c>
      <c r="C1198" t="s">
        <v>21</v>
      </c>
      <c r="D1198" s="27">
        <v>0</v>
      </c>
      <c r="E1198" s="3" t="s">
        <v>41</v>
      </c>
      <c r="F1198" s="23">
        <v>0</v>
      </c>
      <c r="G1198" s="3" t="s">
        <v>41</v>
      </c>
      <c r="I1198" s="25" t="str">
        <f t="shared" si="206"/>
        <v/>
      </c>
      <c r="J1198" s="25" t="str">
        <f t="shared" si="206"/>
        <v/>
      </c>
      <c r="L1198" s="3"/>
      <c r="M1198" s="3"/>
    </row>
    <row r="1199" spans="1:16" x14ac:dyDescent="0.45">
      <c r="A1199" t="s">
        <v>18</v>
      </c>
      <c r="B1199" t="s">
        <v>40</v>
      </c>
      <c r="C1199" t="s">
        <v>21</v>
      </c>
      <c r="D1199" s="27">
        <v>0</v>
      </c>
      <c r="E1199" s="3" t="s">
        <v>41</v>
      </c>
      <c r="F1199" s="23">
        <v>150000000</v>
      </c>
      <c r="G1199" s="3" t="s">
        <v>41</v>
      </c>
      <c r="I1199" s="25" t="str">
        <f t="shared" si="206"/>
        <v/>
      </c>
      <c r="J1199" s="25" t="str">
        <f t="shared" si="206"/>
        <v/>
      </c>
      <c r="L1199" s="3"/>
      <c r="M1199" s="3"/>
    </row>
    <row r="1200" spans="1:16" x14ac:dyDescent="0.45">
      <c r="A1200" t="s">
        <v>19</v>
      </c>
      <c r="B1200" t="s">
        <v>40</v>
      </c>
      <c r="C1200" t="s">
        <v>21</v>
      </c>
      <c r="D1200" s="27">
        <v>150000000</v>
      </c>
      <c r="E1200" s="3" t="s">
        <v>41</v>
      </c>
      <c r="F1200" s="23">
        <v>0</v>
      </c>
      <c r="G1200" s="3" t="s">
        <v>41</v>
      </c>
      <c r="I1200" s="25" t="str">
        <f t="shared" si="206"/>
        <v/>
      </c>
      <c r="J1200" s="25" t="str">
        <f t="shared" si="206"/>
        <v/>
      </c>
      <c r="L1200" s="3"/>
      <c r="M1200" s="3"/>
    </row>
    <row r="1201" spans="1:16" x14ac:dyDescent="0.45">
      <c r="A1201" t="s">
        <v>20</v>
      </c>
      <c r="B1201" t="s">
        <v>40</v>
      </c>
      <c r="C1201" t="s">
        <v>21</v>
      </c>
      <c r="D1201" s="27">
        <v>0</v>
      </c>
      <c r="E1201" s="3" t="s">
        <v>41</v>
      </c>
      <c r="F1201" s="23">
        <v>150000000</v>
      </c>
      <c r="G1201" s="3" t="s">
        <v>41</v>
      </c>
      <c r="I1201" s="25" t="str">
        <f t="shared" si="206"/>
        <v/>
      </c>
      <c r="J1201" s="25" t="str">
        <f t="shared" si="206"/>
        <v/>
      </c>
      <c r="L1201" s="3"/>
      <c r="M1201" s="3"/>
    </row>
    <row r="1202" spans="1:16" x14ac:dyDescent="0.45">
      <c r="A1202" t="s">
        <v>7</v>
      </c>
      <c r="B1202" t="s">
        <v>40</v>
      </c>
      <c r="C1202" t="s">
        <v>22</v>
      </c>
      <c r="D1202" s="27">
        <v>0</v>
      </c>
      <c r="E1202" s="3">
        <v>32200000</v>
      </c>
      <c r="F1202" s="23">
        <v>0</v>
      </c>
      <c r="G1202" s="3">
        <v>0</v>
      </c>
      <c r="I1202" s="22">
        <f t="shared" ref="I1202:J1202" si="211">IF(L1202="","",L1202)</f>
        <v>32200000</v>
      </c>
      <c r="J1202" s="22">
        <f t="shared" si="211"/>
        <v>0</v>
      </c>
      <c r="L1202" s="3">
        <v>32200000</v>
      </c>
      <c r="M1202" s="3">
        <v>0</v>
      </c>
    </row>
    <row r="1203" spans="1:16" x14ac:dyDescent="0.45">
      <c r="A1203" t="s">
        <v>10</v>
      </c>
      <c r="B1203" t="s">
        <v>40</v>
      </c>
      <c r="C1203" t="s">
        <v>22</v>
      </c>
      <c r="D1203" s="28">
        <v>0</v>
      </c>
      <c r="E1203" s="4">
        <v>0</v>
      </c>
      <c r="F1203" s="24">
        <v>0</v>
      </c>
      <c r="G1203" s="4">
        <v>32200000</v>
      </c>
      <c r="I1203" s="25">
        <f t="shared" ref="I1203:J1203" si="212">IF(L1203="","",L1203-L1202)</f>
        <v>0</v>
      </c>
      <c r="J1203" s="25">
        <f t="shared" si="212"/>
        <v>32200000</v>
      </c>
      <c r="L1203" s="4">
        <v>32200000</v>
      </c>
      <c r="M1203" s="4">
        <v>32200000</v>
      </c>
    </row>
    <row r="1204" spans="1:16" x14ac:dyDescent="0.45">
      <c r="A1204" t="s">
        <v>11</v>
      </c>
      <c r="B1204" t="s">
        <v>40</v>
      </c>
      <c r="C1204" t="s">
        <v>22</v>
      </c>
      <c r="D1204" s="27">
        <v>28597000</v>
      </c>
      <c r="E1204" s="3">
        <v>23285000</v>
      </c>
      <c r="F1204" s="23">
        <v>23831000</v>
      </c>
      <c r="G1204" s="3">
        <v>0</v>
      </c>
      <c r="I1204" s="25">
        <f t="shared" si="206"/>
        <v>39385000</v>
      </c>
      <c r="J1204" s="25">
        <f t="shared" si="206"/>
        <v>0</v>
      </c>
      <c r="L1204" s="29">
        <f>SUMIFS(Pivot_!C:C,Pivot_!A:A,'Hitung Per Bulan'!B1204,Pivot_!B:B,'Hitung Per Bulan'!C1204)</f>
        <v>71585000</v>
      </c>
      <c r="M1204" s="29">
        <f>SUMIFS(Pivot_!D:D,Pivot_!A:A,'Hitung Per Bulan'!B1204,Pivot_!B:B,'Hitung Per Bulan'!C1204)</f>
        <v>32200000</v>
      </c>
    </row>
    <row r="1205" spans="1:16" x14ac:dyDescent="0.45">
      <c r="A1205" t="s">
        <v>12</v>
      </c>
      <c r="B1205" t="s">
        <v>40</v>
      </c>
      <c r="C1205" t="s">
        <v>22</v>
      </c>
      <c r="D1205" s="27">
        <v>28597000</v>
      </c>
      <c r="E1205" s="3" t="s">
        <v>41</v>
      </c>
      <c r="F1205" s="23">
        <v>23831000</v>
      </c>
      <c r="G1205" s="3" t="s">
        <v>41</v>
      </c>
      <c r="I1205" s="25" t="str">
        <f t="shared" si="206"/>
        <v/>
      </c>
      <c r="J1205" s="25" t="str">
        <f t="shared" si="206"/>
        <v/>
      </c>
      <c r="L1205" s="29"/>
      <c r="M1205" s="29"/>
      <c r="O1205" s="72"/>
      <c r="P1205" s="72"/>
    </row>
    <row r="1206" spans="1:16" x14ac:dyDescent="0.45">
      <c r="A1206" t="s">
        <v>13</v>
      </c>
      <c r="B1206" t="s">
        <v>40</v>
      </c>
      <c r="C1206" t="s">
        <v>22</v>
      </c>
      <c r="D1206" s="27">
        <v>28597000</v>
      </c>
      <c r="E1206" s="3" t="s">
        <v>41</v>
      </c>
      <c r="F1206" s="23">
        <v>23831000</v>
      </c>
      <c r="G1206" s="3" t="s">
        <v>41</v>
      </c>
      <c r="I1206" s="25" t="str">
        <f t="shared" si="206"/>
        <v/>
      </c>
      <c r="J1206" s="25" t="str">
        <f t="shared" si="206"/>
        <v/>
      </c>
      <c r="L1206" s="3"/>
      <c r="M1206" s="3"/>
    </row>
    <row r="1207" spans="1:16" x14ac:dyDescent="0.45">
      <c r="A1207" t="s">
        <v>14</v>
      </c>
      <c r="B1207" t="s">
        <v>40</v>
      </c>
      <c r="C1207" t="s">
        <v>22</v>
      </c>
      <c r="D1207" s="27">
        <v>28597000</v>
      </c>
      <c r="E1207" s="3" t="s">
        <v>41</v>
      </c>
      <c r="F1207" s="23">
        <v>23831000</v>
      </c>
      <c r="G1207" s="3" t="s">
        <v>41</v>
      </c>
      <c r="I1207" s="25" t="str">
        <f t="shared" si="206"/>
        <v/>
      </c>
      <c r="J1207" s="25" t="str">
        <f t="shared" si="206"/>
        <v/>
      </c>
      <c r="L1207" s="3"/>
      <c r="M1207" s="3"/>
    </row>
    <row r="1208" spans="1:16" x14ac:dyDescent="0.45">
      <c r="A1208" t="s">
        <v>15</v>
      </c>
      <c r="B1208" t="s">
        <v>40</v>
      </c>
      <c r="C1208" t="s">
        <v>22</v>
      </c>
      <c r="D1208" s="27">
        <v>28597000</v>
      </c>
      <c r="E1208" s="3" t="s">
        <v>41</v>
      </c>
      <c r="F1208" s="23">
        <v>47662000</v>
      </c>
      <c r="G1208" s="3" t="s">
        <v>41</v>
      </c>
      <c r="I1208" s="25" t="str">
        <f t="shared" si="206"/>
        <v/>
      </c>
      <c r="J1208" s="25" t="str">
        <f t="shared" si="206"/>
        <v/>
      </c>
      <c r="L1208" s="3"/>
      <c r="M1208" s="3"/>
    </row>
    <row r="1209" spans="1:16" x14ac:dyDescent="0.45">
      <c r="A1209" t="s">
        <v>16</v>
      </c>
      <c r="B1209" t="s">
        <v>40</v>
      </c>
      <c r="C1209" t="s">
        <v>22</v>
      </c>
      <c r="D1209" s="27">
        <v>28597000</v>
      </c>
      <c r="E1209" s="3" t="s">
        <v>41</v>
      </c>
      <c r="F1209" s="23">
        <v>23831000</v>
      </c>
      <c r="G1209" s="3" t="s">
        <v>41</v>
      </c>
      <c r="I1209" s="25" t="str">
        <f t="shared" si="206"/>
        <v/>
      </c>
      <c r="J1209" s="25" t="str">
        <f t="shared" si="206"/>
        <v/>
      </c>
      <c r="L1209" s="3"/>
      <c r="M1209" s="3"/>
    </row>
    <row r="1210" spans="1:16" x14ac:dyDescent="0.45">
      <c r="A1210" t="s">
        <v>17</v>
      </c>
      <c r="B1210" t="s">
        <v>40</v>
      </c>
      <c r="C1210" t="s">
        <v>22</v>
      </c>
      <c r="D1210" s="27">
        <v>28597000</v>
      </c>
      <c r="E1210" s="3" t="s">
        <v>41</v>
      </c>
      <c r="F1210" s="23">
        <v>23831000</v>
      </c>
      <c r="G1210" s="3" t="s">
        <v>41</v>
      </c>
      <c r="I1210" s="25" t="str">
        <f t="shared" si="206"/>
        <v/>
      </c>
      <c r="J1210" s="25" t="str">
        <f t="shared" si="206"/>
        <v/>
      </c>
      <c r="L1210" s="3"/>
      <c r="M1210" s="3"/>
    </row>
    <row r="1211" spans="1:16" x14ac:dyDescent="0.45">
      <c r="A1211" t="s">
        <v>18</v>
      </c>
      <c r="B1211" t="s">
        <v>40</v>
      </c>
      <c r="C1211" t="s">
        <v>22</v>
      </c>
      <c r="D1211" s="27">
        <v>28597000</v>
      </c>
      <c r="E1211" s="3" t="s">
        <v>41</v>
      </c>
      <c r="F1211" s="23">
        <v>23831000</v>
      </c>
      <c r="G1211" s="3" t="s">
        <v>41</v>
      </c>
      <c r="I1211" s="25" t="str">
        <f t="shared" si="206"/>
        <v/>
      </c>
      <c r="J1211" s="25" t="str">
        <f t="shared" si="206"/>
        <v/>
      </c>
      <c r="L1211" s="3"/>
      <c r="M1211" s="3"/>
    </row>
    <row r="1212" spans="1:16" x14ac:dyDescent="0.45">
      <c r="A1212" t="s">
        <v>19</v>
      </c>
      <c r="B1212" t="s">
        <v>40</v>
      </c>
      <c r="C1212" t="s">
        <v>22</v>
      </c>
      <c r="D1212" s="27">
        <v>28597000</v>
      </c>
      <c r="E1212" s="3" t="s">
        <v>41</v>
      </c>
      <c r="F1212" s="23">
        <v>23831000</v>
      </c>
      <c r="G1212" s="3" t="s">
        <v>41</v>
      </c>
      <c r="I1212" s="25" t="str">
        <f t="shared" si="206"/>
        <v/>
      </c>
      <c r="J1212" s="25" t="str">
        <f t="shared" si="206"/>
        <v/>
      </c>
      <c r="L1212" s="3"/>
      <c r="M1212" s="3"/>
    </row>
    <row r="1213" spans="1:16" x14ac:dyDescent="0.45">
      <c r="A1213" t="s">
        <v>20</v>
      </c>
      <c r="B1213" t="s">
        <v>40</v>
      </c>
      <c r="C1213" t="s">
        <v>22</v>
      </c>
      <c r="D1213" s="27">
        <v>28599000</v>
      </c>
      <c r="E1213" s="3" t="s">
        <v>41</v>
      </c>
      <c r="F1213" s="23">
        <v>47662000</v>
      </c>
      <c r="G1213" s="3" t="s">
        <v>41</v>
      </c>
      <c r="I1213" s="25" t="str">
        <f t="shared" si="206"/>
        <v/>
      </c>
      <c r="J1213" s="25" t="str">
        <f t="shared" si="206"/>
        <v/>
      </c>
      <c r="L1213" s="3"/>
      <c r="M1213" s="3"/>
    </row>
    <row r="1214" spans="1:16" x14ac:dyDescent="0.45">
      <c r="A1214" t="s">
        <v>7</v>
      </c>
      <c r="B1214" t="s">
        <v>40</v>
      </c>
      <c r="C1214" t="s">
        <v>23</v>
      </c>
      <c r="D1214" s="27">
        <v>0</v>
      </c>
      <c r="E1214" s="3">
        <v>18435000</v>
      </c>
      <c r="F1214" s="23">
        <v>0</v>
      </c>
      <c r="G1214" s="3">
        <v>0</v>
      </c>
      <c r="I1214" s="22">
        <f t="shared" ref="I1214:J1214" si="213">IF(L1214="","",L1214)</f>
        <v>18435000</v>
      </c>
      <c r="J1214" s="22">
        <f t="shared" si="213"/>
        <v>0</v>
      </c>
      <c r="L1214" s="3">
        <v>18435000</v>
      </c>
      <c r="M1214" s="3">
        <v>0</v>
      </c>
    </row>
    <row r="1215" spans="1:16" x14ac:dyDescent="0.45">
      <c r="A1215" t="s">
        <v>10</v>
      </c>
      <c r="B1215" t="s">
        <v>40</v>
      </c>
      <c r="C1215" t="s">
        <v>23</v>
      </c>
      <c r="D1215" s="28">
        <v>0</v>
      </c>
      <c r="E1215" s="4">
        <v>64735000</v>
      </c>
      <c r="F1215" s="24">
        <v>0</v>
      </c>
      <c r="G1215" s="4">
        <v>18435000</v>
      </c>
      <c r="I1215" s="25">
        <f t="shared" ref="I1215:J1215" si="214">IF(L1215="","",L1215-L1214)</f>
        <v>64735000</v>
      </c>
      <c r="J1215" s="25">
        <f t="shared" si="214"/>
        <v>18435000</v>
      </c>
      <c r="L1215" s="4">
        <v>83170000</v>
      </c>
      <c r="M1215" s="4">
        <v>18435000</v>
      </c>
    </row>
    <row r="1216" spans="1:16" x14ac:dyDescent="0.45">
      <c r="A1216" t="s">
        <v>11</v>
      </c>
      <c r="B1216" t="s">
        <v>40</v>
      </c>
      <c r="C1216" t="s">
        <v>23</v>
      </c>
      <c r="D1216" s="27">
        <v>0</v>
      </c>
      <c r="E1216" s="3">
        <v>0</v>
      </c>
      <c r="F1216" s="23">
        <v>0</v>
      </c>
      <c r="G1216" s="3">
        <v>0</v>
      </c>
      <c r="I1216" s="25">
        <f t="shared" si="206"/>
        <v>100000000</v>
      </c>
      <c r="J1216" s="25">
        <f t="shared" si="206"/>
        <v>64735000</v>
      </c>
      <c r="L1216" s="29">
        <f>SUMIFS(Pivot_!C:C,Pivot_!A:A,'Hitung Per Bulan'!B1216,Pivot_!B:B,'Hitung Per Bulan'!C1216)</f>
        <v>183170000</v>
      </c>
      <c r="M1216" s="29">
        <f>SUMIFS(Pivot_!D:D,Pivot_!A:A,'Hitung Per Bulan'!B1216,Pivot_!B:B,'Hitung Per Bulan'!C1216)</f>
        <v>83170000</v>
      </c>
    </row>
    <row r="1217" spans="1:16" x14ac:dyDescent="0.45">
      <c r="A1217" t="s">
        <v>12</v>
      </c>
      <c r="B1217" t="s">
        <v>40</v>
      </c>
      <c r="C1217" t="s">
        <v>23</v>
      </c>
      <c r="D1217" s="27">
        <v>0</v>
      </c>
      <c r="E1217" s="3" t="s">
        <v>41</v>
      </c>
      <c r="F1217" s="23">
        <v>0</v>
      </c>
      <c r="G1217" s="3" t="s">
        <v>41</v>
      </c>
      <c r="I1217" s="25" t="str">
        <f t="shared" si="206"/>
        <v/>
      </c>
      <c r="J1217" s="25" t="str">
        <f t="shared" si="206"/>
        <v/>
      </c>
      <c r="L1217" s="29"/>
      <c r="M1217" s="29"/>
      <c r="O1217" s="72"/>
      <c r="P1217" s="72"/>
    </row>
    <row r="1218" spans="1:16" x14ac:dyDescent="0.45">
      <c r="A1218" t="s">
        <v>13</v>
      </c>
      <c r="B1218" t="s">
        <v>40</v>
      </c>
      <c r="C1218" t="s">
        <v>23</v>
      </c>
      <c r="D1218" s="27">
        <v>130000000</v>
      </c>
      <c r="E1218" s="3" t="s">
        <v>41</v>
      </c>
      <c r="F1218" s="23">
        <v>0</v>
      </c>
      <c r="G1218" s="3" t="s">
        <v>41</v>
      </c>
      <c r="I1218" s="25" t="str">
        <f t="shared" si="206"/>
        <v/>
      </c>
      <c r="J1218" s="25" t="str">
        <f t="shared" si="206"/>
        <v/>
      </c>
      <c r="L1218" s="3"/>
      <c r="M1218" s="3"/>
    </row>
    <row r="1219" spans="1:16" x14ac:dyDescent="0.45">
      <c r="A1219" t="s">
        <v>14</v>
      </c>
      <c r="B1219" t="s">
        <v>40</v>
      </c>
      <c r="C1219" t="s">
        <v>23</v>
      </c>
      <c r="D1219" s="27">
        <v>0</v>
      </c>
      <c r="E1219" s="3" t="s">
        <v>41</v>
      </c>
      <c r="F1219" s="23">
        <v>0</v>
      </c>
      <c r="G1219" s="3" t="s">
        <v>41</v>
      </c>
      <c r="I1219" s="25" t="str">
        <f t="shared" si="206"/>
        <v/>
      </c>
      <c r="J1219" s="25" t="str">
        <f t="shared" si="206"/>
        <v/>
      </c>
      <c r="L1219" s="3"/>
      <c r="M1219" s="3"/>
    </row>
    <row r="1220" spans="1:16" x14ac:dyDescent="0.45">
      <c r="A1220" t="s">
        <v>15</v>
      </c>
      <c r="B1220" t="s">
        <v>40</v>
      </c>
      <c r="C1220" t="s">
        <v>23</v>
      </c>
      <c r="D1220" s="27">
        <v>0</v>
      </c>
      <c r="E1220" s="3" t="s">
        <v>41</v>
      </c>
      <c r="F1220" s="23">
        <v>0</v>
      </c>
      <c r="G1220" s="3" t="s">
        <v>41</v>
      </c>
      <c r="I1220" s="25" t="str">
        <f t="shared" si="206"/>
        <v/>
      </c>
      <c r="J1220" s="25" t="str">
        <f t="shared" si="206"/>
        <v/>
      </c>
      <c r="L1220" s="3"/>
      <c r="M1220" s="3"/>
    </row>
    <row r="1221" spans="1:16" x14ac:dyDescent="0.45">
      <c r="A1221" t="s">
        <v>16</v>
      </c>
      <c r="B1221" t="s">
        <v>40</v>
      </c>
      <c r="C1221" t="s">
        <v>23</v>
      </c>
      <c r="D1221" s="27">
        <v>350000000</v>
      </c>
      <c r="E1221" s="3" t="s">
        <v>41</v>
      </c>
      <c r="F1221" s="23">
        <v>130000000</v>
      </c>
      <c r="G1221" s="3" t="s">
        <v>41</v>
      </c>
      <c r="I1221" s="25" t="str">
        <f t="shared" si="206"/>
        <v/>
      </c>
      <c r="J1221" s="25" t="str">
        <f t="shared" si="206"/>
        <v/>
      </c>
      <c r="L1221" s="3"/>
      <c r="M1221" s="3"/>
    </row>
    <row r="1222" spans="1:16" x14ac:dyDescent="0.45">
      <c r="A1222" t="s">
        <v>17</v>
      </c>
      <c r="B1222" t="s">
        <v>40</v>
      </c>
      <c r="C1222" t="s">
        <v>23</v>
      </c>
      <c r="D1222" s="27">
        <v>0</v>
      </c>
      <c r="E1222" s="3" t="s">
        <v>41</v>
      </c>
      <c r="F1222" s="23">
        <v>0</v>
      </c>
      <c r="G1222" s="3" t="s">
        <v>41</v>
      </c>
      <c r="I1222" s="25" t="str">
        <f t="shared" si="206"/>
        <v/>
      </c>
      <c r="J1222" s="25" t="str">
        <f t="shared" si="206"/>
        <v/>
      </c>
      <c r="L1222" s="3"/>
      <c r="M1222" s="3"/>
    </row>
    <row r="1223" spans="1:16" x14ac:dyDescent="0.45">
      <c r="A1223" t="s">
        <v>18</v>
      </c>
      <c r="B1223" t="s">
        <v>40</v>
      </c>
      <c r="C1223" t="s">
        <v>23</v>
      </c>
      <c r="D1223" s="27">
        <v>0</v>
      </c>
      <c r="E1223" s="3" t="s">
        <v>41</v>
      </c>
      <c r="F1223" s="23">
        <v>350000000</v>
      </c>
      <c r="G1223" s="3" t="s">
        <v>41</v>
      </c>
      <c r="I1223" s="25" t="str">
        <f t="shared" si="206"/>
        <v/>
      </c>
      <c r="J1223" s="25" t="str">
        <f t="shared" si="206"/>
        <v/>
      </c>
      <c r="L1223" s="3"/>
      <c r="M1223" s="3"/>
    </row>
    <row r="1224" spans="1:16" x14ac:dyDescent="0.45">
      <c r="A1224" t="s">
        <v>19</v>
      </c>
      <c r="B1224" t="s">
        <v>40</v>
      </c>
      <c r="C1224" t="s">
        <v>23</v>
      </c>
      <c r="D1224" s="27">
        <v>165000000</v>
      </c>
      <c r="E1224" s="3" t="s">
        <v>41</v>
      </c>
      <c r="F1224" s="23">
        <v>0</v>
      </c>
      <c r="G1224" s="3" t="s">
        <v>41</v>
      </c>
      <c r="I1224" s="25" t="str">
        <f t="shared" si="206"/>
        <v/>
      </c>
      <c r="J1224" s="25" t="str">
        <f t="shared" si="206"/>
        <v/>
      </c>
      <c r="L1224" s="3"/>
      <c r="M1224" s="3"/>
    </row>
    <row r="1225" spans="1:16" x14ac:dyDescent="0.45">
      <c r="A1225" t="s">
        <v>20</v>
      </c>
      <c r="B1225" t="s">
        <v>40</v>
      </c>
      <c r="C1225" t="s">
        <v>23</v>
      </c>
      <c r="D1225" s="27">
        <v>0</v>
      </c>
      <c r="E1225" s="3" t="s">
        <v>41</v>
      </c>
      <c r="F1225" s="23">
        <v>165000000</v>
      </c>
      <c r="G1225" s="3" t="s">
        <v>41</v>
      </c>
      <c r="I1225" s="25" t="str">
        <f t="shared" si="206"/>
        <v/>
      </c>
      <c r="J1225" s="25" t="str">
        <f t="shared" si="206"/>
        <v/>
      </c>
      <c r="L1225" s="3"/>
      <c r="M1225" s="3"/>
    </row>
    <row r="1226" spans="1:16" x14ac:dyDescent="0.45">
      <c r="A1226" t="s">
        <v>7</v>
      </c>
      <c r="B1226" t="s">
        <v>40</v>
      </c>
      <c r="C1226" t="s">
        <v>24</v>
      </c>
      <c r="D1226" s="27">
        <v>0</v>
      </c>
      <c r="E1226" s="3">
        <v>0</v>
      </c>
      <c r="F1226" s="23">
        <v>0</v>
      </c>
      <c r="G1226" s="3">
        <v>0</v>
      </c>
      <c r="I1226" s="22">
        <f t="shared" ref="I1226:J1226" si="215">IF(L1226="","",L1226)</f>
        <v>0</v>
      </c>
      <c r="J1226" s="22">
        <f t="shared" si="215"/>
        <v>0</v>
      </c>
      <c r="L1226" s="3">
        <v>0</v>
      </c>
      <c r="M1226" s="3">
        <v>0</v>
      </c>
    </row>
    <row r="1227" spans="1:16" x14ac:dyDescent="0.45">
      <c r="A1227" t="s">
        <v>10</v>
      </c>
      <c r="B1227" t="s">
        <v>40</v>
      </c>
      <c r="C1227" t="s">
        <v>24</v>
      </c>
      <c r="D1227" s="28">
        <v>0</v>
      </c>
      <c r="E1227" s="4">
        <v>0</v>
      </c>
      <c r="F1227" s="24">
        <v>0</v>
      </c>
      <c r="G1227" s="4">
        <v>0</v>
      </c>
      <c r="I1227" s="25">
        <f t="shared" ref="I1227:J1227" si="216">IF(L1227="","",L1227-L1226)</f>
        <v>0</v>
      </c>
      <c r="J1227" s="25">
        <f t="shared" si="216"/>
        <v>0</v>
      </c>
      <c r="L1227" s="4">
        <v>0</v>
      </c>
      <c r="M1227" s="4">
        <v>0</v>
      </c>
    </row>
    <row r="1228" spans="1:16" x14ac:dyDescent="0.45">
      <c r="A1228" t="s">
        <v>11</v>
      </c>
      <c r="B1228" t="s">
        <v>40</v>
      </c>
      <c r="C1228" t="s">
        <v>24</v>
      </c>
      <c r="D1228" s="27">
        <v>0</v>
      </c>
      <c r="E1228" s="3">
        <v>0</v>
      </c>
      <c r="F1228" s="23">
        <v>0</v>
      </c>
      <c r="G1228" s="3">
        <v>0</v>
      </c>
      <c r="I1228" s="25">
        <f t="shared" si="206"/>
        <v>0</v>
      </c>
      <c r="J1228" s="25">
        <f t="shared" si="206"/>
        <v>0</v>
      </c>
      <c r="L1228" s="29">
        <f>SUMIFS(Pivot_!C:C,Pivot_!A:A,'Hitung Per Bulan'!B1228,Pivot_!B:B,'Hitung Per Bulan'!C1228)</f>
        <v>0</v>
      </c>
      <c r="M1228" s="29">
        <f>SUMIFS(Pivot_!D:D,Pivot_!A:A,'Hitung Per Bulan'!B1228,Pivot_!B:B,'Hitung Per Bulan'!C1228)</f>
        <v>0</v>
      </c>
    </row>
    <row r="1229" spans="1:16" x14ac:dyDescent="0.45">
      <c r="A1229" t="s">
        <v>12</v>
      </c>
      <c r="B1229" t="s">
        <v>40</v>
      </c>
      <c r="C1229" t="s">
        <v>24</v>
      </c>
      <c r="D1229" s="27">
        <v>0</v>
      </c>
      <c r="E1229" s="3" t="s">
        <v>41</v>
      </c>
      <c r="F1229" s="23">
        <v>0</v>
      </c>
      <c r="G1229" s="3" t="s">
        <v>41</v>
      </c>
      <c r="I1229" s="25" t="str">
        <f t="shared" si="206"/>
        <v/>
      </c>
      <c r="J1229" s="25" t="str">
        <f t="shared" si="206"/>
        <v/>
      </c>
      <c r="L1229" s="29"/>
      <c r="M1229" s="29"/>
      <c r="O1229" s="72"/>
      <c r="P1229" s="72"/>
    </row>
    <row r="1230" spans="1:16" x14ac:dyDescent="0.45">
      <c r="A1230" t="s">
        <v>13</v>
      </c>
      <c r="B1230" t="s">
        <v>40</v>
      </c>
      <c r="C1230" t="s">
        <v>24</v>
      </c>
      <c r="D1230" s="27">
        <v>0</v>
      </c>
      <c r="E1230" s="3" t="s">
        <v>41</v>
      </c>
      <c r="F1230" s="23">
        <v>0</v>
      </c>
      <c r="G1230" s="3" t="s">
        <v>41</v>
      </c>
      <c r="I1230" s="25" t="str">
        <f t="shared" si="206"/>
        <v/>
      </c>
      <c r="J1230" s="25" t="str">
        <f t="shared" si="206"/>
        <v/>
      </c>
      <c r="L1230" s="3"/>
      <c r="M1230" s="3"/>
    </row>
    <row r="1231" spans="1:16" x14ac:dyDescent="0.45">
      <c r="A1231" t="s">
        <v>14</v>
      </c>
      <c r="B1231" t="s">
        <v>40</v>
      </c>
      <c r="C1231" t="s">
        <v>24</v>
      </c>
      <c r="D1231" s="27">
        <v>0</v>
      </c>
      <c r="E1231" s="3" t="s">
        <v>41</v>
      </c>
      <c r="F1231" s="23">
        <v>0</v>
      </c>
      <c r="G1231" s="3" t="s">
        <v>41</v>
      </c>
      <c r="I1231" s="25" t="str">
        <f t="shared" ref="I1231:J1261" si="217">IF(L1231="","",L1231-L1230)</f>
        <v/>
      </c>
      <c r="J1231" s="25" t="str">
        <f t="shared" si="217"/>
        <v/>
      </c>
      <c r="L1231" s="3"/>
      <c r="M1231" s="3"/>
    </row>
    <row r="1232" spans="1:16" x14ac:dyDescent="0.45">
      <c r="A1232" t="s">
        <v>15</v>
      </c>
      <c r="B1232" t="s">
        <v>40</v>
      </c>
      <c r="C1232" t="s">
        <v>24</v>
      </c>
      <c r="D1232" s="27">
        <v>0</v>
      </c>
      <c r="E1232" s="3" t="s">
        <v>41</v>
      </c>
      <c r="F1232" s="23">
        <v>0</v>
      </c>
      <c r="G1232" s="3" t="s">
        <v>41</v>
      </c>
      <c r="I1232" s="25" t="str">
        <f t="shared" si="217"/>
        <v/>
      </c>
      <c r="J1232" s="25" t="str">
        <f t="shared" si="217"/>
        <v/>
      </c>
      <c r="L1232" s="3"/>
      <c r="M1232" s="3"/>
    </row>
    <row r="1233" spans="1:16" x14ac:dyDescent="0.45">
      <c r="A1233" t="s">
        <v>16</v>
      </c>
      <c r="B1233" t="s">
        <v>40</v>
      </c>
      <c r="C1233" t="s">
        <v>24</v>
      </c>
      <c r="D1233" s="27">
        <v>0</v>
      </c>
      <c r="E1233" s="3" t="s">
        <v>41</v>
      </c>
      <c r="F1233" s="23">
        <v>0</v>
      </c>
      <c r="G1233" s="3" t="s">
        <v>41</v>
      </c>
      <c r="I1233" s="25" t="str">
        <f t="shared" si="217"/>
        <v/>
      </c>
      <c r="J1233" s="25" t="str">
        <f t="shared" si="217"/>
        <v/>
      </c>
      <c r="L1233" s="3"/>
      <c r="M1233" s="3"/>
    </row>
    <row r="1234" spans="1:16" x14ac:dyDescent="0.45">
      <c r="A1234" t="s">
        <v>17</v>
      </c>
      <c r="B1234" t="s">
        <v>40</v>
      </c>
      <c r="C1234" t="s">
        <v>24</v>
      </c>
      <c r="D1234" s="27">
        <v>0</v>
      </c>
      <c r="E1234" s="3" t="s">
        <v>41</v>
      </c>
      <c r="F1234" s="23">
        <v>0</v>
      </c>
      <c r="G1234" s="3" t="s">
        <v>41</v>
      </c>
      <c r="I1234" s="25" t="str">
        <f t="shared" si="217"/>
        <v/>
      </c>
      <c r="J1234" s="25" t="str">
        <f t="shared" si="217"/>
        <v/>
      </c>
      <c r="L1234" s="3"/>
      <c r="M1234" s="3"/>
    </row>
    <row r="1235" spans="1:16" x14ac:dyDescent="0.45">
      <c r="A1235" t="s">
        <v>18</v>
      </c>
      <c r="B1235" t="s">
        <v>40</v>
      </c>
      <c r="C1235" t="s">
        <v>24</v>
      </c>
      <c r="D1235" s="27">
        <v>0</v>
      </c>
      <c r="E1235" s="3" t="s">
        <v>41</v>
      </c>
      <c r="F1235" s="23">
        <v>0</v>
      </c>
      <c r="G1235" s="3" t="s">
        <v>41</v>
      </c>
      <c r="I1235" s="25" t="str">
        <f t="shared" si="217"/>
        <v/>
      </c>
      <c r="J1235" s="25" t="str">
        <f t="shared" si="217"/>
        <v/>
      </c>
      <c r="L1235" s="3"/>
      <c r="M1235" s="3"/>
    </row>
    <row r="1236" spans="1:16" x14ac:dyDescent="0.45">
      <c r="A1236" t="s">
        <v>19</v>
      </c>
      <c r="B1236" t="s">
        <v>40</v>
      </c>
      <c r="C1236" t="s">
        <v>24</v>
      </c>
      <c r="D1236" s="27">
        <v>0</v>
      </c>
      <c r="E1236" s="3" t="s">
        <v>41</v>
      </c>
      <c r="F1236" s="23">
        <v>0</v>
      </c>
      <c r="G1236" s="3" t="s">
        <v>41</v>
      </c>
      <c r="I1236" s="25" t="str">
        <f t="shared" si="217"/>
        <v/>
      </c>
      <c r="J1236" s="25" t="str">
        <f t="shared" si="217"/>
        <v/>
      </c>
      <c r="L1236" s="3"/>
      <c r="M1236" s="3"/>
    </row>
    <row r="1237" spans="1:16" x14ac:dyDescent="0.45">
      <c r="A1237" t="s">
        <v>20</v>
      </c>
      <c r="B1237" t="s">
        <v>40</v>
      </c>
      <c r="C1237" t="s">
        <v>24</v>
      </c>
      <c r="D1237" s="27">
        <v>0</v>
      </c>
      <c r="E1237" s="3" t="s">
        <v>41</v>
      </c>
      <c r="F1237" s="23">
        <v>0</v>
      </c>
      <c r="G1237" s="3" t="s">
        <v>41</v>
      </c>
      <c r="I1237" s="25" t="str">
        <f t="shared" si="217"/>
        <v/>
      </c>
      <c r="J1237" s="25" t="str">
        <f t="shared" si="217"/>
        <v/>
      </c>
      <c r="L1237" s="3"/>
      <c r="M1237" s="3"/>
    </row>
    <row r="1238" spans="1:16" x14ac:dyDescent="0.45">
      <c r="A1238" t="s">
        <v>7</v>
      </c>
      <c r="B1238" t="s">
        <v>40</v>
      </c>
      <c r="C1238" t="s">
        <v>25</v>
      </c>
      <c r="D1238" s="27">
        <v>48354000</v>
      </c>
      <c r="E1238" s="3">
        <v>78887534</v>
      </c>
      <c r="F1238" s="23">
        <v>0</v>
      </c>
      <c r="G1238" s="3">
        <v>17317500</v>
      </c>
      <c r="I1238" s="22">
        <f t="shared" ref="I1238:J1238" si="218">IF(L1238="","",L1238)</f>
        <v>78887534</v>
      </c>
      <c r="J1238" s="22">
        <f t="shared" si="218"/>
        <v>17317500</v>
      </c>
      <c r="L1238" s="3">
        <v>78887534</v>
      </c>
      <c r="M1238" s="3">
        <v>17317500</v>
      </c>
    </row>
    <row r="1239" spans="1:16" x14ac:dyDescent="0.45">
      <c r="A1239" t="s">
        <v>10</v>
      </c>
      <c r="B1239" t="s">
        <v>40</v>
      </c>
      <c r="C1239" t="s">
        <v>25</v>
      </c>
      <c r="D1239" s="28">
        <v>98291000</v>
      </c>
      <c r="E1239" s="4">
        <v>37118745</v>
      </c>
      <c r="F1239" s="24">
        <v>49253000</v>
      </c>
      <c r="G1239" s="4">
        <v>97688779</v>
      </c>
      <c r="I1239" s="25">
        <f t="shared" ref="I1239:J1239" si="219">IF(L1239="","",L1239-L1238)</f>
        <v>37118745</v>
      </c>
      <c r="J1239" s="25">
        <f t="shared" si="219"/>
        <v>97688779</v>
      </c>
      <c r="L1239" s="4">
        <v>116006279</v>
      </c>
      <c r="M1239" s="4">
        <v>115006279</v>
      </c>
    </row>
    <row r="1240" spans="1:16" x14ac:dyDescent="0.45">
      <c r="A1240" t="s">
        <v>11</v>
      </c>
      <c r="B1240" t="s">
        <v>40</v>
      </c>
      <c r="C1240" t="s">
        <v>25</v>
      </c>
      <c r="D1240" s="27">
        <v>145006000</v>
      </c>
      <c r="E1240" s="3">
        <v>46287020</v>
      </c>
      <c r="F1240" s="23">
        <v>117649000</v>
      </c>
      <c r="G1240" s="3">
        <v>24430000</v>
      </c>
      <c r="I1240" s="25">
        <f t="shared" si="217"/>
        <v>118207390</v>
      </c>
      <c r="J1240" s="25">
        <f t="shared" si="217"/>
        <v>43060000</v>
      </c>
      <c r="L1240" s="29">
        <f>SUMIFS(Pivot_!C:C,Pivot_!A:A,'Hitung Per Bulan'!B1240,Pivot_!B:B,'Hitung Per Bulan'!C1240)</f>
        <v>234213669</v>
      </c>
      <c r="M1240" s="29">
        <f>SUMIFS(Pivot_!D:D,Pivot_!A:A,'Hitung Per Bulan'!B1240,Pivot_!B:B,'Hitung Per Bulan'!C1240)</f>
        <v>158066279</v>
      </c>
    </row>
    <row r="1241" spans="1:16" x14ac:dyDescent="0.45">
      <c r="A1241" t="s">
        <v>12</v>
      </c>
      <c r="B1241" t="s">
        <v>40</v>
      </c>
      <c r="C1241" t="s">
        <v>25</v>
      </c>
      <c r="D1241" s="27">
        <v>118885000</v>
      </c>
      <c r="E1241" s="3" t="s">
        <v>41</v>
      </c>
      <c r="F1241" s="23">
        <v>157715000</v>
      </c>
      <c r="G1241" s="3" t="s">
        <v>41</v>
      </c>
      <c r="I1241" s="25" t="str">
        <f t="shared" si="217"/>
        <v/>
      </c>
      <c r="J1241" s="25" t="str">
        <f t="shared" si="217"/>
        <v/>
      </c>
      <c r="L1241" s="29"/>
      <c r="M1241" s="29"/>
      <c r="O1241" s="72"/>
      <c r="P1241" s="72"/>
    </row>
    <row r="1242" spans="1:16" x14ac:dyDescent="0.45">
      <c r="A1242" t="s">
        <v>13</v>
      </c>
      <c r="B1242" t="s">
        <v>40</v>
      </c>
      <c r="C1242" t="s">
        <v>25</v>
      </c>
      <c r="D1242" s="27">
        <v>119285000</v>
      </c>
      <c r="E1242" s="3" t="s">
        <v>41</v>
      </c>
      <c r="F1242" s="23">
        <v>110812000</v>
      </c>
      <c r="G1242" s="3" t="s">
        <v>41</v>
      </c>
      <c r="I1242" s="25" t="str">
        <f t="shared" si="217"/>
        <v/>
      </c>
      <c r="J1242" s="25" t="str">
        <f t="shared" si="217"/>
        <v/>
      </c>
      <c r="L1242" s="3"/>
      <c r="M1242" s="3"/>
    </row>
    <row r="1243" spans="1:16" x14ac:dyDescent="0.45">
      <c r="A1243" t="s">
        <v>14</v>
      </c>
      <c r="B1243" t="s">
        <v>40</v>
      </c>
      <c r="C1243" t="s">
        <v>25</v>
      </c>
      <c r="D1243" s="27">
        <v>76431000</v>
      </c>
      <c r="E1243" s="3" t="s">
        <v>41</v>
      </c>
      <c r="F1243" s="23">
        <v>147281000</v>
      </c>
      <c r="G1243" s="3" t="s">
        <v>41</v>
      </c>
      <c r="I1243" s="25" t="str">
        <f t="shared" si="217"/>
        <v/>
      </c>
      <c r="J1243" s="25" t="str">
        <f t="shared" si="217"/>
        <v/>
      </c>
      <c r="L1243" s="3"/>
      <c r="M1243" s="3"/>
    </row>
    <row r="1244" spans="1:16" x14ac:dyDescent="0.45">
      <c r="A1244" t="s">
        <v>15</v>
      </c>
      <c r="B1244" t="s">
        <v>40</v>
      </c>
      <c r="C1244" t="s">
        <v>25</v>
      </c>
      <c r="D1244" s="27">
        <v>70435000</v>
      </c>
      <c r="E1244" s="3" t="s">
        <v>41</v>
      </c>
      <c r="F1244" s="23">
        <v>92765000</v>
      </c>
      <c r="G1244" s="3" t="s">
        <v>41</v>
      </c>
      <c r="I1244" s="25" t="str">
        <f t="shared" si="217"/>
        <v/>
      </c>
      <c r="J1244" s="25" t="str">
        <f t="shared" si="217"/>
        <v/>
      </c>
      <c r="L1244" s="3"/>
      <c r="M1244" s="3"/>
    </row>
    <row r="1245" spans="1:16" x14ac:dyDescent="0.45">
      <c r="A1245" t="s">
        <v>16</v>
      </c>
      <c r="B1245" t="s">
        <v>40</v>
      </c>
      <c r="C1245" t="s">
        <v>25</v>
      </c>
      <c r="D1245" s="27">
        <v>153559000</v>
      </c>
      <c r="E1245" s="3" t="s">
        <v>41</v>
      </c>
      <c r="F1245" s="23">
        <v>80150000</v>
      </c>
      <c r="G1245" s="3" t="s">
        <v>41</v>
      </c>
      <c r="I1245" s="25" t="str">
        <f t="shared" si="217"/>
        <v/>
      </c>
      <c r="J1245" s="25" t="str">
        <f t="shared" si="217"/>
        <v/>
      </c>
      <c r="L1245" s="3"/>
      <c r="M1245" s="3"/>
    </row>
    <row r="1246" spans="1:16" x14ac:dyDescent="0.45">
      <c r="A1246" t="s">
        <v>17</v>
      </c>
      <c r="B1246" t="s">
        <v>40</v>
      </c>
      <c r="C1246" t="s">
        <v>25</v>
      </c>
      <c r="D1246" s="27">
        <v>515308000</v>
      </c>
      <c r="E1246" s="3" t="s">
        <v>41</v>
      </c>
      <c r="F1246" s="23">
        <v>122196000</v>
      </c>
      <c r="G1246" s="3" t="s">
        <v>41</v>
      </c>
      <c r="I1246" s="25" t="str">
        <f t="shared" si="217"/>
        <v/>
      </c>
      <c r="J1246" s="25" t="str">
        <f t="shared" si="217"/>
        <v/>
      </c>
      <c r="L1246" s="3"/>
      <c r="M1246" s="3"/>
    </row>
    <row r="1247" spans="1:16" x14ac:dyDescent="0.45">
      <c r="A1247" t="s">
        <v>18</v>
      </c>
      <c r="B1247" t="s">
        <v>40</v>
      </c>
      <c r="C1247" t="s">
        <v>25</v>
      </c>
      <c r="D1247" s="27">
        <v>213688000</v>
      </c>
      <c r="E1247" s="3" t="s">
        <v>41</v>
      </c>
      <c r="F1247" s="23">
        <v>470142000</v>
      </c>
      <c r="G1247" s="3" t="s">
        <v>41</v>
      </c>
      <c r="I1247" s="25" t="str">
        <f t="shared" si="217"/>
        <v/>
      </c>
      <c r="J1247" s="25" t="str">
        <f t="shared" si="217"/>
        <v/>
      </c>
      <c r="L1247" s="3"/>
      <c r="M1247" s="3"/>
    </row>
    <row r="1248" spans="1:16" x14ac:dyDescent="0.45">
      <c r="A1248" t="s">
        <v>19</v>
      </c>
      <c r="B1248" t="s">
        <v>40</v>
      </c>
      <c r="C1248" t="s">
        <v>25</v>
      </c>
      <c r="D1248" s="27">
        <v>518156000</v>
      </c>
      <c r="E1248" s="3" t="s">
        <v>41</v>
      </c>
      <c r="F1248" s="23">
        <v>179167000</v>
      </c>
      <c r="G1248" s="3" t="s">
        <v>41</v>
      </c>
      <c r="I1248" s="25" t="str">
        <f t="shared" si="217"/>
        <v/>
      </c>
      <c r="J1248" s="25" t="str">
        <f t="shared" si="217"/>
        <v/>
      </c>
      <c r="L1248" s="3"/>
      <c r="M1248" s="3"/>
    </row>
    <row r="1249" spans="1:16" x14ac:dyDescent="0.45">
      <c r="A1249" t="s">
        <v>20</v>
      </c>
      <c r="B1249" t="s">
        <v>40</v>
      </c>
      <c r="C1249" t="s">
        <v>25</v>
      </c>
      <c r="D1249" s="27">
        <v>323825000</v>
      </c>
      <c r="E1249" s="3" t="s">
        <v>41</v>
      </c>
      <c r="F1249" s="23">
        <v>874093000</v>
      </c>
      <c r="G1249" s="3" t="s">
        <v>41</v>
      </c>
      <c r="I1249" s="25" t="str">
        <f t="shared" si="217"/>
        <v/>
      </c>
      <c r="J1249" s="25" t="str">
        <f t="shared" si="217"/>
        <v/>
      </c>
      <c r="L1249" s="3"/>
      <c r="M1249" s="3"/>
    </row>
    <row r="1250" spans="1:16" x14ac:dyDescent="0.45">
      <c r="A1250" t="s">
        <v>7</v>
      </c>
      <c r="B1250" t="s">
        <v>40</v>
      </c>
      <c r="C1250" t="s">
        <v>26</v>
      </c>
      <c r="D1250" s="27">
        <v>128276000</v>
      </c>
      <c r="E1250" s="3">
        <v>122102415</v>
      </c>
      <c r="F1250" s="23">
        <v>0</v>
      </c>
      <c r="G1250" s="3">
        <v>116102415</v>
      </c>
      <c r="I1250" s="22">
        <f t="shared" ref="I1250:J1250" si="220">IF(L1250="","",L1250)</f>
        <v>122102415</v>
      </c>
      <c r="J1250" s="22">
        <f t="shared" si="220"/>
        <v>116102415</v>
      </c>
      <c r="L1250" s="3">
        <v>122102415</v>
      </c>
      <c r="M1250" s="3">
        <v>116102415</v>
      </c>
    </row>
    <row r="1251" spans="1:16" x14ac:dyDescent="0.45">
      <c r="A1251" t="s">
        <v>10</v>
      </c>
      <c r="B1251" t="s">
        <v>40</v>
      </c>
      <c r="C1251" t="s">
        <v>26</v>
      </c>
      <c r="D1251" s="28">
        <v>128276000</v>
      </c>
      <c r="E1251" s="4">
        <v>108945350</v>
      </c>
      <c r="F1251" s="24">
        <v>128276000</v>
      </c>
      <c r="G1251" s="4">
        <v>114601656</v>
      </c>
      <c r="I1251" s="25">
        <f t="shared" ref="I1251:J1251" si="221">IF(L1251="","",L1251-L1250)</f>
        <v>108945350</v>
      </c>
      <c r="J1251" s="25">
        <f t="shared" si="221"/>
        <v>114601656</v>
      </c>
      <c r="L1251" s="4">
        <v>231047765</v>
      </c>
      <c r="M1251" s="4">
        <v>230704071</v>
      </c>
    </row>
    <row r="1252" spans="1:16" x14ac:dyDescent="0.45">
      <c r="A1252" t="s">
        <v>11</v>
      </c>
      <c r="B1252" t="s">
        <v>40</v>
      </c>
      <c r="C1252" t="s">
        <v>26</v>
      </c>
      <c r="D1252" s="27">
        <v>128276000</v>
      </c>
      <c r="E1252" s="3">
        <v>3000000</v>
      </c>
      <c r="F1252" s="23">
        <v>128276000</v>
      </c>
      <c r="G1252" s="3">
        <v>0</v>
      </c>
      <c r="I1252" s="25">
        <f t="shared" si="217"/>
        <v>106702765</v>
      </c>
      <c r="J1252" s="25">
        <f t="shared" si="217"/>
        <v>100396805</v>
      </c>
      <c r="L1252" s="29">
        <f>SUMIFS(Pivot_!C:C,Pivot_!A:A,'Hitung Per Bulan'!B1252,Pivot_!B:B,'Hitung Per Bulan'!C1252)</f>
        <v>337750530</v>
      </c>
      <c r="M1252" s="29">
        <f>SUMIFS(Pivot_!D:D,Pivot_!A:A,'Hitung Per Bulan'!B1252,Pivot_!B:B,'Hitung Per Bulan'!C1252)</f>
        <v>331100876</v>
      </c>
    </row>
    <row r="1253" spans="1:16" x14ac:dyDescent="0.45">
      <c r="A1253" t="s">
        <v>12</v>
      </c>
      <c r="B1253" t="s">
        <v>40</v>
      </c>
      <c r="C1253" t="s">
        <v>26</v>
      </c>
      <c r="D1253" s="27">
        <v>128276000</v>
      </c>
      <c r="E1253" s="3" t="s">
        <v>41</v>
      </c>
      <c r="F1253" s="23">
        <v>128276000</v>
      </c>
      <c r="G1253" s="3" t="s">
        <v>41</v>
      </c>
      <c r="I1253" s="25" t="str">
        <f t="shared" si="217"/>
        <v/>
      </c>
      <c r="J1253" s="25" t="str">
        <f t="shared" si="217"/>
        <v/>
      </c>
      <c r="L1253" s="29"/>
      <c r="M1253" s="29"/>
      <c r="O1253" s="72"/>
      <c r="P1253" s="72"/>
    </row>
    <row r="1254" spans="1:16" x14ac:dyDescent="0.45">
      <c r="A1254" t="s">
        <v>13</v>
      </c>
      <c r="B1254" t="s">
        <v>40</v>
      </c>
      <c r="C1254" t="s">
        <v>26</v>
      </c>
      <c r="D1254" s="27">
        <v>128276000</v>
      </c>
      <c r="E1254" s="3" t="s">
        <v>41</v>
      </c>
      <c r="F1254" s="23">
        <v>128276000</v>
      </c>
      <c r="G1254" s="3" t="s">
        <v>41</v>
      </c>
      <c r="I1254" s="25" t="str">
        <f t="shared" si="217"/>
        <v/>
      </c>
      <c r="J1254" s="25" t="str">
        <f t="shared" si="217"/>
        <v/>
      </c>
      <c r="L1254" s="3"/>
      <c r="M1254" s="3"/>
    </row>
    <row r="1255" spans="1:16" x14ac:dyDescent="0.45">
      <c r="A1255" t="s">
        <v>14</v>
      </c>
      <c r="B1255" t="s">
        <v>40</v>
      </c>
      <c r="C1255" t="s">
        <v>26</v>
      </c>
      <c r="D1255" s="27">
        <v>128276000</v>
      </c>
      <c r="E1255" s="3" t="s">
        <v>41</v>
      </c>
      <c r="F1255" s="23">
        <v>128276000</v>
      </c>
      <c r="G1255" s="3" t="s">
        <v>41</v>
      </c>
      <c r="I1255" s="25" t="str">
        <f t="shared" si="217"/>
        <v/>
      </c>
      <c r="J1255" s="25" t="str">
        <f t="shared" si="217"/>
        <v/>
      </c>
      <c r="L1255" s="3"/>
      <c r="M1255" s="3"/>
    </row>
    <row r="1256" spans="1:16" x14ac:dyDescent="0.45">
      <c r="A1256" t="s">
        <v>15</v>
      </c>
      <c r="B1256" t="s">
        <v>40</v>
      </c>
      <c r="C1256" t="s">
        <v>26</v>
      </c>
      <c r="D1256" s="27">
        <v>128276000</v>
      </c>
      <c r="E1256" s="3" t="s">
        <v>41</v>
      </c>
      <c r="F1256" s="23">
        <v>128276000</v>
      </c>
      <c r="G1256" s="3" t="s">
        <v>41</v>
      </c>
      <c r="I1256" s="25" t="str">
        <f t="shared" si="217"/>
        <v/>
      </c>
      <c r="J1256" s="25" t="str">
        <f t="shared" si="217"/>
        <v/>
      </c>
      <c r="L1256" s="3"/>
      <c r="M1256" s="3"/>
    </row>
    <row r="1257" spans="1:16" x14ac:dyDescent="0.45">
      <c r="A1257" t="s">
        <v>16</v>
      </c>
      <c r="B1257" t="s">
        <v>40</v>
      </c>
      <c r="C1257" t="s">
        <v>26</v>
      </c>
      <c r="D1257" s="27">
        <v>128276000</v>
      </c>
      <c r="E1257" s="3" t="s">
        <v>41</v>
      </c>
      <c r="F1257" s="23">
        <v>128276000</v>
      </c>
      <c r="G1257" s="3" t="s">
        <v>41</v>
      </c>
      <c r="I1257" s="25" t="str">
        <f t="shared" si="217"/>
        <v/>
      </c>
      <c r="J1257" s="25" t="str">
        <f t="shared" si="217"/>
        <v/>
      </c>
      <c r="L1257" s="3"/>
      <c r="M1257" s="3"/>
    </row>
    <row r="1258" spans="1:16" x14ac:dyDescent="0.45">
      <c r="A1258" t="s">
        <v>17</v>
      </c>
      <c r="B1258" t="s">
        <v>40</v>
      </c>
      <c r="C1258" t="s">
        <v>26</v>
      </c>
      <c r="D1258" s="27">
        <v>128276000</v>
      </c>
      <c r="E1258" s="3" t="s">
        <v>41</v>
      </c>
      <c r="F1258" s="23">
        <v>128276000</v>
      </c>
      <c r="G1258" s="3" t="s">
        <v>41</v>
      </c>
      <c r="I1258" s="25" t="str">
        <f t="shared" si="217"/>
        <v/>
      </c>
      <c r="J1258" s="25" t="str">
        <f t="shared" si="217"/>
        <v/>
      </c>
      <c r="L1258" s="3"/>
      <c r="M1258" s="3"/>
    </row>
    <row r="1259" spans="1:16" x14ac:dyDescent="0.45">
      <c r="A1259" t="s">
        <v>18</v>
      </c>
      <c r="B1259" t="s">
        <v>40</v>
      </c>
      <c r="C1259" t="s">
        <v>26</v>
      </c>
      <c r="D1259" s="27">
        <v>128276000</v>
      </c>
      <c r="E1259" s="3" t="s">
        <v>41</v>
      </c>
      <c r="F1259" s="23">
        <v>128276000</v>
      </c>
      <c r="G1259" s="3" t="s">
        <v>41</v>
      </c>
      <c r="I1259" s="25" t="str">
        <f t="shared" si="217"/>
        <v/>
      </c>
      <c r="J1259" s="25" t="str">
        <f t="shared" si="217"/>
        <v/>
      </c>
      <c r="L1259" s="3"/>
      <c r="M1259" s="3"/>
    </row>
    <row r="1260" spans="1:16" x14ac:dyDescent="0.45">
      <c r="A1260" t="s">
        <v>19</v>
      </c>
      <c r="B1260" t="s">
        <v>40</v>
      </c>
      <c r="C1260" t="s">
        <v>26</v>
      </c>
      <c r="D1260" s="27">
        <v>128276000</v>
      </c>
      <c r="E1260" s="3" t="s">
        <v>41</v>
      </c>
      <c r="F1260" s="23">
        <v>128276000</v>
      </c>
      <c r="G1260" s="3" t="s">
        <v>41</v>
      </c>
      <c r="I1260" s="25" t="str">
        <f t="shared" si="217"/>
        <v/>
      </c>
      <c r="J1260" s="25" t="str">
        <f t="shared" si="217"/>
        <v/>
      </c>
      <c r="L1260" s="3"/>
      <c r="M1260" s="3"/>
    </row>
    <row r="1261" spans="1:16" x14ac:dyDescent="0.45">
      <c r="A1261" t="s">
        <v>20</v>
      </c>
      <c r="B1261" t="s">
        <v>40</v>
      </c>
      <c r="C1261" t="s">
        <v>26</v>
      </c>
      <c r="D1261" s="27">
        <v>128279000</v>
      </c>
      <c r="E1261" s="3" t="s">
        <v>41</v>
      </c>
      <c r="F1261" s="23">
        <v>256555000</v>
      </c>
      <c r="G1261" s="3" t="s">
        <v>41</v>
      </c>
      <c r="I1261" s="25" t="str">
        <f t="shared" si="217"/>
        <v/>
      </c>
      <c r="J1261" s="25" t="str">
        <f t="shared" si="217"/>
        <v/>
      </c>
      <c r="L1261" s="3"/>
      <c r="M1261" s="3"/>
    </row>
  </sheetData>
  <autoFilter ref="A1:G1261" xr:uid="{00000000-0001-0000-0000-000000000000}"/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B8B5-4B13-48AA-BEA8-AAB72D55AAC5}">
  <dimension ref="A1:L125"/>
  <sheetViews>
    <sheetView showGridLines="0" zoomScaleNormal="100" workbookViewId="0">
      <pane xSplit="2" ySplit="2" topLeftCell="C3" activePane="bottomRight" state="frozen"/>
      <selection activeCell="B16" sqref="B16"/>
      <selection pane="topRight" activeCell="B16" sqref="B16"/>
      <selection pane="bottomLeft" activeCell="B16" sqref="B16"/>
      <selection pane="bottomRight" activeCell="E19" sqref="E19"/>
    </sheetView>
  </sheetViews>
  <sheetFormatPr defaultColWidth="0" defaultRowHeight="14.25" zeroHeight="1" x14ac:dyDescent="0.45"/>
  <cols>
    <col min="1" max="1" width="2.59765625" customWidth="1"/>
    <col min="2" max="2" width="24.53125" customWidth="1"/>
    <col min="3" max="4" width="18.53125" style="17" customWidth="1"/>
    <col min="5" max="5" width="18.53125" style="7" customWidth="1"/>
    <col min="6" max="6" width="2.59765625" customWidth="1"/>
    <col min="7" max="7" width="18.53125" style="7" customWidth="1"/>
    <col min="8" max="8" width="2.59765625" customWidth="1"/>
    <col min="9" max="9" width="18.53125" style="7" customWidth="1"/>
    <col min="10" max="10" width="2.59765625" customWidth="1"/>
    <col min="11" max="12" width="0" hidden="1" customWidth="1"/>
    <col min="13" max="16384" width="9.06640625" hidden="1"/>
  </cols>
  <sheetData>
    <row r="1" spans="2:9" x14ac:dyDescent="0.45"/>
    <row r="2" spans="2:9" s="15" customFormat="1" ht="32.75" customHeight="1" x14ac:dyDescent="0.45">
      <c r="B2" s="13" t="s">
        <v>42</v>
      </c>
      <c r="C2" s="18" t="s">
        <v>44</v>
      </c>
      <c r="D2" s="73" t="s">
        <v>45</v>
      </c>
      <c r="E2" s="14" t="s">
        <v>46</v>
      </c>
      <c r="G2" s="16" t="s">
        <v>47</v>
      </c>
      <c r="I2" s="16" t="s">
        <v>48</v>
      </c>
    </row>
    <row r="3" spans="2:9" x14ac:dyDescent="0.45">
      <c r="B3" s="5" t="s">
        <v>27</v>
      </c>
      <c r="C3" s="19">
        <v>63265781000</v>
      </c>
      <c r="D3" s="8">
        <v>63265781000</v>
      </c>
      <c r="E3" s="8">
        <v>0</v>
      </c>
      <c r="G3" s="10">
        <f>SUM(G4:G10)</f>
        <v>63265782000</v>
      </c>
      <c r="I3" s="9">
        <f>G3-D3</f>
        <v>1000</v>
      </c>
    </row>
    <row r="4" spans="2:9" x14ac:dyDescent="0.45">
      <c r="B4" s="6" t="s">
        <v>22</v>
      </c>
      <c r="C4" s="19">
        <v>180000000</v>
      </c>
      <c r="D4" s="8">
        <v>180000000</v>
      </c>
      <c r="E4" s="8">
        <v>0</v>
      </c>
      <c r="G4" s="8">
        <v>180000000</v>
      </c>
      <c r="I4" s="8">
        <f>G4-D4</f>
        <v>0</v>
      </c>
    </row>
    <row r="5" spans="2:9" x14ac:dyDescent="0.45">
      <c r="B5" s="6" t="s">
        <v>24</v>
      </c>
      <c r="C5" s="19">
        <v>0</v>
      </c>
      <c r="D5" s="8">
        <v>0</v>
      </c>
      <c r="E5" s="8">
        <v>0</v>
      </c>
      <c r="G5" s="8">
        <v>0</v>
      </c>
      <c r="I5" s="8">
        <f>G5-D5</f>
        <v>0</v>
      </c>
    </row>
    <row r="6" spans="2:9" x14ac:dyDescent="0.45">
      <c r="B6" s="6" t="s">
        <v>25</v>
      </c>
      <c r="C6" s="19">
        <v>2561006000</v>
      </c>
      <c r="D6" s="8">
        <v>2561006000</v>
      </c>
      <c r="E6" s="8">
        <v>0</v>
      </c>
      <c r="G6" s="8">
        <v>2561006000</v>
      </c>
      <c r="I6" s="8">
        <f t="shared" ref="I6:I69" si="0">G6-D6</f>
        <v>0</v>
      </c>
    </row>
    <row r="7" spans="2:9" x14ac:dyDescent="0.45">
      <c r="B7" s="6" t="s">
        <v>26</v>
      </c>
      <c r="C7" s="19">
        <v>3500000000</v>
      </c>
      <c r="D7" s="8">
        <v>3500000000</v>
      </c>
      <c r="E7" s="8">
        <v>0</v>
      </c>
      <c r="G7" s="8">
        <v>3500000000</v>
      </c>
      <c r="I7" s="8">
        <f t="shared" si="0"/>
        <v>0</v>
      </c>
    </row>
    <row r="8" spans="2:9" x14ac:dyDescent="0.45">
      <c r="B8" s="6" t="s">
        <v>23</v>
      </c>
      <c r="C8" s="19">
        <v>400000000</v>
      </c>
      <c r="D8" s="8">
        <v>400000000</v>
      </c>
      <c r="E8" s="8">
        <v>0</v>
      </c>
      <c r="G8" s="8">
        <v>400000000</v>
      </c>
      <c r="I8" s="8">
        <f t="shared" si="0"/>
        <v>0</v>
      </c>
    </row>
    <row r="9" spans="2:9" x14ac:dyDescent="0.45">
      <c r="B9" s="6" t="s">
        <v>9</v>
      </c>
      <c r="C9" s="19">
        <v>50254775000</v>
      </c>
      <c r="D9" s="8">
        <v>50254775000</v>
      </c>
      <c r="E9" s="8">
        <v>0</v>
      </c>
      <c r="G9" s="8">
        <v>50254776000</v>
      </c>
      <c r="I9" s="8">
        <f t="shared" si="0"/>
        <v>1000</v>
      </c>
    </row>
    <row r="10" spans="2:9" x14ac:dyDescent="0.45">
      <c r="B10" s="6" t="s">
        <v>21</v>
      </c>
      <c r="C10" s="19">
        <v>6370000000</v>
      </c>
      <c r="D10" s="8">
        <v>6370000000</v>
      </c>
      <c r="E10" s="8">
        <v>0</v>
      </c>
      <c r="G10" s="11">
        <v>6370000000</v>
      </c>
      <c r="I10" s="8">
        <f t="shared" si="0"/>
        <v>0</v>
      </c>
    </row>
    <row r="11" spans="2:9" x14ac:dyDescent="0.45">
      <c r="B11" s="5" t="s">
        <v>28</v>
      </c>
      <c r="C11" s="19">
        <v>47253818337</v>
      </c>
      <c r="D11" s="8">
        <v>47253818000</v>
      </c>
      <c r="E11" s="8">
        <v>-337</v>
      </c>
      <c r="G11" s="9">
        <f>SUM(G12:G18)</f>
        <v>47253817201</v>
      </c>
      <c r="I11" s="9">
        <f t="shared" si="0"/>
        <v>-799</v>
      </c>
    </row>
    <row r="12" spans="2:9" x14ac:dyDescent="0.45">
      <c r="B12" s="6" t="s">
        <v>22</v>
      </c>
      <c r="C12" s="19">
        <v>0</v>
      </c>
      <c r="D12" s="8">
        <v>0</v>
      </c>
      <c r="E12" s="8">
        <v>0</v>
      </c>
      <c r="G12" s="8">
        <v>0</v>
      </c>
      <c r="I12" s="8">
        <f t="shared" si="0"/>
        <v>0</v>
      </c>
    </row>
    <row r="13" spans="2:9" x14ac:dyDescent="0.45">
      <c r="B13" s="6" t="s">
        <v>24</v>
      </c>
      <c r="C13" s="19">
        <v>0</v>
      </c>
      <c r="D13" s="8">
        <v>0</v>
      </c>
      <c r="E13" s="8">
        <v>0</v>
      </c>
      <c r="G13" s="8">
        <v>0</v>
      </c>
      <c r="I13" s="8">
        <f t="shared" si="0"/>
        <v>0</v>
      </c>
    </row>
    <row r="14" spans="2:9" x14ac:dyDescent="0.45">
      <c r="B14" s="6" t="s">
        <v>25</v>
      </c>
      <c r="C14" s="19">
        <v>1931870000</v>
      </c>
      <c r="D14" s="8">
        <v>1931870000</v>
      </c>
      <c r="E14" s="8">
        <v>0</v>
      </c>
      <c r="G14" s="8">
        <v>1931870000</v>
      </c>
      <c r="I14" s="8">
        <f t="shared" si="0"/>
        <v>0</v>
      </c>
    </row>
    <row r="15" spans="2:9" x14ac:dyDescent="0.45">
      <c r="B15" s="6" t="s">
        <v>26</v>
      </c>
      <c r="C15" s="19">
        <v>0</v>
      </c>
      <c r="D15" s="8">
        <v>0</v>
      </c>
      <c r="E15" s="8">
        <v>0</v>
      </c>
      <c r="G15" s="8">
        <v>0</v>
      </c>
      <c r="I15" s="8">
        <f t="shared" si="0"/>
        <v>0</v>
      </c>
    </row>
    <row r="16" spans="2:9" x14ac:dyDescent="0.45">
      <c r="B16" s="6" t="s">
        <v>23</v>
      </c>
      <c r="C16" s="19">
        <v>200000000</v>
      </c>
      <c r="D16" s="8">
        <v>200000000</v>
      </c>
      <c r="E16" s="8">
        <v>0</v>
      </c>
      <c r="G16" s="8">
        <v>200000000</v>
      </c>
      <c r="I16" s="8">
        <f t="shared" si="0"/>
        <v>0</v>
      </c>
    </row>
    <row r="17" spans="2:9" x14ac:dyDescent="0.45">
      <c r="B17" s="6" t="s">
        <v>9</v>
      </c>
      <c r="C17" s="19">
        <v>41949880337</v>
      </c>
      <c r="D17" s="8">
        <v>41949880000</v>
      </c>
      <c r="E17" s="8">
        <v>-337</v>
      </c>
      <c r="G17" s="8">
        <v>41949878537</v>
      </c>
      <c r="I17" s="8">
        <f t="shared" si="0"/>
        <v>-1463</v>
      </c>
    </row>
    <row r="18" spans="2:9" x14ac:dyDescent="0.45">
      <c r="B18" s="6" t="s">
        <v>21</v>
      </c>
      <c r="C18" s="19">
        <v>3172068000</v>
      </c>
      <c r="D18" s="8">
        <v>3172068000</v>
      </c>
      <c r="E18" s="8">
        <v>0</v>
      </c>
      <c r="G18" s="8">
        <v>3172068664</v>
      </c>
      <c r="I18" s="8">
        <f t="shared" si="0"/>
        <v>664</v>
      </c>
    </row>
    <row r="19" spans="2:9" x14ac:dyDescent="0.45">
      <c r="B19" s="5" t="s">
        <v>29</v>
      </c>
      <c r="C19" s="19">
        <v>28292912000</v>
      </c>
      <c r="D19" s="8">
        <v>28292912000</v>
      </c>
      <c r="E19" s="8">
        <v>0</v>
      </c>
      <c r="G19" s="9">
        <f>SUM(G20:G26)</f>
        <v>28292912000</v>
      </c>
      <c r="I19" s="9">
        <f t="shared" si="0"/>
        <v>0</v>
      </c>
    </row>
    <row r="20" spans="2:9" x14ac:dyDescent="0.45">
      <c r="B20" s="6" t="s">
        <v>22</v>
      </c>
      <c r="C20" s="19">
        <v>118875000</v>
      </c>
      <c r="D20" s="8">
        <v>118875000</v>
      </c>
      <c r="E20" s="8">
        <v>0</v>
      </c>
      <c r="G20" s="8">
        <v>118875000</v>
      </c>
      <c r="I20" s="8">
        <f t="shared" si="0"/>
        <v>0</v>
      </c>
    </row>
    <row r="21" spans="2:9" x14ac:dyDescent="0.45">
      <c r="B21" s="6" t="s">
        <v>24</v>
      </c>
      <c r="C21" s="19">
        <v>0</v>
      </c>
      <c r="D21" s="8"/>
      <c r="E21" s="8">
        <v>0</v>
      </c>
      <c r="G21" s="8">
        <v>0</v>
      </c>
      <c r="I21" s="8">
        <f t="shared" si="0"/>
        <v>0</v>
      </c>
    </row>
    <row r="22" spans="2:9" x14ac:dyDescent="0.45">
      <c r="B22" s="6" t="s">
        <v>25</v>
      </c>
      <c r="C22" s="19">
        <v>1162320000</v>
      </c>
      <c r="D22" s="8">
        <v>1162320000</v>
      </c>
      <c r="E22" s="8">
        <v>0</v>
      </c>
      <c r="G22" s="8">
        <v>1162320000</v>
      </c>
      <c r="I22" s="8">
        <f t="shared" si="0"/>
        <v>0</v>
      </c>
    </row>
    <row r="23" spans="2:9" x14ac:dyDescent="0.45">
      <c r="B23" s="6" t="s">
        <v>26</v>
      </c>
      <c r="C23" s="19">
        <v>2260000000</v>
      </c>
      <c r="D23" s="8">
        <v>2260000000</v>
      </c>
      <c r="E23" s="8">
        <v>0</v>
      </c>
      <c r="G23" s="8">
        <v>2260000000</v>
      </c>
      <c r="I23" s="8">
        <f t="shared" si="0"/>
        <v>0</v>
      </c>
    </row>
    <row r="24" spans="2:9" x14ac:dyDescent="0.45">
      <c r="B24" s="6" t="s">
        <v>23</v>
      </c>
      <c r="C24" s="19">
        <v>705000000</v>
      </c>
      <c r="D24" s="8">
        <v>705000000</v>
      </c>
      <c r="E24" s="8">
        <v>0</v>
      </c>
      <c r="G24" s="8">
        <v>705000000</v>
      </c>
      <c r="I24" s="8">
        <f t="shared" si="0"/>
        <v>0</v>
      </c>
    </row>
    <row r="25" spans="2:9" x14ac:dyDescent="0.45">
      <c r="B25" s="6" t="s">
        <v>9</v>
      </c>
      <c r="C25" s="19">
        <v>22542717000</v>
      </c>
      <c r="D25" s="8">
        <v>22542717000</v>
      </c>
      <c r="E25" s="8">
        <v>0</v>
      </c>
      <c r="G25" s="8">
        <v>22542717000</v>
      </c>
      <c r="I25" s="8">
        <f t="shared" si="0"/>
        <v>0</v>
      </c>
    </row>
    <row r="26" spans="2:9" x14ac:dyDescent="0.45">
      <c r="B26" s="6" t="s">
        <v>21</v>
      </c>
      <c r="C26" s="19">
        <v>1504000000</v>
      </c>
      <c r="D26" s="8">
        <v>1504000000</v>
      </c>
      <c r="E26" s="8">
        <v>0</v>
      </c>
      <c r="G26" s="8">
        <v>1504000000</v>
      </c>
      <c r="I26" s="8">
        <f t="shared" si="0"/>
        <v>0</v>
      </c>
    </row>
    <row r="27" spans="2:9" x14ac:dyDescent="0.45">
      <c r="B27" s="5" t="s">
        <v>30</v>
      </c>
      <c r="C27" s="19">
        <v>26776307000</v>
      </c>
      <c r="D27" s="8">
        <v>26776307000</v>
      </c>
      <c r="E27" s="8">
        <v>0</v>
      </c>
      <c r="G27" s="9">
        <f>SUM(G28:G34)</f>
        <v>26776308000</v>
      </c>
      <c r="I27" s="9">
        <f t="shared" si="0"/>
        <v>1000</v>
      </c>
    </row>
    <row r="28" spans="2:9" x14ac:dyDescent="0.45">
      <c r="B28" s="6" t="s">
        <v>22</v>
      </c>
      <c r="C28" s="19">
        <v>90090000</v>
      </c>
      <c r="D28" s="8">
        <v>90090000</v>
      </c>
      <c r="E28" s="8">
        <v>0</v>
      </c>
      <c r="G28" s="8">
        <v>90090000</v>
      </c>
      <c r="I28" s="8">
        <f t="shared" si="0"/>
        <v>0</v>
      </c>
    </row>
    <row r="29" spans="2:9" x14ac:dyDescent="0.45">
      <c r="B29" s="6" t="s">
        <v>24</v>
      </c>
      <c r="C29" s="19">
        <v>0</v>
      </c>
      <c r="D29" s="8">
        <v>0</v>
      </c>
      <c r="E29" s="8">
        <v>0</v>
      </c>
      <c r="G29" s="8">
        <v>0</v>
      </c>
      <c r="I29" s="8">
        <f t="shared" si="0"/>
        <v>0</v>
      </c>
    </row>
    <row r="30" spans="2:9" x14ac:dyDescent="0.45">
      <c r="B30" s="6" t="s">
        <v>25</v>
      </c>
      <c r="C30" s="19">
        <v>1682602000</v>
      </c>
      <c r="D30" s="8">
        <v>1682602000</v>
      </c>
      <c r="E30" s="8">
        <v>0</v>
      </c>
      <c r="G30" s="8">
        <v>1682602000</v>
      </c>
      <c r="I30" s="8">
        <f t="shared" si="0"/>
        <v>0</v>
      </c>
    </row>
    <row r="31" spans="2:9" x14ac:dyDescent="0.45">
      <c r="B31" s="6" t="s">
        <v>26</v>
      </c>
      <c r="C31" s="19">
        <v>2501300000</v>
      </c>
      <c r="D31" s="8">
        <v>2501300000</v>
      </c>
      <c r="E31" s="8">
        <v>0</v>
      </c>
      <c r="G31" s="8">
        <v>2501300000</v>
      </c>
      <c r="I31" s="8">
        <f t="shared" si="0"/>
        <v>0</v>
      </c>
    </row>
    <row r="32" spans="2:9" x14ac:dyDescent="0.45">
      <c r="B32" s="6" t="s">
        <v>23</v>
      </c>
      <c r="C32" s="19">
        <v>250000000</v>
      </c>
      <c r="D32" s="8">
        <v>250000000</v>
      </c>
      <c r="E32" s="8">
        <v>0</v>
      </c>
      <c r="G32" s="8">
        <v>250000000</v>
      </c>
      <c r="I32" s="8">
        <f t="shared" si="0"/>
        <v>0</v>
      </c>
    </row>
    <row r="33" spans="2:9" x14ac:dyDescent="0.45">
      <c r="B33" s="6" t="s">
        <v>9</v>
      </c>
      <c r="C33" s="19">
        <v>20805475000</v>
      </c>
      <c r="D33" s="8">
        <v>20805475000</v>
      </c>
      <c r="E33" s="8">
        <v>0</v>
      </c>
      <c r="G33" s="8">
        <v>20805476000</v>
      </c>
      <c r="I33" s="8">
        <f t="shared" si="0"/>
        <v>1000</v>
      </c>
    </row>
    <row r="34" spans="2:9" x14ac:dyDescent="0.45">
      <c r="B34" s="6" t="s">
        <v>21</v>
      </c>
      <c r="C34" s="19">
        <v>1446840000</v>
      </c>
      <c r="D34" s="8">
        <v>1446840000</v>
      </c>
      <c r="E34" s="8">
        <v>0</v>
      </c>
      <c r="G34" s="8">
        <v>1446840000</v>
      </c>
      <c r="I34" s="8">
        <f t="shared" si="0"/>
        <v>0</v>
      </c>
    </row>
    <row r="35" spans="2:9" x14ac:dyDescent="0.45">
      <c r="B35" s="5" t="s">
        <v>31</v>
      </c>
      <c r="C35" s="19">
        <v>22738648941</v>
      </c>
      <c r="D35" s="8">
        <v>22738649867</v>
      </c>
      <c r="E35" s="8">
        <v>926</v>
      </c>
      <c r="G35" s="9">
        <f>SUM(G36:G42)</f>
        <v>22738650000</v>
      </c>
      <c r="I35" s="9">
        <f t="shared" si="0"/>
        <v>133</v>
      </c>
    </row>
    <row r="36" spans="2:9" x14ac:dyDescent="0.45">
      <c r="B36" s="6" t="s">
        <v>22</v>
      </c>
      <c r="C36" s="19">
        <v>320100000</v>
      </c>
      <c r="D36" s="8">
        <v>320100000</v>
      </c>
      <c r="E36" s="8">
        <v>0</v>
      </c>
      <c r="G36" s="8">
        <v>320100000</v>
      </c>
      <c r="I36" s="8">
        <f t="shared" si="0"/>
        <v>0</v>
      </c>
    </row>
    <row r="37" spans="2:9" x14ac:dyDescent="0.45">
      <c r="B37" s="6" t="s">
        <v>24</v>
      </c>
      <c r="C37" s="19">
        <v>0</v>
      </c>
      <c r="D37" s="8">
        <v>0</v>
      </c>
      <c r="E37" s="8">
        <v>0</v>
      </c>
      <c r="G37" s="8">
        <v>0</v>
      </c>
      <c r="I37" s="8">
        <f t="shared" si="0"/>
        <v>0</v>
      </c>
    </row>
    <row r="38" spans="2:9" x14ac:dyDescent="0.45">
      <c r="B38" s="6" t="s">
        <v>25</v>
      </c>
      <c r="C38" s="19">
        <v>1684046000</v>
      </c>
      <c r="D38" s="8">
        <v>1684046000</v>
      </c>
      <c r="E38" s="8">
        <v>0</v>
      </c>
      <c r="G38" s="8">
        <v>1684046000</v>
      </c>
      <c r="I38" s="8">
        <f t="shared" si="0"/>
        <v>0</v>
      </c>
    </row>
    <row r="39" spans="2:9" x14ac:dyDescent="0.45">
      <c r="B39" s="6" t="s">
        <v>26</v>
      </c>
      <c r="C39" s="19">
        <v>2570000000</v>
      </c>
      <c r="D39" s="8">
        <v>2570000000</v>
      </c>
      <c r="E39" s="8">
        <v>0</v>
      </c>
      <c r="G39" s="8">
        <v>2570000000</v>
      </c>
      <c r="I39" s="8">
        <f t="shared" si="0"/>
        <v>0</v>
      </c>
    </row>
    <row r="40" spans="2:9" x14ac:dyDescent="0.45">
      <c r="B40" s="6" t="s">
        <v>23</v>
      </c>
      <c r="C40" s="19">
        <v>150000000</v>
      </c>
      <c r="D40" s="8">
        <v>150000000</v>
      </c>
      <c r="E40" s="8">
        <v>0</v>
      </c>
      <c r="G40" s="8">
        <v>150000000</v>
      </c>
      <c r="I40" s="8">
        <f t="shared" si="0"/>
        <v>0</v>
      </c>
    </row>
    <row r="41" spans="2:9" x14ac:dyDescent="0.45">
      <c r="B41" s="6" t="s">
        <v>9</v>
      </c>
      <c r="C41" s="19">
        <v>17365502941</v>
      </c>
      <c r="D41" s="8">
        <v>17365503867</v>
      </c>
      <c r="E41" s="8">
        <v>926</v>
      </c>
      <c r="G41" s="8">
        <v>17365504000</v>
      </c>
      <c r="I41" s="8">
        <f t="shared" si="0"/>
        <v>133</v>
      </c>
    </row>
    <row r="42" spans="2:9" x14ac:dyDescent="0.45">
      <c r="B42" s="6" t="s">
        <v>21</v>
      </c>
      <c r="C42" s="19">
        <v>649000000</v>
      </c>
      <c r="D42" s="8">
        <v>649000000</v>
      </c>
      <c r="E42" s="8">
        <v>0</v>
      </c>
      <c r="G42" s="8">
        <v>649000000</v>
      </c>
      <c r="I42" s="8">
        <f t="shared" si="0"/>
        <v>0</v>
      </c>
    </row>
    <row r="43" spans="2:9" x14ac:dyDescent="0.45">
      <c r="B43" s="5" t="s">
        <v>32</v>
      </c>
      <c r="C43" s="19">
        <v>27448857000</v>
      </c>
      <c r="D43" s="8">
        <v>27448857000</v>
      </c>
      <c r="E43" s="8">
        <v>0</v>
      </c>
      <c r="G43" s="9">
        <f>SUM(G44:G50)</f>
        <v>27448857000</v>
      </c>
      <c r="I43" s="9">
        <f t="shared" si="0"/>
        <v>0</v>
      </c>
    </row>
    <row r="44" spans="2:9" x14ac:dyDescent="0.45">
      <c r="B44" s="6" t="s">
        <v>22</v>
      </c>
      <c r="C44" s="19">
        <v>250000000</v>
      </c>
      <c r="D44" s="8">
        <v>250000000</v>
      </c>
      <c r="E44" s="8">
        <v>0</v>
      </c>
      <c r="G44" s="8">
        <v>250000000</v>
      </c>
      <c r="I44" s="8">
        <f t="shared" si="0"/>
        <v>0</v>
      </c>
    </row>
    <row r="45" spans="2:9" x14ac:dyDescent="0.45">
      <c r="B45" s="6" t="s">
        <v>24</v>
      </c>
      <c r="C45" s="19">
        <v>0</v>
      </c>
      <c r="D45" s="8">
        <v>0</v>
      </c>
      <c r="E45" s="8">
        <v>0</v>
      </c>
      <c r="G45" s="8">
        <v>0</v>
      </c>
      <c r="I45" s="8">
        <f t="shared" si="0"/>
        <v>0</v>
      </c>
    </row>
    <row r="46" spans="2:9" x14ac:dyDescent="0.45">
      <c r="B46" s="6" t="s">
        <v>25</v>
      </c>
      <c r="C46" s="19">
        <v>1822912999.9999998</v>
      </c>
      <c r="D46" s="8">
        <v>1822912999.9999995</v>
      </c>
      <c r="E46" s="8">
        <v>0</v>
      </c>
      <c r="G46" s="8">
        <v>1822913000</v>
      </c>
      <c r="I46" s="8">
        <f t="shared" si="0"/>
        <v>0</v>
      </c>
    </row>
    <row r="47" spans="2:9" x14ac:dyDescent="0.45">
      <c r="B47" s="6" t="s">
        <v>26</v>
      </c>
      <c r="C47" s="19">
        <v>3063576000</v>
      </c>
      <c r="D47" s="8">
        <v>3063576000</v>
      </c>
      <c r="E47" s="8">
        <v>0</v>
      </c>
      <c r="G47" s="8">
        <v>3063576000</v>
      </c>
      <c r="I47" s="8">
        <f t="shared" si="0"/>
        <v>0</v>
      </c>
    </row>
    <row r="48" spans="2:9" x14ac:dyDescent="0.45">
      <c r="B48" s="6" t="s">
        <v>23</v>
      </c>
      <c r="C48" s="19">
        <v>1040000000</v>
      </c>
      <c r="D48" s="8">
        <v>1040000000</v>
      </c>
      <c r="E48" s="8">
        <v>0</v>
      </c>
      <c r="G48" s="8">
        <v>1040000000</v>
      </c>
      <c r="I48" s="8">
        <f t="shared" si="0"/>
        <v>0</v>
      </c>
    </row>
    <row r="49" spans="2:9" x14ac:dyDescent="0.45">
      <c r="B49" s="6" t="s">
        <v>9</v>
      </c>
      <c r="C49" s="19">
        <v>20087368000</v>
      </c>
      <c r="D49" s="8">
        <v>20087368000</v>
      </c>
      <c r="E49" s="8">
        <v>0</v>
      </c>
      <c r="G49" s="8">
        <v>20087368000</v>
      </c>
      <c r="I49" s="8">
        <f t="shared" si="0"/>
        <v>0</v>
      </c>
    </row>
    <row r="50" spans="2:9" x14ac:dyDescent="0.45">
      <c r="B50" s="6" t="s">
        <v>21</v>
      </c>
      <c r="C50" s="19">
        <v>1185000000</v>
      </c>
      <c r="D50" s="8">
        <v>1185000000</v>
      </c>
      <c r="E50" s="8">
        <v>0</v>
      </c>
      <c r="G50" s="8">
        <v>1185000000</v>
      </c>
      <c r="I50" s="8">
        <f t="shared" si="0"/>
        <v>0</v>
      </c>
    </row>
    <row r="51" spans="2:9" x14ac:dyDescent="0.45">
      <c r="B51" s="5" t="s">
        <v>33</v>
      </c>
      <c r="C51" s="19">
        <v>35394555333.333336</v>
      </c>
      <c r="D51" s="8">
        <v>35394555333.333336</v>
      </c>
      <c r="E51" s="8">
        <v>0</v>
      </c>
      <c r="G51" s="9">
        <f>SUM(G52:G58)</f>
        <v>35394555000</v>
      </c>
      <c r="I51" s="9">
        <f t="shared" si="0"/>
        <v>-333.33333587646484</v>
      </c>
    </row>
    <row r="52" spans="2:9" x14ac:dyDescent="0.45">
      <c r="B52" s="6" t="s">
        <v>22</v>
      </c>
      <c r="C52" s="19">
        <v>346378000</v>
      </c>
      <c r="D52" s="8">
        <v>346378000</v>
      </c>
      <c r="E52" s="8">
        <v>0</v>
      </c>
      <c r="G52" s="8">
        <v>346378000</v>
      </c>
      <c r="I52" s="8">
        <f t="shared" si="0"/>
        <v>0</v>
      </c>
    </row>
    <row r="53" spans="2:9" x14ac:dyDescent="0.45">
      <c r="B53" s="6" t="s">
        <v>24</v>
      </c>
      <c r="C53" s="19">
        <v>0</v>
      </c>
      <c r="D53" s="8">
        <v>0</v>
      </c>
      <c r="E53" s="8">
        <v>0</v>
      </c>
      <c r="G53" s="8">
        <v>0</v>
      </c>
      <c r="I53" s="8">
        <f t="shared" si="0"/>
        <v>0</v>
      </c>
    </row>
    <row r="54" spans="2:9" x14ac:dyDescent="0.45">
      <c r="B54" s="6" t="s">
        <v>25</v>
      </c>
      <c r="C54" s="19">
        <v>1882128000</v>
      </c>
      <c r="D54" s="8">
        <v>1882128000</v>
      </c>
      <c r="E54" s="8">
        <v>0</v>
      </c>
      <c r="G54" s="8">
        <v>1882128000</v>
      </c>
      <c r="I54" s="8">
        <f t="shared" si="0"/>
        <v>0</v>
      </c>
    </row>
    <row r="55" spans="2:9" x14ac:dyDescent="0.45">
      <c r="B55" s="6" t="s">
        <v>26</v>
      </c>
      <c r="C55" s="19">
        <v>2185360333.3333335</v>
      </c>
      <c r="D55" s="8">
        <v>2185360333.3333335</v>
      </c>
      <c r="E55" s="8">
        <v>0</v>
      </c>
      <c r="G55" s="8">
        <v>2185360000</v>
      </c>
      <c r="I55" s="8">
        <f t="shared" si="0"/>
        <v>-333.33333349227905</v>
      </c>
    </row>
    <row r="56" spans="2:9" x14ac:dyDescent="0.45">
      <c r="B56" s="6" t="s">
        <v>23</v>
      </c>
      <c r="C56" s="19">
        <v>200000000</v>
      </c>
      <c r="D56" s="8">
        <v>200000000</v>
      </c>
      <c r="E56" s="8">
        <v>0</v>
      </c>
      <c r="G56" s="8">
        <v>200000000</v>
      </c>
      <c r="I56" s="8">
        <f t="shared" si="0"/>
        <v>0</v>
      </c>
    </row>
    <row r="57" spans="2:9" x14ac:dyDescent="0.45">
      <c r="B57" s="6" t="s">
        <v>9</v>
      </c>
      <c r="C57" s="19">
        <v>28538689000</v>
      </c>
      <c r="D57" s="8">
        <v>28538689000</v>
      </c>
      <c r="E57" s="8">
        <v>0</v>
      </c>
      <c r="G57" s="8">
        <v>28538689000</v>
      </c>
      <c r="I57" s="8">
        <f t="shared" si="0"/>
        <v>0</v>
      </c>
    </row>
    <row r="58" spans="2:9" x14ac:dyDescent="0.45">
      <c r="B58" s="6" t="s">
        <v>21</v>
      </c>
      <c r="C58" s="19">
        <v>2242000000</v>
      </c>
      <c r="D58" s="8">
        <v>2242000000</v>
      </c>
      <c r="E58" s="8">
        <v>0</v>
      </c>
      <c r="G58" s="8">
        <v>2242000000</v>
      </c>
      <c r="I58" s="8">
        <f t="shared" si="0"/>
        <v>0</v>
      </c>
    </row>
    <row r="59" spans="2:9" x14ac:dyDescent="0.45">
      <c r="B59" s="5" t="s">
        <v>34</v>
      </c>
      <c r="C59" s="19">
        <v>13759223000</v>
      </c>
      <c r="D59" s="8">
        <v>13759223000</v>
      </c>
      <c r="E59" s="8">
        <v>0</v>
      </c>
      <c r="G59" s="9">
        <f>SUM(G60:G66)</f>
        <v>13759223000</v>
      </c>
      <c r="I59" s="9">
        <f t="shared" si="0"/>
        <v>0</v>
      </c>
    </row>
    <row r="60" spans="2:9" x14ac:dyDescent="0.45">
      <c r="B60" s="6" t="s">
        <v>22</v>
      </c>
      <c r="C60" s="19">
        <v>111310000</v>
      </c>
      <c r="D60" s="8">
        <v>111310000</v>
      </c>
      <c r="E60" s="8">
        <v>0</v>
      </c>
      <c r="G60" s="8">
        <v>111310000</v>
      </c>
      <c r="I60" s="8">
        <f t="shared" si="0"/>
        <v>0</v>
      </c>
    </row>
    <row r="61" spans="2:9" x14ac:dyDescent="0.45">
      <c r="B61" s="6" t="s">
        <v>24</v>
      </c>
      <c r="C61" s="19">
        <v>0</v>
      </c>
      <c r="D61" s="8">
        <v>0</v>
      </c>
      <c r="E61" s="8">
        <v>0</v>
      </c>
      <c r="G61" s="8">
        <v>0</v>
      </c>
      <c r="I61" s="8">
        <f t="shared" si="0"/>
        <v>0</v>
      </c>
    </row>
    <row r="62" spans="2:9" x14ac:dyDescent="0.45">
      <c r="B62" s="6" t="s">
        <v>25</v>
      </c>
      <c r="C62" s="19">
        <v>1216858000</v>
      </c>
      <c r="D62" s="8">
        <v>1216858000</v>
      </c>
      <c r="E62" s="8">
        <v>0</v>
      </c>
      <c r="G62" s="8">
        <v>1216858000</v>
      </c>
      <c r="I62" s="8">
        <f t="shared" si="0"/>
        <v>0</v>
      </c>
    </row>
    <row r="63" spans="2:9" x14ac:dyDescent="0.45">
      <c r="B63" s="6" t="s">
        <v>26</v>
      </c>
      <c r="C63" s="19">
        <v>2310000000</v>
      </c>
      <c r="D63" s="8">
        <v>2310000000</v>
      </c>
      <c r="E63" s="8">
        <v>0</v>
      </c>
      <c r="G63" s="8">
        <v>2310000000</v>
      </c>
      <c r="I63" s="8">
        <f t="shared" si="0"/>
        <v>0</v>
      </c>
    </row>
    <row r="64" spans="2:9" x14ac:dyDescent="0.45">
      <c r="B64" s="6" t="s">
        <v>23</v>
      </c>
      <c r="C64" s="19">
        <v>100000000</v>
      </c>
      <c r="D64" s="8">
        <v>100000000</v>
      </c>
      <c r="E64" s="8">
        <v>0</v>
      </c>
      <c r="G64" s="8">
        <v>100000000</v>
      </c>
      <c r="I64" s="8">
        <f t="shared" si="0"/>
        <v>0</v>
      </c>
    </row>
    <row r="65" spans="2:9" x14ac:dyDescent="0.45">
      <c r="B65" s="6" t="s">
        <v>9</v>
      </c>
      <c r="C65" s="19">
        <v>9243055000</v>
      </c>
      <c r="D65" s="8">
        <v>9243055000</v>
      </c>
      <c r="E65" s="8">
        <v>0</v>
      </c>
      <c r="G65" s="8">
        <v>9243055000</v>
      </c>
      <c r="I65" s="8">
        <f t="shared" si="0"/>
        <v>0</v>
      </c>
    </row>
    <row r="66" spans="2:9" x14ac:dyDescent="0.45">
      <c r="B66" s="6" t="s">
        <v>21</v>
      </c>
      <c r="C66" s="19">
        <v>778000000</v>
      </c>
      <c r="D66" s="8">
        <v>778000000</v>
      </c>
      <c r="E66" s="8">
        <v>0</v>
      </c>
      <c r="G66" s="8">
        <v>778000000</v>
      </c>
      <c r="I66" s="8">
        <f t="shared" si="0"/>
        <v>0</v>
      </c>
    </row>
    <row r="67" spans="2:9" x14ac:dyDescent="0.45">
      <c r="B67" s="5" t="s">
        <v>35</v>
      </c>
      <c r="C67" s="19">
        <v>33298005000</v>
      </c>
      <c r="D67" s="8">
        <v>33298005000</v>
      </c>
      <c r="E67" s="8">
        <v>0</v>
      </c>
      <c r="G67" s="9">
        <f>SUM(G68:G74)</f>
        <v>33298000000</v>
      </c>
      <c r="I67" s="9">
        <f t="shared" si="0"/>
        <v>-5000</v>
      </c>
    </row>
    <row r="68" spans="2:9" x14ac:dyDescent="0.45">
      <c r="B68" s="6" t="s">
        <v>22</v>
      </c>
      <c r="C68" s="19">
        <v>141550000</v>
      </c>
      <c r="D68" s="8">
        <v>141550000</v>
      </c>
      <c r="E68" s="8">
        <v>0</v>
      </c>
      <c r="G68" s="8">
        <v>141550000</v>
      </c>
      <c r="I68" s="8">
        <f t="shared" si="0"/>
        <v>0</v>
      </c>
    </row>
    <row r="69" spans="2:9" x14ac:dyDescent="0.45">
      <c r="B69" s="6" t="s">
        <v>24</v>
      </c>
      <c r="C69" s="19">
        <v>0</v>
      </c>
      <c r="D69" s="8">
        <v>0</v>
      </c>
      <c r="E69" s="8">
        <v>0</v>
      </c>
      <c r="G69" s="8">
        <v>0</v>
      </c>
      <c r="I69" s="8">
        <f t="shared" si="0"/>
        <v>0</v>
      </c>
    </row>
    <row r="70" spans="2:9" x14ac:dyDescent="0.45">
      <c r="B70" s="26" t="s">
        <v>25</v>
      </c>
      <c r="C70" s="19">
        <v>1861257000</v>
      </c>
      <c r="D70" s="19">
        <v>1861257000</v>
      </c>
      <c r="E70" s="19">
        <v>0</v>
      </c>
      <c r="F70" s="20"/>
      <c r="G70" s="19">
        <v>1861257000</v>
      </c>
      <c r="H70" s="20"/>
      <c r="I70" s="19">
        <f t="shared" ref="I70:I122" si="1">G70-D70</f>
        <v>0</v>
      </c>
    </row>
    <row r="71" spans="2:9" s="20" customFormat="1" x14ac:dyDescent="0.45">
      <c r="B71" s="26" t="s">
        <v>26</v>
      </c>
      <c r="C71" s="19">
        <v>2911764000</v>
      </c>
      <c r="D71" s="19">
        <v>2911764000</v>
      </c>
      <c r="E71" s="19">
        <v>0</v>
      </c>
      <c r="G71" s="19">
        <v>2911760000</v>
      </c>
      <c r="I71" s="19">
        <f t="shared" si="1"/>
        <v>-4000</v>
      </c>
    </row>
    <row r="72" spans="2:9" x14ac:dyDescent="0.45">
      <c r="B72" s="6" t="s">
        <v>23</v>
      </c>
      <c r="C72" s="19">
        <v>200000000</v>
      </c>
      <c r="D72" s="8">
        <v>200000000</v>
      </c>
      <c r="E72" s="8">
        <v>0</v>
      </c>
      <c r="G72" s="8">
        <v>200000000</v>
      </c>
      <c r="I72" s="8">
        <f t="shared" si="1"/>
        <v>0</v>
      </c>
    </row>
    <row r="73" spans="2:9" x14ac:dyDescent="0.45">
      <c r="B73" s="6" t="s">
        <v>9</v>
      </c>
      <c r="C73" s="19">
        <v>26583434000</v>
      </c>
      <c r="D73" s="8">
        <v>26583434000</v>
      </c>
      <c r="E73" s="8">
        <v>0</v>
      </c>
      <c r="G73" s="8">
        <v>26583433000</v>
      </c>
      <c r="I73" s="8">
        <f t="shared" si="1"/>
        <v>-1000</v>
      </c>
    </row>
    <row r="74" spans="2:9" x14ac:dyDescent="0.45">
      <c r="B74" s="6" t="s">
        <v>21</v>
      </c>
      <c r="C74" s="19">
        <v>1600000000</v>
      </c>
      <c r="D74" s="8">
        <v>1600000000</v>
      </c>
      <c r="E74" s="8">
        <v>0</v>
      </c>
      <c r="G74" s="8">
        <v>1600000000</v>
      </c>
      <c r="I74" s="8">
        <f t="shared" si="1"/>
        <v>0</v>
      </c>
    </row>
    <row r="75" spans="2:9" x14ac:dyDescent="0.45">
      <c r="B75" s="5" t="s">
        <v>36</v>
      </c>
      <c r="C75" s="19">
        <v>12904694000</v>
      </c>
      <c r="D75" s="8">
        <v>12904694000</v>
      </c>
      <c r="E75" s="8">
        <v>0</v>
      </c>
      <c r="G75" s="9">
        <f>SUM(G76:G82)</f>
        <v>12904694000</v>
      </c>
      <c r="I75" s="9">
        <f t="shared" si="1"/>
        <v>0</v>
      </c>
    </row>
    <row r="76" spans="2:9" x14ac:dyDescent="0.45">
      <c r="B76" s="6" t="s">
        <v>22</v>
      </c>
      <c r="C76" s="19">
        <v>99980000</v>
      </c>
      <c r="D76" s="8">
        <v>99980000</v>
      </c>
      <c r="E76" s="8">
        <v>0</v>
      </c>
      <c r="G76" s="8">
        <v>99980000</v>
      </c>
      <c r="I76" s="8">
        <f t="shared" si="1"/>
        <v>0</v>
      </c>
    </row>
    <row r="77" spans="2:9" x14ac:dyDescent="0.45">
      <c r="B77" s="6" t="s">
        <v>24</v>
      </c>
      <c r="C77" s="19">
        <v>0</v>
      </c>
      <c r="D77" s="8">
        <v>0</v>
      </c>
      <c r="E77" s="8">
        <v>0</v>
      </c>
      <c r="G77" s="8">
        <v>0</v>
      </c>
      <c r="I77" s="8">
        <f t="shared" si="1"/>
        <v>0</v>
      </c>
    </row>
    <row r="78" spans="2:9" x14ac:dyDescent="0.45">
      <c r="B78" s="6" t="s">
        <v>25</v>
      </c>
      <c r="C78" s="19">
        <v>960700000</v>
      </c>
      <c r="D78" s="8">
        <v>960700000</v>
      </c>
      <c r="E78" s="8">
        <v>0</v>
      </c>
      <c r="G78" s="8">
        <v>960700000</v>
      </c>
      <c r="I78" s="8">
        <f t="shared" si="1"/>
        <v>0</v>
      </c>
    </row>
    <row r="79" spans="2:9" x14ac:dyDescent="0.45">
      <c r="B79" s="6" t="s">
        <v>26</v>
      </c>
      <c r="C79" s="19">
        <v>411080000</v>
      </c>
      <c r="D79" s="8">
        <v>411080000</v>
      </c>
      <c r="E79" s="8">
        <v>0</v>
      </c>
      <c r="G79" s="8">
        <v>411080000</v>
      </c>
      <c r="I79" s="8">
        <f t="shared" si="1"/>
        <v>0</v>
      </c>
    </row>
    <row r="80" spans="2:9" x14ac:dyDescent="0.45">
      <c r="B80" s="6" t="s">
        <v>23</v>
      </c>
      <c r="C80" s="19">
        <v>110000000</v>
      </c>
      <c r="D80" s="8">
        <v>110000000</v>
      </c>
      <c r="E80" s="8">
        <v>0</v>
      </c>
      <c r="G80" s="8">
        <v>110000000</v>
      </c>
      <c r="I80" s="8">
        <f t="shared" si="1"/>
        <v>0</v>
      </c>
    </row>
    <row r="81" spans="2:9" x14ac:dyDescent="0.45">
      <c r="B81" s="6" t="s">
        <v>9</v>
      </c>
      <c r="C81" s="19">
        <v>11122934000</v>
      </c>
      <c r="D81" s="8">
        <v>11122934000</v>
      </c>
      <c r="E81" s="8">
        <v>0</v>
      </c>
      <c r="G81" s="8">
        <v>11122934000</v>
      </c>
      <c r="I81" s="8">
        <f t="shared" si="1"/>
        <v>0</v>
      </c>
    </row>
    <row r="82" spans="2:9" x14ac:dyDescent="0.45">
      <c r="B82" s="6" t="s">
        <v>21</v>
      </c>
      <c r="C82" s="19">
        <v>200000000</v>
      </c>
      <c r="D82" s="8">
        <v>200000000</v>
      </c>
      <c r="E82" s="8">
        <v>0</v>
      </c>
      <c r="G82" s="8">
        <v>200000000</v>
      </c>
      <c r="I82" s="8">
        <f t="shared" si="1"/>
        <v>0</v>
      </c>
    </row>
    <row r="83" spans="2:9" x14ac:dyDescent="0.45">
      <c r="B83" s="5" t="s">
        <v>37</v>
      </c>
      <c r="C83" s="19">
        <v>14076601000</v>
      </c>
      <c r="D83" s="8">
        <v>14076601000</v>
      </c>
      <c r="E83" s="8">
        <v>0</v>
      </c>
      <c r="G83" s="9">
        <f>SUM(G84:G90)</f>
        <v>14076601000</v>
      </c>
      <c r="I83" s="9">
        <f t="shared" si="1"/>
        <v>0</v>
      </c>
    </row>
    <row r="84" spans="2:9" x14ac:dyDescent="0.45">
      <c r="B84" s="6" t="s">
        <v>22</v>
      </c>
      <c r="C84" s="19">
        <v>316800000</v>
      </c>
      <c r="D84" s="8">
        <v>316800000</v>
      </c>
      <c r="E84" s="8">
        <v>0</v>
      </c>
      <c r="G84" s="8">
        <v>316800000</v>
      </c>
      <c r="I84" s="8">
        <f t="shared" si="1"/>
        <v>0</v>
      </c>
    </row>
    <row r="85" spans="2:9" x14ac:dyDescent="0.45">
      <c r="B85" s="6" t="s">
        <v>24</v>
      </c>
      <c r="C85" s="19">
        <v>0</v>
      </c>
      <c r="D85" s="8">
        <v>0</v>
      </c>
      <c r="E85" s="8">
        <v>0</v>
      </c>
      <c r="G85" s="8">
        <v>0</v>
      </c>
      <c r="I85" s="8">
        <f t="shared" si="1"/>
        <v>0</v>
      </c>
    </row>
    <row r="86" spans="2:9" x14ac:dyDescent="0.45">
      <c r="B86" s="6" t="s">
        <v>25</v>
      </c>
      <c r="C86" s="19">
        <v>1792230999.9999998</v>
      </c>
      <c r="D86" s="8">
        <v>1792230999.9999998</v>
      </c>
      <c r="E86" s="8">
        <v>0</v>
      </c>
      <c r="G86" s="8">
        <v>1792231000</v>
      </c>
      <c r="I86" s="8">
        <f t="shared" si="1"/>
        <v>0</v>
      </c>
    </row>
    <row r="87" spans="2:9" x14ac:dyDescent="0.45">
      <c r="B87" s="6" t="s">
        <v>26</v>
      </c>
      <c r="C87" s="19">
        <v>2229999999.9999995</v>
      </c>
      <c r="D87" s="8">
        <v>2229999999.9999995</v>
      </c>
      <c r="E87" s="8">
        <v>0</v>
      </c>
      <c r="G87" s="8">
        <v>2230000000</v>
      </c>
      <c r="I87" s="8">
        <f t="shared" si="1"/>
        <v>0</v>
      </c>
    </row>
    <row r="88" spans="2:9" x14ac:dyDescent="0.45">
      <c r="B88" s="6" t="s">
        <v>23</v>
      </c>
      <c r="C88" s="19">
        <v>250000000</v>
      </c>
      <c r="D88" s="8">
        <v>250000000</v>
      </c>
      <c r="E88" s="8">
        <v>0</v>
      </c>
      <c r="G88" s="8">
        <v>250000000</v>
      </c>
      <c r="I88" s="8">
        <f t="shared" si="1"/>
        <v>0</v>
      </c>
    </row>
    <row r="89" spans="2:9" x14ac:dyDescent="0.45">
      <c r="B89" s="6" t="s">
        <v>9</v>
      </c>
      <c r="C89" s="19">
        <v>8737570000</v>
      </c>
      <c r="D89" s="8">
        <v>8737570000</v>
      </c>
      <c r="E89" s="8">
        <v>0</v>
      </c>
      <c r="G89" s="8">
        <v>8737570000</v>
      </c>
      <c r="I89" s="8">
        <f t="shared" si="1"/>
        <v>0</v>
      </c>
    </row>
    <row r="90" spans="2:9" x14ac:dyDescent="0.45">
      <c r="B90" s="6" t="s">
        <v>21</v>
      </c>
      <c r="C90" s="19">
        <v>750000000</v>
      </c>
      <c r="D90" s="8">
        <v>750000000</v>
      </c>
      <c r="E90" s="8">
        <v>0</v>
      </c>
      <c r="G90" s="8">
        <v>750000000</v>
      </c>
      <c r="I90" s="8">
        <f t="shared" si="1"/>
        <v>0</v>
      </c>
    </row>
    <row r="91" spans="2:9" x14ac:dyDescent="0.45">
      <c r="B91" s="5" t="s">
        <v>38</v>
      </c>
      <c r="C91" s="19">
        <v>2349761000</v>
      </c>
      <c r="D91" s="8">
        <v>2349761000</v>
      </c>
      <c r="E91" s="8">
        <v>0</v>
      </c>
      <c r="G91" s="9">
        <f>SUM(G92:G98)</f>
        <v>2349760730</v>
      </c>
      <c r="I91" s="9">
        <f t="shared" si="1"/>
        <v>-270</v>
      </c>
    </row>
    <row r="92" spans="2:9" x14ac:dyDescent="0.45">
      <c r="B92" s="6" t="s">
        <v>22</v>
      </c>
      <c r="C92" s="19">
        <v>45150000</v>
      </c>
      <c r="D92" s="8">
        <v>45150000</v>
      </c>
      <c r="E92" s="8">
        <v>0</v>
      </c>
      <c r="G92" s="8">
        <v>45150000</v>
      </c>
      <c r="I92" s="8">
        <f t="shared" si="1"/>
        <v>0</v>
      </c>
    </row>
    <row r="93" spans="2:9" x14ac:dyDescent="0.45">
      <c r="B93" s="6" t="s">
        <v>24</v>
      </c>
      <c r="C93" s="19">
        <v>0</v>
      </c>
      <c r="D93" s="8">
        <v>0</v>
      </c>
      <c r="E93" s="8">
        <v>0</v>
      </c>
      <c r="G93" s="8">
        <v>0</v>
      </c>
      <c r="I93" s="8">
        <f t="shared" si="1"/>
        <v>0</v>
      </c>
    </row>
    <row r="94" spans="2:9" x14ac:dyDescent="0.45">
      <c r="B94" s="6" t="s">
        <v>25</v>
      </c>
      <c r="C94" s="19">
        <v>372660000</v>
      </c>
      <c r="D94" s="8">
        <v>372660000</v>
      </c>
      <c r="E94" s="8">
        <v>0</v>
      </c>
      <c r="G94" s="8">
        <v>372660000</v>
      </c>
      <c r="I94" s="8">
        <f t="shared" si="1"/>
        <v>0</v>
      </c>
    </row>
    <row r="95" spans="2:9" x14ac:dyDescent="0.45">
      <c r="B95" s="6" t="s">
        <v>26</v>
      </c>
      <c r="C95" s="19">
        <v>0</v>
      </c>
      <c r="D95" s="8">
        <v>0</v>
      </c>
      <c r="E95" s="8">
        <v>0</v>
      </c>
      <c r="G95" s="8">
        <v>0</v>
      </c>
      <c r="I95" s="8">
        <f t="shared" si="1"/>
        <v>0</v>
      </c>
    </row>
    <row r="96" spans="2:9" x14ac:dyDescent="0.45">
      <c r="B96" s="6" t="s">
        <v>23</v>
      </c>
      <c r="C96" s="19">
        <v>60000000</v>
      </c>
      <c r="D96" s="8">
        <v>60000000</v>
      </c>
      <c r="E96" s="8">
        <v>0</v>
      </c>
      <c r="G96" s="8">
        <v>60000000</v>
      </c>
      <c r="I96" s="8">
        <f t="shared" si="1"/>
        <v>0</v>
      </c>
    </row>
    <row r="97" spans="2:9" x14ac:dyDescent="0.45">
      <c r="B97" s="6" t="s">
        <v>9</v>
      </c>
      <c r="C97" s="19">
        <v>1871951000</v>
      </c>
      <c r="D97" s="8">
        <v>1871951000</v>
      </c>
      <c r="E97" s="8">
        <v>0</v>
      </c>
      <c r="G97" s="8">
        <v>1871950730</v>
      </c>
      <c r="I97" s="8">
        <f t="shared" si="1"/>
        <v>-270</v>
      </c>
    </row>
    <row r="98" spans="2:9" x14ac:dyDescent="0.45">
      <c r="B98" s="6" t="s">
        <v>21</v>
      </c>
      <c r="C98" s="19">
        <v>0</v>
      </c>
      <c r="D98" s="8">
        <v>0</v>
      </c>
      <c r="E98" s="8">
        <v>0</v>
      </c>
      <c r="G98" s="8">
        <v>0</v>
      </c>
      <c r="I98" s="8">
        <f t="shared" si="1"/>
        <v>0</v>
      </c>
    </row>
    <row r="99" spans="2:9" x14ac:dyDescent="0.45">
      <c r="B99" s="5" t="s">
        <v>39</v>
      </c>
      <c r="C99" s="19">
        <v>35162678000</v>
      </c>
      <c r="D99" s="8">
        <v>35162678000</v>
      </c>
      <c r="E99" s="8">
        <v>0</v>
      </c>
      <c r="G99" s="9">
        <f>SUM(G100:G106)</f>
        <v>35162678000</v>
      </c>
      <c r="I99" s="9">
        <f t="shared" si="1"/>
        <v>0</v>
      </c>
    </row>
    <row r="100" spans="2:9" x14ac:dyDescent="0.45">
      <c r="B100" s="6" t="s">
        <v>22</v>
      </c>
      <c r="C100" s="19">
        <v>1016150000</v>
      </c>
      <c r="D100" s="8">
        <v>1016150000</v>
      </c>
      <c r="E100" s="8">
        <v>0</v>
      </c>
      <c r="G100" s="8">
        <v>1016150000</v>
      </c>
      <c r="I100" s="8">
        <f t="shared" si="1"/>
        <v>0</v>
      </c>
    </row>
    <row r="101" spans="2:9" x14ac:dyDescent="0.45">
      <c r="B101" s="6" t="s">
        <v>24</v>
      </c>
      <c r="C101" s="19">
        <v>0</v>
      </c>
      <c r="D101" s="8">
        <v>0</v>
      </c>
      <c r="E101" s="8">
        <v>0</v>
      </c>
      <c r="G101" s="8">
        <v>0</v>
      </c>
      <c r="I101" s="8">
        <f t="shared" si="1"/>
        <v>0</v>
      </c>
    </row>
    <row r="102" spans="2:9" x14ac:dyDescent="0.45">
      <c r="B102" s="6" t="s">
        <v>25</v>
      </c>
      <c r="C102" s="19">
        <v>3494050000</v>
      </c>
      <c r="D102" s="8">
        <v>3494050000</v>
      </c>
      <c r="E102" s="8">
        <v>0</v>
      </c>
      <c r="G102" s="8">
        <v>3494050000</v>
      </c>
      <c r="I102" s="8">
        <f t="shared" si="1"/>
        <v>0</v>
      </c>
    </row>
    <row r="103" spans="2:9" x14ac:dyDescent="0.45">
      <c r="B103" s="6" t="s">
        <v>26</v>
      </c>
      <c r="C103" s="19">
        <v>2560000000</v>
      </c>
      <c r="D103" s="8">
        <v>2560000000</v>
      </c>
      <c r="E103" s="8">
        <v>0</v>
      </c>
      <c r="G103" s="8">
        <v>2560000000</v>
      </c>
      <c r="I103" s="8">
        <f t="shared" si="1"/>
        <v>0</v>
      </c>
    </row>
    <row r="104" spans="2:9" x14ac:dyDescent="0.45">
      <c r="B104" s="6" t="s">
        <v>23</v>
      </c>
      <c r="C104" s="19">
        <v>100000000</v>
      </c>
      <c r="D104" s="8">
        <v>100000000</v>
      </c>
      <c r="E104" s="8">
        <v>0</v>
      </c>
      <c r="G104" s="8">
        <v>100000000</v>
      </c>
      <c r="I104" s="8">
        <f t="shared" si="1"/>
        <v>0</v>
      </c>
    </row>
    <row r="105" spans="2:9" x14ac:dyDescent="0.45">
      <c r="B105" s="6" t="s">
        <v>9</v>
      </c>
      <c r="C105" s="19">
        <v>0</v>
      </c>
      <c r="D105" s="8">
        <v>0</v>
      </c>
      <c r="E105" s="8">
        <v>0</v>
      </c>
      <c r="G105" s="8">
        <v>0</v>
      </c>
      <c r="I105" s="8">
        <f t="shared" si="1"/>
        <v>0</v>
      </c>
    </row>
    <row r="106" spans="2:9" x14ac:dyDescent="0.45">
      <c r="B106" s="6" t="s">
        <v>21</v>
      </c>
      <c r="C106" s="19">
        <v>27992478000</v>
      </c>
      <c r="D106" s="8">
        <v>27992478000</v>
      </c>
      <c r="E106" s="8">
        <v>0</v>
      </c>
      <c r="G106" s="8">
        <v>27992478000</v>
      </c>
      <c r="I106" s="8">
        <f t="shared" si="1"/>
        <v>0</v>
      </c>
    </row>
    <row r="107" spans="2:9" x14ac:dyDescent="0.45">
      <c r="B107" s="5" t="s">
        <v>40</v>
      </c>
      <c r="C107" s="19">
        <v>35496760000</v>
      </c>
      <c r="D107" s="8">
        <v>35496760000</v>
      </c>
      <c r="E107" s="8">
        <v>0</v>
      </c>
      <c r="G107" s="9">
        <f>SUM(G108:G114)</f>
        <v>35496760000</v>
      </c>
      <c r="I107" s="9">
        <f t="shared" si="1"/>
        <v>0</v>
      </c>
    </row>
    <row r="108" spans="2:9" x14ac:dyDescent="0.45">
      <c r="B108" s="6" t="s">
        <v>22</v>
      </c>
      <c r="C108" s="19">
        <v>285972000</v>
      </c>
      <c r="D108" s="8">
        <v>285972000</v>
      </c>
      <c r="E108" s="8">
        <v>0</v>
      </c>
      <c r="G108" s="8">
        <v>285972000</v>
      </c>
      <c r="I108" s="8">
        <f t="shared" si="1"/>
        <v>0</v>
      </c>
    </row>
    <row r="109" spans="2:9" x14ac:dyDescent="0.45">
      <c r="B109" s="6" t="s">
        <v>24</v>
      </c>
      <c r="C109" s="19">
        <v>0</v>
      </c>
      <c r="D109" s="8">
        <v>0</v>
      </c>
      <c r="E109" s="8">
        <v>0</v>
      </c>
      <c r="G109" s="8">
        <v>0</v>
      </c>
      <c r="I109" s="8">
        <f t="shared" si="1"/>
        <v>0</v>
      </c>
    </row>
    <row r="110" spans="2:9" x14ac:dyDescent="0.45">
      <c r="B110" s="6" t="s">
        <v>25</v>
      </c>
      <c r="C110" s="19">
        <v>2401223000</v>
      </c>
      <c r="D110" s="8">
        <v>2401223000</v>
      </c>
      <c r="E110" s="8">
        <v>0</v>
      </c>
      <c r="G110" s="8">
        <v>2401223000</v>
      </c>
      <c r="I110" s="8">
        <f t="shared" si="1"/>
        <v>0</v>
      </c>
    </row>
    <row r="111" spans="2:9" x14ac:dyDescent="0.45">
      <c r="B111" s="6" t="s">
        <v>26</v>
      </c>
      <c r="C111" s="19">
        <v>1539315000</v>
      </c>
      <c r="D111" s="8">
        <v>1539315000</v>
      </c>
      <c r="E111" s="8">
        <v>0</v>
      </c>
      <c r="G111" s="8">
        <v>1539315000</v>
      </c>
      <c r="I111" s="8">
        <f t="shared" si="1"/>
        <v>0</v>
      </c>
    </row>
    <row r="112" spans="2:9" x14ac:dyDescent="0.45">
      <c r="B112" s="6" t="s">
        <v>23</v>
      </c>
      <c r="C112" s="19">
        <v>645000000</v>
      </c>
      <c r="D112" s="8">
        <v>645000000</v>
      </c>
      <c r="E112" s="8">
        <v>0</v>
      </c>
      <c r="G112" s="8">
        <v>645000000</v>
      </c>
      <c r="I112" s="8">
        <f t="shared" si="1"/>
        <v>0</v>
      </c>
    </row>
    <row r="113" spans="2:9" x14ac:dyDescent="0.45">
      <c r="B113" s="6" t="s">
        <v>9</v>
      </c>
      <c r="C113" s="19">
        <v>30325250000</v>
      </c>
      <c r="D113" s="8">
        <v>30325250000</v>
      </c>
      <c r="E113" s="8">
        <v>0</v>
      </c>
      <c r="G113" s="8">
        <v>30325250000</v>
      </c>
      <c r="I113" s="8">
        <f t="shared" si="1"/>
        <v>0</v>
      </c>
    </row>
    <row r="114" spans="2:9" x14ac:dyDescent="0.45">
      <c r="B114" s="6" t="s">
        <v>21</v>
      </c>
      <c r="C114" s="19">
        <v>300000000</v>
      </c>
      <c r="D114" s="8">
        <v>300000000</v>
      </c>
      <c r="E114" s="8">
        <v>0</v>
      </c>
      <c r="G114" s="8">
        <v>300000000</v>
      </c>
      <c r="I114" s="8">
        <f t="shared" si="1"/>
        <v>0</v>
      </c>
    </row>
    <row r="115" spans="2:9" x14ac:dyDescent="0.45">
      <c r="B115" s="5" t="s">
        <v>8</v>
      </c>
      <c r="C115" s="19">
        <v>332108391054</v>
      </c>
      <c r="D115" s="8">
        <v>332108391332</v>
      </c>
      <c r="E115" s="8">
        <v>278</v>
      </c>
      <c r="G115" s="9">
        <f>SUM(G116:G122)</f>
        <v>332108391000</v>
      </c>
      <c r="I115" s="9">
        <f t="shared" si="1"/>
        <v>-332</v>
      </c>
    </row>
    <row r="116" spans="2:9" x14ac:dyDescent="0.45">
      <c r="B116" s="6" t="s">
        <v>22</v>
      </c>
      <c r="C116" s="19">
        <v>0</v>
      </c>
      <c r="D116" s="8">
        <v>0</v>
      </c>
      <c r="E116" s="8">
        <v>0</v>
      </c>
      <c r="G116" s="8">
        <v>0</v>
      </c>
      <c r="I116" s="8">
        <f t="shared" si="1"/>
        <v>0</v>
      </c>
    </row>
    <row r="117" spans="2:9" x14ac:dyDescent="0.45">
      <c r="B117" s="6" t="s">
        <v>24</v>
      </c>
      <c r="C117" s="19">
        <v>500000000</v>
      </c>
      <c r="D117" s="8">
        <v>500000000</v>
      </c>
      <c r="E117" s="8">
        <v>0</v>
      </c>
      <c r="G117" s="8">
        <v>500000000</v>
      </c>
      <c r="I117" s="8">
        <f t="shared" si="1"/>
        <v>0</v>
      </c>
    </row>
    <row r="118" spans="2:9" x14ac:dyDescent="0.45">
      <c r="B118" s="6" t="s">
        <v>25</v>
      </c>
      <c r="C118" s="19">
        <v>7946000000</v>
      </c>
      <c r="D118" s="8">
        <v>7946000000</v>
      </c>
      <c r="E118" s="8">
        <v>0</v>
      </c>
      <c r="G118" s="8">
        <v>7946000000</v>
      </c>
      <c r="I118" s="8">
        <f t="shared" si="1"/>
        <v>0</v>
      </c>
    </row>
    <row r="119" spans="2:9" x14ac:dyDescent="0.45">
      <c r="B119" s="6" t="s">
        <v>26</v>
      </c>
      <c r="C119" s="19">
        <v>4500000000</v>
      </c>
      <c r="D119" s="8">
        <v>4500000000</v>
      </c>
      <c r="E119" s="8">
        <v>0</v>
      </c>
      <c r="G119" s="8">
        <v>4500000000</v>
      </c>
      <c r="I119" s="8">
        <f t="shared" si="1"/>
        <v>0</v>
      </c>
    </row>
    <row r="120" spans="2:9" x14ac:dyDescent="0.45">
      <c r="B120" s="6" t="s">
        <v>23</v>
      </c>
      <c r="C120" s="19">
        <v>1600000000</v>
      </c>
      <c r="D120" s="8">
        <v>1600000000</v>
      </c>
      <c r="E120" s="8">
        <v>0</v>
      </c>
      <c r="G120" s="8">
        <v>1600000000</v>
      </c>
      <c r="I120" s="8">
        <f t="shared" si="1"/>
        <v>0</v>
      </c>
    </row>
    <row r="121" spans="2:9" x14ac:dyDescent="0.45">
      <c r="B121" s="6" t="s">
        <v>9</v>
      </c>
      <c r="C121" s="19">
        <v>317562391054</v>
      </c>
      <c r="D121" s="8">
        <v>317562391332</v>
      </c>
      <c r="E121" s="8">
        <v>278</v>
      </c>
      <c r="G121" s="8">
        <v>317562391000</v>
      </c>
      <c r="I121" s="8">
        <f t="shared" si="1"/>
        <v>-332</v>
      </c>
    </row>
    <row r="122" spans="2:9" x14ac:dyDescent="0.45">
      <c r="B122" s="6" t="s">
        <v>21</v>
      </c>
      <c r="C122" s="19">
        <v>0</v>
      </c>
      <c r="D122" s="8">
        <v>0</v>
      </c>
      <c r="E122" s="8">
        <v>0</v>
      </c>
      <c r="G122" s="8">
        <v>0</v>
      </c>
      <c r="I122" s="8">
        <f t="shared" si="1"/>
        <v>0</v>
      </c>
    </row>
    <row r="123" spans="2:9" x14ac:dyDescent="0.45">
      <c r="B123" s="5" t="s">
        <v>43</v>
      </c>
      <c r="C123" s="19">
        <v>730326992665.33337</v>
      </c>
      <c r="D123" s="8">
        <v>730326993532.33337</v>
      </c>
      <c r="E123" s="8">
        <v>867</v>
      </c>
      <c r="G123" s="12">
        <f>SUM(G3,G11,G19,G27,G35,G43,G51,G59,G67,G75,G83,G91,G99,G107,G115)</f>
        <v>730326988931</v>
      </c>
      <c r="I123" s="12">
        <f>SUM(I3,I11,I19,I27,I35,I43,I51,I59,I67,I75,I83,I91,I99,I107,I115)</f>
        <v>-4601.3333358764648</v>
      </c>
    </row>
    <row r="124" spans="2:9" x14ac:dyDescent="0.45">
      <c r="D124" s="20"/>
      <c r="E124"/>
      <c r="G124"/>
      <c r="I124"/>
    </row>
    <row r="125" spans="2:9" hidden="1" x14ac:dyDescent="0.45">
      <c r="C125" s="20"/>
      <c r="D125" s="20"/>
      <c r="E125"/>
      <c r="G125"/>
      <c r="I125"/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65C2-3945-4A69-B15B-49379581950F}">
  <sheetPr>
    <tabColor theme="9" tint="-0.249977111117893"/>
    <outlinePr summaryBelow="0" summaryRight="0"/>
  </sheetPr>
  <dimension ref="A1:J550"/>
  <sheetViews>
    <sheetView showGridLines="0" zoomScaleNormal="100" workbookViewId="0">
      <pane ySplit="1" topLeftCell="A2" activePane="bottomLeft" state="frozen"/>
      <selection activeCell="B16" sqref="B16"/>
      <selection pane="bottomLeft" activeCell="A2" sqref="A2:J550"/>
    </sheetView>
  </sheetViews>
  <sheetFormatPr defaultColWidth="0" defaultRowHeight="15.75" customHeight="1" x14ac:dyDescent="0.4"/>
  <cols>
    <col min="1" max="1" width="50" style="30" customWidth="1"/>
    <col min="2" max="8" width="12" style="30" customWidth="1"/>
    <col min="9" max="9" width="8.59765625" style="30" customWidth="1"/>
    <col min="10" max="10" width="18" style="30" customWidth="1"/>
    <col min="11" max="16384" width="12.59765625" style="30" hidden="1"/>
  </cols>
  <sheetData>
    <row r="1" spans="1:10" ht="13.15" x14ac:dyDescent="0.4">
      <c r="A1" s="70" t="s">
        <v>51</v>
      </c>
      <c r="B1" s="70" t="s">
        <v>52</v>
      </c>
      <c r="C1" s="70" t="s">
        <v>53</v>
      </c>
      <c r="D1" s="70" t="s">
        <v>54</v>
      </c>
      <c r="E1" s="70" t="s">
        <v>45</v>
      </c>
      <c r="F1" s="70" t="s">
        <v>44</v>
      </c>
      <c r="G1" s="70" t="s">
        <v>55</v>
      </c>
      <c r="H1" s="70" t="s">
        <v>56</v>
      </c>
      <c r="I1" s="71" t="s">
        <v>57</v>
      </c>
      <c r="J1" s="71" t="s">
        <v>58</v>
      </c>
    </row>
    <row r="2" spans="1:10" ht="13.15" x14ac:dyDescent="0.4">
      <c r="A2" s="43" t="s">
        <v>59</v>
      </c>
      <c r="B2" s="44">
        <v>92766189536</v>
      </c>
      <c r="C2" s="44">
        <v>92766189536</v>
      </c>
      <c r="D2" s="44">
        <v>85954753160</v>
      </c>
      <c r="E2" s="44">
        <v>46437298</v>
      </c>
      <c r="F2" s="44">
        <v>86001190458</v>
      </c>
      <c r="G2" s="44">
        <v>6764999078</v>
      </c>
      <c r="H2" s="45">
        <v>0</v>
      </c>
      <c r="I2" s="46" t="s">
        <v>60</v>
      </c>
      <c r="J2" s="46" t="s">
        <v>9</v>
      </c>
    </row>
    <row r="3" spans="1:10" ht="13.15" x14ac:dyDescent="0.4">
      <c r="A3" s="43" t="s">
        <v>61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6" t="s">
        <v>60</v>
      </c>
      <c r="J3" s="46" t="s">
        <v>25</v>
      </c>
    </row>
    <row r="4" spans="1:10" ht="13.15" x14ac:dyDescent="0.4">
      <c r="A4" s="43" t="s">
        <v>62</v>
      </c>
      <c r="B4" s="44">
        <v>57855713800</v>
      </c>
      <c r="C4" s="44">
        <v>57855713800</v>
      </c>
      <c r="D4" s="44">
        <v>52055713800</v>
      </c>
      <c r="E4" s="44">
        <v>5400000000</v>
      </c>
      <c r="F4" s="44">
        <v>57455713800</v>
      </c>
      <c r="G4" s="44">
        <v>400000000</v>
      </c>
      <c r="H4" s="45">
        <v>0</v>
      </c>
      <c r="I4" s="46" t="s">
        <v>60</v>
      </c>
      <c r="J4" s="46" t="s">
        <v>9</v>
      </c>
    </row>
    <row r="5" spans="1:10" ht="13.15" x14ac:dyDescent="0.4">
      <c r="A5" s="43" t="s">
        <v>63</v>
      </c>
      <c r="B5" s="44">
        <v>32816341758</v>
      </c>
      <c r="C5" s="44">
        <v>32816341758</v>
      </c>
      <c r="D5" s="44">
        <v>2662482200</v>
      </c>
      <c r="E5" s="44">
        <v>28199383820</v>
      </c>
      <c r="F5" s="44">
        <v>30861866020</v>
      </c>
      <c r="G5" s="44">
        <v>1954475738</v>
      </c>
      <c r="H5" s="45">
        <v>0</v>
      </c>
      <c r="I5" s="46" t="s">
        <v>60</v>
      </c>
      <c r="J5" s="46" t="s">
        <v>9</v>
      </c>
    </row>
    <row r="6" spans="1:10" ht="13.15" x14ac:dyDescent="0.4">
      <c r="A6" s="43" t="s">
        <v>101</v>
      </c>
      <c r="B6" s="44">
        <v>2001312000</v>
      </c>
      <c r="C6" s="44">
        <v>2001312000</v>
      </c>
      <c r="D6" s="44">
        <v>2001312000</v>
      </c>
      <c r="E6" s="45">
        <v>0</v>
      </c>
      <c r="F6" s="44">
        <v>2001312000</v>
      </c>
      <c r="G6" s="45">
        <v>0</v>
      </c>
      <c r="H6" s="45">
        <v>0</v>
      </c>
      <c r="I6" s="46" t="s">
        <v>60</v>
      </c>
      <c r="J6" s="46" t="s">
        <v>9</v>
      </c>
    </row>
    <row r="7" spans="1:10" ht="13.15" x14ac:dyDescent="0.4">
      <c r="A7" s="43" t="s">
        <v>64</v>
      </c>
      <c r="B7" s="44">
        <v>17448622000</v>
      </c>
      <c r="C7" s="44">
        <v>17448622000</v>
      </c>
      <c r="D7" s="44">
        <v>17448621050</v>
      </c>
      <c r="E7" s="45">
        <v>0</v>
      </c>
      <c r="F7" s="44">
        <v>17448621050</v>
      </c>
      <c r="G7" s="45">
        <v>950</v>
      </c>
      <c r="H7" s="45">
        <v>0</v>
      </c>
      <c r="I7" s="46" t="s">
        <v>60</v>
      </c>
      <c r="J7" s="46" t="s">
        <v>9</v>
      </c>
    </row>
    <row r="8" spans="1:10" ht="13.15" x14ac:dyDescent="0.4">
      <c r="A8" s="43" t="s">
        <v>65</v>
      </c>
      <c r="B8" s="44">
        <v>3947046000</v>
      </c>
      <c r="C8" s="44">
        <v>3947046000</v>
      </c>
      <c r="D8" s="44">
        <v>3129065362</v>
      </c>
      <c r="E8" s="45">
        <v>0</v>
      </c>
      <c r="F8" s="44">
        <v>3129065362</v>
      </c>
      <c r="G8" s="44">
        <v>817980638</v>
      </c>
      <c r="H8" s="45">
        <v>0</v>
      </c>
      <c r="I8" s="46" t="s">
        <v>60</v>
      </c>
      <c r="J8" s="46" t="s">
        <v>9</v>
      </c>
    </row>
    <row r="9" spans="1:10" ht="13.15" x14ac:dyDescent="0.4">
      <c r="A9" s="43" t="s">
        <v>66</v>
      </c>
      <c r="B9" s="44">
        <v>63547356665</v>
      </c>
      <c r="C9" s="44">
        <v>63547356665</v>
      </c>
      <c r="D9" s="44">
        <v>54626167394</v>
      </c>
      <c r="E9" s="44">
        <v>8154071362</v>
      </c>
      <c r="F9" s="44">
        <v>62780238756</v>
      </c>
      <c r="G9" s="44">
        <v>767117909</v>
      </c>
      <c r="H9" s="45">
        <v>0</v>
      </c>
      <c r="I9" s="46" t="s">
        <v>60</v>
      </c>
      <c r="J9" s="46" t="s">
        <v>9</v>
      </c>
    </row>
    <row r="10" spans="1:10" ht="13.15" x14ac:dyDescent="0.4">
      <c r="A10" s="43" t="s">
        <v>67</v>
      </c>
      <c r="B10" s="44">
        <v>1577077000</v>
      </c>
      <c r="C10" s="44">
        <v>1577077000</v>
      </c>
      <c r="D10" s="44">
        <v>67563765</v>
      </c>
      <c r="E10" s="45">
        <v>0</v>
      </c>
      <c r="F10" s="44">
        <v>67563765</v>
      </c>
      <c r="G10" s="44">
        <v>1509513235</v>
      </c>
      <c r="H10" s="45">
        <v>0</v>
      </c>
      <c r="I10" s="46" t="s">
        <v>60</v>
      </c>
      <c r="J10" s="46" t="s">
        <v>9</v>
      </c>
    </row>
    <row r="11" spans="1:10" ht="13.15" x14ac:dyDescent="0.4">
      <c r="A11" s="43" t="s">
        <v>68</v>
      </c>
      <c r="B11" s="44">
        <v>1010789797</v>
      </c>
      <c r="C11" s="44">
        <v>1010789797</v>
      </c>
      <c r="D11" s="45">
        <v>0</v>
      </c>
      <c r="E11" s="45">
        <v>0</v>
      </c>
      <c r="F11" s="45">
        <v>0</v>
      </c>
      <c r="G11" s="44">
        <v>1010789797</v>
      </c>
      <c r="H11" s="45">
        <v>0</v>
      </c>
      <c r="I11" s="46" t="s">
        <v>60</v>
      </c>
      <c r="J11" s="46" t="s">
        <v>9</v>
      </c>
    </row>
    <row r="12" spans="1:10" ht="13.15" x14ac:dyDescent="0.4">
      <c r="A12" s="43" t="s">
        <v>69</v>
      </c>
      <c r="B12" s="44">
        <v>26083685696</v>
      </c>
      <c r="C12" s="44">
        <v>26083685696</v>
      </c>
      <c r="D12" s="44">
        <v>13509377389</v>
      </c>
      <c r="E12" s="44">
        <v>6309951800</v>
      </c>
      <c r="F12" s="44">
        <v>19819329189</v>
      </c>
      <c r="G12" s="44">
        <v>6264356507</v>
      </c>
      <c r="H12" s="45">
        <v>0</v>
      </c>
      <c r="I12" s="46" t="s">
        <v>60</v>
      </c>
      <c r="J12" s="46" t="s">
        <v>9</v>
      </c>
    </row>
    <row r="13" spans="1:10" ht="13.15" x14ac:dyDescent="0.4">
      <c r="A13" s="43" t="s">
        <v>70</v>
      </c>
      <c r="B13" s="44">
        <v>11951319669</v>
      </c>
      <c r="C13" s="44">
        <v>11951319669</v>
      </c>
      <c r="D13" s="44">
        <v>9730852838</v>
      </c>
      <c r="E13" s="45">
        <v>0</v>
      </c>
      <c r="F13" s="44">
        <v>9730852838</v>
      </c>
      <c r="G13" s="44">
        <v>2220466831</v>
      </c>
      <c r="H13" s="45">
        <v>0</v>
      </c>
      <c r="I13" s="46" t="s">
        <v>60</v>
      </c>
      <c r="J13" s="46" t="s">
        <v>9</v>
      </c>
    </row>
    <row r="14" spans="1:10" ht="13.15" x14ac:dyDescent="0.4">
      <c r="A14" s="43" t="s">
        <v>71</v>
      </c>
      <c r="B14" s="44">
        <v>4308413000</v>
      </c>
      <c r="C14" s="44">
        <v>4308413000</v>
      </c>
      <c r="D14" s="45">
        <v>0</v>
      </c>
      <c r="E14" s="45">
        <v>0</v>
      </c>
      <c r="F14" s="45">
        <v>0</v>
      </c>
      <c r="G14" s="44">
        <v>4308413000</v>
      </c>
      <c r="H14" s="45">
        <v>0</v>
      </c>
      <c r="I14" s="46" t="s">
        <v>60</v>
      </c>
      <c r="J14" s="46" t="s">
        <v>9</v>
      </c>
    </row>
    <row r="15" spans="1:10" ht="13.15" x14ac:dyDescent="0.4">
      <c r="A15" s="43" t="s">
        <v>72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6" t="s">
        <v>60</v>
      </c>
      <c r="J15" s="46" t="s">
        <v>21</v>
      </c>
    </row>
    <row r="16" spans="1:10" ht="13.15" x14ac:dyDescent="0.4">
      <c r="A16" s="43" t="s">
        <v>73</v>
      </c>
      <c r="B16" s="44">
        <v>1600000000</v>
      </c>
      <c r="C16" s="44">
        <v>1200000000</v>
      </c>
      <c r="D16" s="44">
        <v>42457000</v>
      </c>
      <c r="E16" s="45">
        <v>0</v>
      </c>
      <c r="F16" s="44">
        <v>42457000</v>
      </c>
      <c r="G16" s="44">
        <v>1157543000</v>
      </c>
      <c r="H16" s="44">
        <v>400000000</v>
      </c>
      <c r="I16" s="46" t="s">
        <v>60</v>
      </c>
      <c r="J16" s="46" t="s">
        <v>23</v>
      </c>
    </row>
    <row r="17" spans="1:10" ht="13.15" x14ac:dyDescent="0.4">
      <c r="A17" s="43" t="s">
        <v>74</v>
      </c>
      <c r="B17" s="44">
        <v>492289000</v>
      </c>
      <c r="C17" s="44">
        <v>367289000</v>
      </c>
      <c r="D17" s="44">
        <v>20986164</v>
      </c>
      <c r="E17" s="45">
        <v>0</v>
      </c>
      <c r="F17" s="44">
        <v>20986164</v>
      </c>
      <c r="G17" s="44">
        <v>346302836</v>
      </c>
      <c r="H17" s="44">
        <v>125000000</v>
      </c>
      <c r="I17" s="46" t="s">
        <v>60</v>
      </c>
      <c r="J17" s="46" t="s">
        <v>24</v>
      </c>
    </row>
    <row r="18" spans="1:10" ht="13.15" x14ac:dyDescent="0.4">
      <c r="A18" s="43" t="s">
        <v>75</v>
      </c>
      <c r="B18" s="44">
        <v>4500000000</v>
      </c>
      <c r="C18" s="44">
        <v>4500000000</v>
      </c>
      <c r="D18" s="45">
        <v>0</v>
      </c>
      <c r="E18" s="44">
        <v>967917605</v>
      </c>
      <c r="F18" s="44">
        <v>967917605</v>
      </c>
      <c r="G18" s="44">
        <v>3532082395</v>
      </c>
      <c r="H18" s="45">
        <v>0</v>
      </c>
      <c r="I18" s="46" t="s">
        <v>60</v>
      </c>
      <c r="J18" s="46" t="s">
        <v>26</v>
      </c>
    </row>
    <row r="19" spans="1:10" ht="13.15" x14ac:dyDescent="0.4">
      <c r="A19" s="43" t="s">
        <v>76</v>
      </c>
      <c r="B19" s="44">
        <v>1493730000</v>
      </c>
      <c r="C19" s="44">
        <v>1118730000</v>
      </c>
      <c r="D19" s="44">
        <v>1948000</v>
      </c>
      <c r="E19" s="45">
        <v>0</v>
      </c>
      <c r="F19" s="44">
        <v>1948000</v>
      </c>
      <c r="G19" s="44">
        <v>1116782000</v>
      </c>
      <c r="H19" s="44">
        <v>375000000</v>
      </c>
      <c r="I19" s="46" t="s">
        <v>60</v>
      </c>
      <c r="J19" s="46" t="s">
        <v>25</v>
      </c>
    </row>
    <row r="20" spans="1:10" ht="13.15" x14ac:dyDescent="0.4">
      <c r="A20" s="43" t="s">
        <v>77</v>
      </c>
      <c r="B20" s="44">
        <v>744010000</v>
      </c>
      <c r="C20" s="44">
        <v>551510000</v>
      </c>
      <c r="D20" s="44">
        <v>23486714</v>
      </c>
      <c r="E20" s="44">
        <v>28810450</v>
      </c>
      <c r="F20" s="44">
        <v>52297164</v>
      </c>
      <c r="G20" s="44">
        <v>499212836</v>
      </c>
      <c r="H20" s="44">
        <v>192500000</v>
      </c>
      <c r="I20" s="46" t="s">
        <v>60</v>
      </c>
      <c r="J20" s="46" t="s">
        <v>25</v>
      </c>
    </row>
    <row r="21" spans="1:10" ht="13.15" x14ac:dyDescent="0.4">
      <c r="A21" s="43" t="s">
        <v>78</v>
      </c>
      <c r="B21" s="44">
        <v>156000000</v>
      </c>
      <c r="C21" s="44">
        <v>156000000</v>
      </c>
      <c r="D21" s="45">
        <v>0</v>
      </c>
      <c r="E21" s="44">
        <v>26000000</v>
      </c>
      <c r="F21" s="44">
        <v>26000000</v>
      </c>
      <c r="G21" s="44">
        <v>130000000</v>
      </c>
      <c r="H21" s="45">
        <v>0</v>
      </c>
      <c r="I21" s="46" t="s">
        <v>60</v>
      </c>
      <c r="J21" s="46" t="s">
        <v>25</v>
      </c>
    </row>
    <row r="22" spans="1:10" ht="13.15" x14ac:dyDescent="0.4">
      <c r="A22" s="43" t="s">
        <v>79</v>
      </c>
      <c r="B22" s="44">
        <v>500000000</v>
      </c>
      <c r="C22" s="44">
        <v>375000000</v>
      </c>
      <c r="D22" s="45">
        <v>0</v>
      </c>
      <c r="E22" s="45">
        <v>0</v>
      </c>
      <c r="F22" s="45">
        <v>0</v>
      </c>
      <c r="G22" s="44">
        <v>375000000</v>
      </c>
      <c r="H22" s="44">
        <v>125000000</v>
      </c>
      <c r="I22" s="46" t="s">
        <v>60</v>
      </c>
      <c r="J22" s="46" t="s">
        <v>25</v>
      </c>
    </row>
    <row r="23" spans="1:10" ht="13.15" x14ac:dyDescent="0.4">
      <c r="A23" s="43" t="s">
        <v>80</v>
      </c>
      <c r="B23" s="44">
        <v>800000000</v>
      </c>
      <c r="C23" s="44">
        <v>600000000</v>
      </c>
      <c r="D23" s="44">
        <v>56042500</v>
      </c>
      <c r="E23" s="44">
        <v>49833500</v>
      </c>
      <c r="F23" s="44">
        <v>105876000</v>
      </c>
      <c r="G23" s="44">
        <v>494124000</v>
      </c>
      <c r="H23" s="44">
        <v>200000000</v>
      </c>
      <c r="I23" s="46" t="s">
        <v>60</v>
      </c>
      <c r="J23" s="46" t="s">
        <v>25</v>
      </c>
    </row>
    <row r="24" spans="1:10" ht="13.15" x14ac:dyDescent="0.4">
      <c r="A24" s="43" t="s">
        <v>81</v>
      </c>
      <c r="B24" s="44">
        <v>2491692611</v>
      </c>
      <c r="C24" s="44">
        <v>1866692611</v>
      </c>
      <c r="D24" s="45">
        <v>0</v>
      </c>
      <c r="E24" s="44">
        <v>223550000</v>
      </c>
      <c r="F24" s="44">
        <v>223550000</v>
      </c>
      <c r="G24" s="44">
        <v>1643142611</v>
      </c>
      <c r="H24" s="44">
        <v>625000000</v>
      </c>
      <c r="I24" s="46" t="s">
        <v>60</v>
      </c>
      <c r="J24" s="46" t="s">
        <v>25</v>
      </c>
    </row>
    <row r="25" spans="1:10" ht="13.15" x14ac:dyDescent="0.4">
      <c r="A25" s="43" t="s">
        <v>82</v>
      </c>
      <c r="B25" s="44">
        <v>220000000</v>
      </c>
      <c r="C25" s="44">
        <v>220000000</v>
      </c>
      <c r="D25" s="45">
        <v>0</v>
      </c>
      <c r="E25" s="45">
        <v>0</v>
      </c>
      <c r="F25" s="45">
        <v>0</v>
      </c>
      <c r="G25" s="44">
        <v>220000000</v>
      </c>
      <c r="H25" s="45">
        <v>0</v>
      </c>
      <c r="I25" s="46" t="s">
        <v>60</v>
      </c>
      <c r="J25" s="46" t="s">
        <v>25</v>
      </c>
    </row>
    <row r="26" spans="1:10" ht="13.15" x14ac:dyDescent="0.4">
      <c r="A26" s="43" t="s">
        <v>83</v>
      </c>
      <c r="B26" s="44">
        <v>3456614204</v>
      </c>
      <c r="C26" s="44">
        <v>3456614204</v>
      </c>
      <c r="D26" s="45">
        <v>0</v>
      </c>
      <c r="E26" s="44">
        <v>707255149</v>
      </c>
      <c r="F26" s="44">
        <v>707255149</v>
      </c>
      <c r="G26" s="44">
        <v>2749359055</v>
      </c>
      <c r="H26" s="45">
        <v>0</v>
      </c>
      <c r="I26" s="46" t="s">
        <v>60</v>
      </c>
      <c r="J26" s="46" t="s">
        <v>84</v>
      </c>
    </row>
    <row r="27" spans="1:10" ht="13.15" x14ac:dyDescent="0.4">
      <c r="A27" s="43" t="s">
        <v>85</v>
      </c>
      <c r="B27" s="44">
        <v>52828623</v>
      </c>
      <c r="C27" s="44">
        <v>52828623</v>
      </c>
      <c r="D27" s="45">
        <v>0</v>
      </c>
      <c r="E27" s="44">
        <v>10895853</v>
      </c>
      <c r="F27" s="44">
        <v>10895853</v>
      </c>
      <c r="G27" s="44">
        <v>41932770</v>
      </c>
      <c r="H27" s="45">
        <v>0</v>
      </c>
      <c r="I27" s="46" t="s">
        <v>60</v>
      </c>
      <c r="J27" s="46" t="s">
        <v>84</v>
      </c>
    </row>
    <row r="28" spans="1:10" ht="13.15" x14ac:dyDescent="0.4">
      <c r="A28" s="43" t="s">
        <v>86</v>
      </c>
      <c r="B28" s="44">
        <v>4078270035</v>
      </c>
      <c r="C28" s="44">
        <v>4078270035</v>
      </c>
      <c r="D28" s="45">
        <v>0</v>
      </c>
      <c r="E28" s="44">
        <v>792078990</v>
      </c>
      <c r="F28" s="44">
        <v>792078990</v>
      </c>
      <c r="G28" s="44">
        <v>3286191045</v>
      </c>
      <c r="H28" s="45">
        <v>0</v>
      </c>
      <c r="I28" s="46" t="s">
        <v>60</v>
      </c>
      <c r="J28" s="46" t="s">
        <v>84</v>
      </c>
    </row>
    <row r="29" spans="1:10" ht="13.15" x14ac:dyDescent="0.4">
      <c r="A29" s="43" t="s">
        <v>87</v>
      </c>
      <c r="B29" s="44">
        <v>16502520</v>
      </c>
      <c r="C29" s="44">
        <v>16502520</v>
      </c>
      <c r="D29" s="45">
        <v>0</v>
      </c>
      <c r="E29" s="45">
        <v>0</v>
      </c>
      <c r="F29" s="45">
        <v>0</v>
      </c>
      <c r="G29" s="44">
        <v>16502520</v>
      </c>
      <c r="H29" s="45">
        <v>0</v>
      </c>
      <c r="I29" s="46" t="s">
        <v>60</v>
      </c>
      <c r="J29" s="46" t="s">
        <v>84</v>
      </c>
    </row>
    <row r="30" spans="1:10" ht="13.15" x14ac:dyDescent="0.4">
      <c r="A30" s="43" t="s">
        <v>88</v>
      </c>
      <c r="B30" s="44">
        <v>10947475255</v>
      </c>
      <c r="C30" s="44">
        <v>10947475255</v>
      </c>
      <c r="D30" s="45">
        <v>0</v>
      </c>
      <c r="E30" s="44">
        <v>2009378127</v>
      </c>
      <c r="F30" s="44">
        <v>2009378127</v>
      </c>
      <c r="G30" s="44">
        <v>8938097128</v>
      </c>
      <c r="H30" s="45">
        <v>0</v>
      </c>
      <c r="I30" s="46" t="s">
        <v>60</v>
      </c>
      <c r="J30" s="46" t="s">
        <v>84</v>
      </c>
    </row>
    <row r="31" spans="1:10" ht="13.15" x14ac:dyDescent="0.4">
      <c r="A31" s="43" t="s">
        <v>89</v>
      </c>
      <c r="B31" s="44">
        <v>248090002</v>
      </c>
      <c r="C31" s="44">
        <v>248090002</v>
      </c>
      <c r="D31" s="45">
        <v>0</v>
      </c>
      <c r="E31" s="44">
        <v>67218034</v>
      </c>
      <c r="F31" s="44">
        <v>67218034</v>
      </c>
      <c r="G31" s="44">
        <v>180871968</v>
      </c>
      <c r="H31" s="45">
        <v>0</v>
      </c>
      <c r="I31" s="46" t="s">
        <v>60</v>
      </c>
      <c r="J31" s="46" t="s">
        <v>84</v>
      </c>
    </row>
    <row r="32" spans="1:10" ht="13.15" x14ac:dyDescent="0.4">
      <c r="A32" s="43" t="s">
        <v>90</v>
      </c>
      <c r="B32" s="44">
        <v>13970066046</v>
      </c>
      <c r="C32" s="44">
        <v>13970066046</v>
      </c>
      <c r="D32" s="45">
        <v>0</v>
      </c>
      <c r="E32" s="44">
        <v>2799721074</v>
      </c>
      <c r="F32" s="44">
        <v>2799721074</v>
      </c>
      <c r="G32" s="44">
        <v>11170344972</v>
      </c>
      <c r="H32" s="45">
        <v>0</v>
      </c>
      <c r="I32" s="46" t="s">
        <v>60</v>
      </c>
      <c r="J32" s="46" t="s">
        <v>84</v>
      </c>
    </row>
    <row r="33" spans="1:10" ht="13.15" x14ac:dyDescent="0.4">
      <c r="A33" s="43" t="s">
        <v>91</v>
      </c>
      <c r="B33" s="44">
        <v>24203697</v>
      </c>
      <c r="C33" s="44">
        <v>24203697</v>
      </c>
      <c r="D33" s="45">
        <v>0</v>
      </c>
      <c r="E33" s="45">
        <v>0</v>
      </c>
      <c r="F33" s="45">
        <v>0</v>
      </c>
      <c r="G33" s="44">
        <v>24203697</v>
      </c>
      <c r="H33" s="45">
        <v>0</v>
      </c>
      <c r="I33" s="46" t="s">
        <v>60</v>
      </c>
      <c r="J33" s="46" t="s">
        <v>84</v>
      </c>
    </row>
    <row r="34" spans="1:10" ht="13.15" x14ac:dyDescent="0.4">
      <c r="A34" s="43" t="s">
        <v>92</v>
      </c>
      <c r="B34" s="45">
        <v>0</v>
      </c>
      <c r="C34" s="45">
        <v>0</v>
      </c>
      <c r="D34" s="45">
        <v>0</v>
      </c>
      <c r="E34" s="44">
        <v>-10748637</v>
      </c>
      <c r="F34" s="44">
        <v>-10748637</v>
      </c>
      <c r="G34" s="44">
        <v>10748637</v>
      </c>
      <c r="H34" s="45">
        <v>0</v>
      </c>
      <c r="I34" s="46" t="s">
        <v>60</v>
      </c>
      <c r="J34" s="46" t="s">
        <v>84</v>
      </c>
    </row>
    <row r="35" spans="1:10" ht="13.15" x14ac:dyDescent="0.4">
      <c r="A35" s="43" t="s">
        <v>93</v>
      </c>
      <c r="B35" s="44">
        <v>1000000000</v>
      </c>
      <c r="C35" s="44">
        <v>750000000</v>
      </c>
      <c r="D35" s="44">
        <v>9464000</v>
      </c>
      <c r="E35" s="45">
        <v>0</v>
      </c>
      <c r="F35" s="44">
        <v>9464000</v>
      </c>
      <c r="G35" s="44">
        <v>740536000</v>
      </c>
      <c r="H35" s="44">
        <v>250000000</v>
      </c>
      <c r="I35" s="46" t="s">
        <v>60</v>
      </c>
      <c r="J35" s="46" t="s">
        <v>25</v>
      </c>
    </row>
    <row r="36" spans="1:10" ht="13.15" x14ac:dyDescent="0.4">
      <c r="A36" s="43" t="s">
        <v>94</v>
      </c>
      <c r="B36" s="44">
        <v>500000000</v>
      </c>
      <c r="C36" s="44">
        <v>375000000</v>
      </c>
      <c r="D36" s="45">
        <v>0</v>
      </c>
      <c r="E36" s="45">
        <v>0</v>
      </c>
      <c r="F36" s="45">
        <v>0</v>
      </c>
      <c r="G36" s="44">
        <v>375000000</v>
      </c>
      <c r="H36" s="44">
        <v>125000000</v>
      </c>
      <c r="I36" s="46" t="s">
        <v>60</v>
      </c>
      <c r="J36" s="46" t="s">
        <v>25</v>
      </c>
    </row>
    <row r="37" spans="1:10" ht="13.15" x14ac:dyDescent="0.4">
      <c r="A37" s="43" t="s">
        <v>95</v>
      </c>
      <c r="B37" s="45">
        <v>0</v>
      </c>
      <c r="C37" s="45">
        <v>0</v>
      </c>
      <c r="D37" s="45">
        <v>0</v>
      </c>
      <c r="E37" s="44">
        <v>410815330</v>
      </c>
      <c r="F37" s="44">
        <v>410815330</v>
      </c>
      <c r="G37" s="44">
        <v>-410815330</v>
      </c>
      <c r="H37" s="45">
        <v>0</v>
      </c>
      <c r="I37" s="46" t="s">
        <v>60</v>
      </c>
      <c r="J37" s="46" t="s">
        <v>84</v>
      </c>
    </row>
    <row r="38" spans="1:10" ht="13.15" x14ac:dyDescent="0.4">
      <c r="A38" s="47" t="s">
        <v>96</v>
      </c>
      <c r="B38" s="48">
        <v>362606000000</v>
      </c>
      <c r="C38" s="48">
        <v>360188000000</v>
      </c>
      <c r="D38" s="48">
        <v>241340000000</v>
      </c>
      <c r="E38" s="48">
        <v>56192569755</v>
      </c>
      <c r="F38" s="48">
        <v>297533000000</v>
      </c>
      <c r="G38" s="48">
        <v>62655275823</v>
      </c>
      <c r="H38" s="48">
        <v>2417500000</v>
      </c>
      <c r="I38" s="49" t="s">
        <v>60</v>
      </c>
      <c r="J38" s="49" t="e">
        <v>#N/A</v>
      </c>
    </row>
    <row r="39" spans="1:10" ht="13.15" x14ac:dyDescent="0.4">
      <c r="A39" s="43" t="s">
        <v>59</v>
      </c>
      <c r="B39" s="44">
        <v>25194775704</v>
      </c>
      <c r="C39" s="44">
        <v>25194775704</v>
      </c>
      <c r="D39" s="44">
        <v>17081409964</v>
      </c>
      <c r="E39" s="45">
        <v>0</v>
      </c>
      <c r="F39" s="44">
        <v>17081409964</v>
      </c>
      <c r="G39" s="44">
        <v>8113365740</v>
      </c>
      <c r="H39" s="45">
        <v>0</v>
      </c>
      <c r="I39" s="46" t="s">
        <v>97</v>
      </c>
      <c r="J39" s="46" t="s">
        <v>9</v>
      </c>
    </row>
    <row r="40" spans="1:10" ht="13.15" x14ac:dyDescent="0.4">
      <c r="A40" s="43" t="s">
        <v>98</v>
      </c>
      <c r="B40" s="44">
        <v>17002987</v>
      </c>
      <c r="C40" s="44">
        <v>17002987</v>
      </c>
      <c r="D40" s="45">
        <v>0</v>
      </c>
      <c r="E40" s="45">
        <v>0</v>
      </c>
      <c r="F40" s="45">
        <v>0</v>
      </c>
      <c r="G40" s="44">
        <v>17002987</v>
      </c>
      <c r="H40" s="45">
        <v>0</v>
      </c>
      <c r="I40" s="46" t="s">
        <v>97</v>
      </c>
      <c r="J40" s="46" t="s">
        <v>84</v>
      </c>
    </row>
    <row r="41" spans="1:10" ht="13.15" x14ac:dyDescent="0.4">
      <c r="A41" s="43" t="s">
        <v>99</v>
      </c>
      <c r="B41" s="44">
        <v>32320895</v>
      </c>
      <c r="C41" s="44">
        <v>32320895</v>
      </c>
      <c r="D41" s="45">
        <v>0</v>
      </c>
      <c r="E41" s="45">
        <v>0</v>
      </c>
      <c r="F41" s="45">
        <v>0</v>
      </c>
      <c r="G41" s="44">
        <v>32320895</v>
      </c>
      <c r="H41" s="45">
        <v>0</v>
      </c>
      <c r="I41" s="46" t="s">
        <v>97</v>
      </c>
      <c r="J41" s="46" t="s">
        <v>84</v>
      </c>
    </row>
    <row r="42" spans="1:10" ht="13.15" x14ac:dyDescent="0.4">
      <c r="A42" s="43" t="s">
        <v>100</v>
      </c>
      <c r="B42" s="44">
        <v>550084</v>
      </c>
      <c r="C42" s="44">
        <v>550084</v>
      </c>
      <c r="D42" s="45">
        <v>0</v>
      </c>
      <c r="E42" s="45">
        <v>0</v>
      </c>
      <c r="F42" s="45">
        <v>0</v>
      </c>
      <c r="G42" s="44">
        <v>550084</v>
      </c>
      <c r="H42" s="45">
        <v>0</v>
      </c>
      <c r="I42" s="46" t="s">
        <v>97</v>
      </c>
      <c r="J42" s="46" t="s">
        <v>84</v>
      </c>
    </row>
    <row r="43" spans="1:10" ht="13.15" x14ac:dyDescent="0.4">
      <c r="A43" s="43" t="s">
        <v>62</v>
      </c>
      <c r="B43" s="44">
        <v>400000000</v>
      </c>
      <c r="C43" s="44">
        <v>400000000</v>
      </c>
      <c r="D43" s="45">
        <v>0</v>
      </c>
      <c r="E43" s="45">
        <v>0</v>
      </c>
      <c r="F43" s="45">
        <v>0</v>
      </c>
      <c r="G43" s="44">
        <v>400000000</v>
      </c>
      <c r="H43" s="45">
        <v>0</v>
      </c>
      <c r="I43" s="46" t="s">
        <v>97</v>
      </c>
      <c r="J43" s="46" t="s">
        <v>9</v>
      </c>
    </row>
    <row r="44" spans="1:10" ht="13.15" x14ac:dyDescent="0.4">
      <c r="A44" s="43" t="s">
        <v>63</v>
      </c>
      <c r="B44" s="44">
        <v>2000000000</v>
      </c>
      <c r="C44" s="44">
        <v>2000000000</v>
      </c>
      <c r="D44" s="45">
        <v>0</v>
      </c>
      <c r="E44" s="45">
        <v>0</v>
      </c>
      <c r="F44" s="45">
        <v>0</v>
      </c>
      <c r="G44" s="44">
        <v>2000000000</v>
      </c>
      <c r="H44" s="45">
        <v>0</v>
      </c>
      <c r="I44" s="46" t="s">
        <v>97</v>
      </c>
      <c r="J44" s="46" t="s">
        <v>9</v>
      </c>
    </row>
    <row r="45" spans="1:10" ht="13.15" x14ac:dyDescent="0.4">
      <c r="A45" s="43" t="s">
        <v>101</v>
      </c>
      <c r="B45" s="44">
        <v>100000000</v>
      </c>
      <c r="C45" s="44">
        <v>100000000</v>
      </c>
      <c r="D45" s="45">
        <v>0</v>
      </c>
      <c r="E45" s="45">
        <v>0</v>
      </c>
      <c r="F45" s="45">
        <v>0</v>
      </c>
      <c r="G45" s="44">
        <v>100000000</v>
      </c>
      <c r="H45" s="45">
        <v>0</v>
      </c>
      <c r="I45" s="46" t="s">
        <v>97</v>
      </c>
      <c r="J45" s="46" t="s">
        <v>9</v>
      </c>
    </row>
    <row r="46" spans="1:10" ht="13.15" x14ac:dyDescent="0.4">
      <c r="A46" s="43" t="s">
        <v>102</v>
      </c>
      <c r="B46" s="44">
        <v>400000000</v>
      </c>
      <c r="C46" s="44">
        <v>400000000</v>
      </c>
      <c r="D46" s="45">
        <v>0</v>
      </c>
      <c r="E46" s="45">
        <v>0</v>
      </c>
      <c r="F46" s="45">
        <v>0</v>
      </c>
      <c r="G46" s="44">
        <v>400000000</v>
      </c>
      <c r="H46" s="45">
        <v>0</v>
      </c>
      <c r="I46" s="46" t="s">
        <v>97</v>
      </c>
      <c r="J46" s="46" t="s">
        <v>9</v>
      </c>
    </row>
    <row r="47" spans="1:10" ht="13.15" x14ac:dyDescent="0.4">
      <c r="A47" s="43" t="s">
        <v>64</v>
      </c>
      <c r="B47" s="44">
        <v>1300000000</v>
      </c>
      <c r="C47" s="44">
        <v>1300000000</v>
      </c>
      <c r="D47" s="44">
        <v>463560600</v>
      </c>
      <c r="E47" s="45">
        <v>0</v>
      </c>
      <c r="F47" s="44">
        <v>463560600</v>
      </c>
      <c r="G47" s="44">
        <v>836439400</v>
      </c>
      <c r="H47" s="45">
        <v>0</v>
      </c>
      <c r="I47" s="46" t="s">
        <v>97</v>
      </c>
      <c r="J47" s="46" t="s">
        <v>9</v>
      </c>
    </row>
    <row r="48" spans="1:10" ht="13.15" x14ac:dyDescent="0.4">
      <c r="A48" s="43" t="s">
        <v>66</v>
      </c>
      <c r="B48" s="44">
        <v>6000000000</v>
      </c>
      <c r="C48" s="44">
        <v>6000000000</v>
      </c>
      <c r="D48" s="44">
        <v>2487092234</v>
      </c>
      <c r="E48" s="45">
        <v>0</v>
      </c>
      <c r="F48" s="44">
        <v>2487092234</v>
      </c>
      <c r="G48" s="44">
        <v>3512907766</v>
      </c>
      <c r="H48" s="45">
        <v>0</v>
      </c>
      <c r="I48" s="46" t="s">
        <v>97</v>
      </c>
      <c r="J48" s="46" t="s">
        <v>9</v>
      </c>
    </row>
    <row r="49" spans="1:10" ht="13.15" x14ac:dyDescent="0.4">
      <c r="A49" s="43" t="s">
        <v>67</v>
      </c>
      <c r="B49" s="44">
        <v>4260000000</v>
      </c>
      <c r="C49" s="44">
        <v>4260000000</v>
      </c>
      <c r="D49" s="44">
        <v>480263597</v>
      </c>
      <c r="E49" s="44">
        <v>496793192</v>
      </c>
      <c r="F49" s="44">
        <v>977056789</v>
      </c>
      <c r="G49" s="44">
        <v>3282943211</v>
      </c>
      <c r="H49" s="45">
        <v>0</v>
      </c>
      <c r="I49" s="46" t="s">
        <v>97</v>
      </c>
      <c r="J49" s="46" t="s">
        <v>9</v>
      </c>
    </row>
    <row r="50" spans="1:10" ht="13.15" x14ac:dyDescent="0.4">
      <c r="A50" s="43" t="s">
        <v>103</v>
      </c>
      <c r="B50" s="44">
        <v>1000000000</v>
      </c>
      <c r="C50" s="44">
        <v>1000000000</v>
      </c>
      <c r="D50" s="45">
        <v>0</v>
      </c>
      <c r="E50" s="45">
        <v>0</v>
      </c>
      <c r="F50" s="45">
        <v>0</v>
      </c>
      <c r="G50" s="44">
        <v>1000000000</v>
      </c>
      <c r="H50" s="45">
        <v>0</v>
      </c>
      <c r="I50" s="46" t="s">
        <v>97</v>
      </c>
      <c r="J50" s="46" t="s">
        <v>9</v>
      </c>
    </row>
    <row r="51" spans="1:10" ht="13.15" x14ac:dyDescent="0.4">
      <c r="A51" s="43" t="s">
        <v>104</v>
      </c>
      <c r="B51" s="44">
        <v>2500000000</v>
      </c>
      <c r="C51" s="44">
        <v>2500000000</v>
      </c>
      <c r="D51" s="45">
        <v>0</v>
      </c>
      <c r="E51" s="45">
        <v>0</v>
      </c>
      <c r="F51" s="45">
        <v>0</v>
      </c>
      <c r="G51" s="44">
        <v>2500000000</v>
      </c>
      <c r="H51" s="45">
        <v>0</v>
      </c>
      <c r="I51" s="46" t="s">
        <v>97</v>
      </c>
      <c r="J51" s="46" t="s">
        <v>9</v>
      </c>
    </row>
    <row r="52" spans="1:10" ht="13.15" x14ac:dyDescent="0.4">
      <c r="A52" s="43" t="s">
        <v>105</v>
      </c>
      <c r="B52" s="44">
        <v>250000000</v>
      </c>
      <c r="C52" s="44">
        <v>250000000</v>
      </c>
      <c r="D52" s="45">
        <v>0</v>
      </c>
      <c r="E52" s="45">
        <v>0</v>
      </c>
      <c r="F52" s="45">
        <v>0</v>
      </c>
      <c r="G52" s="44">
        <v>250000000</v>
      </c>
      <c r="H52" s="45">
        <v>0</v>
      </c>
      <c r="I52" s="46" t="s">
        <v>97</v>
      </c>
      <c r="J52" s="46" t="s">
        <v>9</v>
      </c>
    </row>
    <row r="53" spans="1:10" ht="13.15" x14ac:dyDescent="0.4">
      <c r="A53" s="43" t="s">
        <v>106</v>
      </c>
      <c r="B53" s="44">
        <v>6850000000</v>
      </c>
      <c r="C53" s="44">
        <v>6850000000</v>
      </c>
      <c r="D53" s="44">
        <v>49949500</v>
      </c>
      <c r="E53" s="44">
        <v>207269960</v>
      </c>
      <c r="F53" s="44">
        <v>257219460</v>
      </c>
      <c r="G53" s="44">
        <v>6592780540</v>
      </c>
      <c r="H53" s="45">
        <v>0</v>
      </c>
      <c r="I53" s="46" t="s">
        <v>97</v>
      </c>
      <c r="J53" s="46" t="s">
        <v>9</v>
      </c>
    </row>
    <row r="54" spans="1:10" ht="13.15" x14ac:dyDescent="0.4">
      <c r="A54" s="43" t="s">
        <v>107</v>
      </c>
      <c r="B54" s="44">
        <v>2620000000</v>
      </c>
      <c r="C54" s="44">
        <v>2620000000</v>
      </c>
      <c r="D54" s="44">
        <v>461920000</v>
      </c>
      <c r="E54" s="44">
        <v>69000000</v>
      </c>
      <c r="F54" s="44">
        <v>530920000</v>
      </c>
      <c r="G54" s="44">
        <v>2089080000</v>
      </c>
      <c r="H54" s="45">
        <v>0</v>
      </c>
      <c r="I54" s="46" t="s">
        <v>97</v>
      </c>
      <c r="J54" s="46" t="s">
        <v>21</v>
      </c>
    </row>
    <row r="55" spans="1:10" ht="13.15" x14ac:dyDescent="0.4">
      <c r="A55" s="43" t="s">
        <v>108</v>
      </c>
      <c r="B55" s="44">
        <v>750000000</v>
      </c>
      <c r="C55" s="44">
        <v>750000000</v>
      </c>
      <c r="D55" s="45">
        <v>0</v>
      </c>
      <c r="E55" s="45">
        <v>0</v>
      </c>
      <c r="F55" s="45">
        <v>0</v>
      </c>
      <c r="G55" s="44">
        <v>750000000</v>
      </c>
      <c r="H55" s="45">
        <v>0</v>
      </c>
      <c r="I55" s="46" t="s">
        <v>97</v>
      </c>
      <c r="J55" s="46" t="s">
        <v>21</v>
      </c>
    </row>
    <row r="56" spans="1:10" ht="13.15" x14ac:dyDescent="0.4">
      <c r="A56" s="43" t="s">
        <v>109</v>
      </c>
      <c r="B56" s="44">
        <v>500000000</v>
      </c>
      <c r="C56" s="44">
        <v>500000000</v>
      </c>
      <c r="D56" s="45">
        <v>0</v>
      </c>
      <c r="E56" s="45">
        <v>0</v>
      </c>
      <c r="F56" s="45">
        <v>0</v>
      </c>
      <c r="G56" s="44">
        <v>500000000</v>
      </c>
      <c r="H56" s="45">
        <v>0</v>
      </c>
      <c r="I56" s="46" t="s">
        <v>97</v>
      </c>
      <c r="J56" s="46" t="s">
        <v>21</v>
      </c>
    </row>
    <row r="57" spans="1:10" ht="13.15" x14ac:dyDescent="0.4">
      <c r="A57" s="43" t="s">
        <v>110</v>
      </c>
      <c r="B57" s="44">
        <v>2500000000</v>
      </c>
      <c r="C57" s="44">
        <v>2500000000</v>
      </c>
      <c r="D57" s="45">
        <v>0</v>
      </c>
      <c r="E57" s="45">
        <v>0</v>
      </c>
      <c r="F57" s="45">
        <v>0</v>
      </c>
      <c r="G57" s="44">
        <v>2500000000</v>
      </c>
      <c r="H57" s="45">
        <v>0</v>
      </c>
      <c r="I57" s="46" t="s">
        <v>97</v>
      </c>
      <c r="J57" s="46" t="s">
        <v>21</v>
      </c>
    </row>
    <row r="58" spans="1:10" ht="13.15" x14ac:dyDescent="0.4">
      <c r="A58" s="43" t="s">
        <v>73</v>
      </c>
      <c r="B58" s="44">
        <v>400000000</v>
      </c>
      <c r="C58" s="44">
        <v>300000000</v>
      </c>
      <c r="D58" s="45">
        <v>0</v>
      </c>
      <c r="E58" s="45">
        <v>0</v>
      </c>
      <c r="F58" s="45">
        <v>0</v>
      </c>
      <c r="G58" s="44">
        <v>300000000</v>
      </c>
      <c r="H58" s="44">
        <v>100000000</v>
      </c>
      <c r="I58" s="46" t="s">
        <v>97</v>
      </c>
      <c r="J58" s="46" t="s">
        <v>23</v>
      </c>
    </row>
    <row r="59" spans="1:10" ht="13.15" x14ac:dyDescent="0.4">
      <c r="A59" s="43" t="s">
        <v>111</v>
      </c>
      <c r="B59" s="44">
        <v>180000150</v>
      </c>
      <c r="C59" s="44">
        <v>180000150</v>
      </c>
      <c r="D59" s="44">
        <v>28710000</v>
      </c>
      <c r="E59" s="45">
        <v>0</v>
      </c>
      <c r="F59" s="44">
        <v>28710000</v>
      </c>
      <c r="G59" s="44">
        <v>151290150</v>
      </c>
      <c r="H59" s="45">
        <v>0</v>
      </c>
      <c r="I59" s="46" t="s">
        <v>97</v>
      </c>
      <c r="J59" s="46" t="s">
        <v>22</v>
      </c>
    </row>
    <row r="60" spans="1:10" ht="13.15" x14ac:dyDescent="0.4">
      <c r="A60" s="43" t="s">
        <v>112</v>
      </c>
      <c r="B60" s="44">
        <v>3500000000</v>
      </c>
      <c r="C60" s="44">
        <v>3500000000</v>
      </c>
      <c r="D60" s="45">
        <v>0</v>
      </c>
      <c r="E60" s="44">
        <v>675269947</v>
      </c>
      <c r="F60" s="44">
        <v>675269947</v>
      </c>
      <c r="G60" s="44">
        <v>2824730053</v>
      </c>
      <c r="H60" s="45">
        <v>0</v>
      </c>
      <c r="I60" s="46" t="s">
        <v>97</v>
      </c>
      <c r="J60" s="46" t="s">
        <v>26</v>
      </c>
    </row>
    <row r="61" spans="1:10" ht="13.15" x14ac:dyDescent="0.4">
      <c r="A61" s="43" t="s">
        <v>76</v>
      </c>
      <c r="B61" s="44">
        <v>556000000</v>
      </c>
      <c r="C61" s="44">
        <v>417000000</v>
      </c>
      <c r="D61" s="44">
        <v>83429000</v>
      </c>
      <c r="E61" s="44">
        <v>49256425</v>
      </c>
      <c r="F61" s="44">
        <v>132685425</v>
      </c>
      <c r="G61" s="44">
        <v>284314575</v>
      </c>
      <c r="H61" s="44">
        <v>139000000</v>
      </c>
      <c r="I61" s="46" t="s">
        <v>97</v>
      </c>
      <c r="J61" s="46" t="s">
        <v>25</v>
      </c>
    </row>
    <row r="62" spans="1:10" ht="13.15" x14ac:dyDescent="0.4">
      <c r="A62" s="43" t="s">
        <v>77</v>
      </c>
      <c r="B62" s="44">
        <v>446900000</v>
      </c>
      <c r="C62" s="44">
        <v>335175000</v>
      </c>
      <c r="D62" s="44">
        <v>101845816</v>
      </c>
      <c r="E62" s="44">
        <v>46287600</v>
      </c>
      <c r="F62" s="44">
        <v>148133416</v>
      </c>
      <c r="G62" s="44">
        <v>187041584</v>
      </c>
      <c r="H62" s="44">
        <v>111725000</v>
      </c>
      <c r="I62" s="46" t="s">
        <v>97</v>
      </c>
      <c r="J62" s="46" t="s">
        <v>25</v>
      </c>
    </row>
    <row r="63" spans="1:10" ht="13.15" x14ac:dyDescent="0.4">
      <c r="A63" s="43" t="s">
        <v>78</v>
      </c>
      <c r="B63" s="44">
        <v>195000000</v>
      </c>
      <c r="C63" s="44">
        <v>195000000</v>
      </c>
      <c r="D63" s="45">
        <v>0</v>
      </c>
      <c r="E63" s="44">
        <v>31957500</v>
      </c>
      <c r="F63" s="44">
        <v>31957500</v>
      </c>
      <c r="G63" s="44">
        <v>163042500</v>
      </c>
      <c r="H63" s="45">
        <v>0</v>
      </c>
      <c r="I63" s="46" t="s">
        <v>97</v>
      </c>
      <c r="J63" s="46" t="s">
        <v>25</v>
      </c>
    </row>
    <row r="64" spans="1:10" ht="13.15" x14ac:dyDescent="0.4">
      <c r="A64" s="43" t="s">
        <v>79</v>
      </c>
      <c r="B64" s="44">
        <v>810806000</v>
      </c>
      <c r="C64" s="44">
        <v>608104500</v>
      </c>
      <c r="D64" s="44">
        <v>97296720</v>
      </c>
      <c r="E64" s="45">
        <v>0</v>
      </c>
      <c r="F64" s="44">
        <v>97296720</v>
      </c>
      <c r="G64" s="44">
        <v>510807780</v>
      </c>
      <c r="H64" s="44">
        <v>202701500</v>
      </c>
      <c r="I64" s="46" t="s">
        <v>97</v>
      </c>
      <c r="J64" s="46" t="s">
        <v>25</v>
      </c>
    </row>
    <row r="65" spans="1:10" ht="13.15" x14ac:dyDescent="0.4">
      <c r="A65" s="43" t="s">
        <v>80</v>
      </c>
      <c r="B65" s="45">
        <v>0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6" t="s">
        <v>97</v>
      </c>
      <c r="J65" s="46" t="s">
        <v>25</v>
      </c>
    </row>
    <row r="66" spans="1:10" ht="13.15" x14ac:dyDescent="0.4">
      <c r="A66" s="43" t="s">
        <v>81</v>
      </c>
      <c r="B66" s="44">
        <v>472300000</v>
      </c>
      <c r="C66" s="44">
        <v>354225000</v>
      </c>
      <c r="D66" s="44">
        <v>56676000</v>
      </c>
      <c r="E66" s="44">
        <v>80369250</v>
      </c>
      <c r="F66" s="44">
        <v>137045250</v>
      </c>
      <c r="G66" s="44">
        <v>217179750</v>
      </c>
      <c r="H66" s="44">
        <v>118075000</v>
      </c>
      <c r="I66" s="46" t="s">
        <v>97</v>
      </c>
      <c r="J66" s="46" t="s">
        <v>25</v>
      </c>
    </row>
    <row r="67" spans="1:10" ht="13.15" x14ac:dyDescent="0.4">
      <c r="A67" s="43" t="s">
        <v>82</v>
      </c>
      <c r="B67" s="44">
        <v>80000000</v>
      </c>
      <c r="C67" s="44">
        <v>80000000</v>
      </c>
      <c r="D67" s="44">
        <v>44932700</v>
      </c>
      <c r="E67" s="45">
        <v>0</v>
      </c>
      <c r="F67" s="44">
        <v>44932700</v>
      </c>
      <c r="G67" s="44">
        <v>35067300</v>
      </c>
      <c r="H67" s="45">
        <v>0</v>
      </c>
      <c r="I67" s="46" t="s">
        <v>97</v>
      </c>
      <c r="J67" s="46" t="s">
        <v>25</v>
      </c>
    </row>
    <row r="68" spans="1:10" ht="13.15" x14ac:dyDescent="0.4">
      <c r="A68" s="43" t="s">
        <v>113</v>
      </c>
      <c r="B68" s="45">
        <v>0</v>
      </c>
      <c r="C68" s="45">
        <v>0</v>
      </c>
      <c r="D68" s="45">
        <v>0</v>
      </c>
      <c r="E68" s="44">
        <v>12636872</v>
      </c>
      <c r="F68" s="44">
        <v>12636872</v>
      </c>
      <c r="G68" s="44">
        <v>-12636872</v>
      </c>
      <c r="H68" s="45">
        <v>0</v>
      </c>
      <c r="I68" s="46" t="s">
        <v>97</v>
      </c>
      <c r="J68" s="46" t="s">
        <v>84</v>
      </c>
    </row>
    <row r="69" spans="1:10" ht="13.15" x14ac:dyDescent="0.4">
      <c r="A69" s="43" t="s">
        <v>83</v>
      </c>
      <c r="B69" s="44">
        <v>22931607229</v>
      </c>
      <c r="C69" s="44">
        <v>22931607229</v>
      </c>
      <c r="D69" s="45">
        <v>0</v>
      </c>
      <c r="E69" s="44">
        <v>5316295251</v>
      </c>
      <c r="F69" s="44">
        <v>5316295251</v>
      </c>
      <c r="G69" s="44">
        <v>17615311978</v>
      </c>
      <c r="H69" s="45">
        <v>0</v>
      </c>
      <c r="I69" s="46" t="s">
        <v>97</v>
      </c>
      <c r="J69" s="46" t="s">
        <v>84</v>
      </c>
    </row>
    <row r="70" spans="1:10" ht="13.15" x14ac:dyDescent="0.4">
      <c r="A70" s="43" t="s">
        <v>85</v>
      </c>
      <c r="B70" s="44">
        <v>604955157</v>
      </c>
      <c r="C70" s="44">
        <v>604955157</v>
      </c>
      <c r="D70" s="45">
        <v>0</v>
      </c>
      <c r="E70" s="44">
        <v>133086540</v>
      </c>
      <c r="F70" s="44">
        <v>133086540</v>
      </c>
      <c r="G70" s="44">
        <v>471868617</v>
      </c>
      <c r="H70" s="45">
        <v>0</v>
      </c>
      <c r="I70" s="46" t="s">
        <v>97</v>
      </c>
      <c r="J70" s="46" t="s">
        <v>84</v>
      </c>
    </row>
    <row r="71" spans="1:10" ht="13.15" x14ac:dyDescent="0.4">
      <c r="A71" s="43" t="s">
        <v>86</v>
      </c>
      <c r="B71" s="44">
        <v>20967421530</v>
      </c>
      <c r="C71" s="44">
        <v>20967421530</v>
      </c>
      <c r="D71" s="45">
        <v>0</v>
      </c>
      <c r="E71" s="44">
        <v>4470778886</v>
      </c>
      <c r="F71" s="44">
        <v>4470778886</v>
      </c>
      <c r="G71" s="44">
        <v>16496642644</v>
      </c>
      <c r="H71" s="45">
        <v>0</v>
      </c>
      <c r="I71" s="46" t="s">
        <v>97</v>
      </c>
      <c r="J71" s="46" t="s">
        <v>84</v>
      </c>
    </row>
    <row r="72" spans="1:10" ht="13.15" x14ac:dyDescent="0.4">
      <c r="A72" s="43" t="s">
        <v>87</v>
      </c>
      <c r="B72" s="44">
        <v>105616131</v>
      </c>
      <c r="C72" s="44">
        <v>105616131</v>
      </c>
      <c r="D72" s="45">
        <v>0</v>
      </c>
      <c r="E72" s="45">
        <v>0</v>
      </c>
      <c r="F72" s="45">
        <v>0</v>
      </c>
      <c r="G72" s="44">
        <v>105616131</v>
      </c>
      <c r="H72" s="45">
        <v>0</v>
      </c>
      <c r="I72" s="46" t="s">
        <v>97</v>
      </c>
      <c r="J72" s="46" t="s">
        <v>84</v>
      </c>
    </row>
    <row r="73" spans="1:10" ht="13.15" x14ac:dyDescent="0.4">
      <c r="A73" s="43" t="s">
        <v>88</v>
      </c>
      <c r="B73" s="44">
        <v>1649426585</v>
      </c>
      <c r="C73" s="44">
        <v>1649426585</v>
      </c>
      <c r="D73" s="45">
        <v>0</v>
      </c>
      <c r="E73" s="44">
        <v>436603309</v>
      </c>
      <c r="F73" s="44">
        <v>436603309</v>
      </c>
      <c r="G73" s="44">
        <v>1212823276</v>
      </c>
      <c r="H73" s="45">
        <v>0</v>
      </c>
      <c r="I73" s="46" t="s">
        <v>97</v>
      </c>
      <c r="J73" s="46" t="s">
        <v>84</v>
      </c>
    </row>
    <row r="74" spans="1:10" ht="13.15" x14ac:dyDescent="0.4">
      <c r="A74" s="43" t="s">
        <v>89</v>
      </c>
      <c r="B74" s="44">
        <v>53660123</v>
      </c>
      <c r="C74" s="44">
        <v>53660123</v>
      </c>
      <c r="D74" s="45">
        <v>0</v>
      </c>
      <c r="E74" s="44">
        <v>16427984</v>
      </c>
      <c r="F74" s="44">
        <v>16427984</v>
      </c>
      <c r="G74" s="44">
        <v>37232139</v>
      </c>
      <c r="H74" s="45">
        <v>0</v>
      </c>
      <c r="I74" s="46" t="s">
        <v>97</v>
      </c>
      <c r="J74" s="46" t="s">
        <v>84</v>
      </c>
    </row>
    <row r="75" spans="1:10" ht="13.15" x14ac:dyDescent="0.4">
      <c r="A75" s="43" t="s">
        <v>90</v>
      </c>
      <c r="B75" s="44">
        <v>1937118528</v>
      </c>
      <c r="C75" s="44">
        <v>1937118528</v>
      </c>
      <c r="D75" s="45">
        <v>0</v>
      </c>
      <c r="E75" s="44">
        <v>490714318</v>
      </c>
      <c r="F75" s="44">
        <v>490714318</v>
      </c>
      <c r="G75" s="44">
        <v>1446404210</v>
      </c>
      <c r="H75" s="45">
        <v>0</v>
      </c>
      <c r="I75" s="46" t="s">
        <v>97</v>
      </c>
      <c r="J75" s="46" t="s">
        <v>84</v>
      </c>
    </row>
    <row r="76" spans="1:10" ht="13.15" x14ac:dyDescent="0.4">
      <c r="A76" s="43" t="s">
        <v>91</v>
      </c>
      <c r="B76" s="44">
        <v>3850588</v>
      </c>
      <c r="C76" s="44">
        <v>3850588</v>
      </c>
      <c r="D76" s="45">
        <v>0</v>
      </c>
      <c r="E76" s="45">
        <v>0</v>
      </c>
      <c r="F76" s="45">
        <v>0</v>
      </c>
      <c r="G76" s="44">
        <v>3850588</v>
      </c>
      <c r="H76" s="45">
        <v>0</v>
      </c>
      <c r="I76" s="46" t="s">
        <v>97</v>
      </c>
      <c r="J76" s="46" t="s">
        <v>84</v>
      </c>
    </row>
    <row r="77" spans="1:10" ht="13.15" x14ac:dyDescent="0.4">
      <c r="A77" s="43" t="s">
        <v>114</v>
      </c>
      <c r="B77" s="45">
        <v>0</v>
      </c>
      <c r="C77" s="45">
        <v>0</v>
      </c>
      <c r="D77" s="45">
        <v>0</v>
      </c>
      <c r="E77" s="44">
        <v>416016</v>
      </c>
      <c r="F77" s="44">
        <v>416016</v>
      </c>
      <c r="G77" s="44">
        <v>-416016</v>
      </c>
      <c r="H77" s="45">
        <v>0</v>
      </c>
      <c r="I77" s="46" t="s">
        <v>97</v>
      </c>
      <c r="J77" s="46" t="s">
        <v>84</v>
      </c>
    </row>
    <row r="78" spans="1:10" ht="13.15" x14ac:dyDescent="0.4">
      <c r="A78" s="47" t="s">
        <v>115</v>
      </c>
      <c r="B78" s="48">
        <v>111569000000</v>
      </c>
      <c r="C78" s="48">
        <v>110898000000</v>
      </c>
      <c r="D78" s="48">
        <v>21437086131</v>
      </c>
      <c r="E78" s="48">
        <v>12533163050</v>
      </c>
      <c r="F78" s="48">
        <v>33970249181</v>
      </c>
      <c r="G78" s="48">
        <v>76927561010</v>
      </c>
      <c r="H78" s="48">
        <v>671501500</v>
      </c>
      <c r="I78" s="49" t="s">
        <v>97</v>
      </c>
      <c r="J78" s="49" t="e">
        <v>#N/A</v>
      </c>
    </row>
    <row r="79" spans="1:10" ht="13.15" x14ac:dyDescent="0.4">
      <c r="A79" s="43" t="s">
        <v>59</v>
      </c>
      <c r="B79" s="44">
        <v>4044107500</v>
      </c>
      <c r="C79" s="44">
        <v>4044107500</v>
      </c>
      <c r="D79" s="44">
        <v>1518071200</v>
      </c>
      <c r="E79" s="44">
        <v>585361000</v>
      </c>
      <c r="F79" s="44">
        <v>2103432200</v>
      </c>
      <c r="G79" s="44">
        <v>1940675300</v>
      </c>
      <c r="H79" s="45">
        <v>0</v>
      </c>
      <c r="I79" s="46" t="s">
        <v>116</v>
      </c>
      <c r="J79" s="46" t="s">
        <v>9</v>
      </c>
    </row>
    <row r="80" spans="1:10" ht="13.15" x14ac:dyDescent="0.4">
      <c r="A80" s="43" t="s">
        <v>117</v>
      </c>
      <c r="B80" s="45">
        <v>0</v>
      </c>
      <c r="C80" s="45">
        <v>0</v>
      </c>
      <c r="D80" s="45">
        <v>0</v>
      </c>
      <c r="E80" s="44">
        <v>-2900000</v>
      </c>
      <c r="F80" s="44">
        <v>-2900000</v>
      </c>
      <c r="G80" s="44">
        <v>2900000</v>
      </c>
      <c r="H80" s="45">
        <v>0</v>
      </c>
      <c r="I80" s="46" t="s">
        <v>116</v>
      </c>
      <c r="J80" s="46" t="s">
        <v>84</v>
      </c>
    </row>
    <row r="81" spans="1:10" ht="13.15" x14ac:dyDescent="0.4">
      <c r="A81" s="43" t="s">
        <v>69</v>
      </c>
      <c r="B81" s="44">
        <v>1657269514</v>
      </c>
      <c r="C81" s="44">
        <v>1657269514</v>
      </c>
      <c r="D81" s="45">
        <v>0</v>
      </c>
      <c r="E81" s="44">
        <v>125198600</v>
      </c>
      <c r="F81" s="44">
        <v>125198600</v>
      </c>
      <c r="G81" s="44">
        <v>1532070914</v>
      </c>
      <c r="H81" s="45">
        <v>0</v>
      </c>
      <c r="I81" s="46" t="s">
        <v>116</v>
      </c>
      <c r="J81" s="46" t="s">
        <v>9</v>
      </c>
    </row>
    <row r="82" spans="1:10" ht="13.15" x14ac:dyDescent="0.4">
      <c r="A82" s="43" t="s">
        <v>70</v>
      </c>
      <c r="B82" s="44">
        <v>30639775739</v>
      </c>
      <c r="C82" s="44">
        <v>30639775739</v>
      </c>
      <c r="D82" s="44">
        <v>16588171728</v>
      </c>
      <c r="E82" s="44">
        <v>7766359971</v>
      </c>
      <c r="F82" s="44">
        <v>24354531699</v>
      </c>
      <c r="G82" s="44">
        <v>6285244040</v>
      </c>
      <c r="H82" s="45">
        <v>0</v>
      </c>
      <c r="I82" s="46" t="s">
        <v>116</v>
      </c>
      <c r="J82" s="46" t="s">
        <v>9</v>
      </c>
    </row>
    <row r="83" spans="1:10" ht="13.15" x14ac:dyDescent="0.4">
      <c r="A83" s="43" t="s">
        <v>118</v>
      </c>
      <c r="B83" s="44">
        <v>288221000</v>
      </c>
      <c r="C83" s="44">
        <v>288221000</v>
      </c>
      <c r="D83" s="45">
        <v>0</v>
      </c>
      <c r="E83" s="45">
        <v>0</v>
      </c>
      <c r="F83" s="45">
        <v>0</v>
      </c>
      <c r="G83" s="44">
        <v>288221000</v>
      </c>
      <c r="H83" s="45">
        <v>0</v>
      </c>
      <c r="I83" s="46" t="s">
        <v>116</v>
      </c>
      <c r="J83" s="46" t="s">
        <v>9</v>
      </c>
    </row>
    <row r="84" spans="1:10" ht="13.15" x14ac:dyDescent="0.4">
      <c r="A84" s="43" t="s">
        <v>119</v>
      </c>
      <c r="B84" s="44">
        <v>593000000</v>
      </c>
      <c r="C84" s="44">
        <v>593000000</v>
      </c>
      <c r="D84" s="45">
        <v>0</v>
      </c>
      <c r="E84" s="45">
        <v>0</v>
      </c>
      <c r="F84" s="45">
        <v>0</v>
      </c>
      <c r="G84" s="44">
        <v>593000000</v>
      </c>
      <c r="H84" s="45">
        <v>0</v>
      </c>
      <c r="I84" s="46" t="s">
        <v>116</v>
      </c>
      <c r="J84" s="46" t="s">
        <v>9</v>
      </c>
    </row>
    <row r="85" spans="1:10" ht="13.15" x14ac:dyDescent="0.4">
      <c r="A85" s="43" t="s">
        <v>120</v>
      </c>
      <c r="B85" s="44">
        <v>1210765056</v>
      </c>
      <c r="C85" s="44">
        <v>1210765056</v>
      </c>
      <c r="D85" s="45">
        <v>0</v>
      </c>
      <c r="E85" s="44">
        <v>104534440</v>
      </c>
      <c r="F85" s="44">
        <v>104534440</v>
      </c>
      <c r="G85" s="44">
        <v>1106230616</v>
      </c>
      <c r="H85" s="45">
        <v>0</v>
      </c>
      <c r="I85" s="46" t="s">
        <v>116</v>
      </c>
      <c r="J85" s="46" t="s">
        <v>9</v>
      </c>
    </row>
    <row r="86" spans="1:10" ht="13.15" x14ac:dyDescent="0.4">
      <c r="A86" s="43" t="s">
        <v>121</v>
      </c>
      <c r="B86" s="44">
        <v>720219728</v>
      </c>
      <c r="C86" s="44">
        <v>720219728</v>
      </c>
      <c r="D86" s="45">
        <v>0</v>
      </c>
      <c r="E86" s="44">
        <v>396500562</v>
      </c>
      <c r="F86" s="44">
        <v>396500562</v>
      </c>
      <c r="G86" s="44">
        <v>323719166</v>
      </c>
      <c r="H86" s="45">
        <v>0</v>
      </c>
      <c r="I86" s="46" t="s">
        <v>116</v>
      </c>
      <c r="J86" s="46" t="s">
        <v>9</v>
      </c>
    </row>
    <row r="87" spans="1:10" ht="13.15" x14ac:dyDescent="0.4">
      <c r="A87" s="43" t="s">
        <v>122</v>
      </c>
      <c r="B87" s="44">
        <v>2796520000</v>
      </c>
      <c r="C87" s="44">
        <v>2796520000</v>
      </c>
      <c r="D87" s="44">
        <v>564674777</v>
      </c>
      <c r="E87" s="44">
        <v>654736071</v>
      </c>
      <c r="F87" s="44">
        <v>1219410848</v>
      </c>
      <c r="G87" s="44">
        <v>1577109152</v>
      </c>
      <c r="H87" s="45">
        <v>0</v>
      </c>
      <c r="I87" s="46" t="s">
        <v>116</v>
      </c>
      <c r="J87" s="46" t="s">
        <v>9</v>
      </c>
    </row>
    <row r="88" spans="1:10" ht="13.15" x14ac:dyDescent="0.4">
      <c r="A88" s="43" t="s">
        <v>72</v>
      </c>
      <c r="B88" s="44">
        <v>231587382</v>
      </c>
      <c r="C88" s="44">
        <v>231587382</v>
      </c>
      <c r="D88" s="45">
        <v>0</v>
      </c>
      <c r="E88" s="45">
        <v>0</v>
      </c>
      <c r="F88" s="45">
        <v>0</v>
      </c>
      <c r="G88" s="44">
        <v>231587382</v>
      </c>
      <c r="H88" s="45">
        <v>0</v>
      </c>
      <c r="I88" s="46" t="s">
        <v>116</v>
      </c>
      <c r="J88" s="46" t="s">
        <v>21</v>
      </c>
    </row>
    <row r="89" spans="1:10" ht="13.15" x14ac:dyDescent="0.4">
      <c r="A89" s="43" t="s">
        <v>123</v>
      </c>
      <c r="B89" s="44">
        <v>180831882</v>
      </c>
      <c r="C89" s="44">
        <v>180831882</v>
      </c>
      <c r="D89" s="45">
        <v>0</v>
      </c>
      <c r="E89" s="45">
        <v>0</v>
      </c>
      <c r="F89" s="45">
        <v>0</v>
      </c>
      <c r="G89" s="44">
        <v>180831882</v>
      </c>
      <c r="H89" s="45">
        <v>0</v>
      </c>
      <c r="I89" s="46" t="s">
        <v>116</v>
      </c>
      <c r="J89" s="46" t="s">
        <v>21</v>
      </c>
    </row>
    <row r="90" spans="1:10" ht="13.15" x14ac:dyDescent="0.4">
      <c r="A90" s="43" t="s">
        <v>124</v>
      </c>
      <c r="B90" s="44">
        <v>400000000</v>
      </c>
      <c r="C90" s="44">
        <v>400000000</v>
      </c>
      <c r="D90" s="45">
        <v>0</v>
      </c>
      <c r="E90" s="44">
        <v>52516373</v>
      </c>
      <c r="F90" s="44">
        <v>52516373</v>
      </c>
      <c r="G90" s="44">
        <v>347483627</v>
      </c>
      <c r="H90" s="45">
        <v>0</v>
      </c>
      <c r="I90" s="46" t="s">
        <v>116</v>
      </c>
      <c r="J90" s="46" t="s">
        <v>21</v>
      </c>
    </row>
    <row r="91" spans="1:10" ht="13.15" x14ac:dyDescent="0.4">
      <c r="A91" s="43" t="s">
        <v>125</v>
      </c>
      <c r="B91" s="44">
        <v>289155000</v>
      </c>
      <c r="C91" s="44">
        <v>289155000</v>
      </c>
      <c r="D91" s="45">
        <v>0</v>
      </c>
      <c r="E91" s="45">
        <v>0</v>
      </c>
      <c r="F91" s="45">
        <v>0</v>
      </c>
      <c r="G91" s="44">
        <v>289155000</v>
      </c>
      <c r="H91" s="45">
        <v>0</v>
      </c>
      <c r="I91" s="46" t="s">
        <v>116</v>
      </c>
      <c r="J91" s="46" t="s">
        <v>21</v>
      </c>
    </row>
    <row r="92" spans="1:10" ht="13.15" x14ac:dyDescent="0.4">
      <c r="A92" s="43" t="s">
        <v>126</v>
      </c>
      <c r="B92" s="44">
        <v>360000000</v>
      </c>
      <c r="C92" s="44">
        <v>360000000</v>
      </c>
      <c r="D92" s="44">
        <v>133528000</v>
      </c>
      <c r="E92" s="45">
        <v>0</v>
      </c>
      <c r="F92" s="44">
        <v>133528000</v>
      </c>
      <c r="G92" s="44">
        <v>226472000</v>
      </c>
      <c r="H92" s="45">
        <v>0</v>
      </c>
      <c r="I92" s="46" t="s">
        <v>116</v>
      </c>
      <c r="J92" s="46" t="s">
        <v>21</v>
      </c>
    </row>
    <row r="93" spans="1:10" ht="13.15" x14ac:dyDescent="0.4">
      <c r="A93" s="43" t="s">
        <v>127</v>
      </c>
      <c r="B93" s="44">
        <v>1710494400</v>
      </c>
      <c r="C93" s="44">
        <v>1710494400</v>
      </c>
      <c r="D93" s="44">
        <v>364436500</v>
      </c>
      <c r="E93" s="44">
        <v>52419100</v>
      </c>
      <c r="F93" s="44">
        <v>416855600</v>
      </c>
      <c r="G93" s="44">
        <v>1293638800</v>
      </c>
      <c r="H93" s="45">
        <v>0</v>
      </c>
      <c r="I93" s="46" t="s">
        <v>116</v>
      </c>
      <c r="J93" s="46" t="s">
        <v>21</v>
      </c>
    </row>
    <row r="94" spans="1:10" ht="13.15" x14ac:dyDescent="0.4">
      <c r="A94" s="43" t="s">
        <v>73</v>
      </c>
      <c r="B94" s="44">
        <v>200000000</v>
      </c>
      <c r="C94" s="44">
        <v>150000000</v>
      </c>
      <c r="D94" s="44">
        <v>41976000</v>
      </c>
      <c r="E94" s="44">
        <v>24488000</v>
      </c>
      <c r="F94" s="44">
        <v>66464000</v>
      </c>
      <c r="G94" s="44">
        <v>83536000</v>
      </c>
      <c r="H94" s="44">
        <v>50000000</v>
      </c>
      <c r="I94" s="46" t="s">
        <v>116</v>
      </c>
      <c r="J94" s="46" t="s">
        <v>23</v>
      </c>
    </row>
    <row r="95" spans="1:10" ht="13.15" x14ac:dyDescent="0.4">
      <c r="A95" s="43" t="s">
        <v>76</v>
      </c>
      <c r="B95" s="44">
        <v>559300000</v>
      </c>
      <c r="C95" s="44">
        <v>419475000</v>
      </c>
      <c r="D95" s="44">
        <v>30610000</v>
      </c>
      <c r="E95" s="44">
        <v>8717850</v>
      </c>
      <c r="F95" s="44">
        <v>39327850</v>
      </c>
      <c r="G95" s="44">
        <v>380147150</v>
      </c>
      <c r="H95" s="44">
        <v>139825000</v>
      </c>
      <c r="I95" s="46" t="s">
        <v>116</v>
      </c>
      <c r="J95" s="46" t="s">
        <v>25</v>
      </c>
    </row>
    <row r="96" spans="1:10" ht="13.15" x14ac:dyDescent="0.4">
      <c r="A96" s="43" t="s">
        <v>77</v>
      </c>
      <c r="B96" s="44">
        <v>341280000</v>
      </c>
      <c r="C96" s="44">
        <v>255960000</v>
      </c>
      <c r="D96" s="44">
        <v>47161500</v>
      </c>
      <c r="E96" s="44">
        <v>46900000</v>
      </c>
      <c r="F96" s="44">
        <v>94061500</v>
      </c>
      <c r="G96" s="44">
        <v>161898500</v>
      </c>
      <c r="H96" s="44">
        <v>85320000</v>
      </c>
      <c r="I96" s="46" t="s">
        <v>116</v>
      </c>
      <c r="J96" s="46" t="s">
        <v>25</v>
      </c>
    </row>
    <row r="97" spans="1:10" ht="13.15" x14ac:dyDescent="0.4">
      <c r="A97" s="43" t="s">
        <v>78</v>
      </c>
      <c r="B97" s="44">
        <v>138000000</v>
      </c>
      <c r="C97" s="44">
        <v>138000000</v>
      </c>
      <c r="D97" s="45">
        <v>0</v>
      </c>
      <c r="E97" s="44">
        <v>23000000</v>
      </c>
      <c r="F97" s="44">
        <v>23000000</v>
      </c>
      <c r="G97" s="44">
        <v>115000000</v>
      </c>
      <c r="H97" s="45">
        <v>0</v>
      </c>
      <c r="I97" s="46" t="s">
        <v>116</v>
      </c>
      <c r="J97" s="46" t="s">
        <v>25</v>
      </c>
    </row>
    <row r="98" spans="1:10" ht="13.15" x14ac:dyDescent="0.4">
      <c r="A98" s="43" t="s">
        <v>79</v>
      </c>
      <c r="B98" s="44">
        <v>388800000</v>
      </c>
      <c r="C98" s="44">
        <v>291600000</v>
      </c>
      <c r="D98" s="45">
        <v>0</v>
      </c>
      <c r="E98" s="45">
        <v>0</v>
      </c>
      <c r="F98" s="45">
        <v>0</v>
      </c>
      <c r="G98" s="44">
        <v>291600000</v>
      </c>
      <c r="H98" s="44">
        <v>97200000</v>
      </c>
      <c r="I98" s="46" t="s">
        <v>116</v>
      </c>
      <c r="J98" s="46" t="s">
        <v>25</v>
      </c>
    </row>
    <row r="99" spans="1:10" ht="13.15" x14ac:dyDescent="0.4">
      <c r="A99" s="43" t="s">
        <v>80</v>
      </c>
      <c r="B99" s="44">
        <v>20000000</v>
      </c>
      <c r="C99" s="44">
        <v>15000000</v>
      </c>
      <c r="D99" s="45">
        <v>0</v>
      </c>
      <c r="E99" s="45">
        <v>0</v>
      </c>
      <c r="F99" s="45">
        <v>0</v>
      </c>
      <c r="G99" s="44">
        <v>15000000</v>
      </c>
      <c r="H99" s="44">
        <v>5000000</v>
      </c>
      <c r="I99" s="46" t="s">
        <v>116</v>
      </c>
      <c r="J99" s="46" t="s">
        <v>25</v>
      </c>
    </row>
    <row r="100" spans="1:10" ht="13.15" x14ac:dyDescent="0.4">
      <c r="A100" s="43" t="s">
        <v>81</v>
      </c>
      <c r="B100" s="44">
        <v>393410000</v>
      </c>
      <c r="C100" s="44">
        <v>295057500</v>
      </c>
      <c r="D100" s="45">
        <v>0</v>
      </c>
      <c r="E100" s="44">
        <v>79589000</v>
      </c>
      <c r="F100" s="44">
        <v>79589000</v>
      </c>
      <c r="G100" s="44">
        <v>215468500</v>
      </c>
      <c r="H100" s="44">
        <v>98352500</v>
      </c>
      <c r="I100" s="46" t="s">
        <v>116</v>
      </c>
      <c r="J100" s="46" t="s">
        <v>25</v>
      </c>
    </row>
    <row r="101" spans="1:10" ht="13.15" x14ac:dyDescent="0.4">
      <c r="A101" s="43" t="s">
        <v>82</v>
      </c>
      <c r="B101" s="44">
        <v>91080000</v>
      </c>
      <c r="C101" s="44">
        <v>91080000</v>
      </c>
      <c r="D101" s="45">
        <v>0</v>
      </c>
      <c r="E101" s="45">
        <v>0</v>
      </c>
      <c r="F101" s="45">
        <v>0</v>
      </c>
      <c r="G101" s="44">
        <v>91080000</v>
      </c>
      <c r="H101" s="45">
        <v>0</v>
      </c>
      <c r="I101" s="46" t="s">
        <v>116</v>
      </c>
      <c r="J101" s="46" t="s">
        <v>25</v>
      </c>
    </row>
    <row r="102" spans="1:10" ht="13.15" x14ac:dyDescent="0.4">
      <c r="A102" s="43" t="s">
        <v>128</v>
      </c>
      <c r="B102" s="45">
        <v>0</v>
      </c>
      <c r="C102" s="45">
        <v>0</v>
      </c>
      <c r="D102" s="45">
        <v>0</v>
      </c>
      <c r="E102" s="44">
        <v>120464821</v>
      </c>
      <c r="F102" s="44">
        <v>120464821</v>
      </c>
      <c r="G102" s="44">
        <v>-120464821</v>
      </c>
      <c r="H102" s="45">
        <v>0</v>
      </c>
      <c r="I102" s="46" t="s">
        <v>116</v>
      </c>
      <c r="J102" s="46" t="s">
        <v>84</v>
      </c>
    </row>
    <row r="103" spans="1:10" ht="13.15" x14ac:dyDescent="0.4">
      <c r="A103" s="43" t="s">
        <v>113</v>
      </c>
      <c r="B103" s="45">
        <v>0</v>
      </c>
      <c r="C103" s="45">
        <v>0</v>
      </c>
      <c r="D103" s="45">
        <v>0</v>
      </c>
      <c r="E103" s="44">
        <v>8227433</v>
      </c>
      <c r="F103" s="44">
        <v>8227433</v>
      </c>
      <c r="G103" s="44">
        <v>-8227433</v>
      </c>
      <c r="H103" s="45">
        <v>0</v>
      </c>
      <c r="I103" s="46" t="s">
        <v>116</v>
      </c>
      <c r="J103" s="46" t="s">
        <v>84</v>
      </c>
    </row>
    <row r="104" spans="1:10" ht="13.15" x14ac:dyDescent="0.4">
      <c r="A104" s="43" t="s">
        <v>129</v>
      </c>
      <c r="B104" s="45">
        <v>0</v>
      </c>
      <c r="C104" s="45">
        <v>0</v>
      </c>
      <c r="D104" s="45">
        <v>0</v>
      </c>
      <c r="E104" s="44">
        <v>491371</v>
      </c>
      <c r="F104" s="44">
        <v>491371</v>
      </c>
      <c r="G104" s="44">
        <v>-491371</v>
      </c>
      <c r="H104" s="45">
        <v>0</v>
      </c>
      <c r="I104" s="46" t="s">
        <v>116</v>
      </c>
      <c r="J104" s="46" t="s">
        <v>84</v>
      </c>
    </row>
    <row r="105" spans="1:10" ht="13.15" x14ac:dyDescent="0.4">
      <c r="A105" s="43" t="s">
        <v>83</v>
      </c>
      <c r="B105" s="44">
        <v>16223644853</v>
      </c>
      <c r="C105" s="44">
        <v>16223644853</v>
      </c>
      <c r="D105" s="45">
        <v>0</v>
      </c>
      <c r="E105" s="44">
        <v>3829024628</v>
      </c>
      <c r="F105" s="44">
        <v>3829024628</v>
      </c>
      <c r="G105" s="44">
        <v>12394620225</v>
      </c>
      <c r="H105" s="45">
        <v>0</v>
      </c>
      <c r="I105" s="46" t="s">
        <v>116</v>
      </c>
      <c r="J105" s="46" t="s">
        <v>84</v>
      </c>
    </row>
    <row r="106" spans="1:10" ht="13.15" x14ac:dyDescent="0.4">
      <c r="A106" s="43" t="s">
        <v>85</v>
      </c>
      <c r="B106" s="44">
        <v>201591062</v>
      </c>
      <c r="C106" s="44">
        <v>201591062</v>
      </c>
      <c r="D106" s="45">
        <v>0</v>
      </c>
      <c r="E106" s="44">
        <v>49521489</v>
      </c>
      <c r="F106" s="44">
        <v>49521489</v>
      </c>
      <c r="G106" s="44">
        <v>152069573</v>
      </c>
      <c r="H106" s="45">
        <v>0</v>
      </c>
      <c r="I106" s="46" t="s">
        <v>116</v>
      </c>
      <c r="J106" s="46" t="s">
        <v>84</v>
      </c>
    </row>
    <row r="107" spans="1:10" ht="13.15" x14ac:dyDescent="0.4">
      <c r="A107" s="43" t="s">
        <v>86</v>
      </c>
      <c r="B107" s="44">
        <v>14498179948</v>
      </c>
      <c r="C107" s="44">
        <v>14498179948</v>
      </c>
      <c r="D107" s="45">
        <v>0</v>
      </c>
      <c r="E107" s="44">
        <v>3215042751</v>
      </c>
      <c r="F107" s="44">
        <v>3215042751</v>
      </c>
      <c r="G107" s="44">
        <v>11283137197</v>
      </c>
      <c r="H107" s="45">
        <v>0</v>
      </c>
      <c r="I107" s="46" t="s">
        <v>116</v>
      </c>
      <c r="J107" s="46" t="s">
        <v>84</v>
      </c>
    </row>
    <row r="108" spans="1:10" ht="13.15" x14ac:dyDescent="0.4">
      <c r="A108" s="43" t="s">
        <v>87</v>
      </c>
      <c r="B108" s="44">
        <v>79212098</v>
      </c>
      <c r="C108" s="44">
        <v>79212098</v>
      </c>
      <c r="D108" s="45">
        <v>0</v>
      </c>
      <c r="E108" s="45">
        <v>0</v>
      </c>
      <c r="F108" s="45">
        <v>0</v>
      </c>
      <c r="G108" s="44">
        <v>79212098</v>
      </c>
      <c r="H108" s="45">
        <v>0</v>
      </c>
      <c r="I108" s="46" t="s">
        <v>116</v>
      </c>
      <c r="J108" s="46" t="s">
        <v>84</v>
      </c>
    </row>
    <row r="109" spans="1:10" ht="13.15" x14ac:dyDescent="0.4">
      <c r="A109" s="43" t="s">
        <v>88</v>
      </c>
      <c r="B109" s="44">
        <v>1964472996</v>
      </c>
      <c r="C109" s="44">
        <v>1964472996</v>
      </c>
      <c r="D109" s="45">
        <v>0</v>
      </c>
      <c r="E109" s="44">
        <v>331618516</v>
      </c>
      <c r="F109" s="44">
        <v>331618516</v>
      </c>
      <c r="G109" s="44">
        <v>1632854480</v>
      </c>
      <c r="H109" s="45">
        <v>0</v>
      </c>
      <c r="I109" s="46" t="s">
        <v>116</v>
      </c>
      <c r="J109" s="46" t="s">
        <v>84</v>
      </c>
    </row>
    <row r="110" spans="1:10" ht="13.15" x14ac:dyDescent="0.4">
      <c r="A110" s="43" t="s">
        <v>89</v>
      </c>
      <c r="B110" s="44">
        <v>40912616</v>
      </c>
      <c r="C110" s="44">
        <v>40912616</v>
      </c>
      <c r="D110" s="45">
        <v>0</v>
      </c>
      <c r="E110" s="44">
        <v>10050397</v>
      </c>
      <c r="F110" s="44">
        <v>10050397</v>
      </c>
      <c r="G110" s="44">
        <v>30862219</v>
      </c>
      <c r="H110" s="45">
        <v>0</v>
      </c>
      <c r="I110" s="46" t="s">
        <v>116</v>
      </c>
      <c r="J110" s="46" t="s">
        <v>84</v>
      </c>
    </row>
    <row r="111" spans="1:10" ht="13.15" x14ac:dyDescent="0.4">
      <c r="A111" s="43" t="s">
        <v>90</v>
      </c>
      <c r="B111" s="44">
        <v>1928660874</v>
      </c>
      <c r="C111" s="44">
        <v>1928660874</v>
      </c>
      <c r="D111" s="45">
        <v>0</v>
      </c>
      <c r="E111" s="44">
        <v>400847189</v>
      </c>
      <c r="F111" s="44">
        <v>400847189</v>
      </c>
      <c r="G111" s="44">
        <v>1527813685</v>
      </c>
      <c r="H111" s="45">
        <v>0</v>
      </c>
      <c r="I111" s="46" t="s">
        <v>116</v>
      </c>
      <c r="J111" s="46" t="s">
        <v>84</v>
      </c>
    </row>
    <row r="112" spans="1:10" ht="13.15" x14ac:dyDescent="0.4">
      <c r="A112" s="43" t="s">
        <v>91</v>
      </c>
      <c r="B112" s="44">
        <v>3850588</v>
      </c>
      <c r="C112" s="44">
        <v>3850588</v>
      </c>
      <c r="D112" s="45">
        <v>0</v>
      </c>
      <c r="E112" s="45">
        <v>0</v>
      </c>
      <c r="F112" s="45">
        <v>0</v>
      </c>
      <c r="G112" s="44">
        <v>3850588</v>
      </c>
      <c r="H112" s="45">
        <v>0</v>
      </c>
      <c r="I112" s="46" t="s">
        <v>116</v>
      </c>
      <c r="J112" s="46" t="s">
        <v>84</v>
      </c>
    </row>
    <row r="113" spans="1:10" ht="13.15" x14ac:dyDescent="0.4">
      <c r="A113" s="47" t="s">
        <v>130</v>
      </c>
      <c r="B113" s="48">
        <v>82194342236</v>
      </c>
      <c r="C113" s="48">
        <v>81718644736</v>
      </c>
      <c r="D113" s="48">
        <v>19288629705</v>
      </c>
      <c r="E113" s="48">
        <v>17882709562</v>
      </c>
      <c r="F113" s="48">
        <v>37171339267</v>
      </c>
      <c r="G113" s="48">
        <v>44547305469</v>
      </c>
      <c r="H113" s="48">
        <v>475697500</v>
      </c>
      <c r="I113" s="49" t="s">
        <v>116</v>
      </c>
      <c r="J113" s="49" t="e">
        <v>#N/A</v>
      </c>
    </row>
    <row r="114" spans="1:10" ht="13.15" x14ac:dyDescent="0.4">
      <c r="A114" s="43" t="s">
        <v>59</v>
      </c>
      <c r="B114" s="44">
        <v>8995670000</v>
      </c>
      <c r="C114" s="44">
        <v>8995670000</v>
      </c>
      <c r="D114" s="44">
        <v>7317523312</v>
      </c>
      <c r="E114" s="44">
        <v>477511000</v>
      </c>
      <c r="F114" s="44">
        <v>7795034312</v>
      </c>
      <c r="G114" s="44">
        <v>1200635688</v>
      </c>
      <c r="H114" s="45">
        <v>0</v>
      </c>
      <c r="I114" s="46" t="s">
        <v>131</v>
      </c>
      <c r="J114" s="46" t="s">
        <v>9</v>
      </c>
    </row>
    <row r="115" spans="1:10" ht="13.15" x14ac:dyDescent="0.4">
      <c r="A115" s="43" t="s">
        <v>63</v>
      </c>
      <c r="B115" s="44">
        <v>435680000</v>
      </c>
      <c r="C115" s="44">
        <v>435680000</v>
      </c>
      <c r="D115" s="44">
        <v>79631400</v>
      </c>
      <c r="E115" s="44">
        <v>8607111</v>
      </c>
      <c r="F115" s="44">
        <v>88238511</v>
      </c>
      <c r="G115" s="44">
        <v>347441489</v>
      </c>
      <c r="H115" s="45">
        <v>0</v>
      </c>
      <c r="I115" s="46" t="s">
        <v>131</v>
      </c>
      <c r="J115" s="46" t="s">
        <v>9</v>
      </c>
    </row>
    <row r="116" spans="1:10" ht="13.15" x14ac:dyDescent="0.4">
      <c r="A116" s="43" t="s">
        <v>101</v>
      </c>
      <c r="B116" s="44">
        <v>229890000</v>
      </c>
      <c r="C116" s="44">
        <v>229890000</v>
      </c>
      <c r="D116" s="45">
        <v>0</v>
      </c>
      <c r="E116" s="45">
        <v>0</v>
      </c>
      <c r="F116" s="45">
        <v>0</v>
      </c>
      <c r="G116" s="44">
        <v>229890000</v>
      </c>
      <c r="H116" s="45">
        <v>0</v>
      </c>
      <c r="I116" s="46" t="s">
        <v>131</v>
      </c>
      <c r="J116" s="46" t="s">
        <v>9</v>
      </c>
    </row>
    <row r="117" spans="1:10" ht="13.15" x14ac:dyDescent="0.4">
      <c r="A117" s="43" t="s">
        <v>102</v>
      </c>
      <c r="B117" s="44">
        <v>929147000</v>
      </c>
      <c r="C117" s="44">
        <v>929147000</v>
      </c>
      <c r="D117" s="44">
        <v>496893043</v>
      </c>
      <c r="E117" s="44">
        <v>9466019</v>
      </c>
      <c r="F117" s="44">
        <v>506359062</v>
      </c>
      <c r="G117" s="44">
        <v>422787938</v>
      </c>
      <c r="H117" s="45">
        <v>0</v>
      </c>
      <c r="I117" s="46" t="s">
        <v>131</v>
      </c>
      <c r="J117" s="46" t="s">
        <v>9</v>
      </c>
    </row>
    <row r="118" spans="1:10" ht="13.15" x14ac:dyDescent="0.4">
      <c r="A118" s="43" t="s">
        <v>64</v>
      </c>
      <c r="B118" s="44">
        <v>1200699000</v>
      </c>
      <c r="C118" s="44">
        <v>1200699000</v>
      </c>
      <c r="D118" s="45">
        <v>0</v>
      </c>
      <c r="E118" s="45">
        <v>0</v>
      </c>
      <c r="F118" s="45">
        <v>0</v>
      </c>
      <c r="G118" s="44">
        <v>1200699000</v>
      </c>
      <c r="H118" s="45">
        <v>0</v>
      </c>
      <c r="I118" s="46" t="s">
        <v>131</v>
      </c>
      <c r="J118" s="46" t="s">
        <v>9</v>
      </c>
    </row>
    <row r="119" spans="1:10" ht="13.15" x14ac:dyDescent="0.4">
      <c r="A119" s="43" t="s">
        <v>65</v>
      </c>
      <c r="B119" s="44">
        <v>818532000</v>
      </c>
      <c r="C119" s="44">
        <v>818532000</v>
      </c>
      <c r="D119" s="44">
        <v>277500000</v>
      </c>
      <c r="E119" s="45">
        <v>0</v>
      </c>
      <c r="F119" s="44">
        <v>277500000</v>
      </c>
      <c r="G119" s="44">
        <v>541032000</v>
      </c>
      <c r="H119" s="45">
        <v>0</v>
      </c>
      <c r="I119" s="46" t="s">
        <v>131</v>
      </c>
      <c r="J119" s="46" t="s">
        <v>9</v>
      </c>
    </row>
    <row r="120" spans="1:10" ht="13.15" x14ac:dyDescent="0.4">
      <c r="A120" s="43" t="s">
        <v>66</v>
      </c>
      <c r="B120" s="44">
        <v>4824864000</v>
      </c>
      <c r="C120" s="44">
        <v>4824864000</v>
      </c>
      <c r="D120" s="44">
        <v>4422334413</v>
      </c>
      <c r="E120" s="45">
        <v>0</v>
      </c>
      <c r="F120" s="44">
        <v>4422334413</v>
      </c>
      <c r="G120" s="44">
        <v>402529587</v>
      </c>
      <c r="H120" s="45">
        <v>0</v>
      </c>
      <c r="I120" s="46" t="s">
        <v>131</v>
      </c>
      <c r="J120" s="46" t="s">
        <v>9</v>
      </c>
    </row>
    <row r="121" spans="1:10" ht="13.15" x14ac:dyDescent="0.4">
      <c r="A121" s="43" t="s">
        <v>67</v>
      </c>
      <c r="B121" s="44">
        <v>1665000000</v>
      </c>
      <c r="C121" s="44">
        <v>1665000000</v>
      </c>
      <c r="D121" s="44">
        <v>249297044</v>
      </c>
      <c r="E121" s="44">
        <v>154298841</v>
      </c>
      <c r="F121" s="44">
        <v>403595885</v>
      </c>
      <c r="G121" s="44">
        <v>1261404115</v>
      </c>
      <c r="H121" s="45">
        <v>0</v>
      </c>
      <c r="I121" s="46" t="s">
        <v>131</v>
      </c>
      <c r="J121" s="46" t="s">
        <v>9</v>
      </c>
    </row>
    <row r="122" spans="1:10" ht="13.15" x14ac:dyDescent="0.4">
      <c r="A122" s="43" t="s">
        <v>103</v>
      </c>
      <c r="B122" s="44">
        <v>530067000</v>
      </c>
      <c r="C122" s="44">
        <v>530067000</v>
      </c>
      <c r="D122" s="44">
        <v>319835904</v>
      </c>
      <c r="E122" s="45">
        <v>0</v>
      </c>
      <c r="F122" s="44">
        <v>319835904</v>
      </c>
      <c r="G122" s="44">
        <v>210231096</v>
      </c>
      <c r="H122" s="45">
        <v>0</v>
      </c>
      <c r="I122" s="46" t="s">
        <v>131</v>
      </c>
      <c r="J122" s="46" t="s">
        <v>9</v>
      </c>
    </row>
    <row r="123" spans="1:10" ht="13.15" x14ac:dyDescent="0.4">
      <c r="A123" s="43" t="s">
        <v>104</v>
      </c>
      <c r="B123" s="44">
        <v>680000000</v>
      </c>
      <c r="C123" s="44">
        <v>680000000</v>
      </c>
      <c r="D123" s="44">
        <v>455200001</v>
      </c>
      <c r="E123" s="44">
        <v>49555233</v>
      </c>
      <c r="F123" s="44">
        <v>504755234</v>
      </c>
      <c r="G123" s="44">
        <v>175244766</v>
      </c>
      <c r="H123" s="45">
        <v>0</v>
      </c>
      <c r="I123" s="46" t="s">
        <v>131</v>
      </c>
      <c r="J123" s="46" t="s">
        <v>9</v>
      </c>
    </row>
    <row r="124" spans="1:10" ht="13.15" x14ac:dyDescent="0.4">
      <c r="A124" s="43" t="s">
        <v>106</v>
      </c>
      <c r="B124" s="44">
        <v>2233168000</v>
      </c>
      <c r="C124" s="44">
        <v>2233168000</v>
      </c>
      <c r="D124" s="44">
        <v>1955857840</v>
      </c>
      <c r="E124" s="45">
        <v>0</v>
      </c>
      <c r="F124" s="44">
        <v>1955857840</v>
      </c>
      <c r="G124" s="44">
        <v>277310160</v>
      </c>
      <c r="H124" s="45">
        <v>0</v>
      </c>
      <c r="I124" s="46" t="s">
        <v>131</v>
      </c>
      <c r="J124" s="46" t="s">
        <v>9</v>
      </c>
    </row>
    <row r="125" spans="1:10" ht="13.15" x14ac:dyDescent="0.4">
      <c r="A125" s="43" t="s">
        <v>107</v>
      </c>
      <c r="B125" s="44">
        <v>354000000</v>
      </c>
      <c r="C125" s="44">
        <v>354000000</v>
      </c>
      <c r="D125" s="44">
        <v>243524388</v>
      </c>
      <c r="E125" s="45">
        <v>0</v>
      </c>
      <c r="F125" s="44">
        <v>243524388</v>
      </c>
      <c r="G125" s="44">
        <v>110475612</v>
      </c>
      <c r="H125" s="45">
        <v>0</v>
      </c>
      <c r="I125" s="46" t="s">
        <v>131</v>
      </c>
      <c r="J125" s="46" t="s">
        <v>21</v>
      </c>
    </row>
    <row r="126" spans="1:10" ht="13.15" x14ac:dyDescent="0.4">
      <c r="A126" s="43" t="s">
        <v>108</v>
      </c>
      <c r="B126" s="44">
        <v>450000000</v>
      </c>
      <c r="C126" s="44">
        <v>450000000</v>
      </c>
      <c r="D126" s="45">
        <v>0</v>
      </c>
      <c r="E126" s="45">
        <v>0</v>
      </c>
      <c r="F126" s="45">
        <v>0</v>
      </c>
      <c r="G126" s="44">
        <v>450000000</v>
      </c>
      <c r="H126" s="45">
        <v>0</v>
      </c>
      <c r="I126" s="46" t="s">
        <v>131</v>
      </c>
      <c r="J126" s="46" t="s">
        <v>21</v>
      </c>
    </row>
    <row r="127" spans="1:10" ht="13.15" x14ac:dyDescent="0.4">
      <c r="A127" s="43" t="s">
        <v>110</v>
      </c>
      <c r="B127" s="44">
        <v>700000000</v>
      </c>
      <c r="C127" s="44">
        <v>700000000</v>
      </c>
      <c r="D127" s="44">
        <v>388459396</v>
      </c>
      <c r="E127" s="45">
        <v>0</v>
      </c>
      <c r="F127" s="44">
        <v>388459396</v>
      </c>
      <c r="G127" s="44">
        <v>311540604</v>
      </c>
      <c r="H127" s="45">
        <v>0</v>
      </c>
      <c r="I127" s="46" t="s">
        <v>131</v>
      </c>
      <c r="J127" s="46" t="s">
        <v>21</v>
      </c>
    </row>
    <row r="128" spans="1:10" ht="13.15" x14ac:dyDescent="0.4">
      <c r="A128" s="43" t="s">
        <v>73</v>
      </c>
      <c r="B128" s="44">
        <v>705000000</v>
      </c>
      <c r="C128" s="44">
        <v>528750000</v>
      </c>
      <c r="D128" s="44">
        <v>497734500</v>
      </c>
      <c r="E128" s="45">
        <v>0</v>
      </c>
      <c r="F128" s="44">
        <v>497734500</v>
      </c>
      <c r="G128" s="44">
        <v>31015500</v>
      </c>
      <c r="H128" s="44">
        <v>176250000</v>
      </c>
      <c r="I128" s="46" t="s">
        <v>131</v>
      </c>
      <c r="J128" s="46" t="s">
        <v>23</v>
      </c>
    </row>
    <row r="129" spans="1:10" ht="13.15" x14ac:dyDescent="0.4">
      <c r="A129" s="43" t="s">
        <v>111</v>
      </c>
      <c r="B129" s="44">
        <v>118875000</v>
      </c>
      <c r="C129" s="44">
        <v>118875000</v>
      </c>
      <c r="D129" s="44">
        <v>8255000</v>
      </c>
      <c r="E129" s="44">
        <v>7520000</v>
      </c>
      <c r="F129" s="44">
        <v>15775000</v>
      </c>
      <c r="G129" s="44">
        <v>103100000</v>
      </c>
      <c r="H129" s="45">
        <v>0</v>
      </c>
      <c r="I129" s="46" t="s">
        <v>131</v>
      </c>
      <c r="J129" s="46" t="s">
        <v>22</v>
      </c>
    </row>
    <row r="130" spans="1:10" ht="13.15" x14ac:dyDescent="0.4">
      <c r="A130" s="43" t="s">
        <v>112</v>
      </c>
      <c r="B130" s="44">
        <v>2260000000</v>
      </c>
      <c r="C130" s="44">
        <v>2260000000</v>
      </c>
      <c r="D130" s="45">
        <v>0</v>
      </c>
      <c r="E130" s="44">
        <v>474175238</v>
      </c>
      <c r="F130" s="44">
        <v>474175238</v>
      </c>
      <c r="G130" s="44">
        <v>1785824762</v>
      </c>
      <c r="H130" s="45">
        <v>0</v>
      </c>
      <c r="I130" s="46" t="s">
        <v>131</v>
      </c>
      <c r="J130" s="46" t="s">
        <v>26</v>
      </c>
    </row>
    <row r="131" spans="1:10" ht="13.15" x14ac:dyDescent="0.4">
      <c r="A131" s="43" t="s">
        <v>76</v>
      </c>
      <c r="B131" s="44">
        <v>100000000</v>
      </c>
      <c r="C131" s="44">
        <v>75000000</v>
      </c>
      <c r="D131" s="44">
        <v>6000000</v>
      </c>
      <c r="E131" s="44">
        <v>22327889</v>
      </c>
      <c r="F131" s="44">
        <v>28327889</v>
      </c>
      <c r="G131" s="44">
        <v>46672111</v>
      </c>
      <c r="H131" s="44">
        <v>25000000</v>
      </c>
      <c r="I131" s="46" t="s">
        <v>131</v>
      </c>
      <c r="J131" s="46" t="s">
        <v>25</v>
      </c>
    </row>
    <row r="132" spans="1:10" ht="13.15" x14ac:dyDescent="0.4">
      <c r="A132" s="43" t="s">
        <v>77</v>
      </c>
      <c r="B132" s="44">
        <v>354600000</v>
      </c>
      <c r="C132" s="44">
        <v>265950000</v>
      </c>
      <c r="D132" s="44">
        <v>33432500</v>
      </c>
      <c r="E132" s="44">
        <v>46413500</v>
      </c>
      <c r="F132" s="44">
        <v>79846000</v>
      </c>
      <c r="G132" s="44">
        <v>186104000</v>
      </c>
      <c r="H132" s="44">
        <v>88650000</v>
      </c>
      <c r="I132" s="46" t="s">
        <v>131</v>
      </c>
      <c r="J132" s="46" t="s">
        <v>25</v>
      </c>
    </row>
    <row r="133" spans="1:10" ht="13.15" x14ac:dyDescent="0.4">
      <c r="A133" s="43" t="s">
        <v>78</v>
      </c>
      <c r="B133" s="44">
        <v>99000000</v>
      </c>
      <c r="C133" s="44">
        <v>99000000</v>
      </c>
      <c r="D133" s="45">
        <v>0</v>
      </c>
      <c r="E133" s="44">
        <v>16266000</v>
      </c>
      <c r="F133" s="44">
        <v>16266000</v>
      </c>
      <c r="G133" s="44">
        <v>82734000</v>
      </c>
      <c r="H133" s="45">
        <v>0</v>
      </c>
      <c r="I133" s="46" t="s">
        <v>131</v>
      </c>
      <c r="J133" s="46" t="s">
        <v>25</v>
      </c>
    </row>
    <row r="134" spans="1:10" ht="13.15" x14ac:dyDescent="0.4">
      <c r="A134" s="43" t="s">
        <v>79</v>
      </c>
      <c r="B134" s="44">
        <v>271400000</v>
      </c>
      <c r="C134" s="44">
        <v>203550000</v>
      </c>
      <c r="D134" s="44">
        <v>2958000</v>
      </c>
      <c r="E134" s="44">
        <v>44456500</v>
      </c>
      <c r="F134" s="44">
        <v>47414500</v>
      </c>
      <c r="G134" s="44">
        <v>156135500</v>
      </c>
      <c r="H134" s="44">
        <v>67850000</v>
      </c>
      <c r="I134" s="46" t="s">
        <v>131</v>
      </c>
      <c r="J134" s="46" t="s">
        <v>25</v>
      </c>
    </row>
    <row r="135" spans="1:10" ht="13.15" x14ac:dyDescent="0.4">
      <c r="A135" s="43" t="s">
        <v>81</v>
      </c>
      <c r="B135" s="44">
        <v>213320000</v>
      </c>
      <c r="C135" s="44">
        <v>159990000</v>
      </c>
      <c r="D135" s="45">
        <v>0</v>
      </c>
      <c r="E135" s="44">
        <v>46805500</v>
      </c>
      <c r="F135" s="44">
        <v>46805500</v>
      </c>
      <c r="G135" s="44">
        <v>113184500</v>
      </c>
      <c r="H135" s="44">
        <v>53330000</v>
      </c>
      <c r="I135" s="46" t="s">
        <v>131</v>
      </c>
      <c r="J135" s="46" t="s">
        <v>25</v>
      </c>
    </row>
    <row r="136" spans="1:10" ht="13.15" x14ac:dyDescent="0.4">
      <c r="A136" s="43" t="s">
        <v>82</v>
      </c>
      <c r="B136" s="44">
        <v>24000000</v>
      </c>
      <c r="C136" s="44">
        <v>24000000</v>
      </c>
      <c r="D136" s="45">
        <v>0</v>
      </c>
      <c r="E136" s="44">
        <v>7199500</v>
      </c>
      <c r="F136" s="44">
        <v>7199500</v>
      </c>
      <c r="G136" s="44">
        <v>16800500</v>
      </c>
      <c r="H136" s="45">
        <v>0</v>
      </c>
      <c r="I136" s="46" t="s">
        <v>131</v>
      </c>
      <c r="J136" s="46" t="s">
        <v>25</v>
      </c>
    </row>
    <row r="137" spans="1:10" ht="13.15" x14ac:dyDescent="0.4">
      <c r="A137" s="43" t="s">
        <v>113</v>
      </c>
      <c r="B137" s="45">
        <v>0</v>
      </c>
      <c r="C137" s="45">
        <v>0</v>
      </c>
      <c r="D137" s="45">
        <v>0</v>
      </c>
      <c r="E137" s="44">
        <v>77266957</v>
      </c>
      <c r="F137" s="44">
        <v>77266957</v>
      </c>
      <c r="G137" s="44">
        <v>-77266957</v>
      </c>
      <c r="H137" s="45">
        <v>0</v>
      </c>
      <c r="I137" s="46" t="s">
        <v>131</v>
      </c>
      <c r="J137" s="46" t="s">
        <v>84</v>
      </c>
    </row>
    <row r="138" spans="1:10" ht="13.15" x14ac:dyDescent="0.4">
      <c r="A138" s="43" t="s">
        <v>83</v>
      </c>
      <c r="B138" s="44">
        <v>9949094083</v>
      </c>
      <c r="C138" s="44">
        <v>9949094083</v>
      </c>
      <c r="D138" s="45">
        <v>0</v>
      </c>
      <c r="E138" s="44">
        <v>2314260206</v>
      </c>
      <c r="F138" s="44">
        <v>2314260206</v>
      </c>
      <c r="G138" s="44">
        <v>7634833877</v>
      </c>
      <c r="H138" s="45">
        <v>0</v>
      </c>
      <c r="I138" s="46" t="s">
        <v>131</v>
      </c>
      <c r="J138" s="46" t="s">
        <v>84</v>
      </c>
    </row>
    <row r="139" spans="1:10" ht="13.15" x14ac:dyDescent="0.4">
      <c r="A139" s="43" t="s">
        <v>85</v>
      </c>
      <c r="B139" s="44">
        <v>386565402</v>
      </c>
      <c r="C139" s="44">
        <v>386565402</v>
      </c>
      <c r="D139" s="45">
        <v>0</v>
      </c>
      <c r="E139" s="44">
        <v>96065267</v>
      </c>
      <c r="F139" s="44">
        <v>96065267</v>
      </c>
      <c r="G139" s="44">
        <v>290500135</v>
      </c>
      <c r="H139" s="45">
        <v>0</v>
      </c>
      <c r="I139" s="46" t="s">
        <v>131</v>
      </c>
      <c r="J139" s="46" t="s">
        <v>84</v>
      </c>
    </row>
    <row r="140" spans="1:10" ht="13.15" x14ac:dyDescent="0.4">
      <c r="A140" s="43" t="s">
        <v>86</v>
      </c>
      <c r="B140" s="44">
        <v>9769849891</v>
      </c>
      <c r="C140" s="44">
        <v>9769849891</v>
      </c>
      <c r="D140" s="45">
        <v>0</v>
      </c>
      <c r="E140" s="44">
        <v>2008940404</v>
      </c>
      <c r="F140" s="44">
        <v>2008940404</v>
      </c>
      <c r="G140" s="44">
        <v>7760909487</v>
      </c>
      <c r="H140" s="45">
        <v>0</v>
      </c>
      <c r="I140" s="46" t="s">
        <v>131</v>
      </c>
      <c r="J140" s="46" t="s">
        <v>84</v>
      </c>
    </row>
    <row r="141" spans="1:10" ht="13.15" x14ac:dyDescent="0.4">
      <c r="A141" s="43" t="s">
        <v>87</v>
      </c>
      <c r="B141" s="44">
        <v>57758822</v>
      </c>
      <c r="C141" s="44">
        <v>57758822</v>
      </c>
      <c r="D141" s="45">
        <v>0</v>
      </c>
      <c r="E141" s="45">
        <v>0</v>
      </c>
      <c r="F141" s="45">
        <v>0</v>
      </c>
      <c r="G141" s="44">
        <v>57758822</v>
      </c>
      <c r="H141" s="45">
        <v>0</v>
      </c>
      <c r="I141" s="46" t="s">
        <v>131</v>
      </c>
      <c r="J141" s="46" t="s">
        <v>84</v>
      </c>
    </row>
    <row r="142" spans="1:10" ht="13.15" x14ac:dyDescent="0.4">
      <c r="A142" s="43" t="s">
        <v>88</v>
      </c>
      <c r="B142" s="44">
        <v>1408512003</v>
      </c>
      <c r="C142" s="44">
        <v>1408512003</v>
      </c>
      <c r="D142" s="45">
        <v>0</v>
      </c>
      <c r="E142" s="44">
        <v>236571590</v>
      </c>
      <c r="F142" s="44">
        <v>236571590</v>
      </c>
      <c r="G142" s="44">
        <v>1171940413</v>
      </c>
      <c r="H142" s="45">
        <v>0</v>
      </c>
      <c r="I142" s="46" t="s">
        <v>131</v>
      </c>
      <c r="J142" s="46" t="s">
        <v>84</v>
      </c>
    </row>
    <row r="143" spans="1:10" ht="13.15" x14ac:dyDescent="0.4">
      <c r="A143" s="43" t="s">
        <v>89</v>
      </c>
      <c r="B143" s="44">
        <v>38319389</v>
      </c>
      <c r="C143" s="44">
        <v>38319389</v>
      </c>
      <c r="D143" s="45">
        <v>0</v>
      </c>
      <c r="E143" s="44">
        <v>6469062</v>
      </c>
      <c r="F143" s="44">
        <v>6469062</v>
      </c>
      <c r="G143" s="44">
        <v>31850327</v>
      </c>
      <c r="H143" s="45">
        <v>0</v>
      </c>
      <c r="I143" s="46" t="s">
        <v>131</v>
      </c>
      <c r="J143" s="46" t="s">
        <v>84</v>
      </c>
    </row>
    <row r="144" spans="1:10" ht="13.15" x14ac:dyDescent="0.4">
      <c r="A144" s="43" t="s">
        <v>90</v>
      </c>
      <c r="B144" s="44">
        <v>1330317539</v>
      </c>
      <c r="C144" s="44">
        <v>1330317539</v>
      </c>
      <c r="D144" s="45">
        <v>0</v>
      </c>
      <c r="E144" s="44">
        <v>280488989</v>
      </c>
      <c r="F144" s="44">
        <v>280488989</v>
      </c>
      <c r="G144" s="44">
        <v>1049828550</v>
      </c>
      <c r="H144" s="45">
        <v>0</v>
      </c>
      <c r="I144" s="46" t="s">
        <v>131</v>
      </c>
      <c r="J144" s="46" t="s">
        <v>84</v>
      </c>
    </row>
    <row r="145" spans="1:10" ht="13.15" x14ac:dyDescent="0.4">
      <c r="A145" s="43" t="s">
        <v>91</v>
      </c>
      <c r="B145" s="44">
        <v>3850588</v>
      </c>
      <c r="C145" s="44">
        <v>3850588</v>
      </c>
      <c r="D145" s="45">
        <v>0</v>
      </c>
      <c r="E145" s="45">
        <v>0</v>
      </c>
      <c r="F145" s="45">
        <v>0</v>
      </c>
      <c r="G145" s="44">
        <v>3850588</v>
      </c>
      <c r="H145" s="45">
        <v>0</v>
      </c>
      <c r="I145" s="46" t="s">
        <v>131</v>
      </c>
      <c r="J145" s="46" t="s">
        <v>84</v>
      </c>
    </row>
    <row r="146" spans="1:10" ht="13.15" x14ac:dyDescent="0.4">
      <c r="A146" s="43" t="s">
        <v>95</v>
      </c>
      <c r="B146" s="45">
        <v>0</v>
      </c>
      <c r="C146" s="45">
        <v>0</v>
      </c>
      <c r="D146" s="45">
        <v>0</v>
      </c>
      <c r="E146" s="44">
        <v>36550000</v>
      </c>
      <c r="F146" s="44">
        <v>36550000</v>
      </c>
      <c r="G146" s="44">
        <v>-36550000</v>
      </c>
      <c r="H146" s="45">
        <v>0</v>
      </c>
      <c r="I146" s="46" t="s">
        <v>131</v>
      </c>
      <c r="J146" s="46" t="s">
        <v>84</v>
      </c>
    </row>
    <row r="147" spans="1:10" ht="13.15" x14ac:dyDescent="0.4">
      <c r="A147" s="47" t="s">
        <v>132</v>
      </c>
      <c r="B147" s="48">
        <v>51137179717</v>
      </c>
      <c r="C147" s="48">
        <v>50726099717</v>
      </c>
      <c r="D147" s="48">
        <v>16754436741</v>
      </c>
      <c r="E147" s="48">
        <v>6421214806</v>
      </c>
      <c r="F147" s="48">
        <v>23175651547</v>
      </c>
      <c r="G147" s="48">
        <v>27550448170</v>
      </c>
      <c r="H147" s="48">
        <v>411080000</v>
      </c>
      <c r="I147" s="49" t="s">
        <v>131</v>
      </c>
      <c r="J147" s="49" t="e">
        <v>#N/A</v>
      </c>
    </row>
    <row r="148" spans="1:10" ht="13.15" x14ac:dyDescent="0.4">
      <c r="A148" s="43" t="s">
        <v>59</v>
      </c>
      <c r="B148" s="44">
        <v>11383511000</v>
      </c>
      <c r="C148" s="44">
        <v>11383511000</v>
      </c>
      <c r="D148" s="44">
        <v>9763165316</v>
      </c>
      <c r="E148" s="45">
        <v>0</v>
      </c>
      <c r="F148" s="44">
        <v>9763165316</v>
      </c>
      <c r="G148" s="44">
        <v>1620345684</v>
      </c>
      <c r="H148" s="45">
        <v>0</v>
      </c>
      <c r="I148" s="46" t="s">
        <v>133</v>
      </c>
      <c r="J148" s="46" t="s">
        <v>9</v>
      </c>
    </row>
    <row r="149" spans="1:10" ht="13.15" x14ac:dyDescent="0.4">
      <c r="A149" s="43" t="s">
        <v>63</v>
      </c>
      <c r="B149" s="44">
        <v>3998040540</v>
      </c>
      <c r="C149" s="44">
        <v>3998040540</v>
      </c>
      <c r="D149" s="44">
        <v>865634917</v>
      </c>
      <c r="E149" s="44">
        <v>6986400</v>
      </c>
      <c r="F149" s="44">
        <v>872621317</v>
      </c>
      <c r="G149" s="44">
        <v>3125419223</v>
      </c>
      <c r="H149" s="45">
        <v>0</v>
      </c>
      <c r="I149" s="46" t="s">
        <v>133</v>
      </c>
      <c r="J149" s="46" t="s">
        <v>9</v>
      </c>
    </row>
    <row r="150" spans="1:10" ht="13.15" x14ac:dyDescent="0.4">
      <c r="A150" s="43" t="s">
        <v>102</v>
      </c>
      <c r="B150" s="45">
        <v>0</v>
      </c>
      <c r="C150" s="45">
        <v>0</v>
      </c>
      <c r="D150" s="45">
        <v>0</v>
      </c>
      <c r="E150" s="45">
        <v>0</v>
      </c>
      <c r="F150" s="45">
        <v>0</v>
      </c>
      <c r="G150" s="45">
        <v>0</v>
      </c>
      <c r="H150" s="45">
        <v>0</v>
      </c>
      <c r="I150" s="46" t="s">
        <v>133</v>
      </c>
      <c r="J150" s="46" t="s">
        <v>9</v>
      </c>
    </row>
    <row r="151" spans="1:10" ht="13.15" x14ac:dyDescent="0.4">
      <c r="A151" s="43" t="s">
        <v>64</v>
      </c>
      <c r="B151" s="44">
        <v>499675000</v>
      </c>
      <c r="C151" s="44">
        <v>499675000</v>
      </c>
      <c r="D151" s="44">
        <v>106240051</v>
      </c>
      <c r="E151" s="45">
        <v>0</v>
      </c>
      <c r="F151" s="44">
        <v>106240051</v>
      </c>
      <c r="G151" s="44">
        <v>393434949</v>
      </c>
      <c r="H151" s="45">
        <v>0</v>
      </c>
      <c r="I151" s="46" t="s">
        <v>133</v>
      </c>
      <c r="J151" s="46" t="s">
        <v>9</v>
      </c>
    </row>
    <row r="152" spans="1:10" ht="13.15" x14ac:dyDescent="0.4">
      <c r="A152" s="43" t="s">
        <v>65</v>
      </c>
      <c r="B152" s="44">
        <v>870437000</v>
      </c>
      <c r="C152" s="44">
        <v>870437000</v>
      </c>
      <c r="D152" s="44">
        <v>72346470</v>
      </c>
      <c r="E152" s="44">
        <v>8315000</v>
      </c>
      <c r="F152" s="44">
        <v>80661470</v>
      </c>
      <c r="G152" s="44">
        <v>789775530</v>
      </c>
      <c r="H152" s="45">
        <v>0</v>
      </c>
      <c r="I152" s="46" t="s">
        <v>133</v>
      </c>
      <c r="J152" s="46" t="s">
        <v>9</v>
      </c>
    </row>
    <row r="153" spans="1:10" ht="13.15" x14ac:dyDescent="0.4">
      <c r="A153" s="43" t="s">
        <v>66</v>
      </c>
      <c r="B153" s="44">
        <v>393763000</v>
      </c>
      <c r="C153" s="44">
        <v>393763000</v>
      </c>
      <c r="D153" s="45">
        <v>0</v>
      </c>
      <c r="E153" s="44">
        <v>10224916</v>
      </c>
      <c r="F153" s="44">
        <v>10224916</v>
      </c>
      <c r="G153" s="44">
        <v>383538084</v>
      </c>
      <c r="H153" s="45">
        <v>0</v>
      </c>
      <c r="I153" s="46" t="s">
        <v>133</v>
      </c>
      <c r="J153" s="46" t="s">
        <v>9</v>
      </c>
    </row>
    <row r="154" spans="1:10" ht="13.15" x14ac:dyDescent="0.4">
      <c r="A154" s="43" t="s">
        <v>67</v>
      </c>
      <c r="B154" s="44">
        <v>1702406000</v>
      </c>
      <c r="C154" s="44">
        <v>1702406000</v>
      </c>
      <c r="D154" s="44">
        <v>288060277</v>
      </c>
      <c r="E154" s="44">
        <v>106580059</v>
      </c>
      <c r="F154" s="44">
        <v>394640336</v>
      </c>
      <c r="G154" s="44">
        <v>1307765664</v>
      </c>
      <c r="H154" s="45">
        <v>0</v>
      </c>
      <c r="I154" s="46" t="s">
        <v>133</v>
      </c>
      <c r="J154" s="46" t="s">
        <v>9</v>
      </c>
    </row>
    <row r="155" spans="1:10" ht="13.15" x14ac:dyDescent="0.4">
      <c r="A155" s="43" t="s">
        <v>103</v>
      </c>
      <c r="B155" s="44">
        <v>463360000</v>
      </c>
      <c r="C155" s="44">
        <v>463360000</v>
      </c>
      <c r="D155" s="44">
        <v>22153380</v>
      </c>
      <c r="E155" s="45">
        <v>0</v>
      </c>
      <c r="F155" s="44">
        <v>22153380</v>
      </c>
      <c r="G155" s="44">
        <v>441206620</v>
      </c>
      <c r="H155" s="45">
        <v>0</v>
      </c>
      <c r="I155" s="46" t="s">
        <v>133</v>
      </c>
      <c r="J155" s="46" t="s">
        <v>9</v>
      </c>
    </row>
    <row r="156" spans="1:10" ht="13.15" x14ac:dyDescent="0.4">
      <c r="A156" s="43" t="s">
        <v>104</v>
      </c>
      <c r="B156" s="44">
        <v>996956000</v>
      </c>
      <c r="C156" s="44">
        <v>996956000</v>
      </c>
      <c r="D156" s="45">
        <v>0</v>
      </c>
      <c r="E156" s="45">
        <v>0</v>
      </c>
      <c r="F156" s="45">
        <v>0</v>
      </c>
      <c r="G156" s="44">
        <v>996956000</v>
      </c>
      <c r="H156" s="45">
        <v>0</v>
      </c>
      <c r="I156" s="46" t="s">
        <v>133</v>
      </c>
      <c r="J156" s="46" t="s">
        <v>9</v>
      </c>
    </row>
    <row r="157" spans="1:10" ht="13.15" x14ac:dyDescent="0.4">
      <c r="A157" s="43" t="s">
        <v>105</v>
      </c>
      <c r="B157" s="44">
        <v>317990000</v>
      </c>
      <c r="C157" s="44">
        <v>317990000</v>
      </c>
      <c r="D157" s="44">
        <v>3857000</v>
      </c>
      <c r="E157" s="45">
        <v>0</v>
      </c>
      <c r="F157" s="44">
        <v>3857000</v>
      </c>
      <c r="G157" s="44">
        <v>314133000</v>
      </c>
      <c r="H157" s="45">
        <v>0</v>
      </c>
      <c r="I157" s="46" t="s">
        <v>133</v>
      </c>
      <c r="J157" s="46" t="s">
        <v>9</v>
      </c>
    </row>
    <row r="158" spans="1:10" ht="13.15" x14ac:dyDescent="0.4">
      <c r="A158" s="43" t="s">
        <v>106</v>
      </c>
      <c r="B158" s="44">
        <v>2427860000</v>
      </c>
      <c r="C158" s="44">
        <v>2427860000</v>
      </c>
      <c r="D158" s="44">
        <v>48285000</v>
      </c>
      <c r="E158" s="45">
        <v>0</v>
      </c>
      <c r="F158" s="44">
        <v>48285000</v>
      </c>
      <c r="G158" s="44">
        <v>2379575000</v>
      </c>
      <c r="H158" s="45">
        <v>0</v>
      </c>
      <c r="I158" s="46" t="s">
        <v>133</v>
      </c>
      <c r="J158" s="46" t="s">
        <v>9</v>
      </c>
    </row>
    <row r="159" spans="1:10" ht="13.15" x14ac:dyDescent="0.4">
      <c r="A159" s="43" t="s">
        <v>108</v>
      </c>
      <c r="B159" s="44">
        <v>500000000</v>
      </c>
      <c r="C159" s="44">
        <v>500000000</v>
      </c>
      <c r="D159" s="44">
        <v>38082500</v>
      </c>
      <c r="E159" s="44">
        <v>8775138</v>
      </c>
      <c r="F159" s="44">
        <v>46857638</v>
      </c>
      <c r="G159" s="44">
        <v>453142362</v>
      </c>
      <c r="H159" s="45">
        <v>0</v>
      </c>
      <c r="I159" s="46" t="s">
        <v>133</v>
      </c>
      <c r="J159" s="46" t="s">
        <v>21</v>
      </c>
    </row>
    <row r="160" spans="1:10" ht="13.15" x14ac:dyDescent="0.4">
      <c r="A160" s="43" t="s">
        <v>134</v>
      </c>
      <c r="B160" s="44">
        <v>78898000</v>
      </c>
      <c r="C160" s="44">
        <v>78898000</v>
      </c>
      <c r="D160" s="45">
        <v>0</v>
      </c>
      <c r="E160" s="45">
        <v>0</v>
      </c>
      <c r="F160" s="45">
        <v>0</v>
      </c>
      <c r="G160" s="44">
        <v>78898000</v>
      </c>
      <c r="H160" s="45">
        <v>0</v>
      </c>
      <c r="I160" s="46" t="s">
        <v>133</v>
      </c>
      <c r="J160" s="46" t="s">
        <v>21</v>
      </c>
    </row>
    <row r="161" spans="1:10" ht="13.15" x14ac:dyDescent="0.4">
      <c r="A161" s="43" t="s">
        <v>110</v>
      </c>
      <c r="B161" s="44">
        <v>867942000</v>
      </c>
      <c r="C161" s="44">
        <v>867942000</v>
      </c>
      <c r="D161" s="45">
        <v>0</v>
      </c>
      <c r="E161" s="45">
        <v>0</v>
      </c>
      <c r="F161" s="45">
        <v>0</v>
      </c>
      <c r="G161" s="44">
        <v>867942000</v>
      </c>
      <c r="H161" s="45">
        <v>0</v>
      </c>
      <c r="I161" s="46" t="s">
        <v>133</v>
      </c>
      <c r="J161" s="46" t="s">
        <v>21</v>
      </c>
    </row>
    <row r="162" spans="1:10" ht="13.15" x14ac:dyDescent="0.4">
      <c r="A162" s="43" t="s">
        <v>73</v>
      </c>
      <c r="B162" s="44">
        <v>250000000</v>
      </c>
      <c r="C162" s="44">
        <v>187500000</v>
      </c>
      <c r="D162" s="45">
        <v>0</v>
      </c>
      <c r="E162" s="45">
        <v>0</v>
      </c>
      <c r="F162" s="45">
        <v>0</v>
      </c>
      <c r="G162" s="44">
        <v>187500000</v>
      </c>
      <c r="H162" s="44">
        <v>62500000</v>
      </c>
      <c r="I162" s="46" t="s">
        <v>133</v>
      </c>
      <c r="J162" s="46" t="s">
        <v>23</v>
      </c>
    </row>
    <row r="163" spans="1:10" ht="13.15" x14ac:dyDescent="0.4">
      <c r="A163" s="43" t="s">
        <v>111</v>
      </c>
      <c r="B163" s="44">
        <v>90090000</v>
      </c>
      <c r="C163" s="44">
        <v>90090000</v>
      </c>
      <c r="D163" s="44">
        <v>11205000</v>
      </c>
      <c r="E163" s="45">
        <v>0</v>
      </c>
      <c r="F163" s="44">
        <v>11205000</v>
      </c>
      <c r="G163" s="44">
        <v>78885000</v>
      </c>
      <c r="H163" s="45">
        <v>0</v>
      </c>
      <c r="I163" s="46" t="s">
        <v>133</v>
      </c>
      <c r="J163" s="46" t="s">
        <v>22</v>
      </c>
    </row>
    <row r="164" spans="1:10" ht="13.15" x14ac:dyDescent="0.4">
      <c r="A164" s="43" t="s">
        <v>75</v>
      </c>
      <c r="B164" s="44">
        <v>132300000</v>
      </c>
      <c r="C164" s="44">
        <v>132300000</v>
      </c>
      <c r="D164" s="45">
        <v>0</v>
      </c>
      <c r="E164" s="45">
        <v>0</v>
      </c>
      <c r="F164" s="45">
        <v>0</v>
      </c>
      <c r="G164" s="44">
        <v>132300000</v>
      </c>
      <c r="H164" s="45">
        <v>0</v>
      </c>
      <c r="I164" s="46" t="s">
        <v>133</v>
      </c>
      <c r="J164" s="46" t="s">
        <v>26</v>
      </c>
    </row>
    <row r="165" spans="1:10" ht="13.15" x14ac:dyDescent="0.4">
      <c r="A165" s="43" t="s">
        <v>112</v>
      </c>
      <c r="B165" s="44">
        <v>2369000000</v>
      </c>
      <c r="C165" s="44">
        <v>2369000000</v>
      </c>
      <c r="D165" s="45">
        <v>0</v>
      </c>
      <c r="E165" s="44">
        <v>493648655</v>
      </c>
      <c r="F165" s="44">
        <v>493648655</v>
      </c>
      <c r="G165" s="44">
        <v>1875351345</v>
      </c>
      <c r="H165" s="45">
        <v>0</v>
      </c>
      <c r="I165" s="46" t="s">
        <v>133</v>
      </c>
      <c r="J165" s="46" t="s">
        <v>26</v>
      </c>
    </row>
    <row r="166" spans="1:10" ht="13.15" x14ac:dyDescent="0.4">
      <c r="A166" s="43" t="s">
        <v>76</v>
      </c>
      <c r="B166" s="44">
        <v>180000000</v>
      </c>
      <c r="C166" s="44">
        <v>135000000</v>
      </c>
      <c r="D166" s="44">
        <v>10000000</v>
      </c>
      <c r="E166" s="44">
        <v>10000000</v>
      </c>
      <c r="F166" s="44">
        <v>20000000</v>
      </c>
      <c r="G166" s="44">
        <v>115000000</v>
      </c>
      <c r="H166" s="44">
        <v>45000000</v>
      </c>
      <c r="I166" s="46" t="s">
        <v>133</v>
      </c>
      <c r="J166" s="46" t="s">
        <v>25</v>
      </c>
    </row>
    <row r="167" spans="1:10" ht="13.15" x14ac:dyDescent="0.4">
      <c r="A167" s="43" t="s">
        <v>77</v>
      </c>
      <c r="B167" s="44">
        <v>545000000</v>
      </c>
      <c r="C167" s="44">
        <v>408750000</v>
      </c>
      <c r="D167" s="44">
        <v>64994809</v>
      </c>
      <c r="E167" s="44">
        <v>88041635</v>
      </c>
      <c r="F167" s="44">
        <v>153036444</v>
      </c>
      <c r="G167" s="44">
        <v>255713556</v>
      </c>
      <c r="H167" s="44">
        <v>136250000</v>
      </c>
      <c r="I167" s="46" t="s">
        <v>133</v>
      </c>
      <c r="J167" s="46" t="s">
        <v>25</v>
      </c>
    </row>
    <row r="168" spans="1:10" ht="13.15" x14ac:dyDescent="0.4">
      <c r="A168" s="43" t="s">
        <v>78</v>
      </c>
      <c r="B168" s="44">
        <v>87000000</v>
      </c>
      <c r="C168" s="44">
        <v>87000000</v>
      </c>
      <c r="D168" s="45">
        <v>0</v>
      </c>
      <c r="E168" s="44">
        <v>14461500</v>
      </c>
      <c r="F168" s="44">
        <v>14461500</v>
      </c>
      <c r="G168" s="44">
        <v>72538500</v>
      </c>
      <c r="H168" s="45">
        <v>0</v>
      </c>
      <c r="I168" s="46" t="s">
        <v>133</v>
      </c>
      <c r="J168" s="46" t="s">
        <v>25</v>
      </c>
    </row>
    <row r="169" spans="1:10" ht="13.15" x14ac:dyDescent="0.4">
      <c r="A169" s="43" t="s">
        <v>79</v>
      </c>
      <c r="B169" s="44">
        <v>586200000</v>
      </c>
      <c r="C169" s="44">
        <v>439650000</v>
      </c>
      <c r="D169" s="44">
        <v>59608983</v>
      </c>
      <c r="E169" s="44">
        <v>49712900</v>
      </c>
      <c r="F169" s="44">
        <v>109321883</v>
      </c>
      <c r="G169" s="44">
        <v>330328117</v>
      </c>
      <c r="H169" s="44">
        <v>146550000</v>
      </c>
      <c r="I169" s="46" t="s">
        <v>133</v>
      </c>
      <c r="J169" s="46" t="s">
        <v>25</v>
      </c>
    </row>
    <row r="170" spans="1:10" ht="13.15" x14ac:dyDescent="0.4">
      <c r="A170" s="43" t="s">
        <v>80</v>
      </c>
      <c r="B170" s="44">
        <v>20000000</v>
      </c>
      <c r="C170" s="44">
        <v>15000000</v>
      </c>
      <c r="D170" s="45">
        <v>0</v>
      </c>
      <c r="E170" s="44">
        <v>3000000</v>
      </c>
      <c r="F170" s="44">
        <v>3000000</v>
      </c>
      <c r="G170" s="44">
        <v>12000000</v>
      </c>
      <c r="H170" s="44">
        <v>5000000</v>
      </c>
      <c r="I170" s="46" t="s">
        <v>133</v>
      </c>
      <c r="J170" s="46" t="s">
        <v>25</v>
      </c>
    </row>
    <row r="171" spans="1:10" ht="13.15" x14ac:dyDescent="0.4">
      <c r="A171" s="43" t="s">
        <v>81</v>
      </c>
      <c r="B171" s="44">
        <v>216402000</v>
      </c>
      <c r="C171" s="44">
        <v>162301500</v>
      </c>
      <c r="D171" s="45">
        <v>0</v>
      </c>
      <c r="E171" s="44">
        <v>38859250</v>
      </c>
      <c r="F171" s="44">
        <v>38859250</v>
      </c>
      <c r="G171" s="44">
        <v>123442250</v>
      </c>
      <c r="H171" s="44">
        <v>54100500</v>
      </c>
      <c r="I171" s="46" t="s">
        <v>133</v>
      </c>
      <c r="J171" s="46" t="s">
        <v>25</v>
      </c>
    </row>
    <row r="172" spans="1:10" ht="13.15" x14ac:dyDescent="0.4">
      <c r="A172" s="43" t="s">
        <v>82</v>
      </c>
      <c r="B172" s="44">
        <v>48000000</v>
      </c>
      <c r="C172" s="44">
        <v>48000000</v>
      </c>
      <c r="D172" s="44">
        <v>6889220</v>
      </c>
      <c r="E172" s="45">
        <v>0</v>
      </c>
      <c r="F172" s="44">
        <v>6889220</v>
      </c>
      <c r="G172" s="44">
        <v>41110780</v>
      </c>
      <c r="H172" s="45">
        <v>0</v>
      </c>
      <c r="I172" s="46" t="s">
        <v>133</v>
      </c>
      <c r="J172" s="46" t="s">
        <v>25</v>
      </c>
    </row>
    <row r="173" spans="1:10" ht="13.15" x14ac:dyDescent="0.4">
      <c r="A173" s="43" t="s">
        <v>83</v>
      </c>
      <c r="B173" s="44">
        <v>7504723378</v>
      </c>
      <c r="C173" s="44">
        <v>7504723378</v>
      </c>
      <c r="D173" s="45">
        <v>0</v>
      </c>
      <c r="E173" s="44">
        <v>1710228641</v>
      </c>
      <c r="F173" s="44">
        <v>1710228641</v>
      </c>
      <c r="G173" s="44">
        <v>5794494737</v>
      </c>
      <c r="H173" s="45">
        <v>0</v>
      </c>
      <c r="I173" s="46" t="s">
        <v>133</v>
      </c>
      <c r="J173" s="46" t="s">
        <v>84</v>
      </c>
    </row>
    <row r="174" spans="1:10" ht="13.15" x14ac:dyDescent="0.4">
      <c r="A174" s="43" t="s">
        <v>85</v>
      </c>
      <c r="B174" s="44">
        <v>226336070</v>
      </c>
      <c r="C174" s="44">
        <v>226336070</v>
      </c>
      <c r="D174" s="45">
        <v>0</v>
      </c>
      <c r="E174" s="44">
        <v>56592114</v>
      </c>
      <c r="F174" s="44">
        <v>56592114</v>
      </c>
      <c r="G174" s="44">
        <v>169743956</v>
      </c>
      <c r="H174" s="45">
        <v>0</v>
      </c>
      <c r="I174" s="46" t="s">
        <v>133</v>
      </c>
      <c r="J174" s="46" t="s">
        <v>84</v>
      </c>
    </row>
    <row r="175" spans="1:10" ht="13.15" x14ac:dyDescent="0.4">
      <c r="A175" s="43" t="s">
        <v>86</v>
      </c>
      <c r="B175" s="44">
        <v>7328638500</v>
      </c>
      <c r="C175" s="44">
        <v>7328638500</v>
      </c>
      <c r="D175" s="45">
        <v>0</v>
      </c>
      <c r="E175" s="44">
        <v>1429658758</v>
      </c>
      <c r="F175" s="44">
        <v>1429658758</v>
      </c>
      <c r="G175" s="44">
        <v>5898979742</v>
      </c>
      <c r="H175" s="45">
        <v>0</v>
      </c>
      <c r="I175" s="46" t="s">
        <v>133</v>
      </c>
      <c r="J175" s="46" t="s">
        <v>84</v>
      </c>
    </row>
    <row r="176" spans="1:10" ht="13.15" x14ac:dyDescent="0.4">
      <c r="A176" s="43" t="s">
        <v>87</v>
      </c>
      <c r="B176" s="44">
        <v>42356469</v>
      </c>
      <c r="C176" s="44">
        <v>42356469</v>
      </c>
      <c r="D176" s="45">
        <v>0</v>
      </c>
      <c r="E176" s="45">
        <v>0</v>
      </c>
      <c r="F176" s="45">
        <v>0</v>
      </c>
      <c r="G176" s="44">
        <v>42356469</v>
      </c>
      <c r="H176" s="45">
        <v>0</v>
      </c>
      <c r="I176" s="46" t="s">
        <v>133</v>
      </c>
      <c r="J176" s="46" t="s">
        <v>84</v>
      </c>
    </row>
    <row r="177" spans="1:10" ht="13.15" x14ac:dyDescent="0.4">
      <c r="A177" s="43" t="s">
        <v>88</v>
      </c>
      <c r="B177" s="44">
        <v>1286019333</v>
      </c>
      <c r="C177" s="44">
        <v>1286019333</v>
      </c>
      <c r="D177" s="45">
        <v>0</v>
      </c>
      <c r="E177" s="44">
        <v>237901689</v>
      </c>
      <c r="F177" s="44">
        <v>237901689</v>
      </c>
      <c r="G177" s="44">
        <v>1048117644</v>
      </c>
      <c r="H177" s="45">
        <v>0</v>
      </c>
      <c r="I177" s="46" t="s">
        <v>133</v>
      </c>
      <c r="J177" s="46" t="s">
        <v>84</v>
      </c>
    </row>
    <row r="178" spans="1:10" ht="13.15" x14ac:dyDescent="0.4">
      <c r="A178" s="43" t="s">
        <v>89</v>
      </c>
      <c r="B178" s="44">
        <v>36818740</v>
      </c>
      <c r="C178" s="44">
        <v>36818740</v>
      </c>
      <c r="D178" s="45">
        <v>0</v>
      </c>
      <c r="E178" s="44">
        <v>8131422</v>
      </c>
      <c r="F178" s="44">
        <v>8131422</v>
      </c>
      <c r="G178" s="44">
        <v>28687318</v>
      </c>
      <c r="H178" s="45">
        <v>0</v>
      </c>
      <c r="I178" s="46" t="s">
        <v>133</v>
      </c>
      <c r="J178" s="46" t="s">
        <v>84</v>
      </c>
    </row>
    <row r="179" spans="1:10" ht="13.15" x14ac:dyDescent="0.4">
      <c r="A179" s="43" t="s">
        <v>90</v>
      </c>
      <c r="B179" s="44">
        <v>1371419909</v>
      </c>
      <c r="C179" s="44">
        <v>1371419909</v>
      </c>
      <c r="D179" s="45">
        <v>0</v>
      </c>
      <c r="E179" s="44">
        <v>292871192</v>
      </c>
      <c r="F179" s="44">
        <v>292871192</v>
      </c>
      <c r="G179" s="44">
        <v>1078548717</v>
      </c>
      <c r="H179" s="45">
        <v>0</v>
      </c>
      <c r="I179" s="46" t="s">
        <v>133</v>
      </c>
      <c r="J179" s="46" t="s">
        <v>84</v>
      </c>
    </row>
    <row r="180" spans="1:10" ht="13.15" x14ac:dyDescent="0.4">
      <c r="A180" s="43" t="s">
        <v>91</v>
      </c>
      <c r="B180" s="44">
        <v>3850588</v>
      </c>
      <c r="C180" s="44">
        <v>3850588</v>
      </c>
      <c r="D180" s="45">
        <v>0</v>
      </c>
      <c r="E180" s="45">
        <v>0</v>
      </c>
      <c r="F180" s="45">
        <v>0</v>
      </c>
      <c r="G180" s="44">
        <v>3850588</v>
      </c>
      <c r="H180" s="45">
        <v>0</v>
      </c>
      <c r="I180" s="46" t="s">
        <v>133</v>
      </c>
      <c r="J180" s="46" t="s">
        <v>84</v>
      </c>
    </row>
    <row r="181" spans="1:10" ht="13.15" x14ac:dyDescent="0.4">
      <c r="A181" s="47" t="s">
        <v>135</v>
      </c>
      <c r="B181" s="48">
        <v>46824993527</v>
      </c>
      <c r="C181" s="48">
        <v>46375593027</v>
      </c>
      <c r="D181" s="48">
        <v>11360522923</v>
      </c>
      <c r="E181" s="48">
        <v>4573989269</v>
      </c>
      <c r="F181" s="48">
        <v>15934512192</v>
      </c>
      <c r="G181" s="48">
        <v>30441080835</v>
      </c>
      <c r="H181" s="48">
        <v>449400500</v>
      </c>
      <c r="I181" s="49" t="s">
        <v>133</v>
      </c>
      <c r="J181" s="49" t="e">
        <v>#N/A</v>
      </c>
    </row>
    <row r="182" spans="1:10" ht="13.15" x14ac:dyDescent="0.4">
      <c r="A182" s="43" t="s">
        <v>59</v>
      </c>
      <c r="B182" s="44">
        <v>7317456560</v>
      </c>
      <c r="C182" s="44">
        <v>7317456560</v>
      </c>
      <c r="D182" s="44">
        <v>6239069420</v>
      </c>
      <c r="E182" s="45">
        <v>0</v>
      </c>
      <c r="F182" s="44">
        <v>6239069420</v>
      </c>
      <c r="G182" s="44">
        <v>1078387140</v>
      </c>
      <c r="H182" s="45">
        <v>0</v>
      </c>
      <c r="I182" s="46" t="s">
        <v>136</v>
      </c>
      <c r="J182" s="46" t="s">
        <v>9</v>
      </c>
    </row>
    <row r="183" spans="1:10" ht="13.15" x14ac:dyDescent="0.4">
      <c r="A183" s="43" t="s">
        <v>98</v>
      </c>
      <c r="B183" s="44">
        <v>65407631</v>
      </c>
      <c r="C183" s="44">
        <v>65407631</v>
      </c>
      <c r="D183" s="45">
        <v>0</v>
      </c>
      <c r="E183" s="45">
        <v>0</v>
      </c>
      <c r="F183" s="45">
        <v>0</v>
      </c>
      <c r="G183" s="44">
        <v>65407631</v>
      </c>
      <c r="H183" s="45">
        <v>0</v>
      </c>
      <c r="I183" s="46" t="s">
        <v>136</v>
      </c>
      <c r="J183" s="46" t="s">
        <v>84</v>
      </c>
    </row>
    <row r="184" spans="1:10" ht="13.15" x14ac:dyDescent="0.4">
      <c r="A184" s="43" t="s">
        <v>99</v>
      </c>
      <c r="B184" s="44">
        <v>125267590</v>
      </c>
      <c r="C184" s="44">
        <v>125267590</v>
      </c>
      <c r="D184" s="45">
        <v>0</v>
      </c>
      <c r="E184" s="45">
        <v>0</v>
      </c>
      <c r="F184" s="45">
        <v>0</v>
      </c>
      <c r="G184" s="44">
        <v>125267590</v>
      </c>
      <c r="H184" s="45">
        <v>0</v>
      </c>
      <c r="I184" s="46" t="s">
        <v>136</v>
      </c>
      <c r="J184" s="46" t="s">
        <v>84</v>
      </c>
    </row>
    <row r="185" spans="1:10" ht="13.15" x14ac:dyDescent="0.4">
      <c r="A185" s="43" t="s">
        <v>100</v>
      </c>
      <c r="B185" s="44">
        <v>550084</v>
      </c>
      <c r="C185" s="44">
        <v>550084</v>
      </c>
      <c r="D185" s="45">
        <v>0</v>
      </c>
      <c r="E185" s="45">
        <v>0</v>
      </c>
      <c r="F185" s="45">
        <v>0</v>
      </c>
      <c r="G185" s="44">
        <v>550084</v>
      </c>
      <c r="H185" s="45">
        <v>0</v>
      </c>
      <c r="I185" s="46" t="s">
        <v>136</v>
      </c>
      <c r="J185" s="46" t="s">
        <v>84</v>
      </c>
    </row>
    <row r="186" spans="1:10" ht="13.15" x14ac:dyDescent="0.4">
      <c r="A186" s="43" t="s">
        <v>63</v>
      </c>
      <c r="B186" s="44">
        <v>3030122000</v>
      </c>
      <c r="C186" s="44">
        <v>3030122000</v>
      </c>
      <c r="D186" s="44">
        <v>461381691</v>
      </c>
      <c r="E186" s="45">
        <v>0</v>
      </c>
      <c r="F186" s="44">
        <v>461381691</v>
      </c>
      <c r="G186" s="44">
        <v>2568740309</v>
      </c>
      <c r="H186" s="45">
        <v>0</v>
      </c>
      <c r="I186" s="46" t="s">
        <v>136</v>
      </c>
      <c r="J186" s="46" t="s">
        <v>9</v>
      </c>
    </row>
    <row r="187" spans="1:10" ht="13.15" x14ac:dyDescent="0.4">
      <c r="A187" s="43" t="s">
        <v>101</v>
      </c>
      <c r="B187" s="44">
        <v>450000000</v>
      </c>
      <c r="C187" s="44">
        <v>450000000</v>
      </c>
      <c r="D187" s="45">
        <v>0</v>
      </c>
      <c r="E187" s="45">
        <v>0</v>
      </c>
      <c r="F187" s="45">
        <v>0</v>
      </c>
      <c r="G187" s="44">
        <v>450000000</v>
      </c>
      <c r="H187" s="45">
        <v>0</v>
      </c>
      <c r="I187" s="46" t="s">
        <v>136</v>
      </c>
      <c r="J187" s="46" t="s">
        <v>9</v>
      </c>
    </row>
    <row r="188" spans="1:10" ht="13.15" x14ac:dyDescent="0.4">
      <c r="A188" s="43" t="s">
        <v>102</v>
      </c>
      <c r="B188" s="44">
        <v>455000000</v>
      </c>
      <c r="C188" s="44">
        <v>455000000</v>
      </c>
      <c r="D188" s="44">
        <v>5081445</v>
      </c>
      <c r="E188" s="45">
        <v>0</v>
      </c>
      <c r="F188" s="44">
        <v>5081445</v>
      </c>
      <c r="G188" s="44">
        <v>449918555</v>
      </c>
      <c r="H188" s="45">
        <v>0</v>
      </c>
      <c r="I188" s="46" t="s">
        <v>136</v>
      </c>
      <c r="J188" s="46" t="s">
        <v>9</v>
      </c>
    </row>
    <row r="189" spans="1:10" ht="13.15" x14ac:dyDescent="0.4">
      <c r="A189" s="43" t="s">
        <v>64</v>
      </c>
      <c r="B189" s="44">
        <v>469000000</v>
      </c>
      <c r="C189" s="44">
        <v>469000000</v>
      </c>
      <c r="D189" s="44">
        <v>44160000</v>
      </c>
      <c r="E189" s="44">
        <v>5475000</v>
      </c>
      <c r="F189" s="44">
        <v>49635000</v>
      </c>
      <c r="G189" s="44">
        <v>419365000</v>
      </c>
      <c r="H189" s="45">
        <v>0</v>
      </c>
      <c r="I189" s="46" t="s">
        <v>136</v>
      </c>
      <c r="J189" s="46" t="s">
        <v>9</v>
      </c>
    </row>
    <row r="190" spans="1:10" ht="13.15" x14ac:dyDescent="0.4">
      <c r="A190" s="43" t="s">
        <v>65</v>
      </c>
      <c r="B190" s="44">
        <v>400000000</v>
      </c>
      <c r="C190" s="44">
        <v>400000000</v>
      </c>
      <c r="D190" s="44">
        <v>51500000</v>
      </c>
      <c r="E190" s="45">
        <v>0</v>
      </c>
      <c r="F190" s="44">
        <v>51500000</v>
      </c>
      <c r="G190" s="44">
        <v>348500000</v>
      </c>
      <c r="H190" s="45">
        <v>0</v>
      </c>
      <c r="I190" s="46" t="s">
        <v>136</v>
      </c>
      <c r="J190" s="46" t="s">
        <v>9</v>
      </c>
    </row>
    <row r="191" spans="1:10" ht="13.15" x14ac:dyDescent="0.4">
      <c r="A191" s="43" t="s">
        <v>66</v>
      </c>
      <c r="B191" s="44">
        <v>609000000</v>
      </c>
      <c r="C191" s="44">
        <v>609000000</v>
      </c>
      <c r="D191" s="44">
        <v>88477869</v>
      </c>
      <c r="E191" s="44">
        <v>46885000</v>
      </c>
      <c r="F191" s="44">
        <v>135362869</v>
      </c>
      <c r="G191" s="44">
        <v>473637131</v>
      </c>
      <c r="H191" s="45">
        <v>0</v>
      </c>
      <c r="I191" s="46" t="s">
        <v>136</v>
      </c>
      <c r="J191" s="46" t="s">
        <v>9</v>
      </c>
    </row>
    <row r="192" spans="1:10" ht="13.15" x14ac:dyDescent="0.4">
      <c r="A192" s="43" t="s">
        <v>67</v>
      </c>
      <c r="B192" s="44">
        <v>1862650000</v>
      </c>
      <c r="C192" s="44">
        <v>1862650000</v>
      </c>
      <c r="D192" s="44">
        <v>735987201</v>
      </c>
      <c r="E192" s="44">
        <v>75332346</v>
      </c>
      <c r="F192" s="44">
        <v>811319547</v>
      </c>
      <c r="G192" s="44">
        <v>1051330453</v>
      </c>
      <c r="H192" s="45">
        <v>0</v>
      </c>
      <c r="I192" s="46" t="s">
        <v>136</v>
      </c>
      <c r="J192" s="46" t="s">
        <v>9</v>
      </c>
    </row>
    <row r="193" spans="1:10" ht="13.15" x14ac:dyDescent="0.4">
      <c r="A193" s="43" t="s">
        <v>103</v>
      </c>
      <c r="B193" s="44">
        <v>281000000</v>
      </c>
      <c r="C193" s="44">
        <v>281000000</v>
      </c>
      <c r="D193" s="44">
        <v>30944688</v>
      </c>
      <c r="E193" s="45">
        <v>0</v>
      </c>
      <c r="F193" s="44">
        <v>30944688</v>
      </c>
      <c r="G193" s="44">
        <v>250055312</v>
      </c>
      <c r="H193" s="45">
        <v>0</v>
      </c>
      <c r="I193" s="46" t="s">
        <v>136</v>
      </c>
      <c r="J193" s="46" t="s">
        <v>9</v>
      </c>
    </row>
    <row r="194" spans="1:10" ht="13.15" x14ac:dyDescent="0.4">
      <c r="A194" s="43" t="s">
        <v>104</v>
      </c>
      <c r="B194" s="44">
        <v>950000000</v>
      </c>
      <c r="C194" s="44">
        <v>950000000</v>
      </c>
      <c r="D194" s="44">
        <v>490000000</v>
      </c>
      <c r="E194" s="45">
        <v>0</v>
      </c>
      <c r="F194" s="44">
        <v>490000000</v>
      </c>
      <c r="G194" s="44">
        <v>460000000</v>
      </c>
      <c r="H194" s="45">
        <v>0</v>
      </c>
      <c r="I194" s="46" t="s">
        <v>136</v>
      </c>
      <c r="J194" s="46" t="s">
        <v>9</v>
      </c>
    </row>
    <row r="195" spans="1:10" ht="13.15" x14ac:dyDescent="0.4">
      <c r="A195" s="43" t="s">
        <v>105</v>
      </c>
      <c r="B195" s="44">
        <v>50000000</v>
      </c>
      <c r="C195" s="44">
        <v>50000000</v>
      </c>
      <c r="D195" s="44">
        <v>4883000</v>
      </c>
      <c r="E195" s="45">
        <v>0</v>
      </c>
      <c r="F195" s="44">
        <v>4883000</v>
      </c>
      <c r="G195" s="44">
        <v>45117000</v>
      </c>
      <c r="H195" s="45">
        <v>0</v>
      </c>
      <c r="I195" s="46" t="s">
        <v>136</v>
      </c>
      <c r="J195" s="46" t="s">
        <v>9</v>
      </c>
    </row>
    <row r="196" spans="1:10" ht="13.15" x14ac:dyDescent="0.4">
      <c r="A196" s="43" t="s">
        <v>106</v>
      </c>
      <c r="B196" s="44">
        <v>1491275000</v>
      </c>
      <c r="C196" s="44">
        <v>1491275000</v>
      </c>
      <c r="D196" s="44">
        <v>1090050000</v>
      </c>
      <c r="E196" s="44">
        <v>69795000</v>
      </c>
      <c r="F196" s="44">
        <v>1159845000</v>
      </c>
      <c r="G196" s="44">
        <v>331430000</v>
      </c>
      <c r="H196" s="45">
        <v>0</v>
      </c>
      <c r="I196" s="46" t="s">
        <v>136</v>
      </c>
      <c r="J196" s="46" t="s">
        <v>9</v>
      </c>
    </row>
    <row r="197" spans="1:10" ht="13.15" x14ac:dyDescent="0.4">
      <c r="A197" s="43" t="s">
        <v>107</v>
      </c>
      <c r="B197" s="44">
        <v>40000000</v>
      </c>
      <c r="C197" s="44">
        <v>40000000</v>
      </c>
      <c r="D197" s="44">
        <v>6475000</v>
      </c>
      <c r="E197" s="45">
        <v>0</v>
      </c>
      <c r="F197" s="44">
        <v>6475000</v>
      </c>
      <c r="G197" s="44">
        <v>33525000</v>
      </c>
      <c r="H197" s="45">
        <v>0</v>
      </c>
      <c r="I197" s="46" t="s">
        <v>136</v>
      </c>
      <c r="J197" s="46" t="s">
        <v>21</v>
      </c>
    </row>
    <row r="198" spans="1:10" ht="13.15" x14ac:dyDescent="0.4">
      <c r="A198" s="43" t="s">
        <v>134</v>
      </c>
      <c r="B198" s="44">
        <v>100000000</v>
      </c>
      <c r="C198" s="44">
        <v>100000000</v>
      </c>
      <c r="D198" s="45">
        <v>0</v>
      </c>
      <c r="E198" s="45">
        <v>0</v>
      </c>
      <c r="F198" s="45">
        <v>0</v>
      </c>
      <c r="G198" s="44">
        <v>100000000</v>
      </c>
      <c r="H198" s="45">
        <v>0</v>
      </c>
      <c r="I198" s="46" t="s">
        <v>136</v>
      </c>
      <c r="J198" s="46" t="s">
        <v>21</v>
      </c>
    </row>
    <row r="199" spans="1:10" ht="13.15" x14ac:dyDescent="0.4">
      <c r="A199" s="43" t="s">
        <v>110</v>
      </c>
      <c r="B199" s="44">
        <v>509000000</v>
      </c>
      <c r="C199" s="44">
        <v>509000000</v>
      </c>
      <c r="D199" s="44">
        <v>18232600</v>
      </c>
      <c r="E199" s="45">
        <v>0</v>
      </c>
      <c r="F199" s="44">
        <v>18232600</v>
      </c>
      <c r="G199" s="44">
        <v>490767400</v>
      </c>
      <c r="H199" s="45">
        <v>0</v>
      </c>
      <c r="I199" s="46" t="s">
        <v>136</v>
      </c>
      <c r="J199" s="46" t="s">
        <v>21</v>
      </c>
    </row>
    <row r="200" spans="1:10" ht="13.15" x14ac:dyDescent="0.4">
      <c r="A200" s="43" t="s">
        <v>73</v>
      </c>
      <c r="B200" s="44">
        <v>150000000</v>
      </c>
      <c r="C200" s="44">
        <v>112500000</v>
      </c>
      <c r="D200" s="45">
        <v>0</v>
      </c>
      <c r="E200" s="44">
        <v>41856000</v>
      </c>
      <c r="F200" s="44">
        <v>41856000</v>
      </c>
      <c r="G200" s="44">
        <v>70644000</v>
      </c>
      <c r="H200" s="44">
        <v>37500000</v>
      </c>
      <c r="I200" s="46" t="s">
        <v>136</v>
      </c>
      <c r="J200" s="46" t="s">
        <v>23</v>
      </c>
    </row>
    <row r="201" spans="1:10" ht="13.15" x14ac:dyDescent="0.4">
      <c r="A201" s="43" t="s">
        <v>111</v>
      </c>
      <c r="B201" s="44">
        <v>320100000</v>
      </c>
      <c r="C201" s="44">
        <v>320100000</v>
      </c>
      <c r="D201" s="45">
        <v>0</v>
      </c>
      <c r="E201" s="44">
        <v>71775000</v>
      </c>
      <c r="F201" s="44">
        <v>71775000</v>
      </c>
      <c r="G201" s="44">
        <v>248325000</v>
      </c>
      <c r="H201" s="45">
        <v>0</v>
      </c>
      <c r="I201" s="46" t="s">
        <v>136</v>
      </c>
      <c r="J201" s="46" t="s">
        <v>22</v>
      </c>
    </row>
    <row r="202" spans="1:10" ht="13.15" x14ac:dyDescent="0.4">
      <c r="A202" s="43" t="s">
        <v>112</v>
      </c>
      <c r="B202" s="44">
        <v>2570000000</v>
      </c>
      <c r="C202" s="44">
        <v>2570000000</v>
      </c>
      <c r="D202" s="45">
        <v>0</v>
      </c>
      <c r="E202" s="44">
        <v>569677542</v>
      </c>
      <c r="F202" s="44">
        <v>569677542</v>
      </c>
      <c r="G202" s="44">
        <v>2000322458</v>
      </c>
      <c r="H202" s="45">
        <v>0</v>
      </c>
      <c r="I202" s="46" t="s">
        <v>136</v>
      </c>
      <c r="J202" s="46" t="s">
        <v>26</v>
      </c>
    </row>
    <row r="203" spans="1:10" ht="13.15" x14ac:dyDescent="0.4">
      <c r="A203" s="43" t="s">
        <v>76</v>
      </c>
      <c r="B203" s="44">
        <v>130000000</v>
      </c>
      <c r="C203" s="44">
        <v>97500000</v>
      </c>
      <c r="D203" s="44">
        <v>6800000</v>
      </c>
      <c r="E203" s="44">
        <v>32418811</v>
      </c>
      <c r="F203" s="44">
        <v>39218811</v>
      </c>
      <c r="G203" s="44">
        <v>58281189</v>
      </c>
      <c r="H203" s="44">
        <v>32500000</v>
      </c>
      <c r="I203" s="46" t="s">
        <v>136</v>
      </c>
      <c r="J203" s="46" t="s">
        <v>25</v>
      </c>
    </row>
    <row r="204" spans="1:10" ht="13.15" x14ac:dyDescent="0.4">
      <c r="A204" s="43" t="s">
        <v>77</v>
      </c>
      <c r="B204" s="44">
        <v>514046000</v>
      </c>
      <c r="C204" s="44">
        <v>385534500</v>
      </c>
      <c r="D204" s="44">
        <v>45159000</v>
      </c>
      <c r="E204" s="44">
        <v>51029500</v>
      </c>
      <c r="F204" s="44">
        <v>96188500</v>
      </c>
      <c r="G204" s="44">
        <v>289346000</v>
      </c>
      <c r="H204" s="44">
        <v>128511500</v>
      </c>
      <c r="I204" s="46" t="s">
        <v>136</v>
      </c>
      <c r="J204" s="46" t="s">
        <v>25</v>
      </c>
    </row>
    <row r="205" spans="1:10" ht="13.15" x14ac:dyDescent="0.4">
      <c r="A205" s="43" t="s">
        <v>78</v>
      </c>
      <c r="B205" s="44">
        <v>105000000</v>
      </c>
      <c r="C205" s="44">
        <v>105000000</v>
      </c>
      <c r="D205" s="45">
        <v>0</v>
      </c>
      <c r="E205" s="44">
        <v>17500000</v>
      </c>
      <c r="F205" s="44">
        <v>17500000</v>
      </c>
      <c r="G205" s="44">
        <v>87500000</v>
      </c>
      <c r="H205" s="45">
        <v>0</v>
      </c>
      <c r="I205" s="46" t="s">
        <v>136</v>
      </c>
      <c r="J205" s="46" t="s">
        <v>25</v>
      </c>
    </row>
    <row r="206" spans="1:10" ht="13.15" x14ac:dyDescent="0.4">
      <c r="A206" s="43" t="s">
        <v>79</v>
      </c>
      <c r="B206" s="44">
        <v>450000000</v>
      </c>
      <c r="C206" s="44">
        <v>337500000</v>
      </c>
      <c r="D206" s="44">
        <v>23878000</v>
      </c>
      <c r="E206" s="44">
        <v>13689000</v>
      </c>
      <c r="F206" s="44">
        <v>37567000</v>
      </c>
      <c r="G206" s="44">
        <v>299933000</v>
      </c>
      <c r="H206" s="44">
        <v>112500000</v>
      </c>
      <c r="I206" s="46" t="s">
        <v>136</v>
      </c>
      <c r="J206" s="46" t="s">
        <v>25</v>
      </c>
    </row>
    <row r="207" spans="1:10" ht="13.15" x14ac:dyDescent="0.4">
      <c r="A207" s="43" t="s">
        <v>80</v>
      </c>
      <c r="B207" s="44">
        <v>165000000</v>
      </c>
      <c r="C207" s="44">
        <v>123750000</v>
      </c>
      <c r="D207" s="45">
        <v>0</v>
      </c>
      <c r="E207" s="45">
        <v>0</v>
      </c>
      <c r="F207" s="45">
        <v>0</v>
      </c>
      <c r="G207" s="44">
        <v>123750000</v>
      </c>
      <c r="H207" s="44">
        <v>41250000</v>
      </c>
      <c r="I207" s="46" t="s">
        <v>136</v>
      </c>
      <c r="J207" s="46" t="s">
        <v>25</v>
      </c>
    </row>
    <row r="208" spans="1:10" ht="13.15" x14ac:dyDescent="0.4">
      <c r="A208" s="43" t="s">
        <v>81</v>
      </c>
      <c r="B208" s="44">
        <v>252000000</v>
      </c>
      <c r="C208" s="44">
        <v>189000000</v>
      </c>
      <c r="D208" s="45">
        <v>0</v>
      </c>
      <c r="E208" s="44">
        <v>70813000</v>
      </c>
      <c r="F208" s="44">
        <v>70813000</v>
      </c>
      <c r="G208" s="44">
        <v>118187000</v>
      </c>
      <c r="H208" s="44">
        <v>63000000</v>
      </c>
      <c r="I208" s="46" t="s">
        <v>136</v>
      </c>
      <c r="J208" s="46" t="s">
        <v>25</v>
      </c>
    </row>
    <row r="209" spans="1:10" ht="13.15" x14ac:dyDescent="0.4">
      <c r="A209" s="43" t="s">
        <v>137</v>
      </c>
      <c r="B209" s="44">
        <v>18000000</v>
      </c>
      <c r="C209" s="44">
        <v>18000000</v>
      </c>
      <c r="D209" s="44">
        <v>2490000</v>
      </c>
      <c r="E209" s="44">
        <v>2012160</v>
      </c>
      <c r="F209" s="44">
        <v>4502160</v>
      </c>
      <c r="G209" s="44">
        <v>13497840</v>
      </c>
      <c r="H209" s="45">
        <v>0</v>
      </c>
      <c r="I209" s="46" t="s">
        <v>136</v>
      </c>
      <c r="J209" s="46" t="s">
        <v>25</v>
      </c>
    </row>
    <row r="210" spans="1:10" ht="13.15" x14ac:dyDescent="0.4">
      <c r="A210" s="43" t="s">
        <v>82</v>
      </c>
      <c r="B210" s="44">
        <v>50000000</v>
      </c>
      <c r="C210" s="44">
        <v>50000000</v>
      </c>
      <c r="D210" s="45">
        <v>0</v>
      </c>
      <c r="E210" s="44">
        <v>12431950</v>
      </c>
      <c r="F210" s="44">
        <v>12431950</v>
      </c>
      <c r="G210" s="44">
        <v>37568050</v>
      </c>
      <c r="H210" s="45">
        <v>0</v>
      </c>
      <c r="I210" s="46" t="s">
        <v>136</v>
      </c>
      <c r="J210" s="46" t="s">
        <v>25</v>
      </c>
    </row>
    <row r="211" spans="1:10" ht="13.15" x14ac:dyDescent="0.4">
      <c r="A211" s="43" t="s">
        <v>83</v>
      </c>
      <c r="B211" s="44">
        <v>9823162126</v>
      </c>
      <c r="C211" s="44">
        <v>9823162126</v>
      </c>
      <c r="D211" s="45">
        <v>0</v>
      </c>
      <c r="E211" s="44">
        <v>2269059757</v>
      </c>
      <c r="F211" s="44">
        <v>2269059757</v>
      </c>
      <c r="G211" s="44">
        <v>7554102369</v>
      </c>
      <c r="H211" s="45">
        <v>0</v>
      </c>
      <c r="I211" s="46" t="s">
        <v>136</v>
      </c>
      <c r="J211" s="46" t="s">
        <v>84</v>
      </c>
    </row>
    <row r="212" spans="1:10" ht="13.15" x14ac:dyDescent="0.4">
      <c r="A212" s="43" t="s">
        <v>85</v>
      </c>
      <c r="B212" s="44">
        <v>253256971</v>
      </c>
      <c r="C212" s="44">
        <v>253256971</v>
      </c>
      <c r="D212" s="45">
        <v>0</v>
      </c>
      <c r="E212" s="44">
        <v>60405247</v>
      </c>
      <c r="F212" s="44">
        <v>60405247</v>
      </c>
      <c r="G212" s="44">
        <v>192851724</v>
      </c>
      <c r="H212" s="45">
        <v>0</v>
      </c>
      <c r="I212" s="46" t="s">
        <v>136</v>
      </c>
      <c r="J212" s="46" t="s">
        <v>84</v>
      </c>
    </row>
    <row r="213" spans="1:10" ht="13.15" x14ac:dyDescent="0.4">
      <c r="A213" s="43" t="s">
        <v>86</v>
      </c>
      <c r="B213" s="44">
        <v>9245675372</v>
      </c>
      <c r="C213" s="44">
        <v>9245675372</v>
      </c>
      <c r="D213" s="45">
        <v>0</v>
      </c>
      <c r="E213" s="44">
        <v>1977131319</v>
      </c>
      <c r="F213" s="44">
        <v>1977131319</v>
      </c>
      <c r="G213" s="44">
        <v>7268544053</v>
      </c>
      <c r="H213" s="45">
        <v>0</v>
      </c>
      <c r="I213" s="46" t="s">
        <v>136</v>
      </c>
      <c r="J213" s="46" t="s">
        <v>84</v>
      </c>
    </row>
    <row r="214" spans="1:10" ht="13.15" x14ac:dyDescent="0.4">
      <c r="A214" s="43" t="s">
        <v>87</v>
      </c>
      <c r="B214" s="44">
        <v>53358150</v>
      </c>
      <c r="C214" s="44">
        <v>53358150</v>
      </c>
      <c r="D214" s="45">
        <v>0</v>
      </c>
      <c r="E214" s="45">
        <v>0</v>
      </c>
      <c r="F214" s="45">
        <v>0</v>
      </c>
      <c r="G214" s="44">
        <v>53358150</v>
      </c>
      <c r="H214" s="45">
        <v>0</v>
      </c>
      <c r="I214" s="46" t="s">
        <v>136</v>
      </c>
      <c r="J214" s="46" t="s">
        <v>84</v>
      </c>
    </row>
    <row r="215" spans="1:10" ht="13.15" x14ac:dyDescent="0.4">
      <c r="A215" s="43" t="s">
        <v>88</v>
      </c>
      <c r="B215" s="44">
        <v>711662069</v>
      </c>
      <c r="C215" s="44">
        <v>711662069</v>
      </c>
      <c r="D215" s="45">
        <v>0</v>
      </c>
      <c r="E215" s="44">
        <v>239696718</v>
      </c>
      <c r="F215" s="44">
        <v>239696718</v>
      </c>
      <c r="G215" s="44">
        <v>471965351</v>
      </c>
      <c r="H215" s="45">
        <v>0</v>
      </c>
      <c r="I215" s="46" t="s">
        <v>136</v>
      </c>
      <c r="J215" s="46" t="s">
        <v>84</v>
      </c>
    </row>
    <row r="216" spans="1:10" ht="13.15" x14ac:dyDescent="0.4">
      <c r="A216" s="43" t="s">
        <v>89</v>
      </c>
      <c r="B216" s="44">
        <v>24702462</v>
      </c>
      <c r="C216" s="44">
        <v>24702462</v>
      </c>
      <c r="D216" s="45">
        <v>0</v>
      </c>
      <c r="E216" s="44">
        <v>9608289</v>
      </c>
      <c r="F216" s="44">
        <v>9608289</v>
      </c>
      <c r="G216" s="44">
        <v>15094173</v>
      </c>
      <c r="H216" s="45">
        <v>0</v>
      </c>
      <c r="I216" s="46" t="s">
        <v>136</v>
      </c>
      <c r="J216" s="46" t="s">
        <v>84</v>
      </c>
    </row>
    <row r="217" spans="1:10" ht="13.15" x14ac:dyDescent="0.4">
      <c r="A217" s="43" t="s">
        <v>90</v>
      </c>
      <c r="B217" s="44">
        <v>825165933</v>
      </c>
      <c r="C217" s="44">
        <v>825165933</v>
      </c>
      <c r="D217" s="45">
        <v>0</v>
      </c>
      <c r="E217" s="44">
        <v>272541584</v>
      </c>
      <c r="F217" s="44">
        <v>272541584</v>
      </c>
      <c r="G217" s="44">
        <v>552624349</v>
      </c>
      <c r="H217" s="45">
        <v>0</v>
      </c>
      <c r="I217" s="46" t="s">
        <v>136</v>
      </c>
      <c r="J217" s="46" t="s">
        <v>84</v>
      </c>
    </row>
    <row r="218" spans="1:10" ht="13.15" x14ac:dyDescent="0.4">
      <c r="A218" s="43" t="s">
        <v>91</v>
      </c>
      <c r="B218" s="44">
        <v>2750420</v>
      </c>
      <c r="C218" s="44">
        <v>2750420</v>
      </c>
      <c r="D218" s="45">
        <v>0</v>
      </c>
      <c r="E218" s="45">
        <v>0</v>
      </c>
      <c r="F218" s="45">
        <v>0</v>
      </c>
      <c r="G218" s="44">
        <v>2750420</v>
      </c>
      <c r="H218" s="45">
        <v>0</v>
      </c>
      <c r="I218" s="46" t="s">
        <v>136</v>
      </c>
      <c r="J218" s="46" t="s">
        <v>84</v>
      </c>
    </row>
    <row r="219" spans="1:10" ht="13.15" x14ac:dyDescent="0.4">
      <c r="A219" s="47" t="s">
        <v>138</v>
      </c>
      <c r="B219" s="48">
        <v>43869608368</v>
      </c>
      <c r="C219" s="48">
        <v>43454346868</v>
      </c>
      <c r="D219" s="48">
        <v>9344569914</v>
      </c>
      <c r="E219" s="48">
        <v>5909133223</v>
      </c>
      <c r="F219" s="48">
        <v>15253703137</v>
      </c>
      <c r="G219" s="48">
        <v>28200643731</v>
      </c>
      <c r="H219" s="48">
        <v>415261500</v>
      </c>
      <c r="I219" s="49" t="s">
        <v>136</v>
      </c>
      <c r="J219" s="49" t="e">
        <v>#N/A</v>
      </c>
    </row>
    <row r="220" spans="1:10" ht="13.15" x14ac:dyDescent="0.4">
      <c r="A220" s="43" t="s">
        <v>59</v>
      </c>
      <c r="B220" s="44">
        <v>12264606000</v>
      </c>
      <c r="C220" s="44">
        <v>12264606000</v>
      </c>
      <c r="D220" s="44">
        <v>9573167730</v>
      </c>
      <c r="E220" s="44">
        <v>36030000</v>
      </c>
      <c r="F220" s="44">
        <v>9609197730</v>
      </c>
      <c r="G220" s="44">
        <v>2655408270</v>
      </c>
      <c r="H220" s="45">
        <v>0</v>
      </c>
      <c r="I220" s="46" t="s">
        <v>139</v>
      </c>
      <c r="J220" s="46" t="s">
        <v>9</v>
      </c>
    </row>
    <row r="221" spans="1:10" ht="13.15" x14ac:dyDescent="0.4">
      <c r="A221" s="43" t="s">
        <v>63</v>
      </c>
      <c r="B221" s="44">
        <v>1126306000</v>
      </c>
      <c r="C221" s="44">
        <v>1126306000</v>
      </c>
      <c r="D221" s="44">
        <v>617301007</v>
      </c>
      <c r="E221" s="45">
        <v>0</v>
      </c>
      <c r="F221" s="44">
        <v>617301007</v>
      </c>
      <c r="G221" s="44">
        <v>509004993</v>
      </c>
      <c r="H221" s="45">
        <v>0</v>
      </c>
      <c r="I221" s="46" t="s">
        <v>139</v>
      </c>
      <c r="J221" s="46" t="s">
        <v>9</v>
      </c>
    </row>
    <row r="222" spans="1:10" ht="13.15" x14ac:dyDescent="0.4">
      <c r="A222" s="43" t="s">
        <v>101</v>
      </c>
      <c r="B222" s="44">
        <v>100000000</v>
      </c>
      <c r="C222" s="44">
        <v>100000000</v>
      </c>
      <c r="D222" s="45">
        <v>0</v>
      </c>
      <c r="E222" s="45">
        <v>0</v>
      </c>
      <c r="F222" s="45">
        <v>0</v>
      </c>
      <c r="G222" s="44">
        <v>100000000</v>
      </c>
      <c r="H222" s="45">
        <v>0</v>
      </c>
      <c r="I222" s="46" t="s">
        <v>139</v>
      </c>
      <c r="J222" s="46" t="s">
        <v>9</v>
      </c>
    </row>
    <row r="223" spans="1:10" ht="13.15" x14ac:dyDescent="0.4">
      <c r="A223" s="43" t="s">
        <v>102</v>
      </c>
      <c r="B223" s="44">
        <v>495000000</v>
      </c>
      <c r="C223" s="44">
        <v>495000000</v>
      </c>
      <c r="D223" s="44">
        <v>29117120</v>
      </c>
      <c r="E223" s="45">
        <v>0</v>
      </c>
      <c r="F223" s="44">
        <v>29117120</v>
      </c>
      <c r="G223" s="44">
        <v>465882880</v>
      </c>
      <c r="H223" s="45">
        <v>0</v>
      </c>
      <c r="I223" s="46" t="s">
        <v>139</v>
      </c>
      <c r="J223" s="46" t="s">
        <v>9</v>
      </c>
    </row>
    <row r="224" spans="1:10" ht="13.15" x14ac:dyDescent="0.4">
      <c r="A224" s="43" t="s">
        <v>64</v>
      </c>
      <c r="B224" s="44">
        <v>200000000</v>
      </c>
      <c r="C224" s="44">
        <v>200000000</v>
      </c>
      <c r="D224" s="45">
        <v>0</v>
      </c>
      <c r="E224" s="45">
        <v>0</v>
      </c>
      <c r="F224" s="45">
        <v>0</v>
      </c>
      <c r="G224" s="44">
        <v>200000000</v>
      </c>
      <c r="H224" s="45">
        <v>0</v>
      </c>
      <c r="I224" s="46" t="s">
        <v>139</v>
      </c>
      <c r="J224" s="46" t="s">
        <v>9</v>
      </c>
    </row>
    <row r="225" spans="1:10" ht="13.15" x14ac:dyDescent="0.4">
      <c r="A225" s="43" t="s">
        <v>66</v>
      </c>
      <c r="B225" s="44">
        <v>1310391000</v>
      </c>
      <c r="C225" s="44">
        <v>1310391000</v>
      </c>
      <c r="D225" s="44">
        <v>62324038</v>
      </c>
      <c r="E225" s="44">
        <v>100383550</v>
      </c>
      <c r="F225" s="44">
        <v>162707588</v>
      </c>
      <c r="G225" s="44">
        <v>1147683412</v>
      </c>
      <c r="H225" s="45">
        <v>0</v>
      </c>
      <c r="I225" s="46" t="s">
        <v>139</v>
      </c>
      <c r="J225" s="46" t="s">
        <v>9</v>
      </c>
    </row>
    <row r="226" spans="1:10" ht="13.15" x14ac:dyDescent="0.4">
      <c r="A226" s="43" t="s">
        <v>67</v>
      </c>
      <c r="B226" s="44">
        <v>1380000000</v>
      </c>
      <c r="C226" s="44">
        <v>1380000000</v>
      </c>
      <c r="D226" s="44">
        <v>341396016</v>
      </c>
      <c r="E226" s="44">
        <v>201042000</v>
      </c>
      <c r="F226" s="44">
        <v>542438016</v>
      </c>
      <c r="G226" s="44">
        <v>837561984</v>
      </c>
      <c r="H226" s="45">
        <v>0</v>
      </c>
      <c r="I226" s="46" t="s">
        <v>139</v>
      </c>
      <c r="J226" s="46" t="s">
        <v>9</v>
      </c>
    </row>
    <row r="227" spans="1:10" ht="13.15" x14ac:dyDescent="0.4">
      <c r="A227" s="43" t="s">
        <v>103</v>
      </c>
      <c r="B227" s="44">
        <v>350000000</v>
      </c>
      <c r="C227" s="44">
        <v>350000000</v>
      </c>
      <c r="D227" s="45">
        <v>0</v>
      </c>
      <c r="E227" s="45">
        <v>0</v>
      </c>
      <c r="F227" s="45">
        <v>0</v>
      </c>
      <c r="G227" s="44">
        <v>350000000</v>
      </c>
      <c r="H227" s="45">
        <v>0</v>
      </c>
      <c r="I227" s="46" t="s">
        <v>139</v>
      </c>
      <c r="J227" s="46" t="s">
        <v>9</v>
      </c>
    </row>
    <row r="228" spans="1:10" ht="13.15" x14ac:dyDescent="0.4">
      <c r="A228" s="43" t="s">
        <v>104</v>
      </c>
      <c r="B228" s="44">
        <v>497000000</v>
      </c>
      <c r="C228" s="44">
        <v>497000000</v>
      </c>
      <c r="D228" s="44">
        <v>496659494</v>
      </c>
      <c r="E228" s="45">
        <v>0</v>
      </c>
      <c r="F228" s="44">
        <v>496659494</v>
      </c>
      <c r="G228" s="44">
        <v>340506</v>
      </c>
      <c r="H228" s="45">
        <v>0</v>
      </c>
      <c r="I228" s="46" t="s">
        <v>139</v>
      </c>
      <c r="J228" s="46" t="s">
        <v>9</v>
      </c>
    </row>
    <row r="229" spans="1:10" ht="13.15" x14ac:dyDescent="0.4">
      <c r="A229" s="43" t="s">
        <v>105</v>
      </c>
      <c r="B229" s="44">
        <v>100000000</v>
      </c>
      <c r="C229" s="44">
        <v>100000000</v>
      </c>
      <c r="D229" s="44">
        <v>6718000</v>
      </c>
      <c r="E229" s="45">
        <v>0</v>
      </c>
      <c r="F229" s="44">
        <v>6718000</v>
      </c>
      <c r="G229" s="44">
        <v>93282000</v>
      </c>
      <c r="H229" s="45">
        <v>0</v>
      </c>
      <c r="I229" s="46" t="s">
        <v>139</v>
      </c>
      <c r="J229" s="46" t="s">
        <v>9</v>
      </c>
    </row>
    <row r="230" spans="1:10" ht="13.15" x14ac:dyDescent="0.4">
      <c r="A230" s="43" t="s">
        <v>106</v>
      </c>
      <c r="B230" s="44">
        <v>2264065000</v>
      </c>
      <c r="C230" s="44">
        <v>2264065000</v>
      </c>
      <c r="D230" s="44">
        <v>1986680000</v>
      </c>
      <c r="E230" s="45">
        <v>0</v>
      </c>
      <c r="F230" s="44">
        <v>1986680000</v>
      </c>
      <c r="G230" s="44">
        <v>277385000</v>
      </c>
      <c r="H230" s="45">
        <v>0</v>
      </c>
      <c r="I230" s="46" t="s">
        <v>139</v>
      </c>
      <c r="J230" s="46" t="s">
        <v>9</v>
      </c>
    </row>
    <row r="231" spans="1:10" ht="13.15" x14ac:dyDescent="0.4">
      <c r="A231" s="43" t="s">
        <v>134</v>
      </c>
      <c r="B231" s="44">
        <v>30000000</v>
      </c>
      <c r="C231" s="44">
        <v>30000000</v>
      </c>
      <c r="D231" s="45">
        <v>0</v>
      </c>
      <c r="E231" s="45">
        <v>0</v>
      </c>
      <c r="F231" s="45">
        <v>0</v>
      </c>
      <c r="G231" s="44">
        <v>30000000</v>
      </c>
      <c r="H231" s="45">
        <v>0</v>
      </c>
      <c r="I231" s="46" t="s">
        <v>139</v>
      </c>
      <c r="J231" s="46" t="s">
        <v>21</v>
      </c>
    </row>
    <row r="232" spans="1:10" ht="13.15" x14ac:dyDescent="0.4">
      <c r="A232" s="43" t="s">
        <v>110</v>
      </c>
      <c r="B232" s="44">
        <v>1155000000</v>
      </c>
      <c r="C232" s="44">
        <v>1155000000</v>
      </c>
      <c r="D232" s="44">
        <v>495830000</v>
      </c>
      <c r="E232" s="45">
        <v>0</v>
      </c>
      <c r="F232" s="44">
        <v>495830000</v>
      </c>
      <c r="G232" s="44">
        <v>659170000</v>
      </c>
      <c r="H232" s="45">
        <v>0</v>
      </c>
      <c r="I232" s="46" t="s">
        <v>139</v>
      </c>
      <c r="J232" s="46" t="s">
        <v>21</v>
      </c>
    </row>
    <row r="233" spans="1:10" ht="13.15" x14ac:dyDescent="0.4">
      <c r="A233" s="43" t="s">
        <v>73</v>
      </c>
      <c r="B233" s="44">
        <v>1040000000</v>
      </c>
      <c r="C233" s="44">
        <v>780000000</v>
      </c>
      <c r="D233" s="45">
        <v>0</v>
      </c>
      <c r="E233" s="45">
        <v>0</v>
      </c>
      <c r="F233" s="45">
        <v>0</v>
      </c>
      <c r="G233" s="44">
        <v>780000000</v>
      </c>
      <c r="H233" s="44">
        <v>260000000</v>
      </c>
      <c r="I233" s="46" t="s">
        <v>139</v>
      </c>
      <c r="J233" s="46" t="s">
        <v>23</v>
      </c>
    </row>
    <row r="234" spans="1:10" ht="13.15" x14ac:dyDescent="0.4">
      <c r="A234" s="43" t="s">
        <v>111</v>
      </c>
      <c r="B234" s="44">
        <v>250000000</v>
      </c>
      <c r="C234" s="44">
        <v>250000000</v>
      </c>
      <c r="D234" s="45">
        <v>0</v>
      </c>
      <c r="E234" s="44">
        <v>32848750</v>
      </c>
      <c r="F234" s="44">
        <v>32848750</v>
      </c>
      <c r="G234" s="44">
        <v>217151250</v>
      </c>
      <c r="H234" s="45">
        <v>0</v>
      </c>
      <c r="I234" s="46" t="s">
        <v>139</v>
      </c>
      <c r="J234" s="46" t="s">
        <v>22</v>
      </c>
    </row>
    <row r="235" spans="1:10" ht="13.15" x14ac:dyDescent="0.4">
      <c r="A235" s="43" t="s">
        <v>112</v>
      </c>
      <c r="B235" s="44">
        <v>3063576000</v>
      </c>
      <c r="C235" s="44">
        <v>3063576000</v>
      </c>
      <c r="D235" s="45">
        <v>0</v>
      </c>
      <c r="E235" s="44">
        <v>573387303</v>
      </c>
      <c r="F235" s="44">
        <v>573387303</v>
      </c>
      <c r="G235" s="44">
        <v>2490188697</v>
      </c>
      <c r="H235" s="45">
        <v>0</v>
      </c>
      <c r="I235" s="46" t="s">
        <v>139</v>
      </c>
      <c r="J235" s="46" t="s">
        <v>26</v>
      </c>
    </row>
    <row r="236" spans="1:10" ht="13.15" x14ac:dyDescent="0.4">
      <c r="A236" s="43" t="s">
        <v>76</v>
      </c>
      <c r="B236" s="44">
        <v>146883400</v>
      </c>
      <c r="C236" s="44">
        <v>110162550</v>
      </c>
      <c r="D236" s="44">
        <v>15291000</v>
      </c>
      <c r="E236" s="44">
        <v>9960000</v>
      </c>
      <c r="F236" s="44">
        <v>25251000</v>
      </c>
      <c r="G236" s="44">
        <v>84911550</v>
      </c>
      <c r="H236" s="44">
        <v>36720850</v>
      </c>
      <c r="I236" s="46" t="s">
        <v>139</v>
      </c>
      <c r="J236" s="46" t="s">
        <v>25</v>
      </c>
    </row>
    <row r="237" spans="1:10" ht="13.15" x14ac:dyDescent="0.4">
      <c r="A237" s="43" t="s">
        <v>77</v>
      </c>
      <c r="B237" s="44">
        <v>472318000</v>
      </c>
      <c r="C237" s="44">
        <v>354238500</v>
      </c>
      <c r="D237" s="44">
        <v>40399000</v>
      </c>
      <c r="E237" s="44">
        <v>65317900</v>
      </c>
      <c r="F237" s="44">
        <v>105716900</v>
      </c>
      <c r="G237" s="44">
        <v>248521600</v>
      </c>
      <c r="H237" s="44">
        <v>118079500</v>
      </c>
      <c r="I237" s="46" t="s">
        <v>139</v>
      </c>
      <c r="J237" s="46" t="s">
        <v>25</v>
      </c>
    </row>
    <row r="238" spans="1:10" ht="13.15" x14ac:dyDescent="0.4">
      <c r="A238" s="43" t="s">
        <v>78</v>
      </c>
      <c r="B238" s="44">
        <v>99000000</v>
      </c>
      <c r="C238" s="44">
        <v>99000000</v>
      </c>
      <c r="D238" s="45">
        <v>0</v>
      </c>
      <c r="E238" s="44">
        <v>16500000</v>
      </c>
      <c r="F238" s="44">
        <v>16500000</v>
      </c>
      <c r="G238" s="44">
        <v>82500000</v>
      </c>
      <c r="H238" s="45">
        <v>0</v>
      </c>
      <c r="I238" s="46" t="s">
        <v>139</v>
      </c>
      <c r="J238" s="46" t="s">
        <v>25</v>
      </c>
    </row>
    <row r="239" spans="1:10" ht="13.15" x14ac:dyDescent="0.4">
      <c r="A239" s="43" t="s">
        <v>79</v>
      </c>
      <c r="B239" s="44">
        <v>775000000</v>
      </c>
      <c r="C239" s="44">
        <v>732016185</v>
      </c>
      <c r="D239" s="44">
        <v>654645750</v>
      </c>
      <c r="E239" s="44">
        <v>72295180</v>
      </c>
      <c r="F239" s="44">
        <v>726940930</v>
      </c>
      <c r="G239" s="44">
        <v>5075255</v>
      </c>
      <c r="H239" s="44">
        <v>42983815</v>
      </c>
      <c r="I239" s="46" t="s">
        <v>139</v>
      </c>
      <c r="J239" s="46" t="s">
        <v>25</v>
      </c>
    </row>
    <row r="240" spans="1:10" ht="13.15" x14ac:dyDescent="0.4">
      <c r="A240" s="43" t="s">
        <v>81</v>
      </c>
      <c r="B240" s="44">
        <v>269712000</v>
      </c>
      <c r="C240" s="44">
        <v>202284000</v>
      </c>
      <c r="D240" s="45">
        <v>0</v>
      </c>
      <c r="E240" s="44">
        <v>50796750</v>
      </c>
      <c r="F240" s="44">
        <v>50796750</v>
      </c>
      <c r="G240" s="44">
        <v>151487250</v>
      </c>
      <c r="H240" s="44">
        <v>67428000</v>
      </c>
      <c r="I240" s="46" t="s">
        <v>139</v>
      </c>
      <c r="J240" s="46" t="s">
        <v>25</v>
      </c>
    </row>
    <row r="241" spans="1:10" ht="13.15" x14ac:dyDescent="0.4">
      <c r="A241" s="43" t="s">
        <v>82</v>
      </c>
      <c r="B241" s="44">
        <v>60000000</v>
      </c>
      <c r="C241" s="44">
        <v>60000000</v>
      </c>
      <c r="D241" s="44">
        <v>14997987</v>
      </c>
      <c r="E241" s="45">
        <v>0</v>
      </c>
      <c r="F241" s="44">
        <v>14997987</v>
      </c>
      <c r="G241" s="44">
        <v>45002013</v>
      </c>
      <c r="H241" s="45">
        <v>0</v>
      </c>
      <c r="I241" s="46" t="s">
        <v>139</v>
      </c>
      <c r="J241" s="46" t="s">
        <v>25</v>
      </c>
    </row>
    <row r="242" spans="1:10" ht="13.15" x14ac:dyDescent="0.4">
      <c r="A242" s="43" t="s">
        <v>83</v>
      </c>
      <c r="B242" s="44">
        <v>9825956170</v>
      </c>
      <c r="C242" s="44">
        <v>9825956170</v>
      </c>
      <c r="D242" s="45">
        <v>0</v>
      </c>
      <c r="E242" s="44">
        <v>2291142206</v>
      </c>
      <c r="F242" s="44">
        <v>2291142206</v>
      </c>
      <c r="G242" s="44">
        <v>7534813964</v>
      </c>
      <c r="H242" s="45">
        <v>0</v>
      </c>
      <c r="I242" s="46" t="s">
        <v>139</v>
      </c>
      <c r="J242" s="46" t="s">
        <v>84</v>
      </c>
    </row>
    <row r="243" spans="1:10" ht="13.15" x14ac:dyDescent="0.4">
      <c r="A243" s="43" t="s">
        <v>85</v>
      </c>
      <c r="B243" s="44">
        <v>469848578</v>
      </c>
      <c r="C243" s="44">
        <v>469848578</v>
      </c>
      <c r="D243" s="45">
        <v>0</v>
      </c>
      <c r="E243" s="44">
        <v>122341192</v>
      </c>
      <c r="F243" s="44">
        <v>122341192</v>
      </c>
      <c r="G243" s="44">
        <v>347507386</v>
      </c>
      <c r="H243" s="45">
        <v>0</v>
      </c>
      <c r="I243" s="46" t="s">
        <v>139</v>
      </c>
      <c r="J243" s="46" t="s">
        <v>84</v>
      </c>
    </row>
    <row r="244" spans="1:10" ht="13.15" x14ac:dyDescent="0.4">
      <c r="A244" s="43" t="s">
        <v>86</v>
      </c>
      <c r="B244" s="44">
        <v>9512105917</v>
      </c>
      <c r="C244" s="44">
        <v>9512105917</v>
      </c>
      <c r="D244" s="45">
        <v>0</v>
      </c>
      <c r="E244" s="44">
        <v>1970237348</v>
      </c>
      <c r="F244" s="44">
        <v>1970237348</v>
      </c>
      <c r="G244" s="44">
        <v>7541868569</v>
      </c>
      <c r="H244" s="45">
        <v>0</v>
      </c>
      <c r="I244" s="46" t="s">
        <v>139</v>
      </c>
      <c r="J244" s="46" t="s">
        <v>84</v>
      </c>
    </row>
    <row r="245" spans="1:10" ht="13.15" x14ac:dyDescent="0.4">
      <c r="A245" s="43" t="s">
        <v>87</v>
      </c>
      <c r="B245" s="44">
        <v>52257981</v>
      </c>
      <c r="C245" s="44">
        <v>52257981</v>
      </c>
      <c r="D245" s="45">
        <v>0</v>
      </c>
      <c r="E245" s="45">
        <v>0</v>
      </c>
      <c r="F245" s="45">
        <v>0</v>
      </c>
      <c r="G245" s="44">
        <v>52257981</v>
      </c>
      <c r="H245" s="45">
        <v>0</v>
      </c>
      <c r="I245" s="46" t="s">
        <v>139</v>
      </c>
      <c r="J245" s="46" t="s">
        <v>84</v>
      </c>
    </row>
    <row r="246" spans="1:10" ht="13.15" x14ac:dyDescent="0.4">
      <c r="A246" s="43" t="s">
        <v>88</v>
      </c>
      <c r="B246" s="44">
        <v>994942561</v>
      </c>
      <c r="C246" s="44">
        <v>994942561</v>
      </c>
      <c r="D246" s="45">
        <v>0</v>
      </c>
      <c r="E246" s="44">
        <v>235546012</v>
      </c>
      <c r="F246" s="44">
        <v>235546012</v>
      </c>
      <c r="G246" s="44">
        <v>759396549</v>
      </c>
      <c r="H246" s="45">
        <v>0</v>
      </c>
      <c r="I246" s="46" t="s">
        <v>139</v>
      </c>
      <c r="J246" s="46" t="s">
        <v>84</v>
      </c>
    </row>
    <row r="247" spans="1:10" ht="13.15" x14ac:dyDescent="0.4">
      <c r="A247" s="43" t="s">
        <v>89</v>
      </c>
      <c r="B247" s="44">
        <v>33538359</v>
      </c>
      <c r="C247" s="44">
        <v>33538359</v>
      </c>
      <c r="D247" s="45">
        <v>0</v>
      </c>
      <c r="E247" s="44">
        <v>10318511</v>
      </c>
      <c r="F247" s="44">
        <v>10318511</v>
      </c>
      <c r="G247" s="44">
        <v>23219848</v>
      </c>
      <c r="H247" s="45">
        <v>0</v>
      </c>
      <c r="I247" s="46" t="s">
        <v>139</v>
      </c>
      <c r="J247" s="46" t="s">
        <v>84</v>
      </c>
    </row>
    <row r="248" spans="1:10" ht="13.15" x14ac:dyDescent="0.4">
      <c r="A248" s="43" t="s">
        <v>90</v>
      </c>
      <c r="B248" s="44">
        <v>1099727334</v>
      </c>
      <c r="C248" s="44">
        <v>1099727334</v>
      </c>
      <c r="D248" s="45">
        <v>0</v>
      </c>
      <c r="E248" s="44">
        <v>279539232</v>
      </c>
      <c r="F248" s="44">
        <v>279539232</v>
      </c>
      <c r="G248" s="44">
        <v>820188102</v>
      </c>
      <c r="H248" s="45">
        <v>0</v>
      </c>
      <c r="I248" s="46" t="s">
        <v>139</v>
      </c>
      <c r="J248" s="46" t="s">
        <v>84</v>
      </c>
    </row>
    <row r="249" spans="1:10" ht="13.15" x14ac:dyDescent="0.4">
      <c r="A249" s="43" t="s">
        <v>91</v>
      </c>
      <c r="B249" s="44">
        <v>2750420</v>
      </c>
      <c r="C249" s="44">
        <v>2750420</v>
      </c>
      <c r="D249" s="45">
        <v>0</v>
      </c>
      <c r="E249" s="45">
        <v>0</v>
      </c>
      <c r="F249" s="45">
        <v>0</v>
      </c>
      <c r="G249" s="44">
        <v>2750420</v>
      </c>
      <c r="H249" s="45">
        <v>0</v>
      </c>
      <c r="I249" s="46" t="s">
        <v>139</v>
      </c>
      <c r="J249" s="46" t="s">
        <v>84</v>
      </c>
    </row>
    <row r="250" spans="1:10" ht="13.15" x14ac:dyDescent="0.4">
      <c r="A250" s="47" t="s">
        <v>140</v>
      </c>
      <c r="B250" s="48">
        <v>49439984720</v>
      </c>
      <c r="C250" s="48">
        <v>48914772555</v>
      </c>
      <c r="D250" s="48">
        <v>14334527142</v>
      </c>
      <c r="E250" s="48">
        <v>6067685934</v>
      </c>
      <c r="F250" s="48">
        <v>20402213076</v>
      </c>
      <c r="G250" s="48">
        <v>28512559479</v>
      </c>
      <c r="H250" s="48">
        <v>525212165</v>
      </c>
      <c r="I250" s="49" t="s">
        <v>139</v>
      </c>
      <c r="J250" s="49" t="e">
        <v>#N/A</v>
      </c>
    </row>
    <row r="251" spans="1:10" ht="13.15" x14ac:dyDescent="0.4">
      <c r="A251" s="43" t="s">
        <v>59</v>
      </c>
      <c r="B251" s="44">
        <v>5695069150</v>
      </c>
      <c r="C251" s="44">
        <v>5695069150</v>
      </c>
      <c r="D251" s="44">
        <v>3653645019</v>
      </c>
      <c r="E251" s="45">
        <v>0</v>
      </c>
      <c r="F251" s="44">
        <v>3653645019</v>
      </c>
      <c r="G251" s="44">
        <v>2041424131</v>
      </c>
      <c r="H251" s="45">
        <v>0</v>
      </c>
      <c r="I251" s="46" t="s">
        <v>141</v>
      </c>
      <c r="J251" s="46" t="s">
        <v>9</v>
      </c>
    </row>
    <row r="252" spans="1:10" ht="13.15" x14ac:dyDescent="0.4">
      <c r="A252" s="43" t="s">
        <v>63</v>
      </c>
      <c r="B252" s="44">
        <v>1540000000</v>
      </c>
      <c r="C252" s="44">
        <v>1540000000</v>
      </c>
      <c r="D252" s="44">
        <v>731199517</v>
      </c>
      <c r="E252" s="45">
        <v>0</v>
      </c>
      <c r="F252" s="44">
        <v>731199517</v>
      </c>
      <c r="G252" s="44">
        <v>808800483</v>
      </c>
      <c r="H252" s="45">
        <v>0</v>
      </c>
      <c r="I252" s="46" t="s">
        <v>141</v>
      </c>
      <c r="J252" s="46" t="s">
        <v>9</v>
      </c>
    </row>
    <row r="253" spans="1:10" ht="13.15" x14ac:dyDescent="0.4">
      <c r="A253" s="43" t="s">
        <v>101</v>
      </c>
      <c r="B253" s="44">
        <v>358342000</v>
      </c>
      <c r="C253" s="44">
        <v>358342000</v>
      </c>
      <c r="D253" s="45">
        <v>0</v>
      </c>
      <c r="E253" s="45">
        <v>0</v>
      </c>
      <c r="F253" s="45">
        <v>0</v>
      </c>
      <c r="G253" s="44">
        <v>358342000</v>
      </c>
      <c r="H253" s="45">
        <v>0</v>
      </c>
      <c r="I253" s="46" t="s">
        <v>141</v>
      </c>
      <c r="J253" s="46" t="s">
        <v>9</v>
      </c>
    </row>
    <row r="254" spans="1:10" ht="13.15" x14ac:dyDescent="0.4">
      <c r="A254" s="43" t="s">
        <v>102</v>
      </c>
      <c r="B254" s="44">
        <v>150000000</v>
      </c>
      <c r="C254" s="44">
        <v>150000000</v>
      </c>
      <c r="D254" s="45">
        <v>0</v>
      </c>
      <c r="E254" s="45">
        <v>0</v>
      </c>
      <c r="F254" s="45">
        <v>0</v>
      </c>
      <c r="G254" s="44">
        <v>150000000</v>
      </c>
      <c r="H254" s="45">
        <v>0</v>
      </c>
      <c r="I254" s="46" t="s">
        <v>141</v>
      </c>
      <c r="J254" s="46" t="s">
        <v>9</v>
      </c>
    </row>
    <row r="255" spans="1:10" ht="13.15" x14ac:dyDescent="0.4">
      <c r="A255" s="43" t="s">
        <v>64</v>
      </c>
      <c r="B255" s="44">
        <v>875000000</v>
      </c>
      <c r="C255" s="44">
        <v>875000000</v>
      </c>
      <c r="D255" s="44">
        <v>197050000</v>
      </c>
      <c r="E255" s="44">
        <v>6817000</v>
      </c>
      <c r="F255" s="44">
        <v>203867000</v>
      </c>
      <c r="G255" s="44">
        <v>671133000</v>
      </c>
      <c r="H255" s="45">
        <v>0</v>
      </c>
      <c r="I255" s="46" t="s">
        <v>141</v>
      </c>
      <c r="J255" s="46" t="s">
        <v>9</v>
      </c>
    </row>
    <row r="256" spans="1:10" ht="13.15" x14ac:dyDescent="0.4">
      <c r="A256" s="43" t="s">
        <v>65</v>
      </c>
      <c r="B256" s="44">
        <v>3269982000</v>
      </c>
      <c r="C256" s="44">
        <v>3269982000</v>
      </c>
      <c r="D256" s="44">
        <v>197080000</v>
      </c>
      <c r="E256" s="44">
        <v>99830000</v>
      </c>
      <c r="F256" s="44">
        <v>296910000</v>
      </c>
      <c r="G256" s="44">
        <v>2973072000</v>
      </c>
      <c r="H256" s="45">
        <v>0</v>
      </c>
      <c r="I256" s="46" t="s">
        <v>141</v>
      </c>
      <c r="J256" s="46" t="s">
        <v>9</v>
      </c>
    </row>
    <row r="257" spans="1:10" ht="13.15" x14ac:dyDescent="0.4">
      <c r="A257" s="43" t="s">
        <v>66</v>
      </c>
      <c r="B257" s="44">
        <v>491133000</v>
      </c>
      <c r="C257" s="44">
        <v>491133000</v>
      </c>
      <c r="D257" s="45">
        <v>0</v>
      </c>
      <c r="E257" s="44">
        <v>98325000</v>
      </c>
      <c r="F257" s="44">
        <v>98325000</v>
      </c>
      <c r="G257" s="44">
        <v>392808000</v>
      </c>
      <c r="H257" s="45">
        <v>0</v>
      </c>
      <c r="I257" s="46" t="s">
        <v>141</v>
      </c>
      <c r="J257" s="46" t="s">
        <v>9</v>
      </c>
    </row>
    <row r="258" spans="1:10" ht="13.15" x14ac:dyDescent="0.4">
      <c r="A258" s="43" t="s">
        <v>67</v>
      </c>
      <c r="B258" s="44">
        <v>1700000000</v>
      </c>
      <c r="C258" s="44">
        <v>1700000000</v>
      </c>
      <c r="D258" s="44">
        <v>309489160</v>
      </c>
      <c r="E258" s="44">
        <v>74800000</v>
      </c>
      <c r="F258" s="44">
        <v>384289160</v>
      </c>
      <c r="G258" s="44">
        <v>1315710840</v>
      </c>
      <c r="H258" s="45">
        <v>0</v>
      </c>
      <c r="I258" s="46" t="s">
        <v>141</v>
      </c>
      <c r="J258" s="46" t="s">
        <v>9</v>
      </c>
    </row>
    <row r="259" spans="1:10" ht="13.15" x14ac:dyDescent="0.4">
      <c r="A259" s="43" t="s">
        <v>103</v>
      </c>
      <c r="B259" s="44">
        <v>400000000</v>
      </c>
      <c r="C259" s="44">
        <v>400000000</v>
      </c>
      <c r="D259" s="45">
        <v>0</v>
      </c>
      <c r="E259" s="45">
        <v>0</v>
      </c>
      <c r="F259" s="45">
        <v>0</v>
      </c>
      <c r="G259" s="44">
        <v>400000000</v>
      </c>
      <c r="H259" s="45">
        <v>0</v>
      </c>
      <c r="I259" s="46" t="s">
        <v>141</v>
      </c>
      <c r="J259" s="46" t="s">
        <v>9</v>
      </c>
    </row>
    <row r="260" spans="1:10" ht="13.15" x14ac:dyDescent="0.4">
      <c r="A260" s="43" t="s">
        <v>104</v>
      </c>
      <c r="B260" s="44">
        <v>1240000000</v>
      </c>
      <c r="C260" s="44">
        <v>1240000000</v>
      </c>
      <c r="D260" s="44">
        <v>49633664</v>
      </c>
      <c r="E260" s="45">
        <v>0</v>
      </c>
      <c r="F260" s="44">
        <v>49633664</v>
      </c>
      <c r="G260" s="44">
        <v>1190366336</v>
      </c>
      <c r="H260" s="45">
        <v>0</v>
      </c>
      <c r="I260" s="46" t="s">
        <v>141</v>
      </c>
      <c r="J260" s="46" t="s">
        <v>9</v>
      </c>
    </row>
    <row r="261" spans="1:10" ht="13.15" x14ac:dyDescent="0.4">
      <c r="A261" s="43" t="s">
        <v>105</v>
      </c>
      <c r="B261" s="44">
        <v>150000000</v>
      </c>
      <c r="C261" s="44">
        <v>150000000</v>
      </c>
      <c r="D261" s="45">
        <v>0</v>
      </c>
      <c r="E261" s="45">
        <v>0</v>
      </c>
      <c r="F261" s="45">
        <v>0</v>
      </c>
      <c r="G261" s="44">
        <v>150000000</v>
      </c>
      <c r="H261" s="45">
        <v>0</v>
      </c>
      <c r="I261" s="46" t="s">
        <v>141</v>
      </c>
      <c r="J261" s="46" t="s">
        <v>9</v>
      </c>
    </row>
    <row r="262" spans="1:10" ht="13.15" x14ac:dyDescent="0.4">
      <c r="A262" s="43" t="s">
        <v>106</v>
      </c>
      <c r="B262" s="44">
        <v>2668302662</v>
      </c>
      <c r="C262" s="44">
        <v>2668302662</v>
      </c>
      <c r="D262" s="44">
        <v>2426540000</v>
      </c>
      <c r="E262" s="45">
        <v>0</v>
      </c>
      <c r="F262" s="44">
        <v>2426540000</v>
      </c>
      <c r="G262" s="44">
        <v>241762662</v>
      </c>
      <c r="H262" s="45">
        <v>0</v>
      </c>
      <c r="I262" s="46" t="s">
        <v>141</v>
      </c>
      <c r="J262" s="46" t="s">
        <v>9</v>
      </c>
    </row>
    <row r="263" spans="1:10" ht="13.15" x14ac:dyDescent="0.4">
      <c r="A263" s="43" t="s">
        <v>69</v>
      </c>
      <c r="B263" s="44">
        <v>547536000</v>
      </c>
      <c r="C263" s="44">
        <v>547536000</v>
      </c>
      <c r="D263" s="45">
        <v>0</v>
      </c>
      <c r="E263" s="45">
        <v>0</v>
      </c>
      <c r="F263" s="45">
        <v>0</v>
      </c>
      <c r="G263" s="44">
        <v>547536000</v>
      </c>
      <c r="H263" s="45">
        <v>0</v>
      </c>
      <c r="I263" s="46" t="s">
        <v>141</v>
      </c>
      <c r="J263" s="46" t="s">
        <v>9</v>
      </c>
    </row>
    <row r="264" spans="1:10" ht="13.15" x14ac:dyDescent="0.4">
      <c r="A264" s="43" t="s">
        <v>70</v>
      </c>
      <c r="B264" s="44">
        <v>5267324000</v>
      </c>
      <c r="C264" s="44">
        <v>5267324000</v>
      </c>
      <c r="D264" s="44">
        <v>3682715131</v>
      </c>
      <c r="E264" s="44">
        <v>125320040</v>
      </c>
      <c r="F264" s="44">
        <v>3808035171</v>
      </c>
      <c r="G264" s="44">
        <v>1459288829</v>
      </c>
      <c r="H264" s="45">
        <v>0</v>
      </c>
      <c r="I264" s="46" t="s">
        <v>141</v>
      </c>
      <c r="J264" s="46" t="s">
        <v>9</v>
      </c>
    </row>
    <row r="265" spans="1:10" ht="13.15" x14ac:dyDescent="0.4">
      <c r="A265" s="43" t="s">
        <v>119</v>
      </c>
      <c r="B265" s="44">
        <v>1151000000</v>
      </c>
      <c r="C265" s="44">
        <v>1151000000</v>
      </c>
      <c r="D265" s="44">
        <v>316539281</v>
      </c>
      <c r="E265" s="45">
        <v>0</v>
      </c>
      <c r="F265" s="44">
        <v>316539281</v>
      </c>
      <c r="G265" s="44">
        <v>834460719</v>
      </c>
      <c r="H265" s="45">
        <v>0</v>
      </c>
      <c r="I265" s="46" t="s">
        <v>141</v>
      </c>
      <c r="J265" s="46" t="s">
        <v>9</v>
      </c>
    </row>
    <row r="266" spans="1:10" ht="13.15" x14ac:dyDescent="0.4">
      <c r="A266" s="43" t="s">
        <v>121</v>
      </c>
      <c r="B266" s="44">
        <v>775000000</v>
      </c>
      <c r="C266" s="44">
        <v>775000000</v>
      </c>
      <c r="D266" s="45">
        <v>0</v>
      </c>
      <c r="E266" s="44">
        <v>49450000</v>
      </c>
      <c r="F266" s="44">
        <v>49450000</v>
      </c>
      <c r="G266" s="44">
        <v>725550000</v>
      </c>
      <c r="H266" s="45">
        <v>0</v>
      </c>
      <c r="I266" s="46" t="s">
        <v>141</v>
      </c>
      <c r="J266" s="46" t="s">
        <v>9</v>
      </c>
    </row>
    <row r="267" spans="1:10" ht="13.15" x14ac:dyDescent="0.4">
      <c r="A267" s="43" t="s">
        <v>122</v>
      </c>
      <c r="B267" s="44">
        <v>2260000000</v>
      </c>
      <c r="C267" s="44">
        <v>2260000000</v>
      </c>
      <c r="D267" s="44">
        <v>447600900</v>
      </c>
      <c r="E267" s="45">
        <v>0</v>
      </c>
      <c r="F267" s="44">
        <v>447600900</v>
      </c>
      <c r="G267" s="44">
        <v>1812399100</v>
      </c>
      <c r="H267" s="45">
        <v>0</v>
      </c>
      <c r="I267" s="46" t="s">
        <v>141</v>
      </c>
      <c r="J267" s="46" t="s">
        <v>9</v>
      </c>
    </row>
    <row r="268" spans="1:10" ht="13.15" x14ac:dyDescent="0.4">
      <c r="A268" s="43" t="s">
        <v>134</v>
      </c>
      <c r="B268" s="44">
        <v>250000000</v>
      </c>
      <c r="C268" s="44">
        <v>250000000</v>
      </c>
      <c r="D268" s="45">
        <v>0</v>
      </c>
      <c r="E268" s="45">
        <v>0</v>
      </c>
      <c r="F268" s="45">
        <v>0</v>
      </c>
      <c r="G268" s="44">
        <v>250000000</v>
      </c>
      <c r="H268" s="45">
        <v>0</v>
      </c>
      <c r="I268" s="46" t="s">
        <v>141</v>
      </c>
      <c r="J268" s="46" t="s">
        <v>21</v>
      </c>
    </row>
    <row r="269" spans="1:10" ht="13.15" x14ac:dyDescent="0.4">
      <c r="A269" s="43" t="s">
        <v>110</v>
      </c>
      <c r="B269" s="44">
        <v>750000000</v>
      </c>
      <c r="C269" s="44">
        <v>750000000</v>
      </c>
      <c r="D269" s="44">
        <v>8959000</v>
      </c>
      <c r="E269" s="44">
        <v>36500000</v>
      </c>
      <c r="F269" s="44">
        <v>45459000</v>
      </c>
      <c r="G269" s="44">
        <v>704541000</v>
      </c>
      <c r="H269" s="45">
        <v>0</v>
      </c>
      <c r="I269" s="46" t="s">
        <v>141</v>
      </c>
      <c r="J269" s="46" t="s">
        <v>21</v>
      </c>
    </row>
    <row r="270" spans="1:10" ht="13.15" x14ac:dyDescent="0.4">
      <c r="A270" s="43" t="s">
        <v>127</v>
      </c>
      <c r="B270" s="44">
        <v>1242000000</v>
      </c>
      <c r="C270" s="44">
        <v>1242000000</v>
      </c>
      <c r="D270" s="45">
        <v>0</v>
      </c>
      <c r="E270" s="45">
        <v>0</v>
      </c>
      <c r="F270" s="45">
        <v>0</v>
      </c>
      <c r="G270" s="44">
        <v>1242000000</v>
      </c>
      <c r="H270" s="45">
        <v>0</v>
      </c>
      <c r="I270" s="46" t="s">
        <v>141</v>
      </c>
      <c r="J270" s="46" t="s">
        <v>21</v>
      </c>
    </row>
    <row r="271" spans="1:10" ht="13.15" x14ac:dyDescent="0.4">
      <c r="A271" s="43" t="s">
        <v>73</v>
      </c>
      <c r="B271" s="44">
        <v>200000000</v>
      </c>
      <c r="C271" s="44">
        <v>150000000</v>
      </c>
      <c r="D271" s="45">
        <v>0</v>
      </c>
      <c r="E271" s="45">
        <v>0</v>
      </c>
      <c r="F271" s="45">
        <v>0</v>
      </c>
      <c r="G271" s="44">
        <v>150000000</v>
      </c>
      <c r="H271" s="44">
        <v>50000000</v>
      </c>
      <c r="I271" s="46" t="s">
        <v>141</v>
      </c>
      <c r="J271" s="46" t="s">
        <v>23</v>
      </c>
    </row>
    <row r="272" spans="1:10" ht="13.15" x14ac:dyDescent="0.4">
      <c r="A272" s="43" t="s">
        <v>111</v>
      </c>
      <c r="B272" s="44">
        <v>346377600</v>
      </c>
      <c r="C272" s="44">
        <v>346377600</v>
      </c>
      <c r="D272" s="44">
        <v>1160000</v>
      </c>
      <c r="E272" s="44">
        <v>62100000</v>
      </c>
      <c r="F272" s="44">
        <v>63260000</v>
      </c>
      <c r="G272" s="44">
        <v>283117600</v>
      </c>
      <c r="H272" s="45">
        <v>0</v>
      </c>
      <c r="I272" s="46" t="s">
        <v>141</v>
      </c>
      <c r="J272" s="46" t="s">
        <v>22</v>
      </c>
    </row>
    <row r="273" spans="1:10" ht="13.15" x14ac:dyDescent="0.4">
      <c r="A273" s="43" t="s">
        <v>112</v>
      </c>
      <c r="B273" s="44">
        <v>1952349292</v>
      </c>
      <c r="C273" s="44">
        <v>1952349292</v>
      </c>
      <c r="D273" s="45">
        <v>0</v>
      </c>
      <c r="E273" s="44">
        <v>465736545</v>
      </c>
      <c r="F273" s="44">
        <v>465736545</v>
      </c>
      <c r="G273" s="44">
        <v>1486612747</v>
      </c>
      <c r="H273" s="45">
        <v>0</v>
      </c>
      <c r="I273" s="46" t="s">
        <v>141</v>
      </c>
      <c r="J273" s="46" t="s">
        <v>26</v>
      </c>
    </row>
    <row r="274" spans="1:10" ht="13.15" x14ac:dyDescent="0.4">
      <c r="A274" s="43" t="s">
        <v>76</v>
      </c>
      <c r="B274" s="44">
        <v>82737800</v>
      </c>
      <c r="C274" s="44">
        <v>62053350</v>
      </c>
      <c r="D274" s="44">
        <v>19717137</v>
      </c>
      <c r="E274" s="44">
        <v>9188377</v>
      </c>
      <c r="F274" s="44">
        <v>28905514</v>
      </c>
      <c r="G274" s="44">
        <v>33147836</v>
      </c>
      <c r="H274" s="44">
        <v>20684450</v>
      </c>
      <c r="I274" s="46" t="s">
        <v>141</v>
      </c>
      <c r="J274" s="46" t="s">
        <v>25</v>
      </c>
    </row>
    <row r="275" spans="1:10" ht="13.15" x14ac:dyDescent="0.4">
      <c r="A275" s="43" t="s">
        <v>77</v>
      </c>
      <c r="B275" s="44">
        <v>627208851</v>
      </c>
      <c r="C275" s="44">
        <v>470406638</v>
      </c>
      <c r="D275" s="44">
        <v>345730000</v>
      </c>
      <c r="E275" s="44">
        <v>78837733</v>
      </c>
      <c r="F275" s="44">
        <v>424567733</v>
      </c>
      <c r="G275" s="44">
        <v>45838905</v>
      </c>
      <c r="H275" s="44">
        <v>156802213</v>
      </c>
      <c r="I275" s="46" t="s">
        <v>141</v>
      </c>
      <c r="J275" s="46" t="s">
        <v>25</v>
      </c>
    </row>
    <row r="276" spans="1:10" ht="13.15" x14ac:dyDescent="0.4">
      <c r="A276" s="43" t="s">
        <v>78</v>
      </c>
      <c r="B276" s="44">
        <v>151800000</v>
      </c>
      <c r="C276" s="44">
        <v>151800000</v>
      </c>
      <c r="D276" s="45">
        <v>0</v>
      </c>
      <c r="E276" s="44">
        <v>20461500</v>
      </c>
      <c r="F276" s="44">
        <v>20461500</v>
      </c>
      <c r="G276" s="44">
        <v>131338500</v>
      </c>
      <c r="H276" s="45">
        <v>0</v>
      </c>
      <c r="I276" s="46" t="s">
        <v>141</v>
      </c>
      <c r="J276" s="46" t="s">
        <v>25</v>
      </c>
    </row>
    <row r="277" spans="1:10" ht="13.15" x14ac:dyDescent="0.4">
      <c r="A277" s="43" t="s">
        <v>79</v>
      </c>
      <c r="B277" s="44">
        <v>942936000</v>
      </c>
      <c r="C277" s="44">
        <v>707202000</v>
      </c>
      <c r="D277" s="44">
        <v>59146500</v>
      </c>
      <c r="E277" s="45">
        <v>0</v>
      </c>
      <c r="F277" s="44">
        <v>59146500</v>
      </c>
      <c r="G277" s="44">
        <v>648055500</v>
      </c>
      <c r="H277" s="44">
        <v>235734000</v>
      </c>
      <c r="I277" s="46" t="s">
        <v>141</v>
      </c>
      <c r="J277" s="46" t="s">
        <v>25</v>
      </c>
    </row>
    <row r="278" spans="1:10" ht="13.15" x14ac:dyDescent="0.4">
      <c r="A278" s="43" t="s">
        <v>81</v>
      </c>
      <c r="B278" s="44">
        <v>271299000</v>
      </c>
      <c r="C278" s="44">
        <v>203474250</v>
      </c>
      <c r="D278" s="45">
        <v>0</v>
      </c>
      <c r="E278" s="44">
        <v>59174750</v>
      </c>
      <c r="F278" s="44">
        <v>59174750</v>
      </c>
      <c r="G278" s="44">
        <v>144299500</v>
      </c>
      <c r="H278" s="44">
        <v>67824750</v>
      </c>
      <c r="I278" s="46" t="s">
        <v>141</v>
      </c>
      <c r="J278" s="46" t="s">
        <v>25</v>
      </c>
    </row>
    <row r="279" spans="1:10" ht="13.15" x14ac:dyDescent="0.4">
      <c r="A279" s="43" t="s">
        <v>137</v>
      </c>
      <c r="B279" s="44">
        <v>181144082</v>
      </c>
      <c r="C279" s="44">
        <v>181144082</v>
      </c>
      <c r="D279" s="44">
        <v>5683583</v>
      </c>
      <c r="E279" s="44">
        <v>19555332</v>
      </c>
      <c r="F279" s="44">
        <v>25238915</v>
      </c>
      <c r="G279" s="44">
        <v>155905167</v>
      </c>
      <c r="H279" s="45">
        <v>0</v>
      </c>
      <c r="I279" s="46" t="s">
        <v>141</v>
      </c>
      <c r="J279" s="46" t="s">
        <v>25</v>
      </c>
    </row>
    <row r="280" spans="1:10" ht="13.15" x14ac:dyDescent="0.4">
      <c r="A280" s="43" t="s">
        <v>82</v>
      </c>
      <c r="B280" s="44">
        <v>46497000</v>
      </c>
      <c r="C280" s="44">
        <v>46497000</v>
      </c>
      <c r="D280" s="45">
        <v>0</v>
      </c>
      <c r="E280" s="44">
        <v>13582000</v>
      </c>
      <c r="F280" s="44">
        <v>13582000</v>
      </c>
      <c r="G280" s="44">
        <v>32915000</v>
      </c>
      <c r="H280" s="45">
        <v>0</v>
      </c>
      <c r="I280" s="46" t="s">
        <v>141</v>
      </c>
      <c r="J280" s="46" t="s">
        <v>25</v>
      </c>
    </row>
    <row r="281" spans="1:10" ht="13.15" x14ac:dyDescent="0.4">
      <c r="A281" s="43" t="s">
        <v>113</v>
      </c>
      <c r="B281" s="45">
        <v>0</v>
      </c>
      <c r="C281" s="45">
        <v>0</v>
      </c>
      <c r="D281" s="45">
        <v>0</v>
      </c>
      <c r="E281" s="44">
        <v>18235895</v>
      </c>
      <c r="F281" s="44">
        <v>18235895</v>
      </c>
      <c r="G281" s="44">
        <v>-18235895</v>
      </c>
      <c r="H281" s="45">
        <v>0</v>
      </c>
      <c r="I281" s="46" t="s">
        <v>141</v>
      </c>
      <c r="J281" s="46" t="s">
        <v>84</v>
      </c>
    </row>
    <row r="282" spans="1:10" ht="13.15" x14ac:dyDescent="0.4">
      <c r="A282" s="43" t="s">
        <v>83</v>
      </c>
      <c r="B282" s="44">
        <v>12622618927</v>
      </c>
      <c r="C282" s="44">
        <v>12622618927</v>
      </c>
      <c r="D282" s="45">
        <v>0</v>
      </c>
      <c r="E282" s="44">
        <v>2910916196</v>
      </c>
      <c r="F282" s="44">
        <v>2910916196</v>
      </c>
      <c r="G282" s="44">
        <v>9711702731</v>
      </c>
      <c r="H282" s="45">
        <v>0</v>
      </c>
      <c r="I282" s="46" t="s">
        <v>141</v>
      </c>
      <c r="J282" s="46" t="s">
        <v>84</v>
      </c>
    </row>
    <row r="283" spans="1:10" ht="13.15" x14ac:dyDescent="0.4">
      <c r="A283" s="43" t="s">
        <v>85</v>
      </c>
      <c r="B283" s="44">
        <v>195048292</v>
      </c>
      <c r="C283" s="44">
        <v>195048292</v>
      </c>
      <c r="D283" s="45">
        <v>0</v>
      </c>
      <c r="E283" s="44">
        <v>45377546</v>
      </c>
      <c r="F283" s="44">
        <v>45377546</v>
      </c>
      <c r="G283" s="44">
        <v>149670746</v>
      </c>
      <c r="H283" s="45">
        <v>0</v>
      </c>
      <c r="I283" s="46" t="s">
        <v>141</v>
      </c>
      <c r="J283" s="46" t="s">
        <v>84</v>
      </c>
    </row>
    <row r="284" spans="1:10" ht="13.15" x14ac:dyDescent="0.4">
      <c r="A284" s="43" t="s">
        <v>86</v>
      </c>
      <c r="B284" s="44">
        <v>12911717415</v>
      </c>
      <c r="C284" s="44">
        <v>12911717415</v>
      </c>
      <c r="D284" s="45">
        <v>0</v>
      </c>
      <c r="E284" s="44">
        <v>2626140520</v>
      </c>
      <c r="F284" s="44">
        <v>2626140520</v>
      </c>
      <c r="G284" s="44">
        <v>10285576895</v>
      </c>
      <c r="H284" s="45">
        <v>0</v>
      </c>
      <c r="I284" s="46" t="s">
        <v>141</v>
      </c>
      <c r="J284" s="46" t="s">
        <v>84</v>
      </c>
    </row>
    <row r="285" spans="1:10" ht="13.15" x14ac:dyDescent="0.4">
      <c r="A285" s="43" t="s">
        <v>87</v>
      </c>
      <c r="B285" s="44">
        <v>74261342</v>
      </c>
      <c r="C285" s="44">
        <v>74261342</v>
      </c>
      <c r="D285" s="45">
        <v>0</v>
      </c>
      <c r="E285" s="45">
        <v>0</v>
      </c>
      <c r="F285" s="45">
        <v>0</v>
      </c>
      <c r="G285" s="44">
        <v>74261342</v>
      </c>
      <c r="H285" s="45">
        <v>0</v>
      </c>
      <c r="I285" s="46" t="s">
        <v>141</v>
      </c>
      <c r="J285" s="46" t="s">
        <v>84</v>
      </c>
    </row>
    <row r="286" spans="1:10" ht="13.15" x14ac:dyDescent="0.4">
      <c r="A286" s="43" t="s">
        <v>88</v>
      </c>
      <c r="B286" s="44">
        <v>1260610655</v>
      </c>
      <c r="C286" s="44">
        <v>1260610655</v>
      </c>
      <c r="D286" s="45">
        <v>0</v>
      </c>
      <c r="E286" s="44">
        <v>263350400</v>
      </c>
      <c r="F286" s="44">
        <v>263350400</v>
      </c>
      <c r="G286" s="44">
        <v>997260255</v>
      </c>
      <c r="H286" s="45">
        <v>0</v>
      </c>
      <c r="I286" s="46" t="s">
        <v>141</v>
      </c>
      <c r="J286" s="46" t="s">
        <v>84</v>
      </c>
    </row>
    <row r="287" spans="1:10" ht="13.15" x14ac:dyDescent="0.4">
      <c r="A287" s="43" t="s">
        <v>89</v>
      </c>
      <c r="B287" s="44">
        <v>27455801</v>
      </c>
      <c r="C287" s="44">
        <v>27455801</v>
      </c>
      <c r="D287" s="45">
        <v>0</v>
      </c>
      <c r="E287" s="44">
        <v>6704803</v>
      </c>
      <c r="F287" s="44">
        <v>6704803</v>
      </c>
      <c r="G287" s="44">
        <v>20750998</v>
      </c>
      <c r="H287" s="45">
        <v>0</v>
      </c>
      <c r="I287" s="46" t="s">
        <v>141</v>
      </c>
      <c r="J287" s="46" t="s">
        <v>84</v>
      </c>
    </row>
    <row r="288" spans="1:10" ht="13.15" x14ac:dyDescent="0.4">
      <c r="A288" s="43" t="s">
        <v>90</v>
      </c>
      <c r="B288" s="44">
        <v>1560328837</v>
      </c>
      <c r="C288" s="44">
        <v>1560328837</v>
      </c>
      <c r="D288" s="45">
        <v>0</v>
      </c>
      <c r="E288" s="44">
        <v>335001848</v>
      </c>
      <c r="F288" s="44">
        <v>335001848</v>
      </c>
      <c r="G288" s="44">
        <v>1225326989</v>
      </c>
      <c r="H288" s="45">
        <v>0</v>
      </c>
      <c r="I288" s="46" t="s">
        <v>141</v>
      </c>
      <c r="J288" s="46" t="s">
        <v>84</v>
      </c>
    </row>
    <row r="289" spans="1:10" ht="13.15" x14ac:dyDescent="0.4">
      <c r="A289" s="43" t="s">
        <v>91</v>
      </c>
      <c r="B289" s="44">
        <v>2750420</v>
      </c>
      <c r="C289" s="44">
        <v>2750420</v>
      </c>
      <c r="D289" s="45">
        <v>0</v>
      </c>
      <c r="E289" s="45">
        <v>0</v>
      </c>
      <c r="F289" s="45">
        <v>0</v>
      </c>
      <c r="G289" s="44">
        <v>2750420</v>
      </c>
      <c r="H289" s="45">
        <v>0</v>
      </c>
      <c r="I289" s="46" t="s">
        <v>141</v>
      </c>
      <c r="J289" s="46" t="s">
        <v>84</v>
      </c>
    </row>
    <row r="290" spans="1:10" ht="13.15" x14ac:dyDescent="0.4">
      <c r="A290" s="47" t="s">
        <v>142</v>
      </c>
      <c r="B290" s="48">
        <v>64237830126</v>
      </c>
      <c r="C290" s="48">
        <v>63706784713</v>
      </c>
      <c r="D290" s="48">
        <v>12451888892</v>
      </c>
      <c r="E290" s="48">
        <v>7425405485</v>
      </c>
      <c r="F290" s="48">
        <v>19877294377</v>
      </c>
      <c r="G290" s="48">
        <v>43829490336</v>
      </c>
      <c r="H290" s="48">
        <v>531045413</v>
      </c>
      <c r="I290" s="49" t="s">
        <v>141</v>
      </c>
      <c r="J290" s="49" t="e">
        <v>#N/A</v>
      </c>
    </row>
    <row r="291" spans="1:10" ht="13.15" x14ac:dyDescent="0.4">
      <c r="A291" s="43" t="s">
        <v>59</v>
      </c>
      <c r="B291" s="44">
        <v>3628073000</v>
      </c>
      <c r="C291" s="44">
        <v>3628073000</v>
      </c>
      <c r="D291" s="44">
        <v>3299963760</v>
      </c>
      <c r="E291" s="45">
        <v>0</v>
      </c>
      <c r="F291" s="44">
        <v>3299963760</v>
      </c>
      <c r="G291" s="44">
        <v>328109240</v>
      </c>
      <c r="H291" s="45">
        <v>0</v>
      </c>
      <c r="I291" s="46" t="s">
        <v>143</v>
      </c>
      <c r="J291" s="46" t="s">
        <v>9</v>
      </c>
    </row>
    <row r="292" spans="1:10" ht="13.15" x14ac:dyDescent="0.4">
      <c r="A292" s="43" t="s">
        <v>63</v>
      </c>
      <c r="B292" s="44">
        <v>128850000</v>
      </c>
      <c r="C292" s="44">
        <v>128850000</v>
      </c>
      <c r="D292" s="45">
        <v>0</v>
      </c>
      <c r="E292" s="44">
        <v>16650000</v>
      </c>
      <c r="F292" s="44">
        <v>16650000</v>
      </c>
      <c r="G292" s="44">
        <v>112200000</v>
      </c>
      <c r="H292" s="45">
        <v>0</v>
      </c>
      <c r="I292" s="46" t="s">
        <v>143</v>
      </c>
      <c r="J292" s="46" t="s">
        <v>9</v>
      </c>
    </row>
    <row r="293" spans="1:10" ht="13.15" x14ac:dyDescent="0.4">
      <c r="A293" s="43" t="s">
        <v>101</v>
      </c>
      <c r="B293" s="44">
        <v>488774000</v>
      </c>
      <c r="C293" s="44">
        <v>488774000</v>
      </c>
      <c r="D293" s="44">
        <v>472749437</v>
      </c>
      <c r="E293" s="45">
        <v>0</v>
      </c>
      <c r="F293" s="44">
        <v>472749437</v>
      </c>
      <c r="G293" s="44">
        <v>16024563</v>
      </c>
      <c r="H293" s="45">
        <v>0</v>
      </c>
      <c r="I293" s="46" t="s">
        <v>143</v>
      </c>
      <c r="J293" s="46" t="s">
        <v>9</v>
      </c>
    </row>
    <row r="294" spans="1:10" ht="13.15" x14ac:dyDescent="0.4">
      <c r="A294" s="43" t="s">
        <v>102</v>
      </c>
      <c r="B294" s="44">
        <v>498000000</v>
      </c>
      <c r="C294" s="44">
        <v>498000000</v>
      </c>
      <c r="D294" s="44">
        <v>487985800</v>
      </c>
      <c r="E294" s="45">
        <v>0</v>
      </c>
      <c r="F294" s="44">
        <v>487985800</v>
      </c>
      <c r="G294" s="44">
        <v>10014200</v>
      </c>
      <c r="H294" s="45">
        <v>0</v>
      </c>
      <c r="I294" s="46" t="s">
        <v>143</v>
      </c>
      <c r="J294" s="46" t="s">
        <v>9</v>
      </c>
    </row>
    <row r="295" spans="1:10" ht="13.15" x14ac:dyDescent="0.4">
      <c r="A295" s="43" t="s">
        <v>64</v>
      </c>
      <c r="B295" s="44">
        <v>298750000</v>
      </c>
      <c r="C295" s="44">
        <v>298750000</v>
      </c>
      <c r="D295" s="44">
        <v>35247626</v>
      </c>
      <c r="E295" s="45">
        <v>0</v>
      </c>
      <c r="F295" s="44">
        <v>35247626</v>
      </c>
      <c r="G295" s="44">
        <v>263502374</v>
      </c>
      <c r="H295" s="45">
        <v>0</v>
      </c>
      <c r="I295" s="46" t="s">
        <v>143</v>
      </c>
      <c r="J295" s="46" t="s">
        <v>9</v>
      </c>
    </row>
    <row r="296" spans="1:10" ht="13.15" x14ac:dyDescent="0.4">
      <c r="A296" s="43" t="s">
        <v>65</v>
      </c>
      <c r="B296" s="44">
        <v>193000000</v>
      </c>
      <c r="C296" s="44">
        <v>193000000</v>
      </c>
      <c r="D296" s="45">
        <v>0</v>
      </c>
      <c r="E296" s="45">
        <v>0</v>
      </c>
      <c r="F296" s="45">
        <v>0</v>
      </c>
      <c r="G296" s="44">
        <v>193000000</v>
      </c>
      <c r="H296" s="45">
        <v>0</v>
      </c>
      <c r="I296" s="46" t="s">
        <v>143</v>
      </c>
      <c r="J296" s="46" t="s">
        <v>9</v>
      </c>
    </row>
    <row r="297" spans="1:10" ht="13.15" x14ac:dyDescent="0.4">
      <c r="A297" s="43" t="s">
        <v>66</v>
      </c>
      <c r="B297" s="44">
        <v>1222108000</v>
      </c>
      <c r="C297" s="44">
        <v>1222108000</v>
      </c>
      <c r="D297" s="44">
        <v>884313681</v>
      </c>
      <c r="E297" s="44">
        <v>93397015</v>
      </c>
      <c r="F297" s="44">
        <v>977710696</v>
      </c>
      <c r="G297" s="44">
        <v>244397304</v>
      </c>
      <c r="H297" s="45">
        <v>0</v>
      </c>
      <c r="I297" s="46" t="s">
        <v>143</v>
      </c>
      <c r="J297" s="46" t="s">
        <v>9</v>
      </c>
    </row>
    <row r="298" spans="1:10" ht="13.15" x14ac:dyDescent="0.4">
      <c r="A298" s="43" t="s">
        <v>67</v>
      </c>
      <c r="B298" s="44">
        <v>534300000</v>
      </c>
      <c r="C298" s="44">
        <v>534300000</v>
      </c>
      <c r="D298" s="44">
        <v>31132500</v>
      </c>
      <c r="E298" s="44">
        <v>143332828</v>
      </c>
      <c r="F298" s="44">
        <v>174465328</v>
      </c>
      <c r="G298" s="44">
        <v>359834672</v>
      </c>
      <c r="H298" s="45">
        <v>0</v>
      </c>
      <c r="I298" s="46" t="s">
        <v>143</v>
      </c>
      <c r="J298" s="46" t="s">
        <v>9</v>
      </c>
    </row>
    <row r="299" spans="1:10" ht="13.15" x14ac:dyDescent="0.4">
      <c r="A299" s="43" t="s">
        <v>103</v>
      </c>
      <c r="B299" s="44">
        <v>145000000</v>
      </c>
      <c r="C299" s="44">
        <v>145000000</v>
      </c>
      <c r="D299" s="44">
        <v>30259835</v>
      </c>
      <c r="E299" s="45">
        <v>0</v>
      </c>
      <c r="F299" s="44">
        <v>30259835</v>
      </c>
      <c r="G299" s="44">
        <v>114740165</v>
      </c>
      <c r="H299" s="45">
        <v>0</v>
      </c>
      <c r="I299" s="46" t="s">
        <v>143</v>
      </c>
      <c r="J299" s="46" t="s">
        <v>9</v>
      </c>
    </row>
    <row r="300" spans="1:10" ht="13.15" x14ac:dyDescent="0.4">
      <c r="A300" s="43" t="s">
        <v>104</v>
      </c>
      <c r="B300" s="44">
        <v>174000000</v>
      </c>
      <c r="C300" s="44">
        <v>174000000</v>
      </c>
      <c r="D300" s="45">
        <v>0</v>
      </c>
      <c r="E300" s="45">
        <v>0</v>
      </c>
      <c r="F300" s="45">
        <v>0</v>
      </c>
      <c r="G300" s="44">
        <v>174000000</v>
      </c>
      <c r="H300" s="45">
        <v>0</v>
      </c>
      <c r="I300" s="46" t="s">
        <v>143</v>
      </c>
      <c r="J300" s="46" t="s">
        <v>9</v>
      </c>
    </row>
    <row r="301" spans="1:10" ht="13.15" x14ac:dyDescent="0.4">
      <c r="A301" s="43" t="s">
        <v>105</v>
      </c>
      <c r="B301" s="44">
        <v>49800000</v>
      </c>
      <c r="C301" s="44">
        <v>49800000</v>
      </c>
      <c r="D301" s="45">
        <v>0</v>
      </c>
      <c r="E301" s="45">
        <v>0</v>
      </c>
      <c r="F301" s="45">
        <v>0</v>
      </c>
      <c r="G301" s="44">
        <v>49800000</v>
      </c>
      <c r="H301" s="45">
        <v>0</v>
      </c>
      <c r="I301" s="46" t="s">
        <v>143</v>
      </c>
      <c r="J301" s="46" t="s">
        <v>9</v>
      </c>
    </row>
    <row r="302" spans="1:10" ht="13.15" x14ac:dyDescent="0.4">
      <c r="A302" s="43" t="s">
        <v>106</v>
      </c>
      <c r="B302" s="44">
        <v>1882400000</v>
      </c>
      <c r="C302" s="44">
        <v>1882400000</v>
      </c>
      <c r="D302" s="44">
        <v>1658705000</v>
      </c>
      <c r="E302" s="45">
        <v>0</v>
      </c>
      <c r="F302" s="44">
        <v>1658705000</v>
      </c>
      <c r="G302" s="44">
        <v>223695000</v>
      </c>
      <c r="H302" s="45">
        <v>0</v>
      </c>
      <c r="I302" s="46" t="s">
        <v>143</v>
      </c>
      <c r="J302" s="46" t="s">
        <v>9</v>
      </c>
    </row>
    <row r="303" spans="1:10" ht="13.15" x14ac:dyDescent="0.4">
      <c r="A303" s="43" t="s">
        <v>108</v>
      </c>
      <c r="B303" s="44">
        <v>300000000</v>
      </c>
      <c r="C303" s="44">
        <v>300000000</v>
      </c>
      <c r="D303" s="45">
        <v>0</v>
      </c>
      <c r="E303" s="44">
        <v>1944000</v>
      </c>
      <c r="F303" s="44">
        <v>1944000</v>
      </c>
      <c r="G303" s="44">
        <v>298056000</v>
      </c>
      <c r="H303" s="45">
        <v>0</v>
      </c>
      <c r="I303" s="46" t="s">
        <v>143</v>
      </c>
      <c r="J303" s="46" t="s">
        <v>21</v>
      </c>
    </row>
    <row r="304" spans="1:10" ht="13.15" x14ac:dyDescent="0.4">
      <c r="A304" s="43" t="s">
        <v>134</v>
      </c>
      <c r="B304" s="44">
        <v>15000000</v>
      </c>
      <c r="C304" s="44">
        <v>15000000</v>
      </c>
      <c r="D304" s="45">
        <v>0</v>
      </c>
      <c r="E304" s="45">
        <v>0</v>
      </c>
      <c r="F304" s="45">
        <v>0</v>
      </c>
      <c r="G304" s="44">
        <v>15000000</v>
      </c>
      <c r="H304" s="45">
        <v>0</v>
      </c>
      <c r="I304" s="46" t="s">
        <v>143</v>
      </c>
      <c r="J304" s="46" t="s">
        <v>21</v>
      </c>
    </row>
    <row r="305" spans="1:10" ht="13.15" x14ac:dyDescent="0.4">
      <c r="A305" s="43" t="s">
        <v>110</v>
      </c>
      <c r="B305" s="44">
        <v>463000000</v>
      </c>
      <c r="C305" s="44">
        <v>463000000</v>
      </c>
      <c r="D305" s="45">
        <v>0</v>
      </c>
      <c r="E305" s="45">
        <v>0</v>
      </c>
      <c r="F305" s="45">
        <v>0</v>
      </c>
      <c r="G305" s="44">
        <v>463000000</v>
      </c>
      <c r="H305" s="45">
        <v>0</v>
      </c>
      <c r="I305" s="46" t="s">
        <v>143</v>
      </c>
      <c r="J305" s="46" t="s">
        <v>21</v>
      </c>
    </row>
    <row r="306" spans="1:10" ht="13.15" x14ac:dyDescent="0.4">
      <c r="A306" s="43" t="s">
        <v>73</v>
      </c>
      <c r="B306" s="44">
        <v>100000000</v>
      </c>
      <c r="C306" s="44">
        <v>75000000</v>
      </c>
      <c r="D306" s="45">
        <v>0</v>
      </c>
      <c r="E306" s="44">
        <v>2159300</v>
      </c>
      <c r="F306" s="44">
        <v>2159300</v>
      </c>
      <c r="G306" s="44">
        <v>72840700</v>
      </c>
      <c r="H306" s="44">
        <v>25000000</v>
      </c>
      <c r="I306" s="46" t="s">
        <v>143</v>
      </c>
      <c r="J306" s="46" t="s">
        <v>23</v>
      </c>
    </row>
    <row r="307" spans="1:10" ht="13.15" x14ac:dyDescent="0.4">
      <c r="A307" s="43" t="s">
        <v>111</v>
      </c>
      <c r="B307" s="44">
        <v>111310000</v>
      </c>
      <c r="C307" s="44">
        <v>111310000</v>
      </c>
      <c r="D307" s="45">
        <v>0</v>
      </c>
      <c r="E307" s="44">
        <v>21262500</v>
      </c>
      <c r="F307" s="44">
        <v>21262500</v>
      </c>
      <c r="G307" s="44">
        <v>90047500</v>
      </c>
      <c r="H307" s="45">
        <v>0</v>
      </c>
      <c r="I307" s="46" t="s">
        <v>143</v>
      </c>
      <c r="J307" s="46" t="s">
        <v>22</v>
      </c>
    </row>
    <row r="308" spans="1:10" ht="13.15" x14ac:dyDescent="0.4">
      <c r="A308" s="43" t="s">
        <v>112</v>
      </c>
      <c r="B308" s="44">
        <v>2310000000</v>
      </c>
      <c r="C308" s="44">
        <v>2310000000</v>
      </c>
      <c r="D308" s="45">
        <v>0</v>
      </c>
      <c r="E308" s="44">
        <v>407799162</v>
      </c>
      <c r="F308" s="44">
        <v>407799162</v>
      </c>
      <c r="G308" s="44">
        <v>1902200838</v>
      </c>
      <c r="H308" s="45">
        <v>0</v>
      </c>
      <c r="I308" s="46" t="s">
        <v>143</v>
      </c>
      <c r="J308" s="46" t="s">
        <v>26</v>
      </c>
    </row>
    <row r="309" spans="1:10" ht="13.15" x14ac:dyDescent="0.4">
      <c r="A309" s="43" t="s">
        <v>76</v>
      </c>
      <c r="B309" s="44">
        <v>86152000</v>
      </c>
      <c r="C309" s="44">
        <v>64614000</v>
      </c>
      <c r="D309" s="45">
        <v>0</v>
      </c>
      <c r="E309" s="44">
        <v>13214001</v>
      </c>
      <c r="F309" s="44">
        <v>13214001</v>
      </c>
      <c r="G309" s="44">
        <v>51399999</v>
      </c>
      <c r="H309" s="44">
        <v>21538000</v>
      </c>
      <c r="I309" s="46" t="s">
        <v>143</v>
      </c>
      <c r="J309" s="46" t="s">
        <v>25</v>
      </c>
    </row>
    <row r="310" spans="1:10" ht="13.15" x14ac:dyDescent="0.4">
      <c r="A310" s="43" t="s">
        <v>77</v>
      </c>
      <c r="B310" s="44">
        <v>110006000</v>
      </c>
      <c r="C310" s="44">
        <v>82504500</v>
      </c>
      <c r="D310" s="44">
        <v>36154000</v>
      </c>
      <c r="E310" s="44">
        <v>13891000</v>
      </c>
      <c r="F310" s="44">
        <v>50045000</v>
      </c>
      <c r="G310" s="44">
        <v>32459500</v>
      </c>
      <c r="H310" s="44">
        <v>27501500</v>
      </c>
      <c r="I310" s="46" t="s">
        <v>143</v>
      </c>
      <c r="J310" s="46" t="s">
        <v>25</v>
      </c>
    </row>
    <row r="311" spans="1:10" ht="13.15" x14ac:dyDescent="0.4">
      <c r="A311" s="43" t="s">
        <v>78</v>
      </c>
      <c r="B311" s="44">
        <v>96000000</v>
      </c>
      <c r="C311" s="44">
        <v>96000000</v>
      </c>
      <c r="D311" s="45">
        <v>0</v>
      </c>
      <c r="E311" s="44">
        <v>13500000</v>
      </c>
      <c r="F311" s="44">
        <v>13500000</v>
      </c>
      <c r="G311" s="44">
        <v>82500000</v>
      </c>
      <c r="H311" s="45">
        <v>0</v>
      </c>
      <c r="I311" s="46" t="s">
        <v>143</v>
      </c>
      <c r="J311" s="46" t="s">
        <v>25</v>
      </c>
    </row>
    <row r="312" spans="1:10" ht="13.15" x14ac:dyDescent="0.4">
      <c r="A312" s="43" t="s">
        <v>79</v>
      </c>
      <c r="B312" s="44">
        <v>514400000</v>
      </c>
      <c r="C312" s="44">
        <v>385800000</v>
      </c>
      <c r="D312" s="45">
        <v>0</v>
      </c>
      <c r="E312" s="44">
        <v>37922635</v>
      </c>
      <c r="F312" s="44">
        <v>37922635</v>
      </c>
      <c r="G312" s="44">
        <v>347877365</v>
      </c>
      <c r="H312" s="44">
        <v>128600000</v>
      </c>
      <c r="I312" s="46" t="s">
        <v>143</v>
      </c>
      <c r="J312" s="46" t="s">
        <v>25</v>
      </c>
    </row>
    <row r="313" spans="1:10" ht="13.15" x14ac:dyDescent="0.4">
      <c r="A313" s="43" t="s">
        <v>81</v>
      </c>
      <c r="B313" s="44">
        <v>230000000</v>
      </c>
      <c r="C313" s="44">
        <v>172500000</v>
      </c>
      <c r="D313" s="45">
        <v>0</v>
      </c>
      <c r="E313" s="44">
        <v>39065500</v>
      </c>
      <c r="F313" s="44">
        <v>39065500</v>
      </c>
      <c r="G313" s="44">
        <v>133434500</v>
      </c>
      <c r="H313" s="44">
        <v>57500000</v>
      </c>
      <c r="I313" s="46" t="s">
        <v>143</v>
      </c>
      <c r="J313" s="46" t="s">
        <v>25</v>
      </c>
    </row>
    <row r="314" spans="1:10" ht="13.15" x14ac:dyDescent="0.4">
      <c r="A314" s="43" t="s">
        <v>82</v>
      </c>
      <c r="B314" s="44">
        <v>40300000</v>
      </c>
      <c r="C314" s="44">
        <v>40300000</v>
      </c>
      <c r="D314" s="44">
        <v>9982500</v>
      </c>
      <c r="E314" s="45">
        <v>0</v>
      </c>
      <c r="F314" s="44">
        <v>9982500</v>
      </c>
      <c r="G314" s="44">
        <v>30317500</v>
      </c>
      <c r="H314" s="45">
        <v>0</v>
      </c>
      <c r="I314" s="46" t="s">
        <v>143</v>
      </c>
      <c r="J314" s="46" t="s">
        <v>25</v>
      </c>
    </row>
    <row r="315" spans="1:10" ht="13.15" x14ac:dyDescent="0.4">
      <c r="A315" s="43" t="s">
        <v>83</v>
      </c>
      <c r="B315" s="44">
        <v>7053792265</v>
      </c>
      <c r="C315" s="44">
        <v>7053792265</v>
      </c>
      <c r="D315" s="45">
        <v>0</v>
      </c>
      <c r="E315" s="44">
        <v>1571286488</v>
      </c>
      <c r="F315" s="44">
        <v>1571286488</v>
      </c>
      <c r="G315" s="44">
        <v>5482505777</v>
      </c>
      <c r="H315" s="45">
        <v>0</v>
      </c>
      <c r="I315" s="46" t="s">
        <v>143</v>
      </c>
      <c r="J315" s="46" t="s">
        <v>84</v>
      </c>
    </row>
    <row r="316" spans="1:10" ht="13.15" x14ac:dyDescent="0.4">
      <c r="A316" s="43" t="s">
        <v>85</v>
      </c>
      <c r="B316" s="44">
        <v>250901909</v>
      </c>
      <c r="C316" s="44">
        <v>250901909</v>
      </c>
      <c r="D316" s="45">
        <v>0</v>
      </c>
      <c r="E316" s="44">
        <v>62202165</v>
      </c>
      <c r="F316" s="44">
        <v>62202165</v>
      </c>
      <c r="G316" s="44">
        <v>188699744</v>
      </c>
      <c r="H316" s="45">
        <v>0</v>
      </c>
      <c r="I316" s="46" t="s">
        <v>143</v>
      </c>
      <c r="J316" s="46" t="s">
        <v>84</v>
      </c>
    </row>
    <row r="317" spans="1:10" ht="13.15" x14ac:dyDescent="0.4">
      <c r="A317" s="43" t="s">
        <v>86</v>
      </c>
      <c r="B317" s="44">
        <v>7015042421</v>
      </c>
      <c r="C317" s="44">
        <v>7015042421</v>
      </c>
      <c r="D317" s="45">
        <v>0</v>
      </c>
      <c r="E317" s="44">
        <v>1460859297</v>
      </c>
      <c r="F317" s="44">
        <v>1460859297</v>
      </c>
      <c r="G317" s="44">
        <v>5554183124</v>
      </c>
      <c r="H317" s="45">
        <v>0</v>
      </c>
      <c r="I317" s="46" t="s">
        <v>143</v>
      </c>
      <c r="J317" s="46" t="s">
        <v>84</v>
      </c>
    </row>
    <row r="318" spans="1:10" ht="13.15" x14ac:dyDescent="0.4">
      <c r="A318" s="43" t="s">
        <v>87</v>
      </c>
      <c r="B318" s="44">
        <v>36855629</v>
      </c>
      <c r="C318" s="44">
        <v>36855629</v>
      </c>
      <c r="D318" s="45">
        <v>0</v>
      </c>
      <c r="E318" s="45">
        <v>0</v>
      </c>
      <c r="F318" s="45">
        <v>0</v>
      </c>
      <c r="G318" s="44">
        <v>36855629</v>
      </c>
      <c r="H318" s="45">
        <v>0</v>
      </c>
      <c r="I318" s="46" t="s">
        <v>143</v>
      </c>
      <c r="J318" s="46" t="s">
        <v>84</v>
      </c>
    </row>
    <row r="319" spans="1:10" ht="13.15" x14ac:dyDescent="0.4">
      <c r="A319" s="43" t="s">
        <v>88</v>
      </c>
      <c r="B319" s="44">
        <v>1231212066</v>
      </c>
      <c r="C319" s="44">
        <v>1231212066</v>
      </c>
      <c r="D319" s="45">
        <v>0</v>
      </c>
      <c r="E319" s="44">
        <v>265864980</v>
      </c>
      <c r="F319" s="44">
        <v>265864980</v>
      </c>
      <c r="G319" s="44">
        <v>965347086</v>
      </c>
      <c r="H319" s="45">
        <v>0</v>
      </c>
      <c r="I319" s="46" t="s">
        <v>143</v>
      </c>
      <c r="J319" s="46" t="s">
        <v>84</v>
      </c>
    </row>
    <row r="320" spans="1:10" ht="13.15" x14ac:dyDescent="0.4">
      <c r="A320" s="43" t="s">
        <v>89</v>
      </c>
      <c r="B320" s="44">
        <v>53436119</v>
      </c>
      <c r="C320" s="44">
        <v>53436119</v>
      </c>
      <c r="D320" s="45">
        <v>0</v>
      </c>
      <c r="E320" s="44">
        <v>16027429</v>
      </c>
      <c r="F320" s="44">
        <v>16027429</v>
      </c>
      <c r="G320" s="44">
        <v>37408690</v>
      </c>
      <c r="H320" s="45">
        <v>0</v>
      </c>
      <c r="I320" s="46" t="s">
        <v>143</v>
      </c>
      <c r="J320" s="46" t="s">
        <v>84</v>
      </c>
    </row>
    <row r="321" spans="1:10" ht="13.15" x14ac:dyDescent="0.4">
      <c r="A321" s="43" t="s">
        <v>90</v>
      </c>
      <c r="B321" s="44">
        <v>1449712379</v>
      </c>
      <c r="C321" s="44">
        <v>1449712379</v>
      </c>
      <c r="D321" s="45">
        <v>0</v>
      </c>
      <c r="E321" s="44">
        <v>296580473</v>
      </c>
      <c r="F321" s="44">
        <v>296580473</v>
      </c>
      <c r="G321" s="44">
        <v>1153131906</v>
      </c>
      <c r="H321" s="45">
        <v>0</v>
      </c>
      <c r="I321" s="46" t="s">
        <v>143</v>
      </c>
      <c r="J321" s="46" t="s">
        <v>84</v>
      </c>
    </row>
    <row r="322" spans="1:10" ht="13.15" x14ac:dyDescent="0.4">
      <c r="A322" s="43" t="s">
        <v>91</v>
      </c>
      <c r="B322" s="44">
        <v>4400672</v>
      </c>
      <c r="C322" s="44">
        <v>4400672</v>
      </c>
      <c r="D322" s="45">
        <v>0</v>
      </c>
      <c r="E322" s="45">
        <v>0</v>
      </c>
      <c r="F322" s="45">
        <v>0</v>
      </c>
      <c r="G322" s="44">
        <v>4400672</v>
      </c>
      <c r="H322" s="45">
        <v>0</v>
      </c>
      <c r="I322" s="46" t="s">
        <v>143</v>
      </c>
      <c r="J322" s="46" t="s">
        <v>84</v>
      </c>
    </row>
    <row r="323" spans="1:10" ht="13.15" x14ac:dyDescent="0.4">
      <c r="A323" s="47" t="s">
        <v>144</v>
      </c>
      <c r="B323" s="48">
        <v>30714576460</v>
      </c>
      <c r="C323" s="48">
        <v>30454436960</v>
      </c>
      <c r="D323" s="48">
        <v>6946494139</v>
      </c>
      <c r="E323" s="48">
        <v>4476958773</v>
      </c>
      <c r="F323" s="48">
        <v>11423452912</v>
      </c>
      <c r="G323" s="48">
        <v>19030984048</v>
      </c>
      <c r="H323" s="48">
        <v>260139500</v>
      </c>
      <c r="I323" s="49" t="s">
        <v>143</v>
      </c>
      <c r="J323" s="49" t="e">
        <v>#N/A</v>
      </c>
    </row>
    <row r="324" spans="1:10" ht="13.15" x14ac:dyDescent="0.4">
      <c r="A324" s="43" t="s">
        <v>59</v>
      </c>
      <c r="B324" s="44">
        <v>13755471000</v>
      </c>
      <c r="C324" s="44">
        <v>13755471000</v>
      </c>
      <c r="D324" s="44">
        <v>13000512555</v>
      </c>
      <c r="E324" s="44">
        <v>704812500</v>
      </c>
      <c r="F324" s="44">
        <v>13705325055</v>
      </c>
      <c r="G324" s="44">
        <v>50145945</v>
      </c>
      <c r="H324" s="45">
        <v>0</v>
      </c>
      <c r="I324" s="46" t="s">
        <v>145</v>
      </c>
      <c r="J324" s="46" t="s">
        <v>9</v>
      </c>
    </row>
    <row r="325" spans="1:10" ht="13.15" x14ac:dyDescent="0.4">
      <c r="A325" s="43" t="s">
        <v>63</v>
      </c>
      <c r="B325" s="44">
        <v>2948978291</v>
      </c>
      <c r="C325" s="44">
        <v>2948978291</v>
      </c>
      <c r="D325" s="44">
        <v>2788546174</v>
      </c>
      <c r="E325" s="44">
        <v>48872950</v>
      </c>
      <c r="F325" s="44">
        <v>2837419124</v>
      </c>
      <c r="G325" s="44">
        <v>111559167</v>
      </c>
      <c r="H325" s="45">
        <v>0</v>
      </c>
      <c r="I325" s="46" t="s">
        <v>145</v>
      </c>
      <c r="J325" s="46" t="s">
        <v>9</v>
      </c>
    </row>
    <row r="326" spans="1:10" ht="13.15" x14ac:dyDescent="0.4">
      <c r="A326" s="43" t="s">
        <v>101</v>
      </c>
      <c r="B326" s="44">
        <v>447807006</v>
      </c>
      <c r="C326" s="44">
        <v>447807006</v>
      </c>
      <c r="D326" s="45">
        <v>0</v>
      </c>
      <c r="E326" s="45">
        <v>0</v>
      </c>
      <c r="F326" s="45">
        <v>0</v>
      </c>
      <c r="G326" s="44">
        <v>447807006</v>
      </c>
      <c r="H326" s="45">
        <v>0</v>
      </c>
      <c r="I326" s="46" t="s">
        <v>145</v>
      </c>
      <c r="J326" s="46" t="s">
        <v>9</v>
      </c>
    </row>
    <row r="327" spans="1:10" ht="13.15" x14ac:dyDescent="0.4">
      <c r="A327" s="43" t="s">
        <v>102</v>
      </c>
      <c r="B327" s="44">
        <v>1880742104</v>
      </c>
      <c r="C327" s="44">
        <v>1880742104</v>
      </c>
      <c r="D327" s="44">
        <v>1372331214</v>
      </c>
      <c r="E327" s="44">
        <v>11250900</v>
      </c>
      <c r="F327" s="44">
        <v>1383582114</v>
      </c>
      <c r="G327" s="44">
        <v>497159990</v>
      </c>
      <c r="H327" s="45">
        <v>0</v>
      </c>
      <c r="I327" s="46" t="s">
        <v>145</v>
      </c>
      <c r="J327" s="46" t="s">
        <v>9</v>
      </c>
    </row>
    <row r="328" spans="1:10" ht="13.15" x14ac:dyDescent="0.4">
      <c r="A328" s="43" t="s">
        <v>64</v>
      </c>
      <c r="B328" s="44">
        <v>213056448</v>
      </c>
      <c r="C328" s="44">
        <v>213056448</v>
      </c>
      <c r="D328" s="44">
        <v>33060600</v>
      </c>
      <c r="E328" s="45">
        <v>0</v>
      </c>
      <c r="F328" s="44">
        <v>33060600</v>
      </c>
      <c r="G328" s="44">
        <v>179995848</v>
      </c>
      <c r="H328" s="45">
        <v>0</v>
      </c>
      <c r="I328" s="46" t="s">
        <v>145</v>
      </c>
      <c r="J328" s="46" t="s">
        <v>9</v>
      </c>
    </row>
    <row r="329" spans="1:10" ht="13.15" x14ac:dyDescent="0.4">
      <c r="A329" s="43" t="s">
        <v>65</v>
      </c>
      <c r="B329" s="44">
        <v>687000000</v>
      </c>
      <c r="C329" s="44">
        <v>687000000</v>
      </c>
      <c r="D329" s="45">
        <v>0</v>
      </c>
      <c r="E329" s="44">
        <v>141841100</v>
      </c>
      <c r="F329" s="44">
        <v>141841100</v>
      </c>
      <c r="G329" s="44">
        <v>545158900</v>
      </c>
      <c r="H329" s="45">
        <v>0</v>
      </c>
      <c r="I329" s="46" t="s">
        <v>145</v>
      </c>
      <c r="J329" s="46" t="s">
        <v>9</v>
      </c>
    </row>
    <row r="330" spans="1:10" ht="13.15" x14ac:dyDescent="0.4">
      <c r="A330" s="43" t="s">
        <v>66</v>
      </c>
      <c r="B330" s="44">
        <v>2791999194</v>
      </c>
      <c r="C330" s="44">
        <v>2791999194</v>
      </c>
      <c r="D330" s="44">
        <v>562101045</v>
      </c>
      <c r="E330" s="44">
        <v>136757380</v>
      </c>
      <c r="F330" s="44">
        <v>698858425</v>
      </c>
      <c r="G330" s="44">
        <v>2093140769</v>
      </c>
      <c r="H330" s="45">
        <v>0</v>
      </c>
      <c r="I330" s="46" t="s">
        <v>145</v>
      </c>
      <c r="J330" s="46" t="s">
        <v>9</v>
      </c>
    </row>
    <row r="331" spans="1:10" ht="13.15" x14ac:dyDescent="0.4">
      <c r="A331" s="43" t="s">
        <v>67</v>
      </c>
      <c r="B331" s="44">
        <v>1660344000</v>
      </c>
      <c r="C331" s="44">
        <v>1660344000</v>
      </c>
      <c r="D331" s="44">
        <v>370874500</v>
      </c>
      <c r="E331" s="44">
        <v>291015788</v>
      </c>
      <c r="F331" s="44">
        <v>661890288</v>
      </c>
      <c r="G331" s="44">
        <v>998453712</v>
      </c>
      <c r="H331" s="45">
        <v>0</v>
      </c>
      <c r="I331" s="46" t="s">
        <v>145</v>
      </c>
      <c r="J331" s="46" t="s">
        <v>9</v>
      </c>
    </row>
    <row r="332" spans="1:10" ht="13.15" x14ac:dyDescent="0.4">
      <c r="A332" s="43" t="s">
        <v>103</v>
      </c>
      <c r="B332" s="44">
        <v>327155000</v>
      </c>
      <c r="C332" s="44">
        <v>327155000</v>
      </c>
      <c r="D332" s="44">
        <v>67275600</v>
      </c>
      <c r="E332" s="45">
        <v>0</v>
      </c>
      <c r="F332" s="44">
        <v>67275600</v>
      </c>
      <c r="G332" s="44">
        <v>259879400</v>
      </c>
      <c r="H332" s="45">
        <v>0</v>
      </c>
      <c r="I332" s="46" t="s">
        <v>145</v>
      </c>
      <c r="J332" s="46" t="s">
        <v>9</v>
      </c>
    </row>
    <row r="333" spans="1:10" ht="13.15" x14ac:dyDescent="0.4">
      <c r="A333" s="43" t="s">
        <v>104</v>
      </c>
      <c r="B333" s="44">
        <v>831375509</v>
      </c>
      <c r="C333" s="44">
        <v>831375509</v>
      </c>
      <c r="D333" s="44">
        <v>345662595</v>
      </c>
      <c r="E333" s="45">
        <v>0</v>
      </c>
      <c r="F333" s="44">
        <v>345662595</v>
      </c>
      <c r="G333" s="44">
        <v>485712914</v>
      </c>
      <c r="H333" s="45">
        <v>0</v>
      </c>
      <c r="I333" s="46" t="s">
        <v>145</v>
      </c>
      <c r="J333" s="46" t="s">
        <v>9</v>
      </c>
    </row>
    <row r="334" spans="1:10" ht="13.15" x14ac:dyDescent="0.4">
      <c r="A334" s="43" t="s">
        <v>106</v>
      </c>
      <c r="B334" s="44">
        <v>1039505000</v>
      </c>
      <c r="C334" s="44">
        <v>1039505000</v>
      </c>
      <c r="D334" s="44">
        <v>648860000</v>
      </c>
      <c r="E334" s="44">
        <v>370560000</v>
      </c>
      <c r="F334" s="44">
        <v>1019420000</v>
      </c>
      <c r="G334" s="44">
        <v>20085000</v>
      </c>
      <c r="H334" s="45">
        <v>0</v>
      </c>
      <c r="I334" s="46" t="s">
        <v>145</v>
      </c>
      <c r="J334" s="46" t="s">
        <v>9</v>
      </c>
    </row>
    <row r="335" spans="1:10" ht="13.15" x14ac:dyDescent="0.4">
      <c r="A335" s="43" t="s">
        <v>134</v>
      </c>
      <c r="B335" s="44">
        <v>600000000</v>
      </c>
      <c r="C335" s="44">
        <v>600000000</v>
      </c>
      <c r="D335" s="45">
        <v>0</v>
      </c>
      <c r="E335" s="45">
        <v>0</v>
      </c>
      <c r="F335" s="45">
        <v>0</v>
      </c>
      <c r="G335" s="44">
        <v>600000000</v>
      </c>
      <c r="H335" s="45">
        <v>0</v>
      </c>
      <c r="I335" s="46" t="s">
        <v>145</v>
      </c>
      <c r="J335" s="46" t="s">
        <v>21</v>
      </c>
    </row>
    <row r="336" spans="1:10" ht="13.15" x14ac:dyDescent="0.4">
      <c r="A336" s="43" t="s">
        <v>110</v>
      </c>
      <c r="B336" s="44">
        <v>1000000000</v>
      </c>
      <c r="C336" s="44">
        <v>1000000000</v>
      </c>
      <c r="D336" s="45">
        <v>0</v>
      </c>
      <c r="E336" s="45">
        <v>0</v>
      </c>
      <c r="F336" s="45">
        <v>0</v>
      </c>
      <c r="G336" s="44">
        <v>1000000000</v>
      </c>
      <c r="H336" s="45">
        <v>0</v>
      </c>
      <c r="I336" s="46" t="s">
        <v>145</v>
      </c>
      <c r="J336" s="46" t="s">
        <v>21</v>
      </c>
    </row>
    <row r="337" spans="1:10" ht="13.15" x14ac:dyDescent="0.4">
      <c r="A337" s="43" t="s">
        <v>73</v>
      </c>
      <c r="B337" s="44">
        <v>200000000</v>
      </c>
      <c r="C337" s="44">
        <v>150000000</v>
      </c>
      <c r="D337" s="45">
        <v>0</v>
      </c>
      <c r="E337" s="45">
        <v>0</v>
      </c>
      <c r="F337" s="45">
        <v>0</v>
      </c>
      <c r="G337" s="44">
        <v>150000000</v>
      </c>
      <c r="H337" s="44">
        <v>50000000</v>
      </c>
      <c r="I337" s="46" t="s">
        <v>145</v>
      </c>
      <c r="J337" s="46" t="s">
        <v>23</v>
      </c>
    </row>
    <row r="338" spans="1:10" ht="13.15" x14ac:dyDescent="0.4">
      <c r="A338" s="43" t="s">
        <v>111</v>
      </c>
      <c r="B338" s="44">
        <v>141550000</v>
      </c>
      <c r="C338" s="44">
        <v>141550000</v>
      </c>
      <c r="D338" s="45">
        <v>0</v>
      </c>
      <c r="E338" s="44">
        <v>28052000</v>
      </c>
      <c r="F338" s="44">
        <v>28052000</v>
      </c>
      <c r="G338" s="44">
        <v>113498000</v>
      </c>
      <c r="H338" s="45">
        <v>0</v>
      </c>
      <c r="I338" s="46" t="s">
        <v>145</v>
      </c>
      <c r="J338" s="46" t="s">
        <v>22</v>
      </c>
    </row>
    <row r="339" spans="1:10" ht="13.15" x14ac:dyDescent="0.4">
      <c r="A339" s="43" t="s">
        <v>112</v>
      </c>
      <c r="B339" s="44">
        <v>2911760000</v>
      </c>
      <c r="C339" s="44">
        <v>2911760000</v>
      </c>
      <c r="D339" s="44">
        <v>456770</v>
      </c>
      <c r="E339" s="44">
        <v>600310622</v>
      </c>
      <c r="F339" s="44">
        <v>600767392</v>
      </c>
      <c r="G339" s="44">
        <v>2310992608</v>
      </c>
      <c r="H339" s="45">
        <v>0</v>
      </c>
      <c r="I339" s="46" t="s">
        <v>145</v>
      </c>
      <c r="J339" s="46" t="s">
        <v>26</v>
      </c>
    </row>
    <row r="340" spans="1:10" ht="13.15" x14ac:dyDescent="0.4">
      <c r="A340" s="43" t="s">
        <v>76</v>
      </c>
      <c r="B340" s="44">
        <v>180000000</v>
      </c>
      <c r="C340" s="44">
        <v>135000000</v>
      </c>
      <c r="D340" s="44">
        <v>23940000</v>
      </c>
      <c r="E340" s="44">
        <v>13464500</v>
      </c>
      <c r="F340" s="44">
        <v>37404500</v>
      </c>
      <c r="G340" s="44">
        <v>97595500</v>
      </c>
      <c r="H340" s="44">
        <v>45000000</v>
      </c>
      <c r="I340" s="46" t="s">
        <v>145</v>
      </c>
      <c r="J340" s="46" t="s">
        <v>25</v>
      </c>
    </row>
    <row r="341" spans="1:10" ht="13.15" x14ac:dyDescent="0.4">
      <c r="A341" s="43" t="s">
        <v>77</v>
      </c>
      <c r="B341" s="44">
        <v>761439700</v>
      </c>
      <c r="C341" s="44">
        <v>571079775</v>
      </c>
      <c r="D341" s="44">
        <v>21171800</v>
      </c>
      <c r="E341" s="44">
        <v>60451850</v>
      </c>
      <c r="F341" s="44">
        <v>81623650</v>
      </c>
      <c r="G341" s="44">
        <v>489456125</v>
      </c>
      <c r="H341" s="44">
        <v>190359925</v>
      </c>
      <c r="I341" s="46" t="s">
        <v>145</v>
      </c>
      <c r="J341" s="46" t="s">
        <v>25</v>
      </c>
    </row>
    <row r="342" spans="1:10" ht="13.15" x14ac:dyDescent="0.4">
      <c r="A342" s="43" t="s">
        <v>78</v>
      </c>
      <c r="B342" s="44">
        <v>99900000</v>
      </c>
      <c r="C342" s="44">
        <v>99900000</v>
      </c>
      <c r="D342" s="45">
        <v>0</v>
      </c>
      <c r="E342" s="44">
        <v>18500000</v>
      </c>
      <c r="F342" s="44">
        <v>18500000</v>
      </c>
      <c r="G342" s="44">
        <v>81400000</v>
      </c>
      <c r="H342" s="45">
        <v>0</v>
      </c>
      <c r="I342" s="46" t="s">
        <v>145</v>
      </c>
      <c r="J342" s="46" t="s">
        <v>25</v>
      </c>
    </row>
    <row r="343" spans="1:10" ht="13.15" x14ac:dyDescent="0.4">
      <c r="A343" s="43" t="s">
        <v>79</v>
      </c>
      <c r="B343" s="44">
        <v>616500000</v>
      </c>
      <c r="C343" s="44">
        <v>462375000</v>
      </c>
      <c r="D343" s="44">
        <v>16504900</v>
      </c>
      <c r="E343" s="44">
        <v>3022770</v>
      </c>
      <c r="F343" s="44">
        <v>19527670</v>
      </c>
      <c r="G343" s="44">
        <v>442847330</v>
      </c>
      <c r="H343" s="44">
        <v>154125000</v>
      </c>
      <c r="I343" s="46" t="s">
        <v>145</v>
      </c>
      <c r="J343" s="46" t="s">
        <v>25</v>
      </c>
    </row>
    <row r="344" spans="1:10" ht="13.15" x14ac:dyDescent="0.4">
      <c r="A344" s="43" t="s">
        <v>81</v>
      </c>
      <c r="B344" s="44">
        <v>347400000</v>
      </c>
      <c r="C344" s="44">
        <v>260550000</v>
      </c>
      <c r="D344" s="45">
        <v>0</v>
      </c>
      <c r="E344" s="44">
        <v>52841500</v>
      </c>
      <c r="F344" s="44">
        <v>52841500</v>
      </c>
      <c r="G344" s="44">
        <v>207708500</v>
      </c>
      <c r="H344" s="44">
        <v>86850000</v>
      </c>
      <c r="I344" s="46" t="s">
        <v>145</v>
      </c>
      <c r="J344" s="46" t="s">
        <v>25</v>
      </c>
    </row>
    <row r="345" spans="1:10" ht="13.15" x14ac:dyDescent="0.4">
      <c r="A345" s="43" t="s">
        <v>137</v>
      </c>
      <c r="B345" s="44">
        <v>6000000</v>
      </c>
      <c r="C345" s="44">
        <v>6000000</v>
      </c>
      <c r="D345" s="44">
        <v>384315</v>
      </c>
      <c r="E345" s="45">
        <v>0</v>
      </c>
      <c r="F345" s="44">
        <v>384315</v>
      </c>
      <c r="G345" s="44">
        <v>5615685</v>
      </c>
      <c r="H345" s="45">
        <v>0</v>
      </c>
      <c r="I345" s="46" t="s">
        <v>145</v>
      </c>
      <c r="J345" s="46" t="s">
        <v>25</v>
      </c>
    </row>
    <row r="346" spans="1:10" ht="13.15" x14ac:dyDescent="0.4">
      <c r="A346" s="43" t="s">
        <v>82</v>
      </c>
      <c r="B346" s="44">
        <v>56157000</v>
      </c>
      <c r="C346" s="44">
        <v>56157000</v>
      </c>
      <c r="D346" s="45">
        <v>0</v>
      </c>
      <c r="E346" s="44">
        <v>15178108</v>
      </c>
      <c r="F346" s="44">
        <v>15178108</v>
      </c>
      <c r="G346" s="44">
        <v>40978892</v>
      </c>
      <c r="H346" s="45">
        <v>0</v>
      </c>
      <c r="I346" s="46" t="s">
        <v>145</v>
      </c>
      <c r="J346" s="46" t="s">
        <v>25</v>
      </c>
    </row>
    <row r="347" spans="1:10" ht="13.15" x14ac:dyDescent="0.4">
      <c r="A347" s="43" t="s">
        <v>83</v>
      </c>
      <c r="B347" s="44">
        <v>10714916013</v>
      </c>
      <c r="C347" s="44">
        <v>10714916013</v>
      </c>
      <c r="D347" s="45">
        <v>0</v>
      </c>
      <c r="E347" s="44">
        <v>2418475680</v>
      </c>
      <c r="F347" s="44">
        <v>2418475680</v>
      </c>
      <c r="G347" s="44">
        <v>8296440333</v>
      </c>
      <c r="H347" s="45">
        <v>0</v>
      </c>
      <c r="I347" s="46" t="s">
        <v>145</v>
      </c>
      <c r="J347" s="46" t="s">
        <v>84</v>
      </c>
    </row>
    <row r="348" spans="1:10" ht="13.15" x14ac:dyDescent="0.4">
      <c r="A348" s="43" t="s">
        <v>85</v>
      </c>
      <c r="B348" s="44">
        <v>275820432</v>
      </c>
      <c r="C348" s="44">
        <v>275820432</v>
      </c>
      <c r="D348" s="45">
        <v>0</v>
      </c>
      <c r="E348" s="44">
        <v>67826565</v>
      </c>
      <c r="F348" s="44">
        <v>67826565</v>
      </c>
      <c r="G348" s="44">
        <v>207993867</v>
      </c>
      <c r="H348" s="45">
        <v>0</v>
      </c>
      <c r="I348" s="46" t="s">
        <v>145</v>
      </c>
      <c r="J348" s="46" t="s">
        <v>84</v>
      </c>
    </row>
    <row r="349" spans="1:10" ht="13.15" x14ac:dyDescent="0.4">
      <c r="A349" s="43" t="s">
        <v>86</v>
      </c>
      <c r="B349" s="44">
        <v>10532164202</v>
      </c>
      <c r="C349" s="44">
        <v>10532164202</v>
      </c>
      <c r="D349" s="45">
        <v>0</v>
      </c>
      <c r="E349" s="44">
        <v>2166137804</v>
      </c>
      <c r="F349" s="44">
        <v>2166137804</v>
      </c>
      <c r="G349" s="44">
        <v>8366026398</v>
      </c>
      <c r="H349" s="45">
        <v>0</v>
      </c>
      <c r="I349" s="46" t="s">
        <v>145</v>
      </c>
      <c r="J349" s="46" t="s">
        <v>84</v>
      </c>
    </row>
    <row r="350" spans="1:10" ht="13.15" x14ac:dyDescent="0.4">
      <c r="A350" s="43" t="s">
        <v>87</v>
      </c>
      <c r="B350" s="44">
        <v>59959158</v>
      </c>
      <c r="C350" s="44">
        <v>59959158</v>
      </c>
      <c r="D350" s="45">
        <v>0</v>
      </c>
      <c r="E350" s="45">
        <v>0</v>
      </c>
      <c r="F350" s="45">
        <v>0</v>
      </c>
      <c r="G350" s="44">
        <v>59959158</v>
      </c>
      <c r="H350" s="45">
        <v>0</v>
      </c>
      <c r="I350" s="46" t="s">
        <v>145</v>
      </c>
      <c r="J350" s="46" t="s">
        <v>84</v>
      </c>
    </row>
    <row r="351" spans="1:10" ht="13.15" x14ac:dyDescent="0.4">
      <c r="A351" s="43" t="s">
        <v>88</v>
      </c>
      <c r="B351" s="44">
        <v>1291594645</v>
      </c>
      <c r="C351" s="44">
        <v>1291594645</v>
      </c>
      <c r="D351" s="45">
        <v>0</v>
      </c>
      <c r="E351" s="44">
        <v>264207424</v>
      </c>
      <c r="F351" s="44">
        <v>264207424</v>
      </c>
      <c r="G351" s="44">
        <v>1027387221</v>
      </c>
      <c r="H351" s="45">
        <v>0</v>
      </c>
      <c r="I351" s="46" t="s">
        <v>145</v>
      </c>
      <c r="J351" s="46" t="s">
        <v>84</v>
      </c>
    </row>
    <row r="352" spans="1:10" ht="13.15" x14ac:dyDescent="0.4">
      <c r="A352" s="43" t="s">
        <v>89</v>
      </c>
      <c r="B352" s="44">
        <v>47410746</v>
      </c>
      <c r="C352" s="44">
        <v>47410746</v>
      </c>
      <c r="D352" s="45">
        <v>0</v>
      </c>
      <c r="E352" s="44">
        <v>11690406</v>
      </c>
      <c r="F352" s="44">
        <v>11690406</v>
      </c>
      <c r="G352" s="44">
        <v>35720340</v>
      </c>
      <c r="H352" s="45">
        <v>0</v>
      </c>
      <c r="I352" s="46" t="s">
        <v>145</v>
      </c>
      <c r="J352" s="46" t="s">
        <v>84</v>
      </c>
    </row>
    <row r="353" spans="1:10" ht="13.15" x14ac:dyDescent="0.4">
      <c r="A353" s="43" t="s">
        <v>90</v>
      </c>
      <c r="B353" s="44">
        <v>1523018104</v>
      </c>
      <c r="C353" s="44">
        <v>1523018104</v>
      </c>
      <c r="D353" s="45">
        <v>0</v>
      </c>
      <c r="E353" s="44">
        <v>316534045</v>
      </c>
      <c r="F353" s="44">
        <v>316534045</v>
      </c>
      <c r="G353" s="44">
        <v>1206484059</v>
      </c>
      <c r="H353" s="45">
        <v>0</v>
      </c>
      <c r="I353" s="46" t="s">
        <v>145</v>
      </c>
      <c r="J353" s="46" t="s">
        <v>84</v>
      </c>
    </row>
    <row r="354" spans="1:10" ht="13.15" x14ac:dyDescent="0.4">
      <c r="A354" s="43" t="s">
        <v>91</v>
      </c>
      <c r="B354" s="44">
        <v>4400672</v>
      </c>
      <c r="C354" s="44">
        <v>4400672</v>
      </c>
      <c r="D354" s="45">
        <v>0</v>
      </c>
      <c r="E354" s="45">
        <v>0</v>
      </c>
      <c r="F354" s="45">
        <v>0</v>
      </c>
      <c r="G354" s="44">
        <v>4400672</v>
      </c>
      <c r="H354" s="45">
        <v>0</v>
      </c>
      <c r="I354" s="46" t="s">
        <v>145</v>
      </c>
      <c r="J354" s="46" t="s">
        <v>84</v>
      </c>
    </row>
    <row r="355" spans="1:10" ht="13.15" x14ac:dyDescent="0.4">
      <c r="A355" s="47" t="s">
        <v>146</v>
      </c>
      <c r="B355" s="48">
        <v>57953424224</v>
      </c>
      <c r="C355" s="48">
        <v>57427089299</v>
      </c>
      <c r="D355" s="48">
        <v>19251682068</v>
      </c>
      <c r="E355" s="48">
        <v>7741803892</v>
      </c>
      <c r="F355" s="48">
        <v>26993485960</v>
      </c>
      <c r="G355" s="48">
        <v>30433603339</v>
      </c>
      <c r="H355" s="48">
        <v>526334925</v>
      </c>
      <c r="I355" s="49" t="s">
        <v>145</v>
      </c>
      <c r="J355" s="49" t="e">
        <v>#N/A</v>
      </c>
    </row>
    <row r="356" spans="1:10" ht="13.15" x14ac:dyDescent="0.4">
      <c r="A356" s="43" t="s">
        <v>59</v>
      </c>
      <c r="B356" s="44">
        <v>3291324000</v>
      </c>
      <c r="C356" s="44">
        <v>3291324000</v>
      </c>
      <c r="D356" s="44">
        <v>461205000</v>
      </c>
      <c r="E356" s="45">
        <v>0</v>
      </c>
      <c r="F356" s="44">
        <v>461205000</v>
      </c>
      <c r="G356" s="44">
        <v>2830119000</v>
      </c>
      <c r="H356" s="45">
        <v>0</v>
      </c>
      <c r="I356" s="46" t="s">
        <v>147</v>
      </c>
      <c r="J356" s="46" t="s">
        <v>9</v>
      </c>
    </row>
    <row r="357" spans="1:10" ht="13.15" x14ac:dyDescent="0.4">
      <c r="A357" s="43" t="s">
        <v>101</v>
      </c>
      <c r="B357" s="44">
        <v>1891862000</v>
      </c>
      <c r="C357" s="44">
        <v>1891862000</v>
      </c>
      <c r="D357" s="45">
        <v>0</v>
      </c>
      <c r="E357" s="45">
        <v>0</v>
      </c>
      <c r="F357" s="45">
        <v>0</v>
      </c>
      <c r="G357" s="44">
        <v>1891862000</v>
      </c>
      <c r="H357" s="45">
        <v>0</v>
      </c>
      <c r="I357" s="46" t="s">
        <v>147</v>
      </c>
      <c r="J357" s="46" t="s">
        <v>9</v>
      </c>
    </row>
    <row r="358" spans="1:10" ht="13.15" x14ac:dyDescent="0.4">
      <c r="A358" s="43" t="s">
        <v>102</v>
      </c>
      <c r="B358" s="44">
        <v>2244807000</v>
      </c>
      <c r="C358" s="44">
        <v>2244807000</v>
      </c>
      <c r="D358" s="44">
        <v>137918578</v>
      </c>
      <c r="E358" s="44">
        <v>137784161</v>
      </c>
      <c r="F358" s="44">
        <v>275702739</v>
      </c>
      <c r="G358" s="44">
        <v>1969104261</v>
      </c>
      <c r="H358" s="45">
        <v>0</v>
      </c>
      <c r="I358" s="46" t="s">
        <v>147</v>
      </c>
      <c r="J358" s="46" t="s">
        <v>9</v>
      </c>
    </row>
    <row r="359" spans="1:10" ht="13.15" x14ac:dyDescent="0.4">
      <c r="A359" s="43" t="s">
        <v>64</v>
      </c>
      <c r="B359" s="44">
        <v>149777000</v>
      </c>
      <c r="C359" s="44">
        <v>149777000</v>
      </c>
      <c r="D359" s="44">
        <v>3421001</v>
      </c>
      <c r="E359" s="45">
        <v>0</v>
      </c>
      <c r="F359" s="44">
        <v>3421001</v>
      </c>
      <c r="G359" s="44">
        <v>146355999</v>
      </c>
      <c r="H359" s="45">
        <v>0</v>
      </c>
      <c r="I359" s="46" t="s">
        <v>147</v>
      </c>
      <c r="J359" s="46" t="s">
        <v>9</v>
      </c>
    </row>
    <row r="360" spans="1:10" ht="13.15" x14ac:dyDescent="0.4">
      <c r="A360" s="43" t="s">
        <v>65</v>
      </c>
      <c r="B360" s="44">
        <v>33248000</v>
      </c>
      <c r="C360" s="44">
        <v>33248000</v>
      </c>
      <c r="D360" s="45">
        <v>0</v>
      </c>
      <c r="E360" s="44">
        <v>16623760</v>
      </c>
      <c r="F360" s="44">
        <v>16623760</v>
      </c>
      <c r="G360" s="44">
        <v>16624240</v>
      </c>
      <c r="H360" s="45">
        <v>0</v>
      </c>
      <c r="I360" s="46" t="s">
        <v>147</v>
      </c>
      <c r="J360" s="46" t="s">
        <v>9</v>
      </c>
    </row>
    <row r="361" spans="1:10" ht="13.15" x14ac:dyDescent="0.4">
      <c r="A361" s="43" t="s">
        <v>66</v>
      </c>
      <c r="B361" s="44">
        <v>1044737000</v>
      </c>
      <c r="C361" s="44">
        <v>1044737000</v>
      </c>
      <c r="D361" s="44">
        <v>81692227</v>
      </c>
      <c r="E361" s="44">
        <v>111815443</v>
      </c>
      <c r="F361" s="44">
        <v>193507670</v>
      </c>
      <c r="G361" s="44">
        <v>851229330</v>
      </c>
      <c r="H361" s="45">
        <v>0</v>
      </c>
      <c r="I361" s="46" t="s">
        <v>147</v>
      </c>
      <c r="J361" s="46" t="s">
        <v>9</v>
      </c>
    </row>
    <row r="362" spans="1:10" ht="13.15" x14ac:dyDescent="0.4">
      <c r="A362" s="43" t="s">
        <v>67</v>
      </c>
      <c r="B362" s="44">
        <v>1400000000</v>
      </c>
      <c r="C362" s="44">
        <v>1400000000</v>
      </c>
      <c r="D362" s="44">
        <v>20715500</v>
      </c>
      <c r="E362" s="44">
        <v>152012550</v>
      </c>
      <c r="F362" s="44">
        <v>172728050</v>
      </c>
      <c r="G362" s="44">
        <v>1227271950</v>
      </c>
      <c r="H362" s="45">
        <v>0</v>
      </c>
      <c r="I362" s="46" t="s">
        <v>147</v>
      </c>
      <c r="J362" s="46" t="s">
        <v>9</v>
      </c>
    </row>
    <row r="363" spans="1:10" ht="13.15" x14ac:dyDescent="0.4">
      <c r="A363" s="43" t="s">
        <v>103</v>
      </c>
      <c r="B363" s="44">
        <v>290550000</v>
      </c>
      <c r="C363" s="44">
        <v>290550000</v>
      </c>
      <c r="D363" s="45">
        <v>0</v>
      </c>
      <c r="E363" s="45">
        <v>0</v>
      </c>
      <c r="F363" s="45">
        <v>0</v>
      </c>
      <c r="G363" s="44">
        <v>290550000</v>
      </c>
      <c r="H363" s="45">
        <v>0</v>
      </c>
      <c r="I363" s="46" t="s">
        <v>147</v>
      </c>
      <c r="J363" s="46" t="s">
        <v>9</v>
      </c>
    </row>
    <row r="364" spans="1:10" ht="13.15" x14ac:dyDescent="0.4">
      <c r="A364" s="43" t="s">
        <v>104</v>
      </c>
      <c r="B364" s="44">
        <v>306429000</v>
      </c>
      <c r="C364" s="44">
        <v>306429000</v>
      </c>
      <c r="D364" s="45">
        <v>0</v>
      </c>
      <c r="E364" s="45">
        <v>0</v>
      </c>
      <c r="F364" s="45">
        <v>0</v>
      </c>
      <c r="G364" s="44">
        <v>306429000</v>
      </c>
      <c r="H364" s="45">
        <v>0</v>
      </c>
      <c r="I364" s="46" t="s">
        <v>147</v>
      </c>
      <c r="J364" s="46" t="s">
        <v>9</v>
      </c>
    </row>
    <row r="365" spans="1:10" ht="13.15" x14ac:dyDescent="0.4">
      <c r="A365" s="43" t="s">
        <v>106</v>
      </c>
      <c r="B365" s="44">
        <v>470200000</v>
      </c>
      <c r="C365" s="44">
        <v>470200000</v>
      </c>
      <c r="D365" s="45">
        <v>0</v>
      </c>
      <c r="E365" s="44">
        <v>3229600</v>
      </c>
      <c r="F365" s="44">
        <v>3229600</v>
      </c>
      <c r="G365" s="44">
        <v>466970400</v>
      </c>
      <c r="H365" s="45">
        <v>0</v>
      </c>
      <c r="I365" s="46" t="s">
        <v>147</v>
      </c>
      <c r="J365" s="46" t="s">
        <v>9</v>
      </c>
    </row>
    <row r="366" spans="1:10" ht="13.15" x14ac:dyDescent="0.4">
      <c r="A366" s="43" t="s">
        <v>110</v>
      </c>
      <c r="B366" s="44">
        <v>200000000</v>
      </c>
      <c r="C366" s="44">
        <v>200000000</v>
      </c>
      <c r="D366" s="45">
        <v>0</v>
      </c>
      <c r="E366" s="45">
        <v>0</v>
      </c>
      <c r="F366" s="45">
        <v>0</v>
      </c>
      <c r="G366" s="44">
        <v>200000000</v>
      </c>
      <c r="H366" s="45">
        <v>0</v>
      </c>
      <c r="I366" s="46" t="s">
        <v>147</v>
      </c>
      <c r="J366" s="46" t="s">
        <v>21</v>
      </c>
    </row>
    <row r="367" spans="1:10" ht="13.15" x14ac:dyDescent="0.4">
      <c r="A367" s="43" t="s">
        <v>73</v>
      </c>
      <c r="B367" s="44">
        <v>110000000</v>
      </c>
      <c r="C367" s="44">
        <v>82500000</v>
      </c>
      <c r="D367" s="44">
        <v>11000000</v>
      </c>
      <c r="E367" s="45">
        <v>0</v>
      </c>
      <c r="F367" s="44">
        <v>11000000</v>
      </c>
      <c r="G367" s="44">
        <v>71500000</v>
      </c>
      <c r="H367" s="44">
        <v>27500000</v>
      </c>
      <c r="I367" s="46" t="s">
        <v>147</v>
      </c>
      <c r="J367" s="46" t="s">
        <v>23</v>
      </c>
    </row>
    <row r="368" spans="1:10" ht="13.15" x14ac:dyDescent="0.4">
      <c r="A368" s="43" t="s">
        <v>111</v>
      </c>
      <c r="B368" s="44">
        <v>99980000</v>
      </c>
      <c r="C368" s="44">
        <v>99980000</v>
      </c>
      <c r="D368" s="44">
        <v>19823200</v>
      </c>
      <c r="E368" s="45">
        <v>0</v>
      </c>
      <c r="F368" s="44">
        <v>19823200</v>
      </c>
      <c r="G368" s="44">
        <v>80156800</v>
      </c>
      <c r="H368" s="45">
        <v>0</v>
      </c>
      <c r="I368" s="46" t="s">
        <v>147</v>
      </c>
      <c r="J368" s="46" t="s">
        <v>22</v>
      </c>
    </row>
    <row r="369" spans="1:10" ht="13.15" x14ac:dyDescent="0.4">
      <c r="A369" s="43" t="s">
        <v>112</v>
      </c>
      <c r="B369" s="44">
        <v>411080000</v>
      </c>
      <c r="C369" s="44">
        <v>411080000</v>
      </c>
      <c r="D369" s="44">
        <v>41598790</v>
      </c>
      <c r="E369" s="44">
        <v>100820038</v>
      </c>
      <c r="F369" s="44">
        <v>142418828</v>
      </c>
      <c r="G369" s="44">
        <v>268661172</v>
      </c>
      <c r="H369" s="45">
        <v>0</v>
      </c>
      <c r="I369" s="46" t="s">
        <v>147</v>
      </c>
      <c r="J369" s="46" t="s">
        <v>26</v>
      </c>
    </row>
    <row r="370" spans="1:10" ht="13.15" x14ac:dyDescent="0.4">
      <c r="A370" s="43" t="s">
        <v>76</v>
      </c>
      <c r="B370" s="44">
        <v>160000000</v>
      </c>
      <c r="C370" s="44">
        <v>120000000</v>
      </c>
      <c r="D370" s="44">
        <v>22960000</v>
      </c>
      <c r="E370" s="44">
        <v>13487000</v>
      </c>
      <c r="F370" s="44">
        <v>36447000</v>
      </c>
      <c r="G370" s="44">
        <v>83553000</v>
      </c>
      <c r="H370" s="44">
        <v>40000000</v>
      </c>
      <c r="I370" s="46" t="s">
        <v>147</v>
      </c>
      <c r="J370" s="46" t="s">
        <v>25</v>
      </c>
    </row>
    <row r="371" spans="1:10" ht="13.15" x14ac:dyDescent="0.4">
      <c r="A371" s="43" t="s">
        <v>77</v>
      </c>
      <c r="B371" s="44">
        <v>400000000</v>
      </c>
      <c r="C371" s="44">
        <v>300000000</v>
      </c>
      <c r="D371" s="44">
        <v>72324000</v>
      </c>
      <c r="E371" s="44">
        <v>84658462</v>
      </c>
      <c r="F371" s="44">
        <v>156982462</v>
      </c>
      <c r="G371" s="44">
        <v>143017538</v>
      </c>
      <c r="H371" s="44">
        <v>100000000</v>
      </c>
      <c r="I371" s="46" t="s">
        <v>147</v>
      </c>
      <c r="J371" s="46" t="s">
        <v>25</v>
      </c>
    </row>
    <row r="372" spans="1:10" ht="13.15" x14ac:dyDescent="0.4">
      <c r="A372" s="43" t="s">
        <v>78</v>
      </c>
      <c r="B372" s="44">
        <v>66000000</v>
      </c>
      <c r="C372" s="44">
        <v>66000000</v>
      </c>
      <c r="D372" s="44">
        <v>6600000</v>
      </c>
      <c r="E372" s="44">
        <v>11000000</v>
      </c>
      <c r="F372" s="44">
        <v>17600000</v>
      </c>
      <c r="G372" s="44">
        <v>48400000</v>
      </c>
      <c r="H372" s="45">
        <v>0</v>
      </c>
      <c r="I372" s="46" t="s">
        <v>147</v>
      </c>
      <c r="J372" s="46" t="s">
        <v>25</v>
      </c>
    </row>
    <row r="373" spans="1:10" ht="13.15" x14ac:dyDescent="0.4">
      <c r="A373" s="43" t="s">
        <v>79</v>
      </c>
      <c r="B373" s="44">
        <v>90000000</v>
      </c>
      <c r="C373" s="44">
        <v>67500000</v>
      </c>
      <c r="D373" s="44">
        <v>9000000</v>
      </c>
      <c r="E373" s="44">
        <v>4415000</v>
      </c>
      <c r="F373" s="44">
        <v>13415000</v>
      </c>
      <c r="G373" s="44">
        <v>54085000</v>
      </c>
      <c r="H373" s="44">
        <v>22500000</v>
      </c>
      <c r="I373" s="46" t="s">
        <v>147</v>
      </c>
      <c r="J373" s="46" t="s">
        <v>25</v>
      </c>
    </row>
    <row r="374" spans="1:10" ht="13.15" x14ac:dyDescent="0.4">
      <c r="A374" s="43" t="s">
        <v>81</v>
      </c>
      <c r="B374" s="44">
        <v>170700000</v>
      </c>
      <c r="C374" s="44">
        <v>128025000</v>
      </c>
      <c r="D374" s="44">
        <v>17070000</v>
      </c>
      <c r="E374" s="44">
        <v>41510000</v>
      </c>
      <c r="F374" s="44">
        <v>58580000</v>
      </c>
      <c r="G374" s="44">
        <v>69445000</v>
      </c>
      <c r="H374" s="44">
        <v>42675000</v>
      </c>
      <c r="I374" s="46" t="s">
        <v>147</v>
      </c>
      <c r="J374" s="46" t="s">
        <v>25</v>
      </c>
    </row>
    <row r="375" spans="1:10" ht="13.15" x14ac:dyDescent="0.4">
      <c r="A375" s="43" t="s">
        <v>82</v>
      </c>
      <c r="B375" s="44">
        <v>24000000</v>
      </c>
      <c r="C375" s="44">
        <v>24000000</v>
      </c>
      <c r="D375" s="44">
        <v>2400000</v>
      </c>
      <c r="E375" s="44">
        <v>6736950</v>
      </c>
      <c r="F375" s="44">
        <v>9136950</v>
      </c>
      <c r="G375" s="44">
        <v>14863050</v>
      </c>
      <c r="H375" s="45">
        <v>0</v>
      </c>
      <c r="I375" s="46" t="s">
        <v>147</v>
      </c>
      <c r="J375" s="46" t="s">
        <v>25</v>
      </c>
    </row>
    <row r="376" spans="1:10" ht="13.15" x14ac:dyDescent="0.4">
      <c r="A376" s="43" t="s">
        <v>113</v>
      </c>
      <c r="B376" s="45">
        <v>0</v>
      </c>
      <c r="C376" s="45">
        <v>0</v>
      </c>
      <c r="D376" s="45">
        <v>0</v>
      </c>
      <c r="E376" s="44">
        <v>23414336</v>
      </c>
      <c r="F376" s="44">
        <v>23414336</v>
      </c>
      <c r="G376" s="44">
        <v>-23414336</v>
      </c>
      <c r="H376" s="45">
        <v>0</v>
      </c>
      <c r="I376" s="46" t="s">
        <v>147</v>
      </c>
      <c r="J376" s="46" t="s">
        <v>84</v>
      </c>
    </row>
    <row r="377" spans="1:10" ht="13.15" x14ac:dyDescent="0.4">
      <c r="A377" s="43" t="s">
        <v>83</v>
      </c>
      <c r="B377" s="44">
        <v>4539806918</v>
      </c>
      <c r="C377" s="44">
        <v>4539806918</v>
      </c>
      <c r="D377" s="45">
        <v>0</v>
      </c>
      <c r="E377" s="44">
        <v>1047785781</v>
      </c>
      <c r="F377" s="44">
        <v>1047785781</v>
      </c>
      <c r="G377" s="44">
        <v>3492021137</v>
      </c>
      <c r="H377" s="45">
        <v>0</v>
      </c>
      <c r="I377" s="46" t="s">
        <v>147</v>
      </c>
      <c r="J377" s="46" t="s">
        <v>84</v>
      </c>
    </row>
    <row r="378" spans="1:10" ht="13.15" x14ac:dyDescent="0.4">
      <c r="A378" s="43" t="s">
        <v>85</v>
      </c>
      <c r="B378" s="44">
        <v>83054569</v>
      </c>
      <c r="C378" s="44">
        <v>83054569</v>
      </c>
      <c r="D378" s="45">
        <v>0</v>
      </c>
      <c r="E378" s="44">
        <v>20555724</v>
      </c>
      <c r="F378" s="44">
        <v>20555724</v>
      </c>
      <c r="G378" s="44">
        <v>62498845</v>
      </c>
      <c r="H378" s="45">
        <v>0</v>
      </c>
      <c r="I378" s="46" t="s">
        <v>147</v>
      </c>
      <c r="J378" s="46" t="s">
        <v>84</v>
      </c>
    </row>
    <row r="379" spans="1:10" ht="13.15" x14ac:dyDescent="0.4">
      <c r="A379" s="43" t="s">
        <v>86</v>
      </c>
      <c r="B379" s="44">
        <v>4669639602</v>
      </c>
      <c r="C379" s="44">
        <v>4669639602</v>
      </c>
      <c r="D379" s="45">
        <v>0</v>
      </c>
      <c r="E379" s="44">
        <v>943638853</v>
      </c>
      <c r="F379" s="44">
        <v>943638853</v>
      </c>
      <c r="G379" s="44">
        <v>3726000749</v>
      </c>
      <c r="H379" s="45">
        <v>0</v>
      </c>
      <c r="I379" s="46" t="s">
        <v>147</v>
      </c>
      <c r="J379" s="46" t="s">
        <v>84</v>
      </c>
    </row>
    <row r="380" spans="1:10" ht="13.15" x14ac:dyDescent="0.4">
      <c r="A380" s="43" t="s">
        <v>87</v>
      </c>
      <c r="B380" s="44">
        <v>25853949</v>
      </c>
      <c r="C380" s="44">
        <v>25853949</v>
      </c>
      <c r="D380" s="45">
        <v>0</v>
      </c>
      <c r="E380" s="45">
        <v>0</v>
      </c>
      <c r="F380" s="45">
        <v>0</v>
      </c>
      <c r="G380" s="44">
        <v>25853949</v>
      </c>
      <c r="H380" s="45">
        <v>0</v>
      </c>
      <c r="I380" s="46" t="s">
        <v>147</v>
      </c>
      <c r="J380" s="46" t="s">
        <v>84</v>
      </c>
    </row>
    <row r="381" spans="1:10" ht="13.15" x14ac:dyDescent="0.4">
      <c r="A381" s="43" t="s">
        <v>88</v>
      </c>
      <c r="B381" s="44">
        <v>795113433</v>
      </c>
      <c r="C381" s="44">
        <v>795113433</v>
      </c>
      <c r="D381" s="45">
        <v>0</v>
      </c>
      <c r="E381" s="44">
        <v>164230446</v>
      </c>
      <c r="F381" s="44">
        <v>164230446</v>
      </c>
      <c r="G381" s="44">
        <v>630882987</v>
      </c>
      <c r="H381" s="45">
        <v>0</v>
      </c>
      <c r="I381" s="46" t="s">
        <v>147</v>
      </c>
      <c r="J381" s="46" t="s">
        <v>84</v>
      </c>
    </row>
    <row r="382" spans="1:10" ht="13.15" x14ac:dyDescent="0.4">
      <c r="A382" s="43" t="s">
        <v>89</v>
      </c>
      <c r="B382" s="44">
        <v>37493935</v>
      </c>
      <c r="C382" s="44">
        <v>37493935</v>
      </c>
      <c r="D382" s="45">
        <v>0</v>
      </c>
      <c r="E382" s="44">
        <v>5932486</v>
      </c>
      <c r="F382" s="44">
        <v>5932486</v>
      </c>
      <c r="G382" s="44">
        <v>31561449</v>
      </c>
      <c r="H382" s="45">
        <v>0</v>
      </c>
      <c r="I382" s="46" t="s">
        <v>147</v>
      </c>
      <c r="J382" s="46" t="s">
        <v>84</v>
      </c>
    </row>
    <row r="383" spans="1:10" ht="13.15" x14ac:dyDescent="0.4">
      <c r="A383" s="43" t="s">
        <v>90</v>
      </c>
      <c r="B383" s="44">
        <v>960233849</v>
      </c>
      <c r="C383" s="44">
        <v>960233849</v>
      </c>
      <c r="D383" s="45">
        <v>0</v>
      </c>
      <c r="E383" s="44">
        <v>209840019</v>
      </c>
      <c r="F383" s="44">
        <v>209840019</v>
      </c>
      <c r="G383" s="44">
        <v>750393830</v>
      </c>
      <c r="H383" s="45">
        <v>0</v>
      </c>
      <c r="I383" s="46" t="s">
        <v>147</v>
      </c>
      <c r="J383" s="46" t="s">
        <v>84</v>
      </c>
    </row>
    <row r="384" spans="1:10" ht="13.15" x14ac:dyDescent="0.4">
      <c r="A384" s="43" t="s">
        <v>91</v>
      </c>
      <c r="B384" s="44">
        <v>2200336</v>
      </c>
      <c r="C384" s="44">
        <v>2200336</v>
      </c>
      <c r="D384" s="45">
        <v>0</v>
      </c>
      <c r="E384" s="45">
        <v>0</v>
      </c>
      <c r="F384" s="45">
        <v>0</v>
      </c>
      <c r="G384" s="44">
        <v>2200336</v>
      </c>
      <c r="H384" s="45">
        <v>0</v>
      </c>
      <c r="I384" s="46" t="s">
        <v>147</v>
      </c>
      <c r="J384" s="46" t="s">
        <v>84</v>
      </c>
    </row>
    <row r="385" spans="1:10" ht="13.15" x14ac:dyDescent="0.4">
      <c r="A385" s="47" t="s">
        <v>148</v>
      </c>
      <c r="B385" s="48">
        <v>23968090591</v>
      </c>
      <c r="C385" s="48">
        <v>23735415591</v>
      </c>
      <c r="D385" s="48">
        <v>907728296</v>
      </c>
      <c r="E385" s="48">
        <v>3099490609</v>
      </c>
      <c r="F385" s="48">
        <v>4007218905</v>
      </c>
      <c r="G385" s="48">
        <v>19728196686</v>
      </c>
      <c r="H385" s="48">
        <v>232675000</v>
      </c>
      <c r="I385" s="49" t="s">
        <v>147</v>
      </c>
      <c r="J385" s="49" t="e">
        <v>#N/A</v>
      </c>
    </row>
    <row r="386" spans="1:10" ht="13.15" x14ac:dyDescent="0.4">
      <c r="A386" s="43" t="s">
        <v>59</v>
      </c>
      <c r="B386" s="44">
        <v>3435027000</v>
      </c>
      <c r="C386" s="44">
        <v>3435027000</v>
      </c>
      <c r="D386" s="45">
        <v>0</v>
      </c>
      <c r="E386" s="45">
        <v>0</v>
      </c>
      <c r="F386" s="45">
        <v>0</v>
      </c>
      <c r="G386" s="44">
        <v>3435027000</v>
      </c>
      <c r="H386" s="45">
        <v>0</v>
      </c>
      <c r="I386" s="46" t="s">
        <v>149</v>
      </c>
      <c r="J386" s="46" t="s">
        <v>9</v>
      </c>
    </row>
    <row r="387" spans="1:10" ht="13.15" x14ac:dyDescent="0.4">
      <c r="A387" s="43" t="s">
        <v>63</v>
      </c>
      <c r="B387" s="45">
        <v>0</v>
      </c>
      <c r="C387" s="45">
        <v>0</v>
      </c>
      <c r="D387" s="45">
        <v>0</v>
      </c>
      <c r="E387" s="45">
        <v>0</v>
      </c>
      <c r="F387" s="45">
        <v>0</v>
      </c>
      <c r="G387" s="45">
        <v>0</v>
      </c>
      <c r="H387" s="45">
        <v>0</v>
      </c>
      <c r="I387" s="46" t="s">
        <v>149</v>
      </c>
      <c r="J387" s="46" t="s">
        <v>9</v>
      </c>
    </row>
    <row r="388" spans="1:10" ht="13.15" x14ac:dyDescent="0.4">
      <c r="A388" s="43" t="s">
        <v>101</v>
      </c>
      <c r="B388" s="44">
        <v>467372000</v>
      </c>
      <c r="C388" s="44">
        <v>467372000</v>
      </c>
      <c r="D388" s="45">
        <v>0</v>
      </c>
      <c r="E388" s="45">
        <v>0</v>
      </c>
      <c r="F388" s="45">
        <v>0</v>
      </c>
      <c r="G388" s="44">
        <v>467372000</v>
      </c>
      <c r="H388" s="45">
        <v>0</v>
      </c>
      <c r="I388" s="46" t="s">
        <v>149</v>
      </c>
      <c r="J388" s="46" t="s">
        <v>9</v>
      </c>
    </row>
    <row r="389" spans="1:10" ht="13.15" x14ac:dyDescent="0.4">
      <c r="A389" s="43" t="s">
        <v>102</v>
      </c>
      <c r="B389" s="44">
        <v>890568000</v>
      </c>
      <c r="C389" s="44">
        <v>890568000</v>
      </c>
      <c r="D389" s="44">
        <v>348277308</v>
      </c>
      <c r="E389" s="44">
        <v>49809212</v>
      </c>
      <c r="F389" s="44">
        <v>398086520</v>
      </c>
      <c r="G389" s="44">
        <v>492481480</v>
      </c>
      <c r="H389" s="45">
        <v>0</v>
      </c>
      <c r="I389" s="46" t="s">
        <v>149</v>
      </c>
      <c r="J389" s="46" t="s">
        <v>9</v>
      </c>
    </row>
    <row r="390" spans="1:10" ht="13.15" x14ac:dyDescent="0.4">
      <c r="A390" s="43" t="s">
        <v>64</v>
      </c>
      <c r="B390" s="44">
        <v>157212000</v>
      </c>
      <c r="C390" s="44">
        <v>157212000</v>
      </c>
      <c r="D390" s="44">
        <v>69308015</v>
      </c>
      <c r="E390" s="45">
        <v>0</v>
      </c>
      <c r="F390" s="44">
        <v>69308015</v>
      </c>
      <c r="G390" s="44">
        <v>87903985</v>
      </c>
      <c r="H390" s="45">
        <v>0</v>
      </c>
      <c r="I390" s="46" t="s">
        <v>149</v>
      </c>
      <c r="J390" s="46" t="s">
        <v>9</v>
      </c>
    </row>
    <row r="391" spans="1:10" ht="13.15" x14ac:dyDescent="0.4">
      <c r="A391" s="43" t="s">
        <v>65</v>
      </c>
      <c r="B391" s="44">
        <v>450000000</v>
      </c>
      <c r="C391" s="44">
        <v>450000000</v>
      </c>
      <c r="D391" s="45">
        <v>0</v>
      </c>
      <c r="E391" s="45">
        <v>0</v>
      </c>
      <c r="F391" s="45">
        <v>0</v>
      </c>
      <c r="G391" s="44">
        <v>450000000</v>
      </c>
      <c r="H391" s="45">
        <v>0</v>
      </c>
      <c r="I391" s="46" t="s">
        <v>149</v>
      </c>
      <c r="J391" s="46" t="s">
        <v>9</v>
      </c>
    </row>
    <row r="392" spans="1:10" ht="13.15" x14ac:dyDescent="0.4">
      <c r="A392" s="43" t="s">
        <v>66</v>
      </c>
      <c r="B392" s="44">
        <v>500000000</v>
      </c>
      <c r="C392" s="44">
        <v>500000000</v>
      </c>
      <c r="D392" s="44">
        <v>49811800</v>
      </c>
      <c r="E392" s="45">
        <v>0</v>
      </c>
      <c r="F392" s="44">
        <v>49811800</v>
      </c>
      <c r="G392" s="44">
        <v>450188200</v>
      </c>
      <c r="H392" s="45">
        <v>0</v>
      </c>
      <c r="I392" s="46" t="s">
        <v>149</v>
      </c>
      <c r="J392" s="46" t="s">
        <v>9</v>
      </c>
    </row>
    <row r="393" spans="1:10" ht="13.15" x14ac:dyDescent="0.4">
      <c r="A393" s="43" t="s">
        <v>67</v>
      </c>
      <c r="B393" s="44">
        <v>690000000</v>
      </c>
      <c r="C393" s="44">
        <v>690000000</v>
      </c>
      <c r="D393" s="44">
        <v>152359150</v>
      </c>
      <c r="E393" s="44">
        <v>98940700</v>
      </c>
      <c r="F393" s="44">
        <v>251299850</v>
      </c>
      <c r="G393" s="44">
        <v>438700150</v>
      </c>
      <c r="H393" s="45">
        <v>0</v>
      </c>
      <c r="I393" s="46" t="s">
        <v>149</v>
      </c>
      <c r="J393" s="46" t="s">
        <v>9</v>
      </c>
    </row>
    <row r="394" spans="1:10" ht="13.15" x14ac:dyDescent="0.4">
      <c r="A394" s="43" t="s">
        <v>103</v>
      </c>
      <c r="B394" s="44">
        <v>198700000</v>
      </c>
      <c r="C394" s="44">
        <v>198700000</v>
      </c>
      <c r="D394" s="44">
        <v>91627175</v>
      </c>
      <c r="E394" s="45">
        <v>0</v>
      </c>
      <c r="F394" s="44">
        <v>91627175</v>
      </c>
      <c r="G394" s="44">
        <v>107072825</v>
      </c>
      <c r="H394" s="45">
        <v>0</v>
      </c>
      <c r="I394" s="46" t="s">
        <v>149</v>
      </c>
      <c r="J394" s="46" t="s">
        <v>9</v>
      </c>
    </row>
    <row r="395" spans="1:10" ht="13.15" x14ac:dyDescent="0.4">
      <c r="A395" s="43" t="s">
        <v>104</v>
      </c>
      <c r="B395" s="44">
        <v>455131000</v>
      </c>
      <c r="C395" s="44">
        <v>455131000</v>
      </c>
      <c r="D395" s="45">
        <v>0</v>
      </c>
      <c r="E395" s="45">
        <v>0</v>
      </c>
      <c r="F395" s="45">
        <v>0</v>
      </c>
      <c r="G395" s="44">
        <v>455131000</v>
      </c>
      <c r="H395" s="45">
        <v>0</v>
      </c>
      <c r="I395" s="46" t="s">
        <v>149</v>
      </c>
      <c r="J395" s="46" t="s">
        <v>9</v>
      </c>
    </row>
    <row r="396" spans="1:10" ht="13.15" x14ac:dyDescent="0.4">
      <c r="A396" s="43" t="s">
        <v>105</v>
      </c>
      <c r="B396" s="44">
        <v>50000000</v>
      </c>
      <c r="C396" s="44">
        <v>50000000</v>
      </c>
      <c r="D396" s="45">
        <v>0</v>
      </c>
      <c r="E396" s="45">
        <v>0</v>
      </c>
      <c r="F396" s="45">
        <v>0</v>
      </c>
      <c r="G396" s="44">
        <v>50000000</v>
      </c>
      <c r="H396" s="45">
        <v>0</v>
      </c>
      <c r="I396" s="46" t="s">
        <v>149</v>
      </c>
      <c r="J396" s="46" t="s">
        <v>9</v>
      </c>
    </row>
    <row r="397" spans="1:10" ht="13.15" x14ac:dyDescent="0.4">
      <c r="A397" s="43" t="s">
        <v>106</v>
      </c>
      <c r="B397" s="44">
        <v>1443560000</v>
      </c>
      <c r="C397" s="44">
        <v>1443560000</v>
      </c>
      <c r="D397" s="45">
        <v>0</v>
      </c>
      <c r="E397" s="45">
        <v>0</v>
      </c>
      <c r="F397" s="45">
        <v>0</v>
      </c>
      <c r="G397" s="44">
        <v>1443560000</v>
      </c>
      <c r="H397" s="45">
        <v>0</v>
      </c>
      <c r="I397" s="46" t="s">
        <v>149</v>
      </c>
      <c r="J397" s="46" t="s">
        <v>9</v>
      </c>
    </row>
    <row r="398" spans="1:10" ht="13.15" x14ac:dyDescent="0.4">
      <c r="A398" s="43" t="s">
        <v>107</v>
      </c>
      <c r="B398" s="44">
        <v>500000000</v>
      </c>
      <c r="C398" s="44">
        <v>500000000</v>
      </c>
      <c r="D398" s="45">
        <v>0</v>
      </c>
      <c r="E398" s="45">
        <v>0</v>
      </c>
      <c r="F398" s="45">
        <v>0</v>
      </c>
      <c r="G398" s="44">
        <v>500000000</v>
      </c>
      <c r="H398" s="45">
        <v>0</v>
      </c>
      <c r="I398" s="46" t="s">
        <v>149</v>
      </c>
      <c r="J398" s="46" t="s">
        <v>21</v>
      </c>
    </row>
    <row r="399" spans="1:10" ht="13.15" x14ac:dyDescent="0.4">
      <c r="A399" s="43" t="s">
        <v>110</v>
      </c>
      <c r="B399" s="44">
        <v>250000000</v>
      </c>
      <c r="C399" s="44">
        <v>250000000</v>
      </c>
      <c r="D399" s="45">
        <v>0</v>
      </c>
      <c r="E399" s="45">
        <v>0</v>
      </c>
      <c r="F399" s="45">
        <v>0</v>
      </c>
      <c r="G399" s="44">
        <v>250000000</v>
      </c>
      <c r="H399" s="45">
        <v>0</v>
      </c>
      <c r="I399" s="46" t="s">
        <v>149</v>
      </c>
      <c r="J399" s="46" t="s">
        <v>21</v>
      </c>
    </row>
    <row r="400" spans="1:10" ht="13.15" x14ac:dyDescent="0.4">
      <c r="A400" s="43" t="s">
        <v>73</v>
      </c>
      <c r="B400" s="44">
        <v>250000000</v>
      </c>
      <c r="C400" s="44">
        <v>187500000</v>
      </c>
      <c r="D400" s="45">
        <v>0</v>
      </c>
      <c r="E400" s="45">
        <v>0</v>
      </c>
      <c r="F400" s="45">
        <v>0</v>
      </c>
      <c r="G400" s="44">
        <v>187500000</v>
      </c>
      <c r="H400" s="44">
        <v>62500000</v>
      </c>
      <c r="I400" s="46" t="s">
        <v>149</v>
      </c>
      <c r="J400" s="46" t="s">
        <v>23</v>
      </c>
    </row>
    <row r="401" spans="1:10" ht="13.15" x14ac:dyDescent="0.4">
      <c r="A401" s="43" t="s">
        <v>111</v>
      </c>
      <c r="B401" s="44">
        <v>316800000</v>
      </c>
      <c r="C401" s="44">
        <v>316800000</v>
      </c>
      <c r="D401" s="44">
        <v>52208150</v>
      </c>
      <c r="E401" s="45">
        <v>0</v>
      </c>
      <c r="F401" s="44">
        <v>52208150</v>
      </c>
      <c r="G401" s="44">
        <v>264591850</v>
      </c>
      <c r="H401" s="45">
        <v>0</v>
      </c>
      <c r="I401" s="46" t="s">
        <v>149</v>
      </c>
      <c r="J401" s="46" t="s">
        <v>22</v>
      </c>
    </row>
    <row r="402" spans="1:10" ht="13.15" x14ac:dyDescent="0.4">
      <c r="A402" s="43" t="s">
        <v>112</v>
      </c>
      <c r="B402" s="44">
        <v>2230000000</v>
      </c>
      <c r="C402" s="44">
        <v>2230000000</v>
      </c>
      <c r="D402" s="44">
        <v>19000000</v>
      </c>
      <c r="E402" s="44">
        <v>329979818</v>
      </c>
      <c r="F402" s="44">
        <v>348979818</v>
      </c>
      <c r="G402" s="44">
        <v>1881020182</v>
      </c>
      <c r="H402" s="45">
        <v>0</v>
      </c>
      <c r="I402" s="46" t="s">
        <v>149</v>
      </c>
      <c r="J402" s="46" t="s">
        <v>26</v>
      </c>
    </row>
    <row r="403" spans="1:10" ht="13.15" x14ac:dyDescent="0.4">
      <c r="A403" s="43" t="s">
        <v>76</v>
      </c>
      <c r="B403" s="44">
        <v>193600000</v>
      </c>
      <c r="C403" s="44">
        <v>145200000</v>
      </c>
      <c r="D403" s="44">
        <v>26076000</v>
      </c>
      <c r="E403" s="45">
        <v>0</v>
      </c>
      <c r="F403" s="44">
        <v>26076000</v>
      </c>
      <c r="G403" s="44">
        <v>119124000</v>
      </c>
      <c r="H403" s="44">
        <v>48400000</v>
      </c>
      <c r="I403" s="46" t="s">
        <v>149</v>
      </c>
      <c r="J403" s="46" t="s">
        <v>25</v>
      </c>
    </row>
    <row r="404" spans="1:10" ht="13.15" x14ac:dyDescent="0.4">
      <c r="A404" s="43" t="s">
        <v>77</v>
      </c>
      <c r="B404" s="44">
        <v>593631000</v>
      </c>
      <c r="C404" s="44">
        <v>445223250</v>
      </c>
      <c r="D404" s="44">
        <v>121017450</v>
      </c>
      <c r="E404" s="44">
        <v>67914000</v>
      </c>
      <c r="F404" s="44">
        <v>188931450</v>
      </c>
      <c r="G404" s="44">
        <v>256291800</v>
      </c>
      <c r="H404" s="44">
        <v>148407750</v>
      </c>
      <c r="I404" s="46" t="s">
        <v>149</v>
      </c>
      <c r="J404" s="46" t="s">
        <v>25</v>
      </c>
    </row>
    <row r="405" spans="1:10" ht="13.15" x14ac:dyDescent="0.4">
      <c r="A405" s="43" t="s">
        <v>78</v>
      </c>
      <c r="B405" s="44">
        <v>105000000</v>
      </c>
      <c r="C405" s="44">
        <v>105000000</v>
      </c>
      <c r="D405" s="45">
        <v>0</v>
      </c>
      <c r="E405" s="44">
        <v>16500000</v>
      </c>
      <c r="F405" s="44">
        <v>16500000</v>
      </c>
      <c r="G405" s="44">
        <v>88500000</v>
      </c>
      <c r="H405" s="45">
        <v>0</v>
      </c>
      <c r="I405" s="46" t="s">
        <v>149</v>
      </c>
      <c r="J405" s="46" t="s">
        <v>25</v>
      </c>
    </row>
    <row r="406" spans="1:10" ht="13.15" x14ac:dyDescent="0.4">
      <c r="A406" s="43" t="s">
        <v>79</v>
      </c>
      <c r="B406" s="44">
        <v>386000000</v>
      </c>
      <c r="C406" s="44">
        <v>289500000</v>
      </c>
      <c r="D406" s="44">
        <v>2609000</v>
      </c>
      <c r="E406" s="45">
        <v>0</v>
      </c>
      <c r="F406" s="44">
        <v>2609000</v>
      </c>
      <c r="G406" s="44">
        <v>286891000</v>
      </c>
      <c r="H406" s="44">
        <v>96500000</v>
      </c>
      <c r="I406" s="46" t="s">
        <v>149</v>
      </c>
      <c r="J406" s="46" t="s">
        <v>25</v>
      </c>
    </row>
    <row r="407" spans="1:10" ht="13.15" x14ac:dyDescent="0.4">
      <c r="A407" s="43" t="s">
        <v>81</v>
      </c>
      <c r="B407" s="44">
        <v>468000000</v>
      </c>
      <c r="C407" s="44">
        <v>351000000</v>
      </c>
      <c r="D407" s="45">
        <v>0</v>
      </c>
      <c r="E407" s="44">
        <v>83351362</v>
      </c>
      <c r="F407" s="44">
        <v>83351362</v>
      </c>
      <c r="G407" s="44">
        <v>267648638</v>
      </c>
      <c r="H407" s="44">
        <v>117000000</v>
      </c>
      <c r="I407" s="46" t="s">
        <v>149</v>
      </c>
      <c r="J407" s="46" t="s">
        <v>25</v>
      </c>
    </row>
    <row r="408" spans="1:10" ht="13.15" x14ac:dyDescent="0.4">
      <c r="A408" s="43" t="s">
        <v>137</v>
      </c>
      <c r="B408" s="44">
        <v>6000000</v>
      </c>
      <c r="C408" s="44">
        <v>6000000</v>
      </c>
      <c r="D408" s="45">
        <v>0</v>
      </c>
      <c r="E408" s="44">
        <v>315000</v>
      </c>
      <c r="F408" s="44">
        <v>315000</v>
      </c>
      <c r="G408" s="44">
        <v>5685000</v>
      </c>
      <c r="H408" s="45">
        <v>0</v>
      </c>
      <c r="I408" s="46" t="s">
        <v>149</v>
      </c>
      <c r="J408" s="46" t="s">
        <v>25</v>
      </c>
    </row>
    <row r="409" spans="1:10" ht="13.15" x14ac:dyDescent="0.4">
      <c r="A409" s="43" t="s">
        <v>82</v>
      </c>
      <c r="B409" s="44">
        <v>40000000</v>
      </c>
      <c r="C409" s="44">
        <v>40000000</v>
      </c>
      <c r="D409" s="45">
        <v>0</v>
      </c>
      <c r="E409" s="45">
        <v>0</v>
      </c>
      <c r="F409" s="45">
        <v>0</v>
      </c>
      <c r="G409" s="44">
        <v>40000000</v>
      </c>
      <c r="H409" s="45">
        <v>0</v>
      </c>
      <c r="I409" s="46" t="s">
        <v>149</v>
      </c>
      <c r="J409" s="46" t="s">
        <v>25</v>
      </c>
    </row>
    <row r="410" spans="1:10" ht="13.15" x14ac:dyDescent="0.4">
      <c r="A410" s="43" t="s">
        <v>128</v>
      </c>
      <c r="B410" s="45">
        <v>0</v>
      </c>
      <c r="C410" s="45">
        <v>0</v>
      </c>
      <c r="D410" s="45">
        <v>0</v>
      </c>
      <c r="E410" s="44">
        <v>100141179</v>
      </c>
      <c r="F410" s="44">
        <v>100141179</v>
      </c>
      <c r="G410" s="44">
        <v>-100141179</v>
      </c>
      <c r="H410" s="45">
        <v>0</v>
      </c>
      <c r="I410" s="46" t="s">
        <v>149</v>
      </c>
      <c r="J410" s="46" t="s">
        <v>84</v>
      </c>
    </row>
    <row r="411" spans="1:10" ht="13.15" x14ac:dyDescent="0.4">
      <c r="A411" s="43" t="s">
        <v>83</v>
      </c>
      <c r="B411" s="44">
        <v>8641345711</v>
      </c>
      <c r="C411" s="44">
        <v>8641345711</v>
      </c>
      <c r="D411" s="45">
        <v>0</v>
      </c>
      <c r="E411" s="44">
        <v>1992338497</v>
      </c>
      <c r="F411" s="44">
        <v>1992338497</v>
      </c>
      <c r="G411" s="44">
        <v>6649007214</v>
      </c>
      <c r="H411" s="45">
        <v>0</v>
      </c>
      <c r="I411" s="46" t="s">
        <v>149</v>
      </c>
      <c r="J411" s="46" t="s">
        <v>84</v>
      </c>
    </row>
    <row r="412" spans="1:10" ht="13.15" x14ac:dyDescent="0.4">
      <c r="A412" s="43" t="s">
        <v>85</v>
      </c>
      <c r="B412" s="44">
        <v>50824079</v>
      </c>
      <c r="C412" s="44">
        <v>50824079</v>
      </c>
      <c r="D412" s="45">
        <v>0</v>
      </c>
      <c r="E412" s="44">
        <v>12779016</v>
      </c>
      <c r="F412" s="44">
        <v>12779016</v>
      </c>
      <c r="G412" s="44">
        <v>38045063</v>
      </c>
      <c r="H412" s="45">
        <v>0</v>
      </c>
      <c r="I412" s="46" t="s">
        <v>149</v>
      </c>
      <c r="J412" s="46" t="s">
        <v>84</v>
      </c>
    </row>
    <row r="413" spans="1:10" ht="13.15" x14ac:dyDescent="0.4">
      <c r="A413" s="43" t="s">
        <v>86</v>
      </c>
      <c r="B413" s="44">
        <v>9379568492</v>
      </c>
      <c r="C413" s="44">
        <v>9379568492</v>
      </c>
      <c r="D413" s="45">
        <v>0</v>
      </c>
      <c r="E413" s="44">
        <v>1789267267</v>
      </c>
      <c r="F413" s="44">
        <v>1789267267</v>
      </c>
      <c r="G413" s="44">
        <v>7590301225</v>
      </c>
      <c r="H413" s="45">
        <v>0</v>
      </c>
      <c r="I413" s="46" t="s">
        <v>149</v>
      </c>
      <c r="J413" s="46" t="s">
        <v>84</v>
      </c>
    </row>
    <row r="414" spans="1:10" ht="13.15" x14ac:dyDescent="0.4">
      <c r="A414" s="43" t="s">
        <v>87</v>
      </c>
      <c r="B414" s="44">
        <v>51157813</v>
      </c>
      <c r="C414" s="44">
        <v>51157813</v>
      </c>
      <c r="D414" s="45">
        <v>0</v>
      </c>
      <c r="E414" s="45">
        <v>0</v>
      </c>
      <c r="F414" s="45">
        <v>0</v>
      </c>
      <c r="G414" s="44">
        <v>51157813</v>
      </c>
      <c r="H414" s="45">
        <v>0</v>
      </c>
      <c r="I414" s="46" t="s">
        <v>149</v>
      </c>
      <c r="J414" s="46" t="s">
        <v>84</v>
      </c>
    </row>
    <row r="415" spans="1:10" ht="13.15" x14ac:dyDescent="0.4">
      <c r="A415" s="43" t="s">
        <v>88</v>
      </c>
      <c r="B415" s="44">
        <v>904489646</v>
      </c>
      <c r="C415" s="44">
        <v>904489646</v>
      </c>
      <c r="D415" s="45">
        <v>0</v>
      </c>
      <c r="E415" s="44">
        <v>180780045</v>
      </c>
      <c r="F415" s="44">
        <v>180780045</v>
      </c>
      <c r="G415" s="44">
        <v>723709601</v>
      </c>
      <c r="H415" s="45">
        <v>0</v>
      </c>
      <c r="I415" s="46" t="s">
        <v>149</v>
      </c>
      <c r="J415" s="46" t="s">
        <v>84</v>
      </c>
    </row>
    <row r="416" spans="1:10" ht="13.15" x14ac:dyDescent="0.4">
      <c r="A416" s="43" t="s">
        <v>89</v>
      </c>
      <c r="B416" s="44">
        <v>22796596</v>
      </c>
      <c r="C416" s="44">
        <v>22796596</v>
      </c>
      <c r="D416" s="45">
        <v>0</v>
      </c>
      <c r="E416" s="44">
        <v>5696307</v>
      </c>
      <c r="F416" s="44">
        <v>5696307</v>
      </c>
      <c r="G416" s="44">
        <v>17100289</v>
      </c>
      <c r="H416" s="45">
        <v>0</v>
      </c>
      <c r="I416" s="46" t="s">
        <v>149</v>
      </c>
      <c r="J416" s="46" t="s">
        <v>84</v>
      </c>
    </row>
    <row r="417" spans="1:10" ht="13.15" x14ac:dyDescent="0.4">
      <c r="A417" s="43" t="s">
        <v>90</v>
      </c>
      <c r="B417" s="44">
        <v>1105883447</v>
      </c>
      <c r="C417" s="44">
        <v>1105883447</v>
      </c>
      <c r="D417" s="45">
        <v>0</v>
      </c>
      <c r="E417" s="44">
        <v>235630735</v>
      </c>
      <c r="F417" s="44">
        <v>235630735</v>
      </c>
      <c r="G417" s="44">
        <v>870252712</v>
      </c>
      <c r="H417" s="45">
        <v>0</v>
      </c>
      <c r="I417" s="46" t="s">
        <v>149</v>
      </c>
      <c r="J417" s="46" t="s">
        <v>84</v>
      </c>
    </row>
    <row r="418" spans="1:10" ht="13.15" x14ac:dyDescent="0.4">
      <c r="A418" s="43" t="s">
        <v>91</v>
      </c>
      <c r="B418" s="44">
        <v>2200336</v>
      </c>
      <c r="C418" s="44">
        <v>2200336</v>
      </c>
      <c r="D418" s="45">
        <v>0</v>
      </c>
      <c r="E418" s="45">
        <v>0</v>
      </c>
      <c r="F418" s="45">
        <v>0</v>
      </c>
      <c r="G418" s="44">
        <v>2200336</v>
      </c>
      <c r="H418" s="45">
        <v>0</v>
      </c>
      <c r="I418" s="46" t="s">
        <v>149</v>
      </c>
      <c r="J418" s="46" t="s">
        <v>84</v>
      </c>
    </row>
    <row r="419" spans="1:10" ht="13.15" x14ac:dyDescent="0.4">
      <c r="A419" s="47" t="s">
        <v>150</v>
      </c>
      <c r="B419" s="48">
        <v>34234867120</v>
      </c>
      <c r="C419" s="48">
        <v>33762059370</v>
      </c>
      <c r="D419" s="48">
        <v>932294048</v>
      </c>
      <c r="E419" s="48">
        <v>4963443138</v>
      </c>
      <c r="F419" s="48">
        <v>5895737186</v>
      </c>
      <c r="G419" s="48">
        <v>27866322184</v>
      </c>
      <c r="H419" s="48">
        <v>472807750</v>
      </c>
      <c r="I419" s="49" t="s">
        <v>149</v>
      </c>
      <c r="J419" s="49" t="e">
        <v>#N/A</v>
      </c>
    </row>
    <row r="420" spans="1:10" ht="13.15" x14ac:dyDescent="0.4">
      <c r="A420" s="43" t="s">
        <v>59</v>
      </c>
      <c r="B420" s="44">
        <v>873740000</v>
      </c>
      <c r="C420" s="44">
        <v>873740000</v>
      </c>
      <c r="D420" s="44">
        <v>404360000</v>
      </c>
      <c r="E420" s="44">
        <v>35605052</v>
      </c>
      <c r="F420" s="44">
        <v>439965052</v>
      </c>
      <c r="G420" s="44">
        <v>433774948</v>
      </c>
      <c r="H420" s="45">
        <v>0</v>
      </c>
      <c r="I420" s="46" t="s">
        <v>151</v>
      </c>
      <c r="J420" s="46" t="s">
        <v>9</v>
      </c>
    </row>
    <row r="421" spans="1:10" ht="13.15" x14ac:dyDescent="0.4">
      <c r="A421" s="43" t="s">
        <v>152</v>
      </c>
      <c r="B421" s="50"/>
      <c r="C421" s="50"/>
      <c r="D421" s="50"/>
      <c r="E421" s="50"/>
      <c r="F421" s="50"/>
      <c r="G421" s="50"/>
      <c r="H421" s="50"/>
      <c r="I421" s="46" t="s">
        <v>151</v>
      </c>
      <c r="J421" s="46" t="s">
        <v>84</v>
      </c>
    </row>
    <row r="422" spans="1:10" ht="13.15" x14ac:dyDescent="0.4">
      <c r="A422" s="43" t="s">
        <v>153</v>
      </c>
      <c r="B422" s="50"/>
      <c r="C422" s="50"/>
      <c r="D422" s="50"/>
      <c r="E422" s="50"/>
      <c r="F422" s="50"/>
      <c r="G422" s="50"/>
      <c r="H422" s="50"/>
      <c r="I422" s="46" t="s">
        <v>151</v>
      </c>
      <c r="J422" s="46" t="s">
        <v>84</v>
      </c>
    </row>
    <row r="423" spans="1:10" ht="13.15" x14ac:dyDescent="0.4">
      <c r="A423" s="43" t="s">
        <v>154</v>
      </c>
      <c r="B423" s="50"/>
      <c r="C423" s="50"/>
      <c r="D423" s="50"/>
      <c r="E423" s="50"/>
      <c r="F423" s="50"/>
      <c r="G423" s="50"/>
      <c r="H423" s="50"/>
      <c r="I423" s="46" t="s">
        <v>151</v>
      </c>
      <c r="J423" s="46" t="s">
        <v>84</v>
      </c>
    </row>
    <row r="424" spans="1:10" ht="13.15" x14ac:dyDescent="0.4">
      <c r="A424" s="43" t="s">
        <v>155</v>
      </c>
      <c r="B424" s="50"/>
      <c r="C424" s="50"/>
      <c r="D424" s="50"/>
      <c r="E424" s="50"/>
      <c r="F424" s="50"/>
      <c r="G424" s="50"/>
      <c r="H424" s="50"/>
      <c r="I424" s="46" t="s">
        <v>151</v>
      </c>
      <c r="J424" s="46" t="s">
        <v>84</v>
      </c>
    </row>
    <row r="425" spans="1:10" ht="13.15" x14ac:dyDescent="0.4">
      <c r="A425" s="43" t="s">
        <v>156</v>
      </c>
      <c r="B425" s="50"/>
      <c r="C425" s="50"/>
      <c r="D425" s="50"/>
      <c r="E425" s="50"/>
      <c r="F425" s="50"/>
      <c r="G425" s="50"/>
      <c r="H425" s="50"/>
      <c r="I425" s="46" t="s">
        <v>151</v>
      </c>
      <c r="J425" s="46" t="s">
        <v>84</v>
      </c>
    </row>
    <row r="426" spans="1:10" ht="13.15" x14ac:dyDescent="0.4">
      <c r="A426" s="43" t="s">
        <v>157</v>
      </c>
      <c r="B426" s="50"/>
      <c r="C426" s="50"/>
      <c r="D426" s="50"/>
      <c r="E426" s="50"/>
      <c r="F426" s="50"/>
      <c r="G426" s="50"/>
      <c r="H426" s="50"/>
      <c r="I426" s="46" t="s">
        <v>151</v>
      </c>
      <c r="J426" s="46" t="s">
        <v>84</v>
      </c>
    </row>
    <row r="427" spans="1:10" ht="13.15" x14ac:dyDescent="0.4">
      <c r="A427" s="43" t="s">
        <v>158</v>
      </c>
      <c r="B427" s="50"/>
      <c r="C427" s="50"/>
      <c r="D427" s="50"/>
      <c r="E427" s="50"/>
      <c r="F427" s="50"/>
      <c r="G427" s="50"/>
      <c r="H427" s="50"/>
      <c r="I427" s="46" t="s">
        <v>151</v>
      </c>
      <c r="J427" s="46" t="s">
        <v>84</v>
      </c>
    </row>
    <row r="428" spans="1:10" ht="13.15" x14ac:dyDescent="0.4">
      <c r="A428" s="43" t="s">
        <v>159</v>
      </c>
      <c r="B428" s="50"/>
      <c r="C428" s="50"/>
      <c r="D428" s="50"/>
      <c r="E428" s="50"/>
      <c r="F428" s="50"/>
      <c r="G428" s="50"/>
      <c r="H428" s="50"/>
      <c r="I428" s="46" t="s">
        <v>151</v>
      </c>
      <c r="J428" s="46" t="s">
        <v>84</v>
      </c>
    </row>
    <row r="429" spans="1:10" ht="13.15" x14ac:dyDescent="0.4">
      <c r="A429" s="43" t="s">
        <v>160</v>
      </c>
      <c r="B429" s="50"/>
      <c r="C429" s="50"/>
      <c r="D429" s="50"/>
      <c r="E429" s="50"/>
      <c r="F429" s="50"/>
      <c r="G429" s="50"/>
      <c r="H429" s="50"/>
      <c r="I429" s="46" t="s">
        <v>151</v>
      </c>
      <c r="J429" s="46" t="s">
        <v>84</v>
      </c>
    </row>
    <row r="430" spans="1:10" ht="13.15" x14ac:dyDescent="0.4">
      <c r="A430" s="43" t="s">
        <v>161</v>
      </c>
      <c r="B430" s="50"/>
      <c r="C430" s="50"/>
      <c r="D430" s="50"/>
      <c r="E430" s="50"/>
      <c r="F430" s="50"/>
      <c r="G430" s="50"/>
      <c r="H430" s="50"/>
      <c r="I430" s="46" t="s">
        <v>151</v>
      </c>
      <c r="J430" s="46" t="s">
        <v>84</v>
      </c>
    </row>
    <row r="431" spans="1:10" ht="13.15" x14ac:dyDescent="0.4">
      <c r="A431" s="43" t="s">
        <v>162</v>
      </c>
      <c r="B431" s="50"/>
      <c r="C431" s="50"/>
      <c r="D431" s="50"/>
      <c r="E431" s="50"/>
      <c r="F431" s="50"/>
      <c r="G431" s="50"/>
      <c r="H431" s="50"/>
      <c r="I431" s="46" t="s">
        <v>151</v>
      </c>
      <c r="J431" s="46" t="s">
        <v>84</v>
      </c>
    </row>
    <row r="432" spans="1:10" ht="13.15" x14ac:dyDescent="0.4">
      <c r="A432" s="43" t="s">
        <v>163</v>
      </c>
      <c r="B432" s="50"/>
      <c r="C432" s="50"/>
      <c r="D432" s="50"/>
      <c r="E432" s="50"/>
      <c r="F432" s="50"/>
      <c r="G432" s="50"/>
      <c r="H432" s="50"/>
      <c r="I432" s="46" t="s">
        <v>151</v>
      </c>
      <c r="J432" s="46" t="s">
        <v>84</v>
      </c>
    </row>
    <row r="433" spans="1:10" ht="13.15" x14ac:dyDescent="0.4">
      <c r="A433" s="43" t="s">
        <v>164</v>
      </c>
      <c r="B433" s="50"/>
      <c r="C433" s="50"/>
      <c r="D433" s="50"/>
      <c r="E433" s="50"/>
      <c r="F433" s="50"/>
      <c r="G433" s="50"/>
      <c r="H433" s="50"/>
      <c r="I433" s="46" t="s">
        <v>151</v>
      </c>
      <c r="J433" s="46" t="s">
        <v>84</v>
      </c>
    </row>
    <row r="434" spans="1:10" ht="13.15" x14ac:dyDescent="0.4">
      <c r="A434" s="43" t="s">
        <v>165</v>
      </c>
      <c r="B434" s="50"/>
      <c r="C434" s="50"/>
      <c r="D434" s="50"/>
      <c r="E434" s="50"/>
      <c r="F434" s="50"/>
      <c r="G434" s="50"/>
      <c r="H434" s="50"/>
      <c r="I434" s="46" t="s">
        <v>151</v>
      </c>
      <c r="J434" s="46" t="s">
        <v>84</v>
      </c>
    </row>
    <row r="435" spans="1:10" ht="13.15" x14ac:dyDescent="0.4">
      <c r="A435" s="43" t="s">
        <v>166</v>
      </c>
      <c r="B435" s="50"/>
      <c r="C435" s="50"/>
      <c r="D435" s="50"/>
      <c r="E435" s="50"/>
      <c r="F435" s="50"/>
      <c r="G435" s="50"/>
      <c r="H435" s="50"/>
      <c r="I435" s="46" t="s">
        <v>151</v>
      </c>
      <c r="J435" s="46" t="s">
        <v>84</v>
      </c>
    </row>
    <row r="436" spans="1:10" ht="13.15" x14ac:dyDescent="0.4">
      <c r="A436" s="43" t="s">
        <v>167</v>
      </c>
      <c r="B436" s="50"/>
      <c r="C436" s="50"/>
      <c r="D436" s="50"/>
      <c r="E436" s="50"/>
      <c r="F436" s="50"/>
      <c r="G436" s="50"/>
      <c r="H436" s="50"/>
      <c r="I436" s="46" t="s">
        <v>151</v>
      </c>
      <c r="J436" s="46" t="s">
        <v>84</v>
      </c>
    </row>
    <row r="437" spans="1:10" ht="13.15" x14ac:dyDescent="0.4">
      <c r="A437" s="43" t="s">
        <v>102</v>
      </c>
      <c r="B437" s="44">
        <v>474786000</v>
      </c>
      <c r="C437" s="44">
        <v>474786000</v>
      </c>
      <c r="D437" s="45">
        <v>0</v>
      </c>
      <c r="E437" s="45">
        <v>0</v>
      </c>
      <c r="F437" s="45">
        <v>0</v>
      </c>
      <c r="G437" s="44">
        <v>474786000</v>
      </c>
      <c r="H437" s="45">
        <v>0</v>
      </c>
      <c r="I437" s="46" t="s">
        <v>151</v>
      </c>
      <c r="J437" s="46" t="s">
        <v>9</v>
      </c>
    </row>
    <row r="438" spans="1:10" ht="13.15" x14ac:dyDescent="0.4">
      <c r="A438" s="43" t="s">
        <v>64</v>
      </c>
      <c r="B438" s="44">
        <v>208424730</v>
      </c>
      <c r="C438" s="44">
        <v>208424730</v>
      </c>
      <c r="D438" s="45">
        <v>0</v>
      </c>
      <c r="E438" s="45">
        <v>0</v>
      </c>
      <c r="F438" s="45">
        <v>0</v>
      </c>
      <c r="G438" s="44">
        <v>208424730</v>
      </c>
      <c r="H438" s="45">
        <v>0</v>
      </c>
      <c r="I438" s="46" t="s">
        <v>151</v>
      </c>
      <c r="J438" s="46" t="s">
        <v>9</v>
      </c>
    </row>
    <row r="439" spans="1:10" ht="13.15" x14ac:dyDescent="0.4">
      <c r="A439" s="43" t="s">
        <v>66</v>
      </c>
      <c r="B439" s="44">
        <v>20000000</v>
      </c>
      <c r="C439" s="44">
        <v>20000000</v>
      </c>
      <c r="D439" s="44">
        <v>13970000</v>
      </c>
      <c r="E439" s="45">
        <v>0</v>
      </c>
      <c r="F439" s="44">
        <v>13970000</v>
      </c>
      <c r="G439" s="44">
        <v>6030000</v>
      </c>
      <c r="H439" s="45">
        <v>0</v>
      </c>
      <c r="I439" s="46" t="s">
        <v>151</v>
      </c>
      <c r="J439" s="46" t="s">
        <v>9</v>
      </c>
    </row>
    <row r="440" spans="1:10" ht="13.15" x14ac:dyDescent="0.4">
      <c r="A440" s="43" t="s">
        <v>67</v>
      </c>
      <c r="B440" s="44">
        <v>220000000</v>
      </c>
      <c r="C440" s="44">
        <v>220000000</v>
      </c>
      <c r="D440" s="45">
        <v>0</v>
      </c>
      <c r="E440" s="44">
        <v>29896778</v>
      </c>
      <c r="F440" s="44">
        <v>29896778</v>
      </c>
      <c r="G440" s="44">
        <v>190103222</v>
      </c>
      <c r="H440" s="45">
        <v>0</v>
      </c>
      <c r="I440" s="46" t="s">
        <v>151</v>
      </c>
      <c r="J440" s="46" t="s">
        <v>9</v>
      </c>
    </row>
    <row r="441" spans="1:10" ht="13.15" x14ac:dyDescent="0.4">
      <c r="A441" s="43" t="s">
        <v>106</v>
      </c>
      <c r="B441" s="44">
        <v>75000000</v>
      </c>
      <c r="C441" s="44">
        <v>75000000</v>
      </c>
      <c r="D441" s="45">
        <v>0</v>
      </c>
      <c r="E441" s="45">
        <v>0</v>
      </c>
      <c r="F441" s="45">
        <v>0</v>
      </c>
      <c r="G441" s="44">
        <v>75000000</v>
      </c>
      <c r="H441" s="45">
        <v>0</v>
      </c>
      <c r="I441" s="46" t="s">
        <v>151</v>
      </c>
      <c r="J441" s="46" t="s">
        <v>9</v>
      </c>
    </row>
    <row r="442" spans="1:10" ht="13.15" x14ac:dyDescent="0.4">
      <c r="A442" s="43" t="s">
        <v>168</v>
      </c>
      <c r="B442" s="50"/>
      <c r="C442" s="50"/>
      <c r="D442" s="50"/>
      <c r="E442" s="50"/>
      <c r="F442" s="50"/>
      <c r="G442" s="50"/>
      <c r="H442" s="50"/>
      <c r="I442" s="46" t="s">
        <v>151</v>
      </c>
      <c r="J442" s="46" t="s">
        <v>169</v>
      </c>
    </row>
    <row r="443" spans="1:10" ht="13.15" x14ac:dyDescent="0.4">
      <c r="A443" s="43" t="s">
        <v>170</v>
      </c>
      <c r="B443" s="50"/>
      <c r="C443" s="50"/>
      <c r="D443" s="50"/>
      <c r="E443" s="50"/>
      <c r="F443" s="50"/>
      <c r="G443" s="50"/>
      <c r="H443" s="50"/>
      <c r="I443" s="46" t="s">
        <v>151</v>
      </c>
      <c r="J443" s="46" t="s">
        <v>84</v>
      </c>
    </row>
    <row r="444" spans="1:10" ht="13.15" x14ac:dyDescent="0.4">
      <c r="A444" s="43" t="s">
        <v>73</v>
      </c>
      <c r="B444" s="44">
        <v>60000000</v>
      </c>
      <c r="C444" s="44">
        <v>45000000</v>
      </c>
      <c r="D444" s="44">
        <v>9000000</v>
      </c>
      <c r="E444" s="45">
        <v>0</v>
      </c>
      <c r="F444" s="44">
        <v>9000000</v>
      </c>
      <c r="G444" s="44">
        <v>36000000</v>
      </c>
      <c r="H444" s="44">
        <v>15000000</v>
      </c>
      <c r="I444" s="46" t="s">
        <v>151</v>
      </c>
      <c r="J444" s="46" t="s">
        <v>23</v>
      </c>
    </row>
    <row r="445" spans="1:10" ht="13.15" x14ac:dyDescent="0.4">
      <c r="A445" s="43" t="s">
        <v>111</v>
      </c>
      <c r="B445" s="44">
        <v>45150000</v>
      </c>
      <c r="C445" s="44">
        <v>45150000</v>
      </c>
      <c r="D445" s="44">
        <v>6423200</v>
      </c>
      <c r="E445" s="44">
        <v>6119400</v>
      </c>
      <c r="F445" s="44">
        <v>12542600</v>
      </c>
      <c r="G445" s="44">
        <v>32607400</v>
      </c>
      <c r="H445" s="45">
        <v>0</v>
      </c>
      <c r="I445" s="46" t="s">
        <v>151</v>
      </c>
      <c r="J445" s="46" t="s">
        <v>22</v>
      </c>
    </row>
    <row r="446" spans="1:10" ht="13.15" x14ac:dyDescent="0.4">
      <c r="A446" s="43" t="s">
        <v>74</v>
      </c>
      <c r="B446" s="50"/>
      <c r="C446" s="50"/>
      <c r="D446" s="50"/>
      <c r="E446" s="50"/>
      <c r="F446" s="50"/>
      <c r="G446" s="50"/>
      <c r="H446" s="50"/>
      <c r="I446" s="46" t="s">
        <v>151</v>
      </c>
      <c r="J446" s="46" t="s">
        <v>24</v>
      </c>
    </row>
    <row r="447" spans="1:10" ht="13.15" x14ac:dyDescent="0.4">
      <c r="A447" s="43" t="s">
        <v>171</v>
      </c>
      <c r="B447" s="50"/>
      <c r="C447" s="50"/>
      <c r="D447" s="50"/>
      <c r="E447" s="50"/>
      <c r="F447" s="50"/>
      <c r="G447" s="50"/>
      <c r="H447" s="50"/>
      <c r="I447" s="46" t="s">
        <v>151</v>
      </c>
      <c r="J447" s="46" t="s">
        <v>24</v>
      </c>
    </row>
    <row r="448" spans="1:10" ht="13.15" x14ac:dyDescent="0.4">
      <c r="A448" s="43" t="s">
        <v>172</v>
      </c>
      <c r="B448" s="50"/>
      <c r="C448" s="50"/>
      <c r="D448" s="50"/>
      <c r="E448" s="50"/>
      <c r="F448" s="50"/>
      <c r="G448" s="50"/>
      <c r="H448" s="50"/>
      <c r="I448" s="46" t="s">
        <v>151</v>
      </c>
      <c r="J448" s="46" t="s">
        <v>24</v>
      </c>
    </row>
    <row r="449" spans="1:10" ht="13.15" x14ac:dyDescent="0.4">
      <c r="A449" s="43" t="s">
        <v>206</v>
      </c>
      <c r="B449" s="50"/>
      <c r="C449" s="50"/>
      <c r="D449" s="50"/>
      <c r="E449" s="50"/>
      <c r="F449" s="50"/>
      <c r="G449" s="50"/>
      <c r="H449" s="50"/>
      <c r="I449" s="46" t="s">
        <v>151</v>
      </c>
      <c r="J449" s="46" t="s">
        <v>24</v>
      </c>
    </row>
    <row r="450" spans="1:10" ht="13.15" x14ac:dyDescent="0.4">
      <c r="A450" s="43" t="s">
        <v>173</v>
      </c>
      <c r="B450" s="50"/>
      <c r="C450" s="50"/>
      <c r="D450" s="50"/>
      <c r="E450" s="50"/>
      <c r="F450" s="50"/>
      <c r="G450" s="50"/>
      <c r="H450" s="50"/>
      <c r="I450" s="46" t="s">
        <v>151</v>
      </c>
      <c r="J450" s="46" t="s">
        <v>24</v>
      </c>
    </row>
    <row r="451" spans="1:10" ht="13.15" x14ac:dyDescent="0.4">
      <c r="A451" s="43" t="s">
        <v>174</v>
      </c>
      <c r="B451" s="50"/>
      <c r="C451" s="50"/>
      <c r="D451" s="50"/>
      <c r="E451" s="50"/>
      <c r="F451" s="50"/>
      <c r="G451" s="50"/>
      <c r="H451" s="50"/>
      <c r="I451" s="46" t="s">
        <v>151</v>
      </c>
      <c r="J451" s="46" t="s">
        <v>24</v>
      </c>
    </row>
    <row r="452" spans="1:10" ht="13.15" x14ac:dyDescent="0.4">
      <c r="A452" s="43" t="s">
        <v>207</v>
      </c>
      <c r="B452" s="50"/>
      <c r="C452" s="50"/>
      <c r="D452" s="50"/>
      <c r="E452" s="50"/>
      <c r="F452" s="50"/>
      <c r="G452" s="50"/>
      <c r="H452" s="50"/>
      <c r="I452" s="46" t="s">
        <v>151</v>
      </c>
      <c r="J452" s="46" t="s">
        <v>24</v>
      </c>
    </row>
    <row r="453" spans="1:10" ht="13.15" x14ac:dyDescent="0.4">
      <c r="A453" s="43" t="s">
        <v>208</v>
      </c>
      <c r="B453" s="50"/>
      <c r="C453" s="50"/>
      <c r="D453" s="50"/>
      <c r="E453" s="50"/>
      <c r="F453" s="50"/>
      <c r="G453" s="50"/>
      <c r="H453" s="50"/>
      <c r="I453" s="46" t="s">
        <v>151</v>
      </c>
      <c r="J453" s="46" t="s">
        <v>24</v>
      </c>
    </row>
    <row r="454" spans="1:10" ht="13.15" x14ac:dyDescent="0.4">
      <c r="A454" s="43" t="s">
        <v>175</v>
      </c>
      <c r="B454" s="50"/>
      <c r="C454" s="50"/>
      <c r="D454" s="50"/>
      <c r="E454" s="50"/>
      <c r="F454" s="50"/>
      <c r="G454" s="50"/>
      <c r="H454" s="50"/>
      <c r="I454" s="46" t="s">
        <v>151</v>
      </c>
      <c r="J454" s="46" t="s">
        <v>84</v>
      </c>
    </row>
    <row r="455" spans="1:10" ht="13.15" x14ac:dyDescent="0.4">
      <c r="A455" s="43" t="s">
        <v>76</v>
      </c>
      <c r="B455" s="44">
        <v>6000000</v>
      </c>
      <c r="C455" s="44">
        <v>4500000</v>
      </c>
      <c r="D455" s="45">
        <v>0</v>
      </c>
      <c r="E455" s="45">
        <v>0</v>
      </c>
      <c r="F455" s="45">
        <v>0</v>
      </c>
      <c r="G455" s="44">
        <v>4500000</v>
      </c>
      <c r="H455" s="44">
        <v>1500000</v>
      </c>
      <c r="I455" s="46" t="s">
        <v>151</v>
      </c>
      <c r="J455" s="46" t="s">
        <v>25</v>
      </c>
    </row>
    <row r="456" spans="1:10" ht="13.15" x14ac:dyDescent="0.4">
      <c r="A456" s="43" t="s">
        <v>77</v>
      </c>
      <c r="B456" s="44">
        <v>41000000</v>
      </c>
      <c r="C456" s="44">
        <v>30750000</v>
      </c>
      <c r="D456" s="44">
        <v>1997700</v>
      </c>
      <c r="E456" s="44">
        <v>998400</v>
      </c>
      <c r="F456" s="44">
        <v>2996100</v>
      </c>
      <c r="G456" s="44">
        <v>27753900</v>
      </c>
      <c r="H456" s="44">
        <v>10250000</v>
      </c>
      <c r="I456" s="46" t="s">
        <v>151</v>
      </c>
      <c r="J456" s="46" t="s">
        <v>25</v>
      </c>
    </row>
    <row r="457" spans="1:10" ht="13.15" x14ac:dyDescent="0.4">
      <c r="A457" s="43" t="s">
        <v>78</v>
      </c>
      <c r="B457" s="44">
        <v>12000000</v>
      </c>
      <c r="C457" s="44">
        <v>12000000</v>
      </c>
      <c r="D457" s="45">
        <v>0</v>
      </c>
      <c r="E457" s="45">
        <v>0</v>
      </c>
      <c r="F457" s="45">
        <v>0</v>
      </c>
      <c r="G457" s="44">
        <v>12000000</v>
      </c>
      <c r="H457" s="45">
        <v>0</v>
      </c>
      <c r="I457" s="46" t="s">
        <v>151</v>
      </c>
      <c r="J457" s="46" t="s">
        <v>25</v>
      </c>
    </row>
    <row r="458" spans="1:10" ht="13.15" x14ac:dyDescent="0.4">
      <c r="A458" s="43" t="s">
        <v>79</v>
      </c>
      <c r="B458" s="44">
        <v>171000000</v>
      </c>
      <c r="C458" s="44">
        <v>128250000</v>
      </c>
      <c r="D458" s="44">
        <v>5880000</v>
      </c>
      <c r="E458" s="45">
        <v>0</v>
      </c>
      <c r="F458" s="44">
        <v>5880000</v>
      </c>
      <c r="G458" s="44">
        <v>122370000</v>
      </c>
      <c r="H458" s="44">
        <v>42750000</v>
      </c>
      <c r="I458" s="46" t="s">
        <v>151</v>
      </c>
      <c r="J458" s="46" t="s">
        <v>25</v>
      </c>
    </row>
    <row r="459" spans="1:10" ht="13.15" x14ac:dyDescent="0.4">
      <c r="A459" s="43" t="s">
        <v>81</v>
      </c>
      <c r="B459" s="44">
        <v>130000000</v>
      </c>
      <c r="C459" s="44">
        <v>97500000</v>
      </c>
      <c r="D459" s="45">
        <v>0</v>
      </c>
      <c r="E459" s="44">
        <v>8431250</v>
      </c>
      <c r="F459" s="44">
        <v>8431250</v>
      </c>
      <c r="G459" s="44">
        <v>89068750</v>
      </c>
      <c r="H459" s="44">
        <v>32500000</v>
      </c>
      <c r="I459" s="46" t="s">
        <v>151</v>
      </c>
      <c r="J459" s="46" t="s">
        <v>25</v>
      </c>
    </row>
    <row r="460" spans="1:10" ht="13.15" x14ac:dyDescent="0.4">
      <c r="A460" s="43" t="s">
        <v>137</v>
      </c>
      <c r="B460" s="44">
        <v>6660000</v>
      </c>
      <c r="C460" s="44">
        <v>6660000</v>
      </c>
      <c r="D460" s="44">
        <v>1665000</v>
      </c>
      <c r="E460" s="45">
        <v>0</v>
      </c>
      <c r="F460" s="44">
        <v>1665000</v>
      </c>
      <c r="G460" s="44">
        <v>4995000</v>
      </c>
      <c r="H460" s="45">
        <v>0</v>
      </c>
      <c r="I460" s="46" t="s">
        <v>151</v>
      </c>
      <c r="J460" s="46" t="s">
        <v>25</v>
      </c>
    </row>
    <row r="461" spans="1:10" ht="13.15" x14ac:dyDescent="0.4">
      <c r="A461" s="43" t="s">
        <v>82</v>
      </c>
      <c r="B461" s="44">
        <v>6000000</v>
      </c>
      <c r="C461" s="44">
        <v>6000000</v>
      </c>
      <c r="D461" s="45">
        <v>0</v>
      </c>
      <c r="E461" s="45">
        <v>0</v>
      </c>
      <c r="F461" s="45">
        <v>0</v>
      </c>
      <c r="G461" s="44">
        <v>6000000</v>
      </c>
      <c r="H461" s="45">
        <v>0</v>
      </c>
      <c r="I461" s="46" t="s">
        <v>151</v>
      </c>
      <c r="J461" s="46" t="s">
        <v>25</v>
      </c>
    </row>
    <row r="462" spans="1:10" ht="13.15" x14ac:dyDescent="0.4">
      <c r="A462" s="43" t="s">
        <v>128</v>
      </c>
      <c r="B462" s="50"/>
      <c r="C462" s="50"/>
      <c r="D462" s="50"/>
      <c r="E462" s="50"/>
      <c r="F462" s="50"/>
      <c r="G462" s="50"/>
      <c r="H462" s="50"/>
      <c r="I462" s="46" t="s">
        <v>151</v>
      </c>
      <c r="J462" s="46" t="s">
        <v>84</v>
      </c>
    </row>
    <row r="463" spans="1:10" ht="13.15" x14ac:dyDescent="0.4">
      <c r="A463" s="43" t="s">
        <v>113</v>
      </c>
      <c r="B463" s="50"/>
      <c r="C463" s="50"/>
      <c r="D463" s="50"/>
      <c r="E463" s="50"/>
      <c r="F463" s="50"/>
      <c r="G463" s="50"/>
      <c r="H463" s="50"/>
      <c r="I463" s="46" t="s">
        <v>151</v>
      </c>
      <c r="J463" s="46" t="s">
        <v>84</v>
      </c>
    </row>
    <row r="464" spans="1:10" ht="13.15" x14ac:dyDescent="0.4">
      <c r="A464" s="43" t="s">
        <v>176</v>
      </c>
      <c r="B464" s="50"/>
      <c r="C464" s="50"/>
      <c r="D464" s="50"/>
      <c r="E464" s="50"/>
      <c r="F464" s="50"/>
      <c r="G464" s="50"/>
      <c r="H464" s="50"/>
      <c r="I464" s="46" t="s">
        <v>151</v>
      </c>
      <c r="J464" s="46" t="s">
        <v>84</v>
      </c>
    </row>
    <row r="465" spans="1:10" ht="13.15" x14ac:dyDescent="0.4">
      <c r="A465" s="43" t="s">
        <v>129</v>
      </c>
      <c r="B465" s="50"/>
      <c r="C465" s="50"/>
      <c r="D465" s="50"/>
      <c r="E465" s="50"/>
      <c r="F465" s="50"/>
      <c r="G465" s="50"/>
      <c r="H465" s="50"/>
      <c r="I465" s="46" t="s">
        <v>151</v>
      </c>
      <c r="J465" s="46" t="s">
        <v>84</v>
      </c>
    </row>
    <row r="466" spans="1:10" ht="13.15" x14ac:dyDescent="0.4">
      <c r="A466" s="43" t="s">
        <v>177</v>
      </c>
      <c r="B466" s="50"/>
      <c r="C466" s="50"/>
      <c r="D466" s="50"/>
      <c r="E466" s="50"/>
      <c r="F466" s="50"/>
      <c r="G466" s="50"/>
      <c r="H466" s="50"/>
      <c r="I466" s="46" t="s">
        <v>151</v>
      </c>
      <c r="J466" s="46" t="s">
        <v>84</v>
      </c>
    </row>
    <row r="467" spans="1:10" ht="13.15" x14ac:dyDescent="0.4">
      <c r="A467" s="43" t="s">
        <v>83</v>
      </c>
      <c r="B467" s="50"/>
      <c r="C467" s="50"/>
      <c r="D467" s="50"/>
      <c r="E467" s="50"/>
      <c r="F467" s="50"/>
      <c r="G467" s="50"/>
      <c r="H467" s="50"/>
      <c r="I467" s="46" t="s">
        <v>151</v>
      </c>
      <c r="J467" s="46" t="s">
        <v>84</v>
      </c>
    </row>
    <row r="468" spans="1:10" ht="13.15" x14ac:dyDescent="0.4">
      <c r="A468" s="43" t="s">
        <v>85</v>
      </c>
      <c r="B468" s="50"/>
      <c r="C468" s="50"/>
      <c r="D468" s="50"/>
      <c r="E468" s="50"/>
      <c r="F468" s="50"/>
      <c r="G468" s="50"/>
      <c r="H468" s="50"/>
      <c r="I468" s="46" t="s">
        <v>151</v>
      </c>
      <c r="J468" s="46" t="s">
        <v>84</v>
      </c>
    </row>
    <row r="469" spans="1:10" ht="13.15" x14ac:dyDescent="0.4">
      <c r="A469" s="43" t="s">
        <v>86</v>
      </c>
      <c r="B469" s="50"/>
      <c r="C469" s="50"/>
      <c r="D469" s="50"/>
      <c r="E469" s="50"/>
      <c r="F469" s="50"/>
      <c r="G469" s="50"/>
      <c r="H469" s="50"/>
      <c r="I469" s="46" t="s">
        <v>151</v>
      </c>
      <c r="J469" s="46" t="s">
        <v>84</v>
      </c>
    </row>
    <row r="470" spans="1:10" ht="13.15" x14ac:dyDescent="0.4">
      <c r="A470" s="43" t="s">
        <v>87</v>
      </c>
      <c r="B470" s="50"/>
      <c r="C470" s="50"/>
      <c r="D470" s="50"/>
      <c r="E470" s="50"/>
      <c r="F470" s="50"/>
      <c r="G470" s="50"/>
      <c r="H470" s="50"/>
      <c r="I470" s="46" t="s">
        <v>151</v>
      </c>
      <c r="J470" s="46" t="s">
        <v>84</v>
      </c>
    </row>
    <row r="471" spans="1:10" ht="13.15" x14ac:dyDescent="0.4">
      <c r="A471" s="43" t="s">
        <v>88</v>
      </c>
      <c r="B471" s="50"/>
      <c r="C471" s="50"/>
      <c r="D471" s="50"/>
      <c r="E471" s="50"/>
      <c r="F471" s="50"/>
      <c r="G471" s="50"/>
      <c r="H471" s="50"/>
      <c r="I471" s="46" t="s">
        <v>151</v>
      </c>
      <c r="J471" s="46" t="s">
        <v>84</v>
      </c>
    </row>
    <row r="472" spans="1:10" ht="13.15" x14ac:dyDescent="0.4">
      <c r="A472" s="43" t="s">
        <v>90</v>
      </c>
      <c r="B472" s="50"/>
      <c r="C472" s="50"/>
      <c r="D472" s="50"/>
      <c r="E472" s="50"/>
      <c r="F472" s="50"/>
      <c r="G472" s="50"/>
      <c r="H472" s="50"/>
      <c r="I472" s="46" t="s">
        <v>151</v>
      </c>
      <c r="J472" s="46" t="s">
        <v>84</v>
      </c>
    </row>
    <row r="473" spans="1:10" ht="13.15" x14ac:dyDescent="0.4">
      <c r="A473" s="43" t="s">
        <v>91</v>
      </c>
      <c r="B473" s="50"/>
      <c r="C473" s="50"/>
      <c r="D473" s="50"/>
      <c r="E473" s="50"/>
      <c r="F473" s="50"/>
      <c r="G473" s="50"/>
      <c r="H473" s="50"/>
      <c r="I473" s="46" t="s">
        <v>151</v>
      </c>
      <c r="J473" s="46" t="s">
        <v>84</v>
      </c>
    </row>
    <row r="474" spans="1:10" ht="13.15" x14ac:dyDescent="0.4">
      <c r="A474" s="43" t="s">
        <v>95</v>
      </c>
      <c r="B474" s="50"/>
      <c r="C474" s="50"/>
      <c r="D474" s="50"/>
      <c r="E474" s="50"/>
      <c r="F474" s="50"/>
      <c r="G474" s="50"/>
      <c r="H474" s="50"/>
      <c r="I474" s="46" t="s">
        <v>151</v>
      </c>
      <c r="J474" s="46" t="s">
        <v>84</v>
      </c>
    </row>
    <row r="475" spans="1:10" ht="13.15" x14ac:dyDescent="0.4">
      <c r="A475" s="47" t="s">
        <v>178</v>
      </c>
      <c r="B475" s="48">
        <v>2349760730</v>
      </c>
      <c r="C475" s="48">
        <v>2247760730</v>
      </c>
      <c r="D475" s="48">
        <v>443295900</v>
      </c>
      <c r="E475" s="48">
        <v>81050880</v>
      </c>
      <c r="F475" s="48">
        <v>524346780</v>
      </c>
      <c r="G475" s="48">
        <v>1723413950</v>
      </c>
      <c r="H475" s="48">
        <v>102000000</v>
      </c>
      <c r="I475" s="49" t="s">
        <v>151</v>
      </c>
      <c r="J475" s="49" t="e">
        <v>#N/A</v>
      </c>
    </row>
    <row r="476" spans="1:10" ht="13.15" x14ac:dyDescent="0.4">
      <c r="A476" s="43" t="s">
        <v>59</v>
      </c>
      <c r="B476" s="44">
        <v>10505111000</v>
      </c>
      <c r="C476" s="44">
        <v>10505111000</v>
      </c>
      <c r="D476" s="44">
        <v>7759691599</v>
      </c>
      <c r="E476" s="45">
        <v>0</v>
      </c>
      <c r="F476" s="44">
        <v>7759691599</v>
      </c>
      <c r="G476" s="44">
        <v>2745419401</v>
      </c>
      <c r="H476" s="45">
        <v>0</v>
      </c>
      <c r="I476" s="46" t="s">
        <v>179</v>
      </c>
      <c r="J476" s="46" t="s">
        <v>9</v>
      </c>
    </row>
    <row r="477" spans="1:10" ht="13.15" x14ac:dyDescent="0.4">
      <c r="A477" s="43" t="s">
        <v>62</v>
      </c>
      <c r="B477" s="45">
        <v>0</v>
      </c>
      <c r="C477" s="45">
        <v>0</v>
      </c>
      <c r="D477" s="45">
        <v>0</v>
      </c>
      <c r="E477" s="45">
        <v>0</v>
      </c>
      <c r="F477" s="45">
        <v>0</v>
      </c>
      <c r="G477" s="45">
        <v>0</v>
      </c>
      <c r="H477" s="45">
        <v>0</v>
      </c>
      <c r="I477" s="46" t="s">
        <v>179</v>
      </c>
      <c r="J477" s="46" t="s">
        <v>9</v>
      </c>
    </row>
    <row r="478" spans="1:10" ht="13.15" x14ac:dyDescent="0.4">
      <c r="A478" s="43" t="s">
        <v>63</v>
      </c>
      <c r="B478" s="45">
        <v>0</v>
      </c>
      <c r="C478" s="45">
        <v>0</v>
      </c>
      <c r="D478" s="45">
        <v>0</v>
      </c>
      <c r="E478" s="45">
        <v>0</v>
      </c>
      <c r="F478" s="45">
        <v>0</v>
      </c>
      <c r="G478" s="45">
        <v>0</v>
      </c>
      <c r="H478" s="45">
        <v>0</v>
      </c>
      <c r="I478" s="46" t="s">
        <v>179</v>
      </c>
      <c r="J478" s="46" t="s">
        <v>9</v>
      </c>
    </row>
    <row r="479" spans="1:10" ht="13.15" x14ac:dyDescent="0.4">
      <c r="A479" s="43" t="s">
        <v>65</v>
      </c>
      <c r="B479" s="45">
        <v>0</v>
      </c>
      <c r="C479" s="45">
        <v>0</v>
      </c>
      <c r="D479" s="45">
        <v>0</v>
      </c>
      <c r="E479" s="45">
        <v>0</v>
      </c>
      <c r="F479" s="45">
        <v>0</v>
      </c>
      <c r="G479" s="45">
        <v>0</v>
      </c>
      <c r="H479" s="45">
        <v>0</v>
      </c>
      <c r="I479" s="46" t="s">
        <v>179</v>
      </c>
      <c r="J479" s="46" t="s">
        <v>9</v>
      </c>
    </row>
    <row r="480" spans="1:10" ht="13.15" x14ac:dyDescent="0.4">
      <c r="A480" s="43" t="s">
        <v>66</v>
      </c>
      <c r="B480" s="45">
        <v>0</v>
      </c>
      <c r="C480" s="45">
        <v>0</v>
      </c>
      <c r="D480" s="45">
        <v>0</v>
      </c>
      <c r="E480" s="45">
        <v>0</v>
      </c>
      <c r="F480" s="45">
        <v>0</v>
      </c>
      <c r="G480" s="45">
        <v>0</v>
      </c>
      <c r="H480" s="45">
        <v>0</v>
      </c>
      <c r="I480" s="46" t="s">
        <v>179</v>
      </c>
      <c r="J480" s="46" t="s">
        <v>9</v>
      </c>
    </row>
    <row r="481" spans="1:10" ht="13.15" x14ac:dyDescent="0.4">
      <c r="A481" s="43" t="s">
        <v>67</v>
      </c>
      <c r="B481" s="45">
        <v>0</v>
      </c>
      <c r="C481" s="45">
        <v>0</v>
      </c>
      <c r="D481" s="45">
        <v>0</v>
      </c>
      <c r="E481" s="45">
        <v>0</v>
      </c>
      <c r="F481" s="45">
        <v>0</v>
      </c>
      <c r="G481" s="45">
        <v>0</v>
      </c>
      <c r="H481" s="45">
        <v>0</v>
      </c>
      <c r="I481" s="46" t="s">
        <v>179</v>
      </c>
      <c r="J481" s="46" t="s">
        <v>9</v>
      </c>
    </row>
    <row r="482" spans="1:10" ht="13.15" x14ac:dyDescent="0.4">
      <c r="A482" s="43" t="s">
        <v>168</v>
      </c>
      <c r="B482" s="45">
        <v>0</v>
      </c>
      <c r="C482" s="45">
        <v>0</v>
      </c>
      <c r="D482" s="45">
        <v>0</v>
      </c>
      <c r="E482" s="45">
        <v>0</v>
      </c>
      <c r="F482" s="45">
        <v>0</v>
      </c>
      <c r="G482" s="45">
        <v>0</v>
      </c>
      <c r="H482" s="45">
        <v>0</v>
      </c>
      <c r="I482" s="46" t="s">
        <v>179</v>
      </c>
      <c r="J482" s="46" t="s">
        <v>169</v>
      </c>
    </row>
    <row r="483" spans="1:10" ht="13.15" x14ac:dyDescent="0.4">
      <c r="A483" s="43" t="s">
        <v>180</v>
      </c>
      <c r="B483" s="44">
        <v>2312795000</v>
      </c>
      <c r="C483" s="44">
        <v>2312795000</v>
      </c>
      <c r="D483" s="44">
        <v>1778331214</v>
      </c>
      <c r="E483" s="45">
        <v>0</v>
      </c>
      <c r="F483" s="44">
        <v>1778331214</v>
      </c>
      <c r="G483" s="44">
        <v>534463786</v>
      </c>
      <c r="H483" s="45">
        <v>0</v>
      </c>
      <c r="I483" s="46" t="s">
        <v>179</v>
      </c>
      <c r="J483" s="46" t="s">
        <v>21</v>
      </c>
    </row>
    <row r="484" spans="1:10" ht="13.15" x14ac:dyDescent="0.4">
      <c r="A484" s="43" t="s">
        <v>107</v>
      </c>
      <c r="B484" s="44">
        <v>4989900000</v>
      </c>
      <c r="C484" s="44">
        <v>4989900000</v>
      </c>
      <c r="D484" s="44">
        <v>805366889</v>
      </c>
      <c r="E484" s="44">
        <v>333634248</v>
      </c>
      <c r="F484" s="44">
        <v>1139001137</v>
      </c>
      <c r="G484" s="44">
        <v>3850898863</v>
      </c>
      <c r="H484" s="45">
        <v>0</v>
      </c>
      <c r="I484" s="46" t="s">
        <v>179</v>
      </c>
      <c r="J484" s="46" t="s">
        <v>21</v>
      </c>
    </row>
    <row r="485" spans="1:10" ht="13.15" x14ac:dyDescent="0.4">
      <c r="A485" s="43" t="s">
        <v>181</v>
      </c>
      <c r="B485" s="45">
        <v>0</v>
      </c>
      <c r="C485" s="45">
        <v>0</v>
      </c>
      <c r="D485" s="45">
        <v>0</v>
      </c>
      <c r="E485" s="45">
        <v>0</v>
      </c>
      <c r="F485" s="45">
        <v>0</v>
      </c>
      <c r="G485" s="45">
        <v>0</v>
      </c>
      <c r="H485" s="45">
        <v>0</v>
      </c>
      <c r="I485" s="46" t="s">
        <v>179</v>
      </c>
      <c r="J485" s="46" t="s">
        <v>21</v>
      </c>
    </row>
    <row r="486" spans="1:10" ht="13.15" x14ac:dyDescent="0.4">
      <c r="A486" s="43" t="s">
        <v>108</v>
      </c>
      <c r="B486" s="44">
        <v>1680000000</v>
      </c>
      <c r="C486" s="44">
        <v>1680000000</v>
      </c>
      <c r="D486" s="44">
        <v>353557050</v>
      </c>
      <c r="E486" s="45">
        <v>0</v>
      </c>
      <c r="F486" s="44">
        <v>353557050</v>
      </c>
      <c r="G486" s="44">
        <v>1326442950</v>
      </c>
      <c r="H486" s="45">
        <v>0</v>
      </c>
      <c r="I486" s="46" t="s">
        <v>179</v>
      </c>
      <c r="J486" s="46" t="s">
        <v>21</v>
      </c>
    </row>
    <row r="487" spans="1:10" ht="13.15" x14ac:dyDescent="0.4">
      <c r="A487" s="43" t="s">
        <v>134</v>
      </c>
      <c r="B487" s="44">
        <v>492066000</v>
      </c>
      <c r="C487" s="44">
        <v>492066000</v>
      </c>
      <c r="D487" s="44">
        <v>31501365</v>
      </c>
      <c r="E487" s="44">
        <v>7785500</v>
      </c>
      <c r="F487" s="44">
        <v>39286865</v>
      </c>
      <c r="G487" s="44">
        <v>452779135</v>
      </c>
      <c r="H487" s="45">
        <v>0</v>
      </c>
      <c r="I487" s="46" t="s">
        <v>179</v>
      </c>
      <c r="J487" s="46" t="s">
        <v>21</v>
      </c>
    </row>
    <row r="488" spans="1:10" ht="13.15" x14ac:dyDescent="0.4">
      <c r="A488" s="43" t="s">
        <v>182</v>
      </c>
      <c r="B488" s="44">
        <v>624500000</v>
      </c>
      <c r="C488" s="44">
        <v>624500000</v>
      </c>
      <c r="D488" s="45">
        <v>0</v>
      </c>
      <c r="E488" s="45">
        <v>0</v>
      </c>
      <c r="F488" s="45">
        <v>0</v>
      </c>
      <c r="G488" s="44">
        <v>624500000</v>
      </c>
      <c r="H488" s="45">
        <v>0</v>
      </c>
      <c r="I488" s="46" t="s">
        <v>179</v>
      </c>
      <c r="J488" s="46" t="s">
        <v>21</v>
      </c>
    </row>
    <row r="489" spans="1:10" ht="13.15" x14ac:dyDescent="0.4">
      <c r="A489" s="43" t="s">
        <v>183</v>
      </c>
      <c r="B489" s="44">
        <v>700000000</v>
      </c>
      <c r="C489" s="44">
        <v>700000000</v>
      </c>
      <c r="D489" s="45">
        <v>0</v>
      </c>
      <c r="E489" s="45">
        <v>0</v>
      </c>
      <c r="F489" s="45">
        <v>0</v>
      </c>
      <c r="G489" s="44">
        <v>700000000</v>
      </c>
      <c r="H489" s="45">
        <v>0</v>
      </c>
      <c r="I489" s="46" t="s">
        <v>179</v>
      </c>
      <c r="J489" s="46" t="s">
        <v>21</v>
      </c>
    </row>
    <row r="490" spans="1:10" ht="13.15" x14ac:dyDescent="0.4">
      <c r="A490" s="43" t="s">
        <v>184</v>
      </c>
      <c r="B490" s="45">
        <v>0</v>
      </c>
      <c r="C490" s="45">
        <v>0</v>
      </c>
      <c r="D490" s="45">
        <v>0</v>
      </c>
      <c r="E490" s="45">
        <v>0</v>
      </c>
      <c r="F490" s="45">
        <v>0</v>
      </c>
      <c r="G490" s="45">
        <v>0</v>
      </c>
      <c r="H490" s="45">
        <v>0</v>
      </c>
      <c r="I490" s="46" t="s">
        <v>179</v>
      </c>
      <c r="J490" s="46" t="s">
        <v>21</v>
      </c>
    </row>
    <row r="491" spans="1:10" ht="13.15" x14ac:dyDescent="0.4">
      <c r="A491" s="43" t="s">
        <v>185</v>
      </c>
      <c r="B491" s="44">
        <v>745000000</v>
      </c>
      <c r="C491" s="44">
        <v>745000000</v>
      </c>
      <c r="D491" s="44">
        <v>26235280</v>
      </c>
      <c r="E491" s="44">
        <v>32460000</v>
      </c>
      <c r="F491" s="44">
        <v>58695280</v>
      </c>
      <c r="G491" s="44">
        <v>686304720</v>
      </c>
      <c r="H491" s="45">
        <v>0</v>
      </c>
      <c r="I491" s="46" t="s">
        <v>179</v>
      </c>
      <c r="J491" s="46" t="s">
        <v>21</v>
      </c>
    </row>
    <row r="492" spans="1:10" ht="13.15" x14ac:dyDescent="0.4">
      <c r="A492" s="43" t="s">
        <v>186</v>
      </c>
      <c r="B492" s="44">
        <v>4029356000</v>
      </c>
      <c r="C492" s="44">
        <v>4029356000</v>
      </c>
      <c r="D492" s="44">
        <v>2411599000</v>
      </c>
      <c r="E492" s="44">
        <v>29795000</v>
      </c>
      <c r="F492" s="44">
        <v>2441394000</v>
      </c>
      <c r="G492" s="44">
        <v>1587962000</v>
      </c>
      <c r="H492" s="45">
        <v>0</v>
      </c>
      <c r="I492" s="46" t="s">
        <v>179</v>
      </c>
      <c r="J492" s="46" t="s">
        <v>21</v>
      </c>
    </row>
    <row r="493" spans="1:10" ht="13.15" x14ac:dyDescent="0.4">
      <c r="A493" s="43" t="s">
        <v>187</v>
      </c>
      <c r="B493" s="44">
        <v>297500000</v>
      </c>
      <c r="C493" s="44">
        <v>297500000</v>
      </c>
      <c r="D493" s="45">
        <v>0</v>
      </c>
      <c r="E493" s="45">
        <v>0</v>
      </c>
      <c r="F493" s="45">
        <v>0</v>
      </c>
      <c r="G493" s="44">
        <v>297500000</v>
      </c>
      <c r="H493" s="45">
        <v>0</v>
      </c>
      <c r="I493" s="46" t="s">
        <v>179</v>
      </c>
      <c r="J493" s="46" t="s">
        <v>21</v>
      </c>
    </row>
    <row r="494" spans="1:10" ht="13.15" x14ac:dyDescent="0.4">
      <c r="A494" s="43" t="s">
        <v>109</v>
      </c>
      <c r="B494" s="44">
        <v>266250000</v>
      </c>
      <c r="C494" s="44">
        <v>266250000</v>
      </c>
      <c r="D494" s="45">
        <v>0</v>
      </c>
      <c r="E494" s="44">
        <v>40800000</v>
      </c>
      <c r="F494" s="44">
        <v>40800000</v>
      </c>
      <c r="G494" s="44">
        <v>225450000</v>
      </c>
      <c r="H494" s="45">
        <v>0</v>
      </c>
      <c r="I494" s="46" t="s">
        <v>179</v>
      </c>
      <c r="J494" s="46" t="s">
        <v>21</v>
      </c>
    </row>
    <row r="495" spans="1:10" ht="13.15" x14ac:dyDescent="0.4">
      <c r="A495" s="43" t="s">
        <v>110</v>
      </c>
      <c r="B495" s="44">
        <v>1350000000</v>
      </c>
      <c r="C495" s="44">
        <v>1350000000</v>
      </c>
      <c r="D495" s="45">
        <v>0</v>
      </c>
      <c r="E495" s="45">
        <v>0</v>
      </c>
      <c r="F495" s="45">
        <v>0</v>
      </c>
      <c r="G495" s="44">
        <v>1350000000</v>
      </c>
      <c r="H495" s="45">
        <v>0</v>
      </c>
      <c r="I495" s="46" t="s">
        <v>179</v>
      </c>
      <c r="J495" s="46" t="s">
        <v>21</v>
      </c>
    </row>
    <row r="496" spans="1:10" ht="13.15" x14ac:dyDescent="0.4">
      <c r="A496" s="43" t="s">
        <v>73</v>
      </c>
      <c r="B496" s="44">
        <v>100000000</v>
      </c>
      <c r="C496" s="44">
        <v>75000000</v>
      </c>
      <c r="D496" s="45">
        <v>0</v>
      </c>
      <c r="E496" s="44">
        <v>12720000</v>
      </c>
      <c r="F496" s="44">
        <v>12720000</v>
      </c>
      <c r="G496" s="44">
        <v>62280000</v>
      </c>
      <c r="H496" s="44">
        <v>25000000</v>
      </c>
      <c r="I496" s="46" t="s">
        <v>179</v>
      </c>
      <c r="J496" s="46" t="s">
        <v>23</v>
      </c>
    </row>
    <row r="497" spans="1:10" ht="13.15" x14ac:dyDescent="0.4">
      <c r="A497" s="43" t="s">
        <v>111</v>
      </c>
      <c r="B497" s="44">
        <v>1016150000</v>
      </c>
      <c r="C497" s="44">
        <v>1016150000</v>
      </c>
      <c r="D497" s="44">
        <v>34825000</v>
      </c>
      <c r="E497" s="44">
        <v>128340000</v>
      </c>
      <c r="F497" s="44">
        <v>163165000</v>
      </c>
      <c r="G497" s="44">
        <v>852985000</v>
      </c>
      <c r="H497" s="45">
        <v>0</v>
      </c>
      <c r="I497" s="46" t="s">
        <v>179</v>
      </c>
      <c r="J497" s="46" t="s">
        <v>22</v>
      </c>
    </row>
    <row r="498" spans="1:10" ht="13.15" x14ac:dyDescent="0.4">
      <c r="A498" s="43" t="s">
        <v>112</v>
      </c>
      <c r="B498" s="44">
        <v>2560000000</v>
      </c>
      <c r="C498" s="44">
        <v>2560000000</v>
      </c>
      <c r="D498" s="44">
        <v>21384033</v>
      </c>
      <c r="E498" s="44">
        <v>608048070</v>
      </c>
      <c r="F498" s="44">
        <v>629432103</v>
      </c>
      <c r="G498" s="44">
        <v>1930567897</v>
      </c>
      <c r="H498" s="45">
        <v>0</v>
      </c>
      <c r="I498" s="46" t="s">
        <v>179</v>
      </c>
      <c r="J498" s="46" t="s">
        <v>26</v>
      </c>
    </row>
    <row r="499" spans="1:10" ht="13.15" x14ac:dyDescent="0.4">
      <c r="A499" s="43" t="s">
        <v>76</v>
      </c>
      <c r="B499" s="44">
        <v>891173000</v>
      </c>
      <c r="C499" s="44">
        <v>668379750</v>
      </c>
      <c r="D499" s="44">
        <v>29693828</v>
      </c>
      <c r="E499" s="44">
        <v>22370000</v>
      </c>
      <c r="F499" s="44">
        <v>52063828</v>
      </c>
      <c r="G499" s="44">
        <v>616315922</v>
      </c>
      <c r="H499" s="44">
        <v>222793250</v>
      </c>
      <c r="I499" s="46" t="s">
        <v>179</v>
      </c>
      <c r="J499" s="46" t="s">
        <v>25</v>
      </c>
    </row>
    <row r="500" spans="1:10" ht="13.15" x14ac:dyDescent="0.4">
      <c r="A500" s="43" t="s">
        <v>77</v>
      </c>
      <c r="B500" s="44">
        <v>1160455000</v>
      </c>
      <c r="C500" s="44">
        <v>870341250</v>
      </c>
      <c r="D500" s="44">
        <v>95838170</v>
      </c>
      <c r="E500" s="44">
        <v>176941260</v>
      </c>
      <c r="F500" s="44">
        <v>272779430</v>
      </c>
      <c r="G500" s="44">
        <v>597561820</v>
      </c>
      <c r="H500" s="44">
        <v>290113750</v>
      </c>
      <c r="I500" s="46" t="s">
        <v>179</v>
      </c>
      <c r="J500" s="46" t="s">
        <v>25</v>
      </c>
    </row>
    <row r="501" spans="1:10" ht="13.15" x14ac:dyDescent="0.4">
      <c r="A501" s="43" t="s">
        <v>78</v>
      </c>
      <c r="B501" s="44">
        <v>93000000</v>
      </c>
      <c r="C501" s="44">
        <v>93000000</v>
      </c>
      <c r="D501" s="45">
        <v>0</v>
      </c>
      <c r="E501" s="44">
        <v>14500000</v>
      </c>
      <c r="F501" s="44">
        <v>14500000</v>
      </c>
      <c r="G501" s="44">
        <v>78500000</v>
      </c>
      <c r="H501" s="45">
        <v>0</v>
      </c>
      <c r="I501" s="46" t="s">
        <v>179</v>
      </c>
      <c r="J501" s="46" t="s">
        <v>25</v>
      </c>
    </row>
    <row r="502" spans="1:10" ht="13.15" x14ac:dyDescent="0.4">
      <c r="A502" s="43" t="s">
        <v>79</v>
      </c>
      <c r="B502" s="44">
        <v>562923000</v>
      </c>
      <c r="C502" s="44">
        <v>422192250</v>
      </c>
      <c r="D502" s="44">
        <v>19366000</v>
      </c>
      <c r="E502" s="44">
        <v>12640000</v>
      </c>
      <c r="F502" s="44">
        <v>32006000</v>
      </c>
      <c r="G502" s="44">
        <v>390186250</v>
      </c>
      <c r="H502" s="44">
        <v>140730750</v>
      </c>
      <c r="I502" s="46" t="s">
        <v>179</v>
      </c>
      <c r="J502" s="46" t="s">
        <v>25</v>
      </c>
    </row>
    <row r="503" spans="1:10" ht="13.15" x14ac:dyDescent="0.4">
      <c r="A503" s="43" t="s">
        <v>81</v>
      </c>
      <c r="B503" s="44">
        <v>688578000</v>
      </c>
      <c r="C503" s="44">
        <v>516433500</v>
      </c>
      <c r="D503" s="44">
        <v>35082547</v>
      </c>
      <c r="E503" s="44">
        <v>78343130</v>
      </c>
      <c r="F503" s="44">
        <v>113425677</v>
      </c>
      <c r="G503" s="44">
        <v>403007823</v>
      </c>
      <c r="H503" s="44">
        <v>172144500</v>
      </c>
      <c r="I503" s="46" t="s">
        <v>179</v>
      </c>
      <c r="J503" s="46" t="s">
        <v>25</v>
      </c>
    </row>
    <row r="504" spans="1:10" ht="13.15" x14ac:dyDescent="0.4">
      <c r="A504" s="43" t="s">
        <v>137</v>
      </c>
      <c r="B504" s="44">
        <v>36180000</v>
      </c>
      <c r="C504" s="44">
        <v>36180000</v>
      </c>
      <c r="D504" s="44">
        <v>1720000</v>
      </c>
      <c r="E504" s="44">
        <v>5342537</v>
      </c>
      <c r="F504" s="44">
        <v>7062537</v>
      </c>
      <c r="G504" s="44">
        <v>29117463</v>
      </c>
      <c r="H504" s="45">
        <v>0</v>
      </c>
      <c r="I504" s="46" t="s">
        <v>179</v>
      </c>
      <c r="J504" s="46" t="s">
        <v>25</v>
      </c>
    </row>
    <row r="505" spans="1:10" ht="13.15" x14ac:dyDescent="0.4">
      <c r="A505" s="43" t="s">
        <v>82</v>
      </c>
      <c r="B505" s="44">
        <v>61741000</v>
      </c>
      <c r="C505" s="44">
        <v>61741000</v>
      </c>
      <c r="D505" s="44">
        <v>38255444</v>
      </c>
      <c r="E505" s="45">
        <v>0</v>
      </c>
      <c r="F505" s="44">
        <v>38255444</v>
      </c>
      <c r="G505" s="44">
        <v>23485556</v>
      </c>
      <c r="H505" s="45">
        <v>0</v>
      </c>
      <c r="I505" s="46" t="s">
        <v>179</v>
      </c>
      <c r="J505" s="46" t="s">
        <v>25</v>
      </c>
    </row>
    <row r="506" spans="1:10" ht="13.15" x14ac:dyDescent="0.4">
      <c r="A506" s="43" t="s">
        <v>128</v>
      </c>
      <c r="B506" s="45">
        <v>0</v>
      </c>
      <c r="C506" s="45">
        <v>0</v>
      </c>
      <c r="D506" s="45">
        <v>0</v>
      </c>
      <c r="E506" s="44">
        <v>84819308</v>
      </c>
      <c r="F506" s="44">
        <v>84819308</v>
      </c>
      <c r="G506" s="44">
        <v>-84819308</v>
      </c>
      <c r="H506" s="45">
        <v>0</v>
      </c>
      <c r="I506" s="46" t="s">
        <v>179</v>
      </c>
      <c r="J506" s="46" t="s">
        <v>84</v>
      </c>
    </row>
    <row r="507" spans="1:10" ht="13.15" x14ac:dyDescent="0.4">
      <c r="A507" s="43" t="s">
        <v>113</v>
      </c>
      <c r="B507" s="45">
        <v>0</v>
      </c>
      <c r="C507" s="45">
        <v>0</v>
      </c>
      <c r="D507" s="45">
        <v>0</v>
      </c>
      <c r="E507" s="44">
        <v>60889862</v>
      </c>
      <c r="F507" s="44">
        <v>60889862</v>
      </c>
      <c r="G507" s="44">
        <v>-60889862</v>
      </c>
      <c r="H507" s="45">
        <v>0</v>
      </c>
      <c r="I507" s="46" t="s">
        <v>179</v>
      </c>
      <c r="J507" s="46" t="s">
        <v>84</v>
      </c>
    </row>
    <row r="508" spans="1:10" ht="13.15" x14ac:dyDescent="0.4">
      <c r="A508" s="43" t="s">
        <v>129</v>
      </c>
      <c r="B508" s="45">
        <v>0</v>
      </c>
      <c r="C508" s="45">
        <v>0</v>
      </c>
      <c r="D508" s="45">
        <v>0</v>
      </c>
      <c r="E508" s="44">
        <v>51753310</v>
      </c>
      <c r="F508" s="44">
        <v>51753310</v>
      </c>
      <c r="G508" s="44">
        <v>-51753310</v>
      </c>
      <c r="H508" s="45">
        <v>0</v>
      </c>
      <c r="I508" s="46" t="s">
        <v>179</v>
      </c>
      <c r="J508" s="46" t="s">
        <v>84</v>
      </c>
    </row>
    <row r="509" spans="1:10" ht="13.15" x14ac:dyDescent="0.4">
      <c r="A509" s="43" t="s">
        <v>83</v>
      </c>
      <c r="B509" s="44">
        <v>12164281897</v>
      </c>
      <c r="C509" s="44">
        <v>12164281897</v>
      </c>
      <c r="D509" s="45">
        <v>0</v>
      </c>
      <c r="E509" s="44">
        <v>2922834741</v>
      </c>
      <c r="F509" s="44">
        <v>2922834741</v>
      </c>
      <c r="G509" s="44">
        <v>9241447156</v>
      </c>
      <c r="H509" s="45">
        <v>0</v>
      </c>
      <c r="I509" s="46" t="s">
        <v>179</v>
      </c>
      <c r="J509" s="46" t="s">
        <v>84</v>
      </c>
    </row>
    <row r="510" spans="1:10" ht="13.15" x14ac:dyDescent="0.4">
      <c r="A510" s="43" t="s">
        <v>85</v>
      </c>
      <c r="B510" s="44">
        <v>111508199</v>
      </c>
      <c r="C510" s="44">
        <v>111508199</v>
      </c>
      <c r="D510" s="45">
        <v>0</v>
      </c>
      <c r="E510" s="44">
        <v>27648179</v>
      </c>
      <c r="F510" s="44">
        <v>27648179</v>
      </c>
      <c r="G510" s="44">
        <v>83860020</v>
      </c>
      <c r="H510" s="45">
        <v>0</v>
      </c>
      <c r="I510" s="46" t="s">
        <v>179</v>
      </c>
      <c r="J510" s="46" t="s">
        <v>84</v>
      </c>
    </row>
    <row r="511" spans="1:10" ht="13.15" x14ac:dyDescent="0.4">
      <c r="A511" s="43" t="s">
        <v>86</v>
      </c>
      <c r="B511" s="44">
        <v>10801404197</v>
      </c>
      <c r="C511" s="44">
        <v>10801404197</v>
      </c>
      <c r="D511" s="45">
        <v>0</v>
      </c>
      <c r="E511" s="44">
        <v>2318575185</v>
      </c>
      <c r="F511" s="44">
        <v>2318575185</v>
      </c>
      <c r="G511" s="44">
        <v>8482829012</v>
      </c>
      <c r="H511" s="45">
        <v>0</v>
      </c>
      <c r="I511" s="46" t="s">
        <v>179</v>
      </c>
      <c r="J511" s="46" t="s">
        <v>84</v>
      </c>
    </row>
    <row r="512" spans="1:10" ht="13.15" x14ac:dyDescent="0.4">
      <c r="A512" s="43" t="s">
        <v>87</v>
      </c>
      <c r="B512" s="44">
        <v>68210418</v>
      </c>
      <c r="C512" s="44">
        <v>68210418</v>
      </c>
      <c r="D512" s="45">
        <v>0</v>
      </c>
      <c r="E512" s="45">
        <v>0</v>
      </c>
      <c r="F512" s="45">
        <v>0</v>
      </c>
      <c r="G512" s="44">
        <v>68210418</v>
      </c>
      <c r="H512" s="45">
        <v>0</v>
      </c>
      <c r="I512" s="46" t="s">
        <v>179</v>
      </c>
      <c r="J512" s="46" t="s">
        <v>84</v>
      </c>
    </row>
    <row r="513" spans="1:10" ht="13.15" x14ac:dyDescent="0.4">
      <c r="A513" s="43" t="s">
        <v>88</v>
      </c>
      <c r="B513" s="44">
        <v>1452685239</v>
      </c>
      <c r="C513" s="44">
        <v>1452685239</v>
      </c>
      <c r="D513" s="45">
        <v>0</v>
      </c>
      <c r="E513" s="44">
        <v>267807212</v>
      </c>
      <c r="F513" s="44">
        <v>267807212</v>
      </c>
      <c r="G513" s="44">
        <v>1184878027</v>
      </c>
      <c r="H513" s="45">
        <v>0</v>
      </c>
      <c r="I513" s="46" t="s">
        <v>179</v>
      </c>
      <c r="J513" s="46" t="s">
        <v>84</v>
      </c>
    </row>
    <row r="514" spans="1:10" ht="13.15" x14ac:dyDescent="0.4">
      <c r="A514" s="43" t="s">
        <v>89</v>
      </c>
      <c r="B514" s="44">
        <v>35165398</v>
      </c>
      <c r="C514" s="44">
        <v>35165398</v>
      </c>
      <c r="D514" s="45">
        <v>0</v>
      </c>
      <c r="E514" s="44">
        <v>6614162</v>
      </c>
      <c r="F514" s="44">
        <v>6614162</v>
      </c>
      <c r="G514" s="44">
        <v>28551236</v>
      </c>
      <c r="H514" s="45">
        <v>0</v>
      </c>
      <c r="I514" s="46" t="s">
        <v>179</v>
      </c>
      <c r="J514" s="46" t="s">
        <v>84</v>
      </c>
    </row>
    <row r="515" spans="1:10" ht="13.15" x14ac:dyDescent="0.4">
      <c r="A515" s="43" t="s">
        <v>90</v>
      </c>
      <c r="B515" s="44">
        <v>1698748501</v>
      </c>
      <c r="C515" s="44">
        <v>1698748501</v>
      </c>
      <c r="D515" s="45">
        <v>0</v>
      </c>
      <c r="E515" s="44">
        <v>335927564</v>
      </c>
      <c r="F515" s="44">
        <v>335927564</v>
      </c>
      <c r="G515" s="44">
        <v>1362820937</v>
      </c>
      <c r="H515" s="45">
        <v>0</v>
      </c>
      <c r="I515" s="46" t="s">
        <v>179</v>
      </c>
      <c r="J515" s="46" t="s">
        <v>84</v>
      </c>
    </row>
    <row r="516" spans="1:10" ht="13.15" x14ac:dyDescent="0.4">
      <c r="A516" s="43" t="s">
        <v>91</v>
      </c>
      <c r="B516" s="44">
        <v>3850588</v>
      </c>
      <c r="C516" s="44">
        <v>3850588</v>
      </c>
      <c r="D516" s="45">
        <v>0</v>
      </c>
      <c r="E516" s="45">
        <v>0</v>
      </c>
      <c r="F516" s="45">
        <v>0</v>
      </c>
      <c r="G516" s="44">
        <v>3850588</v>
      </c>
      <c r="H516" s="45">
        <v>0</v>
      </c>
      <c r="I516" s="46" t="s">
        <v>179</v>
      </c>
      <c r="J516" s="46" t="s">
        <v>84</v>
      </c>
    </row>
    <row r="517" spans="1:10" ht="13.15" x14ac:dyDescent="0.4">
      <c r="A517" s="43" t="s">
        <v>95</v>
      </c>
      <c r="B517" s="45">
        <v>0</v>
      </c>
      <c r="C517" s="45">
        <v>0</v>
      </c>
      <c r="D517" s="45">
        <v>0</v>
      </c>
      <c r="E517" s="44">
        <v>137977076</v>
      </c>
      <c r="F517" s="44">
        <v>137977076</v>
      </c>
      <c r="G517" s="44">
        <v>-137977076</v>
      </c>
      <c r="H517" s="45">
        <v>0</v>
      </c>
      <c r="I517" s="46" t="s">
        <v>179</v>
      </c>
      <c r="J517" s="46" t="s">
        <v>84</v>
      </c>
    </row>
    <row r="518" spans="1:10" ht="13.15" x14ac:dyDescent="0.4">
      <c r="A518" s="47" t="s">
        <v>188</v>
      </c>
      <c r="B518" s="48">
        <v>61498532437</v>
      </c>
      <c r="C518" s="48">
        <v>60647750187</v>
      </c>
      <c r="D518" s="48">
        <v>13442447419</v>
      </c>
      <c r="E518" s="48">
        <v>7718566344</v>
      </c>
      <c r="F518" s="48">
        <v>21161013763</v>
      </c>
      <c r="G518" s="48">
        <v>39486736424</v>
      </c>
      <c r="H518" s="48">
        <v>850782250</v>
      </c>
      <c r="I518" s="49" t="s">
        <v>179</v>
      </c>
      <c r="J518" s="49" t="e">
        <v>#N/A</v>
      </c>
    </row>
    <row r="519" spans="1:10" ht="13.15" x14ac:dyDescent="0.4">
      <c r="A519" s="43" t="s">
        <v>59</v>
      </c>
      <c r="B519" s="44">
        <v>5574698000</v>
      </c>
      <c r="C519" s="44">
        <v>5574698000</v>
      </c>
      <c r="D519" s="44">
        <v>5028819865</v>
      </c>
      <c r="E519" s="44">
        <v>429658000</v>
      </c>
      <c r="F519" s="44">
        <v>5458477865</v>
      </c>
      <c r="G519" s="44">
        <v>116220135</v>
      </c>
      <c r="H519" s="45">
        <v>0</v>
      </c>
      <c r="I519" s="46" t="s">
        <v>189</v>
      </c>
      <c r="J519" s="46" t="s">
        <v>9</v>
      </c>
    </row>
    <row r="520" spans="1:10" ht="13.15" x14ac:dyDescent="0.4">
      <c r="A520" s="43" t="s">
        <v>63</v>
      </c>
      <c r="B520" s="44">
        <v>1521000000</v>
      </c>
      <c r="C520" s="44">
        <v>1521000000</v>
      </c>
      <c r="D520" s="44">
        <v>1467022165</v>
      </c>
      <c r="E520" s="44">
        <v>3328300</v>
      </c>
      <c r="F520" s="44">
        <v>1470350465</v>
      </c>
      <c r="G520" s="44">
        <v>50649535</v>
      </c>
      <c r="H520" s="45">
        <v>0</v>
      </c>
      <c r="I520" s="46" t="s">
        <v>189</v>
      </c>
      <c r="J520" s="46" t="s">
        <v>9</v>
      </c>
    </row>
    <row r="521" spans="1:10" ht="13.15" x14ac:dyDescent="0.4">
      <c r="A521" s="43" t="s">
        <v>101</v>
      </c>
      <c r="B521" s="44">
        <v>1694175000</v>
      </c>
      <c r="C521" s="44">
        <v>1694175000</v>
      </c>
      <c r="D521" s="44">
        <v>1694174158</v>
      </c>
      <c r="E521" s="45">
        <v>0</v>
      </c>
      <c r="F521" s="44">
        <v>1694174158</v>
      </c>
      <c r="G521" s="45">
        <v>842</v>
      </c>
      <c r="H521" s="45">
        <v>0</v>
      </c>
      <c r="I521" s="46" t="s">
        <v>189</v>
      </c>
      <c r="J521" s="46" t="s">
        <v>9</v>
      </c>
    </row>
    <row r="522" spans="1:10" ht="13.15" x14ac:dyDescent="0.4">
      <c r="A522" s="43" t="s">
        <v>102</v>
      </c>
      <c r="B522" s="44">
        <v>2639000000</v>
      </c>
      <c r="C522" s="44">
        <v>2639000000</v>
      </c>
      <c r="D522" s="44">
        <v>1406680059</v>
      </c>
      <c r="E522" s="44">
        <v>163173610</v>
      </c>
      <c r="F522" s="44">
        <v>1569853669</v>
      </c>
      <c r="G522" s="44">
        <v>1069146331</v>
      </c>
      <c r="H522" s="45">
        <v>0</v>
      </c>
      <c r="I522" s="46" t="s">
        <v>189</v>
      </c>
      <c r="J522" s="46" t="s">
        <v>9</v>
      </c>
    </row>
    <row r="523" spans="1:10" ht="13.15" x14ac:dyDescent="0.4">
      <c r="A523" s="43" t="s">
        <v>64</v>
      </c>
      <c r="B523" s="44">
        <v>150000000</v>
      </c>
      <c r="C523" s="44">
        <v>150000000</v>
      </c>
      <c r="D523" s="45">
        <v>0</v>
      </c>
      <c r="E523" s="44">
        <v>8000000</v>
      </c>
      <c r="F523" s="44">
        <v>8000000</v>
      </c>
      <c r="G523" s="44">
        <v>142000000</v>
      </c>
      <c r="H523" s="45">
        <v>0</v>
      </c>
      <c r="I523" s="46" t="s">
        <v>189</v>
      </c>
      <c r="J523" s="46" t="s">
        <v>9</v>
      </c>
    </row>
    <row r="524" spans="1:10" ht="13.15" x14ac:dyDescent="0.4">
      <c r="A524" s="43" t="s">
        <v>65</v>
      </c>
      <c r="B524" s="44">
        <v>2721193000</v>
      </c>
      <c r="C524" s="44">
        <v>2721193000</v>
      </c>
      <c r="D524" s="44">
        <v>2295653707</v>
      </c>
      <c r="E524" s="45">
        <v>0</v>
      </c>
      <c r="F524" s="44">
        <v>2295653707</v>
      </c>
      <c r="G524" s="44">
        <v>425539293</v>
      </c>
      <c r="H524" s="45">
        <v>0</v>
      </c>
      <c r="I524" s="46" t="s">
        <v>189</v>
      </c>
      <c r="J524" s="46" t="s">
        <v>9</v>
      </c>
    </row>
    <row r="525" spans="1:10" ht="13.15" x14ac:dyDescent="0.4">
      <c r="A525" s="43" t="s">
        <v>66</v>
      </c>
      <c r="B525" s="44">
        <v>9794675000</v>
      </c>
      <c r="C525" s="44">
        <v>9794675000</v>
      </c>
      <c r="D525" s="44">
        <v>8772973347</v>
      </c>
      <c r="E525" s="44">
        <v>3607897</v>
      </c>
      <c r="F525" s="44">
        <v>8776581244</v>
      </c>
      <c r="G525" s="44">
        <v>1018093756</v>
      </c>
      <c r="H525" s="45">
        <v>0</v>
      </c>
      <c r="I525" s="46" t="s">
        <v>189</v>
      </c>
      <c r="J525" s="46" t="s">
        <v>9</v>
      </c>
    </row>
    <row r="526" spans="1:10" ht="13.15" x14ac:dyDescent="0.4">
      <c r="A526" s="43" t="s">
        <v>67</v>
      </c>
      <c r="B526" s="44">
        <v>2114698000</v>
      </c>
      <c r="C526" s="44">
        <v>2114698000</v>
      </c>
      <c r="D526" s="44">
        <v>15837220</v>
      </c>
      <c r="E526" s="44">
        <v>162049240</v>
      </c>
      <c r="F526" s="44">
        <v>177886460</v>
      </c>
      <c r="G526" s="44">
        <v>1936811540</v>
      </c>
      <c r="H526" s="45">
        <v>0</v>
      </c>
      <c r="I526" s="46" t="s">
        <v>189</v>
      </c>
      <c r="J526" s="46" t="s">
        <v>9</v>
      </c>
    </row>
    <row r="527" spans="1:10" ht="13.15" x14ac:dyDescent="0.4">
      <c r="A527" s="43" t="s">
        <v>103</v>
      </c>
      <c r="B527" s="44">
        <v>1450000000</v>
      </c>
      <c r="C527" s="44">
        <v>1450000000</v>
      </c>
      <c r="D527" s="45">
        <v>0</v>
      </c>
      <c r="E527" s="45">
        <v>0</v>
      </c>
      <c r="F527" s="45">
        <v>0</v>
      </c>
      <c r="G527" s="44">
        <v>1450000000</v>
      </c>
      <c r="H527" s="45">
        <v>0</v>
      </c>
      <c r="I527" s="46" t="s">
        <v>189</v>
      </c>
      <c r="J527" s="46" t="s">
        <v>9</v>
      </c>
    </row>
    <row r="528" spans="1:10" ht="13.15" x14ac:dyDescent="0.4">
      <c r="A528" s="43" t="s">
        <v>104</v>
      </c>
      <c r="B528" s="45">
        <v>0</v>
      </c>
      <c r="C528" s="45">
        <v>0</v>
      </c>
      <c r="D528" s="45">
        <v>0</v>
      </c>
      <c r="E528" s="45">
        <v>0</v>
      </c>
      <c r="F528" s="45">
        <v>0</v>
      </c>
      <c r="G528" s="45">
        <v>0</v>
      </c>
      <c r="H528" s="45">
        <v>0</v>
      </c>
      <c r="I528" s="46" t="s">
        <v>189</v>
      </c>
      <c r="J528" s="46" t="s">
        <v>9</v>
      </c>
    </row>
    <row r="529" spans="1:10" ht="13.15" x14ac:dyDescent="0.4">
      <c r="A529" s="43" t="s">
        <v>106</v>
      </c>
      <c r="B529" s="44">
        <v>915811000</v>
      </c>
      <c r="C529" s="44">
        <v>915811000</v>
      </c>
      <c r="D529" s="44">
        <v>749478125</v>
      </c>
      <c r="E529" s="45">
        <v>0</v>
      </c>
      <c r="F529" s="44">
        <v>749478125</v>
      </c>
      <c r="G529" s="44">
        <v>166332875</v>
      </c>
      <c r="H529" s="45">
        <v>0</v>
      </c>
      <c r="I529" s="46" t="s">
        <v>189</v>
      </c>
      <c r="J529" s="46" t="s">
        <v>9</v>
      </c>
    </row>
    <row r="530" spans="1:10" ht="13.15" x14ac:dyDescent="0.4">
      <c r="A530" s="43" t="s">
        <v>68</v>
      </c>
      <c r="B530" s="44">
        <v>1750000000</v>
      </c>
      <c r="C530" s="44">
        <v>1750000000</v>
      </c>
      <c r="D530" s="44">
        <v>957373034</v>
      </c>
      <c r="E530" s="45">
        <v>0</v>
      </c>
      <c r="F530" s="44">
        <v>957373034</v>
      </c>
      <c r="G530" s="44">
        <v>792626966</v>
      </c>
      <c r="H530" s="45">
        <v>0</v>
      </c>
      <c r="I530" s="46" t="s">
        <v>189</v>
      </c>
      <c r="J530" s="46" t="s">
        <v>9</v>
      </c>
    </row>
    <row r="531" spans="1:10" ht="13.15" x14ac:dyDescent="0.4">
      <c r="A531" s="43" t="s">
        <v>134</v>
      </c>
      <c r="B531" s="44">
        <v>300000000</v>
      </c>
      <c r="C531" s="44">
        <v>300000000</v>
      </c>
      <c r="D531" s="44">
        <v>4951687</v>
      </c>
      <c r="E531" s="45">
        <v>0</v>
      </c>
      <c r="F531" s="44">
        <v>4951687</v>
      </c>
      <c r="G531" s="44">
        <v>295048313</v>
      </c>
      <c r="H531" s="45">
        <v>0</v>
      </c>
      <c r="I531" s="46" t="s">
        <v>189</v>
      </c>
      <c r="J531" s="46" t="s">
        <v>21</v>
      </c>
    </row>
    <row r="532" spans="1:10" ht="13.15" x14ac:dyDescent="0.4">
      <c r="A532" s="43" t="s">
        <v>73</v>
      </c>
      <c r="B532" s="44">
        <v>645000000</v>
      </c>
      <c r="C532" s="44">
        <v>483750000</v>
      </c>
      <c r="D532" s="44">
        <v>100000000</v>
      </c>
      <c r="E532" s="44">
        <v>83170000</v>
      </c>
      <c r="F532" s="44">
        <v>183170000</v>
      </c>
      <c r="G532" s="44">
        <v>300580000</v>
      </c>
      <c r="H532" s="44">
        <v>161250000</v>
      </c>
      <c r="I532" s="46" t="s">
        <v>189</v>
      </c>
      <c r="J532" s="46" t="s">
        <v>23</v>
      </c>
    </row>
    <row r="533" spans="1:10" ht="13.15" x14ac:dyDescent="0.4">
      <c r="A533" s="43" t="s">
        <v>111</v>
      </c>
      <c r="B533" s="44">
        <v>285978663</v>
      </c>
      <c r="C533" s="44">
        <v>285978663</v>
      </c>
      <c r="D533" s="44">
        <v>39385000</v>
      </c>
      <c r="E533" s="44">
        <v>32200000</v>
      </c>
      <c r="F533" s="44">
        <v>71585000</v>
      </c>
      <c r="G533" s="44">
        <v>214393663</v>
      </c>
      <c r="H533" s="45">
        <v>0</v>
      </c>
      <c r="I533" s="46" t="s">
        <v>189</v>
      </c>
      <c r="J533" s="46" t="s">
        <v>22</v>
      </c>
    </row>
    <row r="534" spans="1:10" ht="13.15" x14ac:dyDescent="0.4">
      <c r="A534" s="43" t="s">
        <v>112</v>
      </c>
      <c r="B534" s="44">
        <v>1539315000</v>
      </c>
      <c r="C534" s="44">
        <v>1539315000</v>
      </c>
      <c r="D534" s="44">
        <v>6649654</v>
      </c>
      <c r="E534" s="44">
        <v>331100876</v>
      </c>
      <c r="F534" s="44">
        <v>337750530</v>
      </c>
      <c r="G534" s="44">
        <v>1201564470</v>
      </c>
      <c r="H534" s="45">
        <v>0</v>
      </c>
      <c r="I534" s="46" t="s">
        <v>189</v>
      </c>
      <c r="J534" s="46" t="s">
        <v>26</v>
      </c>
    </row>
    <row r="535" spans="1:10" ht="13.15" x14ac:dyDescent="0.4">
      <c r="A535" s="43" t="s">
        <v>76</v>
      </c>
      <c r="B535" s="44">
        <v>550000000</v>
      </c>
      <c r="C535" s="44">
        <v>412500000</v>
      </c>
      <c r="D535" s="44">
        <v>42352800</v>
      </c>
      <c r="E535" s="44">
        <v>12632800</v>
      </c>
      <c r="F535" s="44">
        <v>54985600</v>
      </c>
      <c r="G535" s="44">
        <v>357514400</v>
      </c>
      <c r="H535" s="44">
        <v>137500000</v>
      </c>
      <c r="I535" s="46" t="s">
        <v>189</v>
      </c>
      <c r="J535" s="46" t="s">
        <v>25</v>
      </c>
    </row>
    <row r="536" spans="1:10" ht="13.15" x14ac:dyDescent="0.4">
      <c r="A536" s="43" t="s">
        <v>77</v>
      </c>
      <c r="B536" s="44">
        <v>710500000</v>
      </c>
      <c r="C536" s="44">
        <v>532875000</v>
      </c>
      <c r="D536" s="44">
        <v>33794590</v>
      </c>
      <c r="E536" s="44">
        <v>49382229</v>
      </c>
      <c r="F536" s="44">
        <v>83176819</v>
      </c>
      <c r="G536" s="44">
        <v>449698181</v>
      </c>
      <c r="H536" s="44">
        <v>177625000</v>
      </c>
      <c r="I536" s="46" t="s">
        <v>189</v>
      </c>
      <c r="J536" s="46" t="s">
        <v>25</v>
      </c>
    </row>
    <row r="537" spans="1:10" ht="13.15" x14ac:dyDescent="0.4">
      <c r="A537" s="43" t="s">
        <v>78</v>
      </c>
      <c r="B537" s="44">
        <v>95700000</v>
      </c>
      <c r="C537" s="44">
        <v>95700000</v>
      </c>
      <c r="D537" s="45">
        <v>0</v>
      </c>
      <c r="E537" s="44">
        <v>13500000</v>
      </c>
      <c r="F537" s="44">
        <v>13500000</v>
      </c>
      <c r="G537" s="44">
        <v>82200000</v>
      </c>
      <c r="H537" s="45">
        <v>0</v>
      </c>
      <c r="I537" s="46" t="s">
        <v>189</v>
      </c>
      <c r="J537" s="46" t="s">
        <v>25</v>
      </c>
    </row>
    <row r="538" spans="1:10" ht="13.15" x14ac:dyDescent="0.4">
      <c r="A538" s="43" t="s">
        <v>79</v>
      </c>
      <c r="B538" s="44">
        <v>527665000</v>
      </c>
      <c r="C538" s="44">
        <v>395748750</v>
      </c>
      <c r="D538" s="45">
        <v>0</v>
      </c>
      <c r="E538" s="45">
        <v>0</v>
      </c>
      <c r="F538" s="45">
        <v>0</v>
      </c>
      <c r="G538" s="44">
        <v>395748750</v>
      </c>
      <c r="H538" s="44">
        <v>131916250</v>
      </c>
      <c r="I538" s="46" t="s">
        <v>189</v>
      </c>
      <c r="J538" s="46" t="s">
        <v>25</v>
      </c>
    </row>
    <row r="539" spans="1:10" ht="13.15" x14ac:dyDescent="0.4">
      <c r="A539" s="43" t="s">
        <v>81</v>
      </c>
      <c r="B539" s="44">
        <v>449070000</v>
      </c>
      <c r="C539" s="44">
        <v>336802500</v>
      </c>
      <c r="D539" s="45">
        <v>0</v>
      </c>
      <c r="E539" s="44">
        <v>82551250</v>
      </c>
      <c r="F539" s="44">
        <v>82551250</v>
      </c>
      <c r="G539" s="44">
        <v>254251250</v>
      </c>
      <c r="H539" s="44">
        <v>112267500</v>
      </c>
      <c r="I539" s="46" t="s">
        <v>189</v>
      </c>
      <c r="J539" s="46" t="s">
        <v>25</v>
      </c>
    </row>
    <row r="540" spans="1:10" ht="13.15" x14ac:dyDescent="0.4">
      <c r="A540" s="43" t="s">
        <v>82</v>
      </c>
      <c r="B540" s="44">
        <v>68288000</v>
      </c>
      <c r="C540" s="44">
        <v>68288000</v>
      </c>
      <c r="D540" s="45">
        <v>0</v>
      </c>
      <c r="E540" s="45">
        <v>0</v>
      </c>
      <c r="F540" s="45">
        <v>0</v>
      </c>
      <c r="G540" s="44">
        <v>68288000</v>
      </c>
      <c r="H540" s="45">
        <v>0</v>
      </c>
      <c r="I540" s="46" t="s">
        <v>189</v>
      </c>
      <c r="J540" s="46" t="s">
        <v>25</v>
      </c>
    </row>
    <row r="541" spans="1:10" ht="13.15" x14ac:dyDescent="0.4">
      <c r="A541" s="43" t="s">
        <v>113</v>
      </c>
      <c r="B541" s="45">
        <v>0</v>
      </c>
      <c r="C541" s="45">
        <v>0</v>
      </c>
      <c r="D541" s="45">
        <v>0</v>
      </c>
      <c r="E541" s="44">
        <v>5592872</v>
      </c>
      <c r="F541" s="44">
        <v>5592872</v>
      </c>
      <c r="G541" s="44">
        <v>-5592872</v>
      </c>
      <c r="H541" s="45">
        <v>0</v>
      </c>
      <c r="I541" s="46" t="s">
        <v>189</v>
      </c>
      <c r="J541" s="46" t="s">
        <v>84</v>
      </c>
    </row>
    <row r="542" spans="1:10" ht="13.15" x14ac:dyDescent="0.4">
      <c r="A542" s="43" t="s">
        <v>83</v>
      </c>
      <c r="B542" s="44">
        <v>10688916866</v>
      </c>
      <c r="C542" s="44">
        <v>10688916866</v>
      </c>
      <c r="D542" s="45">
        <v>0</v>
      </c>
      <c r="E542" s="44">
        <v>2588207013</v>
      </c>
      <c r="F542" s="44">
        <v>2588207013</v>
      </c>
      <c r="G542" s="44">
        <v>8100709853</v>
      </c>
      <c r="H542" s="45">
        <v>0</v>
      </c>
      <c r="I542" s="46" t="s">
        <v>189</v>
      </c>
      <c r="J542" s="46" t="s">
        <v>84</v>
      </c>
    </row>
    <row r="543" spans="1:10" ht="13.15" x14ac:dyDescent="0.4">
      <c r="A543" s="43" t="s">
        <v>85</v>
      </c>
      <c r="B543" s="44">
        <v>106116051</v>
      </c>
      <c r="C543" s="44">
        <v>106116051</v>
      </c>
      <c r="D543" s="45">
        <v>0</v>
      </c>
      <c r="E543" s="44">
        <v>26153313</v>
      </c>
      <c r="F543" s="44">
        <v>26153313</v>
      </c>
      <c r="G543" s="44">
        <v>79962738</v>
      </c>
      <c r="H543" s="45">
        <v>0</v>
      </c>
      <c r="I543" s="46" t="s">
        <v>189</v>
      </c>
      <c r="J543" s="46" t="s">
        <v>84</v>
      </c>
    </row>
    <row r="544" spans="1:10" ht="15.75" customHeight="1" x14ac:dyDescent="0.4">
      <c r="A544" s="43" t="s">
        <v>86</v>
      </c>
      <c r="B544" s="44">
        <v>9218326343</v>
      </c>
      <c r="C544" s="44">
        <v>9218326343</v>
      </c>
      <c r="D544" s="45">
        <v>0</v>
      </c>
      <c r="E544" s="44">
        <v>1953953182</v>
      </c>
      <c r="F544" s="44">
        <v>1953953182</v>
      </c>
      <c r="G544" s="44">
        <v>7264373161</v>
      </c>
      <c r="H544" s="45">
        <v>0</v>
      </c>
      <c r="I544" s="46" t="s">
        <v>189</v>
      </c>
      <c r="J544" s="46" t="s">
        <v>84</v>
      </c>
    </row>
    <row r="545" spans="1:10" ht="15.75" customHeight="1" x14ac:dyDescent="0.4">
      <c r="A545" s="43" t="s">
        <v>87</v>
      </c>
      <c r="B545" s="44">
        <v>58858990</v>
      </c>
      <c r="C545" s="44">
        <v>58858990</v>
      </c>
      <c r="D545" s="45">
        <v>0</v>
      </c>
      <c r="E545" s="45">
        <v>0</v>
      </c>
      <c r="F545" s="45">
        <v>0</v>
      </c>
      <c r="G545" s="44">
        <v>58858990</v>
      </c>
      <c r="H545" s="45">
        <v>0</v>
      </c>
      <c r="I545" s="46" t="s">
        <v>189</v>
      </c>
      <c r="J545" s="46" t="s">
        <v>84</v>
      </c>
    </row>
    <row r="546" spans="1:10" ht="15.75" customHeight="1" x14ac:dyDescent="0.4">
      <c r="A546" s="43" t="s">
        <v>88</v>
      </c>
      <c r="B546" s="44">
        <v>1422805953</v>
      </c>
      <c r="C546" s="44">
        <v>1422805953</v>
      </c>
      <c r="D546" s="45">
        <v>0</v>
      </c>
      <c r="E546" s="44">
        <v>314751631</v>
      </c>
      <c r="F546" s="44">
        <v>314751631</v>
      </c>
      <c r="G546" s="44">
        <v>1108054322</v>
      </c>
      <c r="H546" s="45">
        <v>0</v>
      </c>
      <c r="I546" s="46" t="s">
        <v>189</v>
      </c>
      <c r="J546" s="46" t="s">
        <v>84</v>
      </c>
    </row>
    <row r="547" spans="1:10" ht="15.75" customHeight="1" x14ac:dyDescent="0.4">
      <c r="A547" s="43" t="s">
        <v>89</v>
      </c>
      <c r="B547" s="44">
        <v>13916758</v>
      </c>
      <c r="C547" s="44">
        <v>13916758</v>
      </c>
      <c r="D547" s="45">
        <v>0</v>
      </c>
      <c r="E547" s="44">
        <v>3389817</v>
      </c>
      <c r="F547" s="44">
        <v>3389817</v>
      </c>
      <c r="G547" s="44">
        <v>10526941</v>
      </c>
      <c r="H547" s="45">
        <v>0</v>
      </c>
      <c r="I547" s="46" t="s">
        <v>189</v>
      </c>
      <c r="J547" s="46" t="s">
        <v>84</v>
      </c>
    </row>
    <row r="548" spans="1:10" ht="15.75" customHeight="1" x14ac:dyDescent="0.4">
      <c r="A548" s="43" t="s">
        <v>90</v>
      </c>
      <c r="B548" s="44">
        <v>1559682761</v>
      </c>
      <c r="C548" s="44">
        <v>1559682761</v>
      </c>
      <c r="D548" s="45">
        <v>0</v>
      </c>
      <c r="E548" s="44">
        <v>380920312</v>
      </c>
      <c r="F548" s="44">
        <v>380920312</v>
      </c>
      <c r="G548" s="44">
        <v>1178762449</v>
      </c>
      <c r="H548" s="45">
        <v>0</v>
      </c>
      <c r="I548" s="46" t="s">
        <v>189</v>
      </c>
      <c r="J548" s="46" t="s">
        <v>84</v>
      </c>
    </row>
    <row r="549" spans="1:10" ht="15.75" customHeight="1" x14ac:dyDescent="0.4">
      <c r="A549" s="43" t="s">
        <v>91</v>
      </c>
      <c r="B549" s="44">
        <v>3850588</v>
      </c>
      <c r="C549" s="44">
        <v>3850588</v>
      </c>
      <c r="D549" s="45">
        <v>0</v>
      </c>
      <c r="E549" s="45">
        <v>0</v>
      </c>
      <c r="F549" s="45">
        <v>0</v>
      </c>
      <c r="G549" s="44">
        <v>3850588</v>
      </c>
      <c r="H549" s="45">
        <v>0</v>
      </c>
      <c r="I549" s="46" t="s">
        <v>189</v>
      </c>
      <c r="J549" s="46" t="s">
        <v>84</v>
      </c>
    </row>
    <row r="550" spans="1:10" ht="15.75" customHeight="1" x14ac:dyDescent="0.4">
      <c r="A550" s="47" t="s">
        <v>190</v>
      </c>
      <c r="B550" s="48">
        <v>58569240973</v>
      </c>
      <c r="C550" s="48">
        <v>57848682223</v>
      </c>
      <c r="D550" s="48">
        <v>22615145411</v>
      </c>
      <c r="E550" s="48">
        <v>6647322342</v>
      </c>
      <c r="F550" s="48">
        <v>29262467753</v>
      </c>
      <c r="G550" s="48">
        <v>28586214470</v>
      </c>
      <c r="H550" s="48">
        <v>720558750</v>
      </c>
      <c r="I550" s="49" t="s">
        <v>189</v>
      </c>
      <c r="J550" s="49" t="e">
        <v>#N/A</v>
      </c>
    </row>
  </sheetData>
  <autoFilter ref="A1:J543" xr:uid="{00000000-0009-0000-00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D63A-A4A6-488E-B302-F2B6F305F9EB}">
  <sheetPr>
    <tabColor theme="9" tint="-0.249977111117893"/>
  </sheetPr>
  <dimension ref="A1:MO138"/>
  <sheetViews>
    <sheetView zoomScale="130" zoomScaleNormal="130" workbookViewId="0">
      <pane ySplit="1" topLeftCell="A77" activePane="bottomLeft" state="frozen"/>
      <selection activeCell="B16" sqref="B16"/>
      <selection pane="bottomLeft" activeCell="C89" sqref="C89"/>
    </sheetView>
  </sheetViews>
  <sheetFormatPr defaultColWidth="0" defaultRowHeight="13.15" x14ac:dyDescent="0.4"/>
  <cols>
    <col min="1" max="1" width="12.9296875" style="68" customWidth="1"/>
    <col min="2" max="2" width="25.86328125" style="31" customWidth="1"/>
    <col min="3" max="4" width="20.1328125" style="33" customWidth="1"/>
    <col min="5" max="5" width="13.19921875" style="31" hidden="1" customWidth="1"/>
    <col min="6" max="12" width="7.73046875" style="31" hidden="1" customWidth="1"/>
    <col min="13" max="91" width="8.73046875" style="31" hidden="1" customWidth="1"/>
    <col min="92" max="262" width="9.73046875" style="31" hidden="1" customWidth="1"/>
    <col min="263" max="328" width="10.73046875" style="31" hidden="1" customWidth="1"/>
    <col min="329" max="349" width="11.73046875" style="31" hidden="1" customWidth="1"/>
    <col min="350" max="351" width="12" style="31" hidden="1" customWidth="1"/>
    <col min="352" max="352" width="6.73046875" style="31" hidden="1" customWidth="1"/>
    <col min="353" max="353" width="11.1328125" style="31" hidden="1" customWidth="1"/>
    <col min="354" max="16384" width="9.06640625" style="31" hidden="1"/>
  </cols>
  <sheetData>
    <row r="1" spans="1:4" x14ac:dyDescent="0.4">
      <c r="B1" s="39" t="s">
        <v>42</v>
      </c>
      <c r="C1" s="40" t="s">
        <v>191</v>
      </c>
      <c r="D1" s="40" t="s">
        <v>192</v>
      </c>
    </row>
    <row r="2" spans="1:4" x14ac:dyDescent="0.4">
      <c r="B2" s="41" t="s">
        <v>116</v>
      </c>
      <c r="C2" s="40">
        <v>29208950672</v>
      </c>
      <c r="D2" s="40">
        <v>9920320967</v>
      </c>
    </row>
    <row r="3" spans="1:4" x14ac:dyDescent="0.4">
      <c r="A3" s="68" t="s">
        <v>204</v>
      </c>
      <c r="B3" s="42" t="s">
        <v>25</v>
      </c>
      <c r="C3" s="40">
        <v>235978350</v>
      </c>
      <c r="D3" s="40">
        <v>158206850</v>
      </c>
    </row>
    <row r="4" spans="1:4" x14ac:dyDescent="0.4">
      <c r="A4" s="68" t="str">
        <f>A3</f>
        <v>1 Jak (LAA)</v>
      </c>
      <c r="B4" s="42" t="s">
        <v>23</v>
      </c>
      <c r="C4" s="40">
        <v>66464000</v>
      </c>
      <c r="D4" s="40">
        <v>24488000</v>
      </c>
    </row>
    <row r="5" spans="1:4" x14ac:dyDescent="0.4">
      <c r="A5" s="68" t="str">
        <f t="shared" ref="A5:A6" si="0">A4</f>
        <v>1 Jak (LAA)</v>
      </c>
      <c r="B5" s="42" t="s">
        <v>9</v>
      </c>
      <c r="C5" s="40">
        <v>28303608349</v>
      </c>
      <c r="D5" s="40">
        <v>9632690644</v>
      </c>
    </row>
    <row r="6" spans="1:4" x14ac:dyDescent="0.4">
      <c r="A6" s="68" t="str">
        <f t="shared" si="0"/>
        <v>1 Jak (LAA)</v>
      </c>
      <c r="B6" s="42" t="s">
        <v>21</v>
      </c>
      <c r="C6" s="40">
        <v>602899973</v>
      </c>
      <c r="D6" s="40">
        <v>104935473</v>
      </c>
    </row>
    <row r="7" spans="1:4" x14ac:dyDescent="0.4">
      <c r="B7" s="41" t="s">
        <v>97</v>
      </c>
      <c r="C7" s="40">
        <v>23093290005</v>
      </c>
      <c r="D7" s="40">
        <v>1656203874</v>
      </c>
    </row>
    <row r="8" spans="1:4" x14ac:dyDescent="0.4">
      <c r="A8" s="68" t="s">
        <v>205</v>
      </c>
      <c r="B8" s="42" t="s">
        <v>22</v>
      </c>
      <c r="C8" s="40">
        <v>28710000</v>
      </c>
      <c r="D8" s="40">
        <v>0</v>
      </c>
    </row>
    <row r="9" spans="1:4" x14ac:dyDescent="0.4">
      <c r="A9" s="68" t="str">
        <f>A8</f>
        <v>1 Jak</v>
      </c>
      <c r="B9" s="42" t="s">
        <v>25</v>
      </c>
      <c r="C9" s="40">
        <v>592051011</v>
      </c>
      <c r="D9" s="40">
        <v>207870775</v>
      </c>
    </row>
    <row r="10" spans="1:4" x14ac:dyDescent="0.4">
      <c r="A10" s="68" t="str">
        <f t="shared" ref="A10:A13" si="1">A9</f>
        <v>1 Jak</v>
      </c>
      <c r="B10" s="42" t="s">
        <v>26</v>
      </c>
      <c r="C10" s="40">
        <v>675269947</v>
      </c>
      <c r="D10" s="40">
        <v>675269947</v>
      </c>
    </row>
    <row r="11" spans="1:4" x14ac:dyDescent="0.4">
      <c r="A11" s="68" t="str">
        <f t="shared" si="1"/>
        <v>1 Jak</v>
      </c>
      <c r="B11" s="42" t="s">
        <v>23</v>
      </c>
      <c r="C11" s="40">
        <v>0</v>
      </c>
      <c r="D11" s="40">
        <v>0</v>
      </c>
    </row>
    <row r="12" spans="1:4" x14ac:dyDescent="0.4">
      <c r="A12" s="68" t="str">
        <f t="shared" si="1"/>
        <v>1 Jak</v>
      </c>
      <c r="B12" s="42" t="s">
        <v>9</v>
      </c>
      <c r="C12" s="40">
        <v>21266339047</v>
      </c>
      <c r="D12" s="40">
        <v>704063152</v>
      </c>
    </row>
    <row r="13" spans="1:4" x14ac:dyDescent="0.4">
      <c r="A13" s="68" t="str">
        <f t="shared" si="1"/>
        <v>1 Jak</v>
      </c>
      <c r="B13" s="42" t="s">
        <v>21</v>
      </c>
      <c r="C13" s="40">
        <v>530920000</v>
      </c>
      <c r="D13" s="40">
        <v>69000000</v>
      </c>
    </row>
    <row r="14" spans="1:4" x14ac:dyDescent="0.4">
      <c r="B14" s="41" t="s">
        <v>131</v>
      </c>
      <c r="C14" s="40">
        <v>18119039072</v>
      </c>
      <c r="D14" s="40">
        <v>1364602331</v>
      </c>
    </row>
    <row r="15" spans="1:4" x14ac:dyDescent="0.4">
      <c r="A15" s="68" t="str">
        <f>B14</f>
        <v>2 Bd</v>
      </c>
      <c r="B15" s="42" t="s">
        <v>22</v>
      </c>
      <c r="C15" s="40">
        <v>15775000</v>
      </c>
      <c r="D15" s="40">
        <v>7520000</v>
      </c>
    </row>
    <row r="16" spans="1:4" x14ac:dyDescent="0.4">
      <c r="A16" s="68" t="str">
        <f>A15</f>
        <v>2 Bd</v>
      </c>
      <c r="B16" s="42" t="s">
        <v>25</v>
      </c>
      <c r="C16" s="40">
        <v>225859389</v>
      </c>
      <c r="D16" s="40">
        <v>183468889</v>
      </c>
    </row>
    <row r="17" spans="1:4" x14ac:dyDescent="0.4">
      <c r="A17" s="68" t="str">
        <f t="shared" ref="A17:A20" si="2">A16</f>
        <v>2 Bd</v>
      </c>
      <c r="B17" s="42" t="s">
        <v>26</v>
      </c>
      <c r="C17" s="40">
        <v>474175238</v>
      </c>
      <c r="D17" s="40">
        <v>474175238</v>
      </c>
    </row>
    <row r="18" spans="1:4" x14ac:dyDescent="0.4">
      <c r="A18" s="68" t="str">
        <f t="shared" si="2"/>
        <v>2 Bd</v>
      </c>
      <c r="B18" s="42" t="s">
        <v>23</v>
      </c>
      <c r="C18" s="40">
        <v>497734500</v>
      </c>
      <c r="D18" s="40">
        <v>0</v>
      </c>
    </row>
    <row r="19" spans="1:4" x14ac:dyDescent="0.4">
      <c r="A19" s="68" t="str">
        <f t="shared" si="2"/>
        <v>2 Bd</v>
      </c>
      <c r="B19" s="42" t="s">
        <v>9</v>
      </c>
      <c r="C19" s="40">
        <v>16273511161</v>
      </c>
      <c r="D19" s="40">
        <v>699438204</v>
      </c>
    </row>
    <row r="20" spans="1:4" x14ac:dyDescent="0.4">
      <c r="A20" s="68" t="str">
        <f t="shared" si="2"/>
        <v>2 Bd</v>
      </c>
      <c r="B20" s="42" t="s">
        <v>21</v>
      </c>
      <c r="C20" s="40">
        <v>631983784</v>
      </c>
      <c r="D20" s="40">
        <v>0</v>
      </c>
    </row>
    <row r="21" spans="1:4" x14ac:dyDescent="0.4">
      <c r="B21" s="41" t="s">
        <v>133</v>
      </c>
      <c r="C21" s="40">
        <v>12199128376</v>
      </c>
      <c r="D21" s="40">
        <v>838605453</v>
      </c>
    </row>
    <row r="22" spans="1:4" x14ac:dyDescent="0.4">
      <c r="A22" s="68" t="str">
        <f>B21</f>
        <v>3 Cn</v>
      </c>
      <c r="B22" s="42" t="s">
        <v>22</v>
      </c>
      <c r="C22" s="40">
        <v>11205000</v>
      </c>
      <c r="D22" s="40">
        <v>0</v>
      </c>
    </row>
    <row r="23" spans="1:4" x14ac:dyDescent="0.4">
      <c r="A23" s="68" t="str">
        <f>A22</f>
        <v>3 Cn</v>
      </c>
      <c r="B23" s="42" t="s">
        <v>25</v>
      </c>
      <c r="C23" s="40">
        <v>345568297</v>
      </c>
      <c r="D23" s="40">
        <v>204075285</v>
      </c>
    </row>
    <row r="24" spans="1:4" x14ac:dyDescent="0.4">
      <c r="A24" s="68" t="str">
        <f t="shared" ref="A24:A27" si="3">A23</f>
        <v>3 Cn</v>
      </c>
      <c r="B24" s="42" t="s">
        <v>26</v>
      </c>
      <c r="C24" s="40">
        <v>493648655</v>
      </c>
      <c r="D24" s="40">
        <v>493648655</v>
      </c>
    </row>
    <row r="25" spans="1:4" x14ac:dyDescent="0.4">
      <c r="A25" s="68" t="str">
        <f t="shared" si="3"/>
        <v>3 Cn</v>
      </c>
      <c r="B25" s="42" t="s">
        <v>23</v>
      </c>
      <c r="C25" s="40">
        <v>0</v>
      </c>
      <c r="D25" s="40">
        <v>0</v>
      </c>
    </row>
    <row r="26" spans="1:4" x14ac:dyDescent="0.4">
      <c r="A26" s="68" t="str">
        <f t="shared" si="3"/>
        <v>3 Cn</v>
      </c>
      <c r="B26" s="42" t="s">
        <v>9</v>
      </c>
      <c r="C26" s="40">
        <v>11301848786</v>
      </c>
      <c r="D26" s="40">
        <v>132106375</v>
      </c>
    </row>
    <row r="27" spans="1:4" x14ac:dyDescent="0.4">
      <c r="A27" s="68" t="str">
        <f t="shared" si="3"/>
        <v>3 Cn</v>
      </c>
      <c r="B27" s="42" t="s">
        <v>21</v>
      </c>
      <c r="C27" s="40">
        <v>46857638</v>
      </c>
      <c r="D27" s="40">
        <v>8775138</v>
      </c>
    </row>
    <row r="28" spans="1:4" x14ac:dyDescent="0.4">
      <c r="B28" s="41" t="s">
        <v>136</v>
      </c>
      <c r="C28" s="40">
        <v>10425260223</v>
      </c>
      <c r="D28" s="40">
        <v>1080690309</v>
      </c>
    </row>
    <row r="29" spans="1:4" x14ac:dyDescent="0.4">
      <c r="A29" s="68" t="str">
        <f>B28</f>
        <v>4 Sm</v>
      </c>
      <c r="B29" s="42" t="s">
        <v>22</v>
      </c>
      <c r="C29" s="40">
        <v>71775000</v>
      </c>
      <c r="D29" s="40">
        <v>71775000</v>
      </c>
    </row>
    <row r="30" spans="1:4" x14ac:dyDescent="0.4">
      <c r="A30" s="68" t="str">
        <f>A29</f>
        <v>4 Sm</v>
      </c>
      <c r="B30" s="42" t="s">
        <v>25</v>
      </c>
      <c r="C30" s="40">
        <v>278221421</v>
      </c>
      <c r="D30" s="40">
        <v>199894421</v>
      </c>
    </row>
    <row r="31" spans="1:4" x14ac:dyDescent="0.4">
      <c r="A31" s="68" t="str">
        <f t="shared" ref="A31:A34" si="4">A30</f>
        <v>4 Sm</v>
      </c>
      <c r="B31" s="42" t="s">
        <v>26</v>
      </c>
      <c r="C31" s="40">
        <v>569677542</v>
      </c>
      <c r="D31" s="40">
        <v>569677542</v>
      </c>
    </row>
    <row r="32" spans="1:4" x14ac:dyDescent="0.4">
      <c r="A32" s="68" t="str">
        <f t="shared" si="4"/>
        <v>4 Sm</v>
      </c>
      <c r="B32" s="42" t="s">
        <v>23</v>
      </c>
      <c r="C32" s="40">
        <v>41856000</v>
      </c>
      <c r="D32" s="40">
        <v>41856000</v>
      </c>
    </row>
    <row r="33" spans="1:4" x14ac:dyDescent="0.4">
      <c r="A33" s="68" t="str">
        <f t="shared" si="4"/>
        <v>4 Sm</v>
      </c>
      <c r="B33" s="42" t="s">
        <v>9</v>
      </c>
      <c r="C33" s="40">
        <v>9439022660</v>
      </c>
      <c r="D33" s="40">
        <v>197487346</v>
      </c>
    </row>
    <row r="34" spans="1:4" x14ac:dyDescent="0.4">
      <c r="A34" s="68" t="str">
        <f t="shared" si="4"/>
        <v>4 Sm</v>
      </c>
      <c r="B34" s="42" t="s">
        <v>21</v>
      </c>
      <c r="C34" s="40">
        <v>24707600</v>
      </c>
      <c r="D34" s="40">
        <v>0</v>
      </c>
    </row>
    <row r="35" spans="1:4" x14ac:dyDescent="0.4">
      <c r="B35" s="41" t="s">
        <v>139</v>
      </c>
      <c r="C35" s="40">
        <v>15493088575</v>
      </c>
      <c r="D35" s="40">
        <v>1158561433</v>
      </c>
    </row>
    <row r="36" spans="1:4" x14ac:dyDescent="0.4">
      <c r="A36" s="68" t="str">
        <f>B35</f>
        <v>5 Pwt</v>
      </c>
      <c r="B36" s="42" t="s">
        <v>22</v>
      </c>
      <c r="C36" s="40">
        <v>32848750</v>
      </c>
      <c r="D36" s="40">
        <v>32848750</v>
      </c>
    </row>
    <row r="37" spans="1:4" x14ac:dyDescent="0.4">
      <c r="A37" s="68" t="str">
        <f>A36</f>
        <v>5 Pwt</v>
      </c>
      <c r="B37" s="42" t="s">
        <v>25</v>
      </c>
      <c r="C37" s="40">
        <v>940203567</v>
      </c>
      <c r="D37" s="40">
        <v>214869830</v>
      </c>
    </row>
    <row r="38" spans="1:4" x14ac:dyDescent="0.4">
      <c r="A38" s="68" t="str">
        <f t="shared" ref="A38:A41" si="5">A37</f>
        <v>5 Pwt</v>
      </c>
      <c r="B38" s="42" t="s">
        <v>26</v>
      </c>
      <c r="C38" s="40">
        <v>573387303</v>
      </c>
      <c r="D38" s="40">
        <v>573387303</v>
      </c>
    </row>
    <row r="39" spans="1:4" x14ac:dyDescent="0.4">
      <c r="A39" s="68" t="str">
        <f t="shared" si="5"/>
        <v>5 Pwt</v>
      </c>
      <c r="B39" s="42" t="s">
        <v>23</v>
      </c>
      <c r="C39" s="40">
        <v>0</v>
      </c>
      <c r="D39" s="40">
        <v>0</v>
      </c>
    </row>
    <row r="40" spans="1:4" x14ac:dyDescent="0.4">
      <c r="A40" s="68" t="str">
        <f t="shared" si="5"/>
        <v>5 Pwt</v>
      </c>
      <c r="B40" s="42" t="s">
        <v>9</v>
      </c>
      <c r="C40" s="40">
        <v>13450818955</v>
      </c>
      <c r="D40" s="40">
        <v>337455550</v>
      </c>
    </row>
    <row r="41" spans="1:4" x14ac:dyDescent="0.4">
      <c r="A41" s="68" t="str">
        <f t="shared" si="5"/>
        <v>5 Pwt</v>
      </c>
      <c r="B41" s="42" t="s">
        <v>21</v>
      </c>
      <c r="C41" s="40">
        <v>495830000</v>
      </c>
      <c r="D41" s="40">
        <v>0</v>
      </c>
    </row>
    <row r="42" spans="1:4" x14ac:dyDescent="0.4">
      <c r="B42" s="41" t="s">
        <v>141</v>
      </c>
      <c r="C42" s="40">
        <v>13671567169</v>
      </c>
      <c r="D42" s="40">
        <v>1219678277</v>
      </c>
    </row>
    <row r="43" spans="1:4" x14ac:dyDescent="0.4">
      <c r="A43" s="68" t="str">
        <f>B42</f>
        <v>6 Yk</v>
      </c>
      <c r="B43" s="42" t="s">
        <v>22</v>
      </c>
      <c r="C43" s="40">
        <v>63260000</v>
      </c>
      <c r="D43" s="40">
        <v>62100000</v>
      </c>
    </row>
    <row r="44" spans="1:4" x14ac:dyDescent="0.4">
      <c r="A44" s="68" t="str">
        <f>A43</f>
        <v>6 Yk</v>
      </c>
      <c r="B44" s="42" t="s">
        <v>25</v>
      </c>
      <c r="C44" s="40">
        <v>631076912</v>
      </c>
      <c r="D44" s="40">
        <v>200799692</v>
      </c>
    </row>
    <row r="45" spans="1:4" x14ac:dyDescent="0.4">
      <c r="A45" s="68" t="str">
        <f t="shared" ref="A45:A48" si="6">A44</f>
        <v>6 Yk</v>
      </c>
      <c r="B45" s="42" t="s">
        <v>26</v>
      </c>
      <c r="C45" s="40">
        <v>465736545</v>
      </c>
      <c r="D45" s="40">
        <v>465736545</v>
      </c>
    </row>
    <row r="46" spans="1:4" x14ac:dyDescent="0.4">
      <c r="A46" s="68" t="str">
        <f t="shared" si="6"/>
        <v>6 Yk</v>
      </c>
      <c r="B46" s="42" t="s">
        <v>23</v>
      </c>
      <c r="C46" s="40">
        <v>0</v>
      </c>
      <c r="D46" s="40">
        <v>0</v>
      </c>
    </row>
    <row r="47" spans="1:4" x14ac:dyDescent="0.4">
      <c r="A47" s="68" t="str">
        <f t="shared" si="6"/>
        <v>6 Yk</v>
      </c>
      <c r="B47" s="42" t="s">
        <v>9</v>
      </c>
      <c r="C47" s="40">
        <v>12466034712</v>
      </c>
      <c r="D47" s="40">
        <v>454542040</v>
      </c>
    </row>
    <row r="48" spans="1:4" x14ac:dyDescent="0.4">
      <c r="A48" s="68" t="str">
        <f t="shared" si="6"/>
        <v>6 Yk</v>
      </c>
      <c r="B48" s="42" t="s">
        <v>21</v>
      </c>
      <c r="C48" s="40">
        <v>45459000</v>
      </c>
      <c r="D48" s="40">
        <v>36500000</v>
      </c>
    </row>
    <row r="49" spans="1:4" x14ac:dyDescent="0.4">
      <c r="B49" s="41" t="s">
        <v>143</v>
      </c>
      <c r="C49" s="40">
        <v>7750632080</v>
      </c>
      <c r="D49" s="40">
        <v>804137941</v>
      </c>
    </row>
    <row r="50" spans="1:4" x14ac:dyDescent="0.4">
      <c r="A50" s="68" t="str">
        <f>B49</f>
        <v>7 Mn</v>
      </c>
      <c r="B50" s="42" t="s">
        <v>22</v>
      </c>
      <c r="C50" s="40">
        <v>21262500</v>
      </c>
      <c r="D50" s="40">
        <v>21262500</v>
      </c>
    </row>
    <row r="51" spans="1:4" x14ac:dyDescent="0.4">
      <c r="A51" s="68" t="str">
        <f>A50</f>
        <v>7 Mn</v>
      </c>
      <c r="B51" s="42" t="s">
        <v>25</v>
      </c>
      <c r="C51" s="40">
        <v>163729636</v>
      </c>
      <c r="D51" s="40">
        <v>117593136</v>
      </c>
    </row>
    <row r="52" spans="1:4" x14ac:dyDescent="0.4">
      <c r="A52" s="68" t="str">
        <f t="shared" ref="A52:A55" si="7">A51</f>
        <v>7 Mn</v>
      </c>
      <c r="B52" s="42" t="s">
        <v>26</v>
      </c>
      <c r="C52" s="40">
        <v>407799162</v>
      </c>
      <c r="D52" s="40">
        <v>407799162</v>
      </c>
    </row>
    <row r="53" spans="1:4" x14ac:dyDescent="0.4">
      <c r="A53" s="68" t="str">
        <f t="shared" si="7"/>
        <v>7 Mn</v>
      </c>
      <c r="B53" s="42" t="s">
        <v>23</v>
      </c>
      <c r="C53" s="40">
        <v>2159300</v>
      </c>
      <c r="D53" s="40">
        <v>2159300</v>
      </c>
    </row>
    <row r="54" spans="1:4" x14ac:dyDescent="0.4">
      <c r="A54" s="68" t="str">
        <f t="shared" si="7"/>
        <v>7 Mn</v>
      </c>
      <c r="B54" s="42" t="s">
        <v>9</v>
      </c>
      <c r="C54" s="40">
        <v>7153737482</v>
      </c>
      <c r="D54" s="40">
        <v>253379843</v>
      </c>
    </row>
    <row r="55" spans="1:4" x14ac:dyDescent="0.4">
      <c r="A55" s="68" t="str">
        <f t="shared" si="7"/>
        <v>7 Mn</v>
      </c>
      <c r="B55" s="42" t="s">
        <v>21</v>
      </c>
      <c r="C55" s="40">
        <v>1944000</v>
      </c>
      <c r="D55" s="40">
        <v>1944000</v>
      </c>
    </row>
    <row r="56" spans="1:4" x14ac:dyDescent="0.4">
      <c r="B56" s="41" t="s">
        <v>145</v>
      </c>
      <c r="C56" s="40">
        <v>21748614036</v>
      </c>
      <c r="D56" s="40">
        <v>2496931968</v>
      </c>
    </row>
    <row r="57" spans="1:4" x14ac:dyDescent="0.4">
      <c r="A57" s="68" t="str">
        <f>B56</f>
        <v>8 Sb</v>
      </c>
      <c r="B57" s="42" t="s">
        <v>22</v>
      </c>
      <c r="C57" s="40">
        <v>28052000</v>
      </c>
      <c r="D57" s="40">
        <v>28052000</v>
      </c>
    </row>
    <row r="58" spans="1:4" x14ac:dyDescent="0.4">
      <c r="A58" s="68" t="str">
        <f>A57</f>
        <v>8 Sb</v>
      </c>
      <c r="B58" s="42" t="s">
        <v>25</v>
      </c>
      <c r="C58" s="40">
        <v>225459743</v>
      </c>
      <c r="D58" s="40">
        <v>163458728</v>
      </c>
    </row>
    <row r="59" spans="1:4" x14ac:dyDescent="0.4">
      <c r="A59" s="68" t="str">
        <f t="shared" ref="A59:A62" si="8">A58</f>
        <v>8 Sb</v>
      </c>
      <c r="B59" s="42" t="s">
        <v>26</v>
      </c>
      <c r="C59" s="40">
        <v>600767392</v>
      </c>
      <c r="D59" s="40">
        <v>600310622</v>
      </c>
    </row>
    <row r="60" spans="1:4" x14ac:dyDescent="0.4">
      <c r="A60" s="68" t="str">
        <f t="shared" si="8"/>
        <v>8 Sb</v>
      </c>
      <c r="B60" s="42" t="s">
        <v>23</v>
      </c>
      <c r="C60" s="40">
        <v>0</v>
      </c>
      <c r="D60" s="40">
        <v>0</v>
      </c>
    </row>
    <row r="61" spans="1:4" x14ac:dyDescent="0.4">
      <c r="A61" s="68" t="str">
        <f t="shared" si="8"/>
        <v>8 Sb</v>
      </c>
      <c r="B61" s="42" t="s">
        <v>9</v>
      </c>
      <c r="C61" s="40">
        <v>20894334901</v>
      </c>
      <c r="D61" s="40">
        <v>1705110618</v>
      </c>
    </row>
    <row r="62" spans="1:4" x14ac:dyDescent="0.4">
      <c r="A62" s="68" t="str">
        <f t="shared" si="8"/>
        <v>8 Sb</v>
      </c>
      <c r="B62" s="42" t="s">
        <v>21</v>
      </c>
      <c r="C62" s="40">
        <v>0</v>
      </c>
      <c r="D62" s="40">
        <v>0</v>
      </c>
    </row>
    <row r="63" spans="1:4" x14ac:dyDescent="0.4">
      <c r="B63" s="41" t="s">
        <v>147</v>
      </c>
      <c r="C63" s="40">
        <v>1591821260</v>
      </c>
      <c r="D63" s="40">
        <v>684092964</v>
      </c>
    </row>
    <row r="64" spans="1:4" x14ac:dyDescent="0.4">
      <c r="A64" s="68" t="str">
        <f>B63</f>
        <v>9 Jr</v>
      </c>
      <c r="B64" s="42" t="s">
        <v>22</v>
      </c>
      <c r="C64" s="40">
        <v>19823200</v>
      </c>
      <c r="D64" s="40">
        <v>0</v>
      </c>
    </row>
    <row r="65" spans="1:4" x14ac:dyDescent="0.4">
      <c r="A65" s="68" t="str">
        <f>A64</f>
        <v>9 Jr</v>
      </c>
      <c r="B65" s="42" t="s">
        <v>25</v>
      </c>
      <c r="C65" s="40">
        <v>292161412</v>
      </c>
      <c r="D65" s="40">
        <v>161807412</v>
      </c>
    </row>
    <row r="66" spans="1:4" x14ac:dyDescent="0.4">
      <c r="A66" s="68" t="str">
        <f t="shared" ref="A66:A69" si="9">A65</f>
        <v>9 Jr</v>
      </c>
      <c r="B66" s="42" t="s">
        <v>26</v>
      </c>
      <c r="C66" s="40">
        <v>142418828</v>
      </c>
      <c r="D66" s="40">
        <v>100820038</v>
      </c>
    </row>
    <row r="67" spans="1:4" x14ac:dyDescent="0.4">
      <c r="A67" s="68" t="str">
        <f t="shared" si="9"/>
        <v>9 Jr</v>
      </c>
      <c r="B67" s="42" t="s">
        <v>23</v>
      </c>
      <c r="C67" s="40">
        <v>11000000</v>
      </c>
      <c r="D67" s="40">
        <v>0</v>
      </c>
    </row>
    <row r="68" spans="1:4" x14ac:dyDescent="0.4">
      <c r="A68" s="68" t="str">
        <f t="shared" si="9"/>
        <v>9 Jr</v>
      </c>
      <c r="B68" s="42" t="s">
        <v>9</v>
      </c>
      <c r="C68" s="40">
        <v>1126417820</v>
      </c>
      <c r="D68" s="40">
        <v>421465514</v>
      </c>
    </row>
    <row r="69" spans="1:4" x14ac:dyDescent="0.4">
      <c r="A69" s="68" t="str">
        <f t="shared" si="9"/>
        <v>9 Jr</v>
      </c>
      <c r="B69" s="42" t="s">
        <v>21</v>
      </c>
      <c r="C69" s="40">
        <v>0</v>
      </c>
      <c r="D69" s="40">
        <v>0</v>
      </c>
    </row>
    <row r="70" spans="1:4" x14ac:dyDescent="0.4">
      <c r="B70" s="41" t="s">
        <v>149</v>
      </c>
      <c r="C70" s="40">
        <v>1579104140</v>
      </c>
      <c r="D70" s="40">
        <v>646810092</v>
      </c>
    </row>
    <row r="71" spans="1:4" x14ac:dyDescent="0.4">
      <c r="A71" s="68" t="str">
        <f>B70</f>
        <v>I Su</v>
      </c>
      <c r="B71" s="42" t="s">
        <v>22</v>
      </c>
      <c r="C71" s="40">
        <v>52208150</v>
      </c>
      <c r="D71" s="40">
        <v>0</v>
      </c>
    </row>
    <row r="72" spans="1:4" x14ac:dyDescent="0.4">
      <c r="A72" s="68" t="str">
        <f>A71</f>
        <v>I Su</v>
      </c>
      <c r="B72" s="42" t="s">
        <v>25</v>
      </c>
      <c r="C72" s="40">
        <v>317782812</v>
      </c>
      <c r="D72" s="40">
        <v>168080362</v>
      </c>
    </row>
    <row r="73" spans="1:4" x14ac:dyDescent="0.4">
      <c r="A73" s="68" t="str">
        <f t="shared" ref="A73:A76" si="10">A72</f>
        <v>I Su</v>
      </c>
      <c r="B73" s="42" t="s">
        <v>26</v>
      </c>
      <c r="C73" s="40">
        <v>348979818</v>
      </c>
      <c r="D73" s="40">
        <v>329979818</v>
      </c>
    </row>
    <row r="74" spans="1:4" x14ac:dyDescent="0.4">
      <c r="A74" s="68" t="str">
        <f t="shared" si="10"/>
        <v>I Su</v>
      </c>
      <c r="B74" s="42" t="s">
        <v>23</v>
      </c>
      <c r="C74" s="40">
        <v>0</v>
      </c>
      <c r="D74" s="40">
        <v>0</v>
      </c>
    </row>
    <row r="75" spans="1:4" x14ac:dyDescent="0.4">
      <c r="A75" s="68" t="str">
        <f t="shared" si="10"/>
        <v>I Su</v>
      </c>
      <c r="B75" s="42" t="s">
        <v>9</v>
      </c>
      <c r="C75" s="40">
        <v>860133360</v>
      </c>
      <c r="D75" s="40">
        <v>148749912</v>
      </c>
    </row>
    <row r="76" spans="1:4" x14ac:dyDescent="0.4">
      <c r="A76" s="68" t="str">
        <f t="shared" si="10"/>
        <v>I Su</v>
      </c>
      <c r="B76" s="42" t="s">
        <v>21</v>
      </c>
      <c r="C76" s="40">
        <v>0</v>
      </c>
      <c r="D76" s="40">
        <v>0</v>
      </c>
    </row>
    <row r="77" spans="1:4" x14ac:dyDescent="0.4">
      <c r="B77" s="41" t="s">
        <v>151</v>
      </c>
      <c r="C77" s="40">
        <v>524346780</v>
      </c>
      <c r="D77" s="40">
        <v>81050880</v>
      </c>
    </row>
    <row r="78" spans="1:4" x14ac:dyDescent="0.4">
      <c r="A78" s="68" t="str">
        <f>B77</f>
        <v>II Pd</v>
      </c>
      <c r="B78" s="42" t="s">
        <v>22</v>
      </c>
      <c r="C78" s="40">
        <v>12542600</v>
      </c>
      <c r="D78" s="40">
        <v>6119400</v>
      </c>
    </row>
    <row r="79" spans="1:4" x14ac:dyDescent="0.4">
      <c r="A79" s="68" t="str">
        <f>A78</f>
        <v>II Pd</v>
      </c>
      <c r="B79" s="42" t="s">
        <v>24</v>
      </c>
      <c r="C79" s="40"/>
      <c r="D79" s="40"/>
    </row>
    <row r="80" spans="1:4" x14ac:dyDescent="0.4">
      <c r="A80" s="68" t="str">
        <f t="shared" ref="A80:A83" si="11">A79</f>
        <v>II Pd</v>
      </c>
      <c r="B80" s="42" t="s">
        <v>25</v>
      </c>
      <c r="C80" s="40">
        <v>18972350</v>
      </c>
      <c r="D80" s="40">
        <v>9429650</v>
      </c>
    </row>
    <row r="81" spans="1:4" x14ac:dyDescent="0.4">
      <c r="A81" s="68" t="str">
        <f t="shared" si="11"/>
        <v>II Pd</v>
      </c>
      <c r="B81" s="42" t="s">
        <v>169</v>
      </c>
      <c r="C81" s="40"/>
      <c r="D81" s="40"/>
    </row>
    <row r="82" spans="1:4" x14ac:dyDescent="0.4">
      <c r="A82" s="68" t="str">
        <f t="shared" si="11"/>
        <v>II Pd</v>
      </c>
      <c r="B82" s="42" t="s">
        <v>23</v>
      </c>
      <c r="C82" s="40">
        <v>9000000</v>
      </c>
      <c r="D82" s="40">
        <v>0</v>
      </c>
    </row>
    <row r="83" spans="1:4" x14ac:dyDescent="0.4">
      <c r="A83" s="68" t="str">
        <f t="shared" si="11"/>
        <v>II Pd</v>
      </c>
      <c r="B83" s="42" t="s">
        <v>9</v>
      </c>
      <c r="C83" s="40">
        <v>483831830</v>
      </c>
      <c r="D83" s="40">
        <v>65501830</v>
      </c>
    </row>
    <row r="84" spans="1:4" x14ac:dyDescent="0.4">
      <c r="B84" s="41" t="s">
        <v>179</v>
      </c>
      <c r="C84" s="40">
        <v>14946167164</v>
      </c>
      <c r="D84" s="40">
        <v>1503719745</v>
      </c>
    </row>
    <row r="85" spans="1:4" x14ac:dyDescent="0.4">
      <c r="A85" s="68" t="str">
        <f>B84</f>
        <v>III Pg</v>
      </c>
      <c r="B85" s="42" t="s">
        <v>22</v>
      </c>
      <c r="C85" s="40">
        <v>163165000</v>
      </c>
      <c r="D85" s="40">
        <v>128340000</v>
      </c>
    </row>
    <row r="86" spans="1:4" x14ac:dyDescent="0.4">
      <c r="A86" s="68" t="str">
        <f>A85</f>
        <v>III Pg</v>
      </c>
      <c r="B86" s="42" t="s">
        <v>25</v>
      </c>
      <c r="C86" s="40">
        <v>530092916</v>
      </c>
      <c r="D86" s="40">
        <v>310136927</v>
      </c>
    </row>
    <row r="87" spans="1:4" x14ac:dyDescent="0.4">
      <c r="A87" s="68" t="str">
        <f t="shared" ref="A87:A91" si="12">A86</f>
        <v>III Pg</v>
      </c>
      <c r="B87" s="42" t="s">
        <v>26</v>
      </c>
      <c r="C87" s="40">
        <v>629432103</v>
      </c>
      <c r="D87" s="40">
        <v>608048070</v>
      </c>
    </row>
    <row r="88" spans="1:4" x14ac:dyDescent="0.4">
      <c r="A88" s="68" t="str">
        <f t="shared" si="12"/>
        <v>III Pg</v>
      </c>
      <c r="B88" s="42" t="s">
        <v>169</v>
      </c>
      <c r="C88" s="40">
        <v>0</v>
      </c>
      <c r="D88" s="40">
        <v>0</v>
      </c>
    </row>
    <row r="89" spans="1:4" x14ac:dyDescent="0.4">
      <c r="A89" s="68" t="str">
        <f t="shared" si="12"/>
        <v>III Pg</v>
      </c>
      <c r="B89" s="42" t="s">
        <v>23</v>
      </c>
      <c r="C89" s="40">
        <v>12720000</v>
      </c>
      <c r="D89" s="40">
        <v>12720000</v>
      </c>
    </row>
    <row r="90" spans="1:4" x14ac:dyDescent="0.4">
      <c r="A90" s="68" t="str">
        <f t="shared" si="12"/>
        <v>III Pg</v>
      </c>
      <c r="B90" s="42" t="s">
        <v>9</v>
      </c>
      <c r="C90" s="40">
        <v>7759691599</v>
      </c>
      <c r="D90" s="40">
        <v>0</v>
      </c>
    </row>
    <row r="91" spans="1:4" x14ac:dyDescent="0.4">
      <c r="A91" s="68" t="str">
        <f t="shared" si="12"/>
        <v>III Pg</v>
      </c>
      <c r="B91" s="42" t="s">
        <v>21</v>
      </c>
      <c r="C91" s="40">
        <v>5851065546</v>
      </c>
      <c r="D91" s="40">
        <v>444474748</v>
      </c>
    </row>
    <row r="92" spans="1:4" x14ac:dyDescent="0.4">
      <c r="B92" s="41" t="s">
        <v>189</v>
      </c>
      <c r="C92" s="40">
        <v>23989499613</v>
      </c>
      <c r="D92" s="40">
        <v>1374354202</v>
      </c>
    </row>
    <row r="93" spans="1:4" x14ac:dyDescent="0.4">
      <c r="A93" s="68" t="str">
        <f>B92</f>
        <v>IV Tnk</v>
      </c>
      <c r="B93" s="42" t="s">
        <v>22</v>
      </c>
      <c r="C93" s="40">
        <v>71585000</v>
      </c>
      <c r="D93" s="40">
        <v>32200000</v>
      </c>
    </row>
    <row r="94" spans="1:4" x14ac:dyDescent="0.4">
      <c r="A94" s="68" t="str">
        <f>A93</f>
        <v>IV Tnk</v>
      </c>
      <c r="B94" s="42" t="s">
        <v>25</v>
      </c>
      <c r="C94" s="40">
        <v>234213669</v>
      </c>
      <c r="D94" s="40">
        <v>158066279</v>
      </c>
    </row>
    <row r="95" spans="1:4" x14ac:dyDescent="0.4">
      <c r="A95" s="68" t="str">
        <f t="shared" ref="A95:A98" si="13">A94</f>
        <v>IV Tnk</v>
      </c>
      <c r="B95" s="42" t="s">
        <v>26</v>
      </c>
      <c r="C95" s="40">
        <v>337750530</v>
      </c>
      <c r="D95" s="40">
        <v>331100876</v>
      </c>
    </row>
    <row r="96" spans="1:4" x14ac:dyDescent="0.4">
      <c r="A96" s="68" t="str">
        <f t="shared" si="13"/>
        <v>IV Tnk</v>
      </c>
      <c r="B96" s="42" t="s">
        <v>23</v>
      </c>
      <c r="C96" s="40">
        <v>183170000</v>
      </c>
      <c r="D96" s="40">
        <v>83170000</v>
      </c>
    </row>
    <row r="97" spans="1:4" x14ac:dyDescent="0.4">
      <c r="A97" s="68" t="str">
        <f t="shared" si="13"/>
        <v>IV Tnk</v>
      </c>
      <c r="B97" s="42" t="s">
        <v>9</v>
      </c>
      <c r="C97" s="40">
        <v>23157828727</v>
      </c>
      <c r="D97" s="40">
        <v>769817047</v>
      </c>
    </row>
    <row r="98" spans="1:4" x14ac:dyDescent="0.4">
      <c r="A98" s="68" t="str">
        <f t="shared" si="13"/>
        <v>IV Tnk</v>
      </c>
      <c r="B98" s="42" t="s">
        <v>21</v>
      </c>
      <c r="C98" s="40">
        <v>4951687</v>
      </c>
      <c r="D98" s="40">
        <v>0</v>
      </c>
    </row>
    <row r="99" spans="1:4" x14ac:dyDescent="0.4">
      <c r="B99" s="41" t="s">
        <v>60</v>
      </c>
      <c r="C99" s="40">
        <v>290746249171</v>
      </c>
      <c r="D99" s="40">
        <v>49405955835</v>
      </c>
    </row>
    <row r="100" spans="1:4" x14ac:dyDescent="0.4">
      <c r="A100" s="68" t="s">
        <v>8</v>
      </c>
      <c r="B100" s="42" t="s">
        <v>24</v>
      </c>
      <c r="C100" s="40">
        <v>20986164</v>
      </c>
      <c r="D100" s="40">
        <v>0</v>
      </c>
    </row>
    <row r="101" spans="1:4" x14ac:dyDescent="0.4">
      <c r="A101" s="68" t="str">
        <f>A100</f>
        <v>Kantor Pusat</v>
      </c>
      <c r="B101" s="42" t="s">
        <v>25</v>
      </c>
      <c r="C101" s="40">
        <v>419135164</v>
      </c>
      <c r="D101" s="40">
        <v>328193950</v>
      </c>
    </row>
    <row r="102" spans="1:4" x14ac:dyDescent="0.4">
      <c r="A102" s="68" t="str">
        <f t="shared" ref="A102:A105" si="14">A101</f>
        <v>Kantor Pusat</v>
      </c>
      <c r="B102" s="42" t="s">
        <v>26</v>
      </c>
      <c r="C102" s="40">
        <v>967917605</v>
      </c>
      <c r="D102" s="40">
        <v>967917605</v>
      </c>
    </row>
    <row r="103" spans="1:4" x14ac:dyDescent="0.4">
      <c r="A103" s="68" t="str">
        <f t="shared" si="14"/>
        <v>Kantor Pusat</v>
      </c>
      <c r="B103" s="42" t="s">
        <v>23</v>
      </c>
      <c r="C103" s="40">
        <v>42457000</v>
      </c>
      <c r="D103" s="40">
        <v>0</v>
      </c>
    </row>
    <row r="104" spans="1:4" x14ac:dyDescent="0.4">
      <c r="A104" s="68" t="str">
        <f t="shared" si="14"/>
        <v>Kantor Pusat</v>
      </c>
      <c r="B104" s="42" t="s">
        <v>9</v>
      </c>
      <c r="C104" s="40">
        <v>289295753238</v>
      </c>
      <c r="D104" s="40">
        <v>48109844280</v>
      </c>
    </row>
    <row r="105" spans="1:4" x14ac:dyDescent="0.4">
      <c r="A105" s="68" t="str">
        <f t="shared" si="14"/>
        <v>Kantor Pusat</v>
      </c>
      <c r="B105" s="42" t="s">
        <v>21</v>
      </c>
      <c r="C105" s="40">
        <v>0</v>
      </c>
      <c r="D105" s="40">
        <v>0</v>
      </c>
    </row>
    <row r="106" spans="1:4" x14ac:dyDescent="0.4">
      <c r="B106" s="41" t="s">
        <v>43</v>
      </c>
      <c r="C106" s="40">
        <v>485086758336</v>
      </c>
      <c r="D106" s="40">
        <v>74235716271</v>
      </c>
    </row>
    <row r="107" spans="1:4" ht="14.25" x14ac:dyDescent="0.45">
      <c r="B107"/>
      <c r="C107"/>
      <c r="D107"/>
    </row>
    <row r="108" spans="1:4" ht="14.25" x14ac:dyDescent="0.45">
      <c r="B108"/>
      <c r="C108"/>
      <c r="D108"/>
    </row>
    <row r="109" spans="1:4" x14ac:dyDescent="0.4">
      <c r="B109" s="30"/>
      <c r="C109" s="30"/>
      <c r="D109" s="30"/>
    </row>
    <row r="110" spans="1:4" x14ac:dyDescent="0.4">
      <c r="B110" s="30"/>
      <c r="C110" s="30"/>
      <c r="D110" s="30"/>
    </row>
    <row r="111" spans="1:4" x14ac:dyDescent="0.4">
      <c r="C111" s="32"/>
      <c r="D111" s="32"/>
    </row>
    <row r="112" spans="1:4" x14ac:dyDescent="0.4">
      <c r="C112" s="32"/>
      <c r="D112" s="32"/>
    </row>
    <row r="113" spans="3:4" x14ac:dyDescent="0.4">
      <c r="C113" s="32"/>
      <c r="D113" s="32"/>
    </row>
    <row r="114" spans="3:4" x14ac:dyDescent="0.4">
      <c r="C114" s="32"/>
      <c r="D114" s="32"/>
    </row>
    <row r="115" spans="3:4" x14ac:dyDescent="0.4">
      <c r="C115" s="32"/>
      <c r="D115" s="32"/>
    </row>
    <row r="116" spans="3:4" x14ac:dyDescent="0.4">
      <c r="C116" s="32"/>
      <c r="D116" s="32"/>
    </row>
    <row r="117" spans="3:4" x14ac:dyDescent="0.4">
      <c r="C117" s="32"/>
      <c r="D117" s="32"/>
    </row>
    <row r="118" spans="3:4" x14ac:dyDescent="0.4">
      <c r="C118" s="32"/>
      <c r="D118" s="32"/>
    </row>
    <row r="119" spans="3:4" x14ac:dyDescent="0.4">
      <c r="C119" s="32"/>
      <c r="D119" s="32"/>
    </row>
    <row r="120" spans="3:4" x14ac:dyDescent="0.4">
      <c r="C120" s="32"/>
      <c r="D120" s="32"/>
    </row>
    <row r="121" spans="3:4" x14ac:dyDescent="0.4">
      <c r="C121" s="32"/>
      <c r="D121" s="32"/>
    </row>
    <row r="122" spans="3:4" x14ac:dyDescent="0.4">
      <c r="C122" s="32"/>
      <c r="D122" s="32"/>
    </row>
    <row r="123" spans="3:4" x14ac:dyDescent="0.4">
      <c r="C123" s="32"/>
      <c r="D123" s="32"/>
    </row>
    <row r="124" spans="3:4" x14ac:dyDescent="0.4">
      <c r="C124" s="32"/>
      <c r="D124" s="32"/>
    </row>
    <row r="125" spans="3:4" x14ac:dyDescent="0.4">
      <c r="C125" s="32"/>
      <c r="D125" s="32"/>
    </row>
    <row r="126" spans="3:4" x14ac:dyDescent="0.4">
      <c r="C126" s="32"/>
      <c r="D126" s="32"/>
    </row>
    <row r="127" spans="3:4" x14ac:dyDescent="0.4">
      <c r="C127" s="32"/>
      <c r="D127" s="32"/>
    </row>
    <row r="128" spans="3:4" x14ac:dyDescent="0.4">
      <c r="C128" s="32"/>
      <c r="D128" s="32"/>
    </row>
    <row r="129" spans="3:4" x14ac:dyDescent="0.4">
      <c r="C129" s="32"/>
      <c r="D129" s="32"/>
    </row>
    <row r="130" spans="3:4" x14ac:dyDescent="0.4">
      <c r="C130" s="32"/>
      <c r="D130" s="32"/>
    </row>
    <row r="131" spans="3:4" x14ac:dyDescent="0.4">
      <c r="C131" s="32"/>
      <c r="D131" s="32"/>
    </row>
    <row r="132" spans="3:4" x14ac:dyDescent="0.4">
      <c r="C132" s="32"/>
      <c r="D132" s="32"/>
    </row>
    <row r="133" spans="3:4" x14ac:dyDescent="0.4">
      <c r="C133" s="32"/>
      <c r="D133" s="32"/>
    </row>
    <row r="134" spans="3:4" x14ac:dyDescent="0.4">
      <c r="C134" s="32"/>
      <c r="D134" s="32"/>
    </row>
    <row r="135" spans="3:4" x14ac:dyDescent="0.4">
      <c r="C135" s="32"/>
      <c r="D135" s="32"/>
    </row>
    <row r="136" spans="3:4" x14ac:dyDescent="0.4">
      <c r="C136" s="32"/>
      <c r="D136" s="32"/>
    </row>
    <row r="137" spans="3:4" x14ac:dyDescent="0.4">
      <c r="C137" s="32"/>
      <c r="D137" s="32"/>
    </row>
    <row r="138" spans="3:4" x14ac:dyDescent="0.4">
      <c r="C138" s="32"/>
      <c r="D138" s="32"/>
    </row>
  </sheetData>
  <pageMargins left="0.7" right="0.7" top="0.75" bottom="0.75" header="0.3" footer="0.3"/>
  <pageSetup paperSize="9"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5705-C498-4D83-95AA-95DC044CFF76}">
  <sheetPr>
    <tabColor theme="9" tint="-0.249977111117893"/>
    <outlinePr summaryBelow="0" summaryRight="0"/>
  </sheetPr>
  <dimension ref="A1:N173"/>
  <sheetViews>
    <sheetView showGridLines="0" workbookViewId="0">
      <selection activeCell="B3" sqref="B3:K172"/>
    </sheetView>
  </sheetViews>
  <sheetFormatPr defaultColWidth="0" defaultRowHeight="0" customHeight="1" zeroHeight="1" x14ac:dyDescent="0.4"/>
  <cols>
    <col min="1" max="1" width="2.59765625" style="30" customWidth="1"/>
    <col min="2" max="2" width="9.265625" style="30" customWidth="1"/>
    <col min="3" max="5" width="12.59765625" style="30" customWidth="1"/>
    <col min="6" max="6" width="9.265625" style="30" customWidth="1"/>
    <col min="7" max="7" width="12.59765625" style="30" customWidth="1"/>
    <col min="8" max="8" width="9.265625" style="30" customWidth="1"/>
    <col min="9" max="9" width="12.59765625" style="30" customWidth="1"/>
    <col min="10" max="10" width="9.265625" style="30" customWidth="1"/>
    <col min="11" max="11" width="12.59765625" style="30" customWidth="1"/>
    <col min="12" max="12" width="2.59765625" style="30" customWidth="1"/>
    <col min="13" max="14" width="0" style="30" hidden="1" customWidth="1"/>
    <col min="15" max="16384" width="12.59765625" style="30" hidden="1"/>
  </cols>
  <sheetData>
    <row r="1" spans="1:12" ht="13.15" x14ac:dyDescent="0.4">
      <c r="A1" s="34"/>
      <c r="B1" s="34"/>
      <c r="C1" s="35"/>
      <c r="D1" s="35"/>
      <c r="E1" s="35"/>
      <c r="F1" s="36"/>
      <c r="G1" s="35"/>
      <c r="H1" s="36"/>
      <c r="I1" s="35"/>
      <c r="J1" s="36"/>
      <c r="K1" s="35"/>
      <c r="L1" s="34"/>
    </row>
    <row r="2" spans="1:12" ht="3.75" customHeight="1" x14ac:dyDescent="0.4">
      <c r="A2" s="34"/>
      <c r="B2" s="34"/>
      <c r="C2" s="35"/>
      <c r="D2" s="35"/>
      <c r="E2" s="35"/>
      <c r="F2" s="36"/>
      <c r="G2" s="35"/>
      <c r="H2" s="36"/>
      <c r="I2" s="35"/>
      <c r="J2" s="36"/>
      <c r="K2" s="35"/>
      <c r="L2" s="34"/>
    </row>
    <row r="3" spans="1:12" ht="13.15" x14ac:dyDescent="0.4">
      <c r="A3" s="34"/>
      <c r="B3" s="51" t="s">
        <v>193</v>
      </c>
      <c r="C3" s="52"/>
      <c r="D3" s="52"/>
      <c r="E3" s="52"/>
      <c r="F3" s="52"/>
      <c r="G3" s="52"/>
      <c r="H3" s="52"/>
      <c r="I3" s="52"/>
      <c r="J3" s="52"/>
      <c r="K3" s="52"/>
      <c r="L3" s="34"/>
    </row>
    <row r="4" spans="1:12" ht="13.15" x14ac:dyDescent="0.4">
      <c r="A4" s="37"/>
      <c r="B4" s="53" t="s">
        <v>57</v>
      </c>
      <c r="C4" s="53" t="s">
        <v>47</v>
      </c>
      <c r="D4" s="53" t="s">
        <v>194</v>
      </c>
      <c r="E4" s="53" t="s">
        <v>195</v>
      </c>
      <c r="F4" s="53" t="s">
        <v>196</v>
      </c>
      <c r="G4" s="53" t="s">
        <v>197</v>
      </c>
      <c r="H4" s="53" t="s">
        <v>198</v>
      </c>
      <c r="I4" s="53" t="s">
        <v>199</v>
      </c>
      <c r="J4" s="53" t="s">
        <v>200</v>
      </c>
      <c r="K4" s="53" t="s">
        <v>201</v>
      </c>
      <c r="L4" s="37"/>
    </row>
    <row r="5" spans="1:12" ht="13.15" x14ac:dyDescent="0.4">
      <c r="A5" s="34"/>
      <c r="B5" s="54" t="s">
        <v>116</v>
      </c>
      <c r="C5" s="44">
        <v>47253817201</v>
      </c>
      <c r="D5" s="44">
        <v>47253817201</v>
      </c>
      <c r="E5" s="44">
        <v>46778119701</v>
      </c>
      <c r="F5" s="55">
        <v>0.9899</v>
      </c>
      <c r="G5" s="44">
        <v>29208950672</v>
      </c>
      <c r="H5" s="55">
        <v>0.62439999999999996</v>
      </c>
      <c r="I5" s="44">
        <v>9920320967</v>
      </c>
      <c r="J5" s="55">
        <v>0.21210000000000001</v>
      </c>
      <c r="K5" s="44">
        <v>17569169029</v>
      </c>
      <c r="L5" s="34"/>
    </row>
    <row r="6" spans="1:12" ht="13.15" hidden="1" customHeight="1" x14ac:dyDescent="0.4">
      <c r="A6" s="34"/>
      <c r="B6" s="54" t="s">
        <v>97</v>
      </c>
      <c r="C6" s="44">
        <v>63265782000</v>
      </c>
      <c r="D6" s="44">
        <v>63265781854</v>
      </c>
      <c r="E6" s="44">
        <v>62594280354</v>
      </c>
      <c r="F6" s="55">
        <v>0.98939999999999995</v>
      </c>
      <c r="G6" s="44">
        <v>23093290005</v>
      </c>
      <c r="H6" s="55">
        <v>0.36890000000000001</v>
      </c>
      <c r="I6" s="44">
        <v>1656203874</v>
      </c>
      <c r="J6" s="55">
        <v>2.6499999999999999E-2</v>
      </c>
      <c r="K6" s="44">
        <v>39500990349</v>
      </c>
      <c r="L6" s="34"/>
    </row>
    <row r="7" spans="1:12" ht="13.15" x14ac:dyDescent="0.4">
      <c r="A7" s="34"/>
      <c r="B7" s="54" t="s">
        <v>131</v>
      </c>
      <c r="C7" s="44">
        <v>28292912000</v>
      </c>
      <c r="D7" s="44">
        <v>28192912000</v>
      </c>
      <c r="E7" s="44">
        <v>27781832000</v>
      </c>
      <c r="F7" s="55">
        <v>0.9819</v>
      </c>
      <c r="G7" s="44">
        <v>18119039072</v>
      </c>
      <c r="H7" s="55">
        <v>0.6522</v>
      </c>
      <c r="I7" s="44">
        <v>1364602331</v>
      </c>
      <c r="J7" s="55">
        <v>4.9099999999999998E-2</v>
      </c>
      <c r="K7" s="44">
        <v>9662792928</v>
      </c>
      <c r="L7" s="34"/>
    </row>
    <row r="8" spans="1:12" ht="13.15" x14ac:dyDescent="0.4">
      <c r="A8" s="34"/>
      <c r="B8" s="54" t="s">
        <v>133</v>
      </c>
      <c r="C8" s="44">
        <v>26776308000</v>
      </c>
      <c r="D8" s="44">
        <v>29024830540</v>
      </c>
      <c r="E8" s="44">
        <v>28575430040</v>
      </c>
      <c r="F8" s="55">
        <v>1.0671999999999999</v>
      </c>
      <c r="G8" s="44">
        <v>12199128376</v>
      </c>
      <c r="H8" s="55">
        <v>0.4269</v>
      </c>
      <c r="I8" s="44">
        <v>838605453</v>
      </c>
      <c r="J8" s="55">
        <v>2.93E-2</v>
      </c>
      <c r="K8" s="44">
        <v>16376301664</v>
      </c>
      <c r="L8" s="34"/>
    </row>
    <row r="9" spans="1:12" ht="13.15" x14ac:dyDescent="0.4">
      <c r="A9" s="34"/>
      <c r="B9" s="54" t="s">
        <v>136</v>
      </c>
      <c r="C9" s="44">
        <v>22738650000</v>
      </c>
      <c r="D9" s="44">
        <v>22738649560</v>
      </c>
      <c r="E9" s="44">
        <v>22323388060</v>
      </c>
      <c r="F9" s="55">
        <v>0.98170000000000002</v>
      </c>
      <c r="G9" s="44">
        <v>10425260223</v>
      </c>
      <c r="H9" s="55">
        <v>0.46700000000000003</v>
      </c>
      <c r="I9" s="44">
        <v>1080690309</v>
      </c>
      <c r="J9" s="55">
        <v>4.8399999999999999E-2</v>
      </c>
      <c r="K9" s="44">
        <v>11898127837</v>
      </c>
      <c r="L9" s="34"/>
    </row>
    <row r="10" spans="1:12" ht="13.15" x14ac:dyDescent="0.4">
      <c r="A10" s="34"/>
      <c r="B10" s="54" t="s">
        <v>139</v>
      </c>
      <c r="C10" s="44">
        <v>27448857000</v>
      </c>
      <c r="D10" s="44">
        <v>27448857400</v>
      </c>
      <c r="E10" s="44">
        <v>26923645235</v>
      </c>
      <c r="F10" s="55">
        <v>0.98089999999999999</v>
      </c>
      <c r="G10" s="44">
        <v>15493088575</v>
      </c>
      <c r="H10" s="55">
        <v>0.57540000000000002</v>
      </c>
      <c r="I10" s="44">
        <v>1158561433</v>
      </c>
      <c r="J10" s="55">
        <v>4.2999999999999997E-2</v>
      </c>
      <c r="K10" s="44">
        <v>11430556660</v>
      </c>
      <c r="L10" s="34"/>
    </row>
    <row r="11" spans="1:12" ht="13.15" x14ac:dyDescent="0.4">
      <c r="A11" s="34"/>
      <c r="B11" s="54" t="s">
        <v>141</v>
      </c>
      <c r="C11" s="44">
        <v>35394555000</v>
      </c>
      <c r="D11" s="44">
        <v>35583038437</v>
      </c>
      <c r="E11" s="44">
        <v>35051993024</v>
      </c>
      <c r="F11" s="55">
        <v>0.99029999999999996</v>
      </c>
      <c r="G11" s="44">
        <v>13671567169</v>
      </c>
      <c r="H11" s="55">
        <v>0.39</v>
      </c>
      <c r="I11" s="44">
        <v>1219678277</v>
      </c>
      <c r="J11" s="55">
        <v>3.4799999999999998E-2</v>
      </c>
      <c r="K11" s="44">
        <v>21380425855</v>
      </c>
      <c r="L11" s="34"/>
    </row>
    <row r="12" spans="1:12" ht="13.15" x14ac:dyDescent="0.4">
      <c r="A12" s="34"/>
      <c r="B12" s="54" t="s">
        <v>143</v>
      </c>
      <c r="C12" s="44">
        <v>13759223000</v>
      </c>
      <c r="D12" s="44">
        <v>13619223000</v>
      </c>
      <c r="E12" s="44">
        <v>13359083500</v>
      </c>
      <c r="F12" s="55">
        <v>0.97089999999999999</v>
      </c>
      <c r="G12" s="44">
        <v>7750632080</v>
      </c>
      <c r="H12" s="55">
        <v>0.58020000000000005</v>
      </c>
      <c r="I12" s="44">
        <v>804137941</v>
      </c>
      <c r="J12" s="55">
        <v>6.0199999999999997E-2</v>
      </c>
      <c r="K12" s="44">
        <v>5608451420</v>
      </c>
      <c r="L12" s="34"/>
    </row>
    <row r="13" spans="1:12" ht="13.15" x14ac:dyDescent="0.4">
      <c r="A13" s="34"/>
      <c r="B13" s="54" t="s">
        <v>145</v>
      </c>
      <c r="C13" s="44">
        <v>33298000000</v>
      </c>
      <c r="D13" s="44">
        <v>33504140252</v>
      </c>
      <c r="E13" s="44">
        <v>32977805327</v>
      </c>
      <c r="F13" s="55">
        <v>0.99039999999999995</v>
      </c>
      <c r="G13" s="44">
        <v>21748614036</v>
      </c>
      <c r="H13" s="55">
        <v>0.65949999999999998</v>
      </c>
      <c r="I13" s="44">
        <v>2496931968</v>
      </c>
      <c r="J13" s="55">
        <v>7.5700000000000003E-2</v>
      </c>
      <c r="K13" s="44">
        <v>11229191291</v>
      </c>
      <c r="L13" s="34"/>
    </row>
    <row r="14" spans="1:12" ht="13.15" x14ac:dyDescent="0.4">
      <c r="A14" s="34"/>
      <c r="B14" s="54" t="s">
        <v>147</v>
      </c>
      <c r="C14" s="44">
        <v>12904694000</v>
      </c>
      <c r="D14" s="44">
        <v>12854694000</v>
      </c>
      <c r="E14" s="44">
        <v>12622019000</v>
      </c>
      <c r="F14" s="55">
        <v>0.97809999999999997</v>
      </c>
      <c r="G14" s="44">
        <v>1591821260</v>
      </c>
      <c r="H14" s="55">
        <v>0.12609999999999999</v>
      </c>
      <c r="I14" s="44">
        <v>684092964</v>
      </c>
      <c r="J14" s="55">
        <v>5.4199999999999998E-2</v>
      </c>
      <c r="K14" s="44">
        <v>11030197740</v>
      </c>
      <c r="L14" s="34"/>
    </row>
    <row r="15" spans="1:12" ht="13.15" x14ac:dyDescent="0.4">
      <c r="A15" s="34"/>
      <c r="B15" s="54" t="s">
        <v>149</v>
      </c>
      <c r="C15" s="44">
        <v>14076601000</v>
      </c>
      <c r="D15" s="44">
        <v>14076601000</v>
      </c>
      <c r="E15" s="44">
        <v>13603793250</v>
      </c>
      <c r="F15" s="55">
        <v>0.96640000000000004</v>
      </c>
      <c r="G15" s="44">
        <v>1579104140</v>
      </c>
      <c r="H15" s="55">
        <v>0.11609999999999999</v>
      </c>
      <c r="I15" s="44">
        <v>646810092</v>
      </c>
      <c r="J15" s="55">
        <v>4.7500000000000001E-2</v>
      </c>
      <c r="K15" s="44">
        <v>12024689110</v>
      </c>
      <c r="L15" s="34"/>
    </row>
    <row r="16" spans="1:12" ht="13.15" x14ac:dyDescent="0.4">
      <c r="A16" s="34"/>
      <c r="B16" s="54" t="s">
        <v>151</v>
      </c>
      <c r="C16" s="44">
        <v>2349760730</v>
      </c>
      <c r="D16" s="44">
        <v>2349760730</v>
      </c>
      <c r="E16" s="44">
        <v>2247760730</v>
      </c>
      <c r="F16" s="55">
        <v>0.95660000000000001</v>
      </c>
      <c r="G16" s="44">
        <v>524346780</v>
      </c>
      <c r="H16" s="55">
        <v>0.23330000000000001</v>
      </c>
      <c r="I16" s="44">
        <v>81050880</v>
      </c>
      <c r="J16" s="55">
        <v>3.61E-2</v>
      </c>
      <c r="K16" s="44">
        <v>1723413950</v>
      </c>
      <c r="L16" s="34"/>
    </row>
    <row r="17" spans="1:12" ht="13.15" x14ac:dyDescent="0.4">
      <c r="A17" s="34"/>
      <c r="B17" s="54" t="s">
        <v>179</v>
      </c>
      <c r="C17" s="44">
        <v>35162678000</v>
      </c>
      <c r="D17" s="44">
        <v>35162678000</v>
      </c>
      <c r="E17" s="44">
        <v>34311895750</v>
      </c>
      <c r="F17" s="55">
        <v>0.9758</v>
      </c>
      <c r="G17" s="44">
        <v>14946167164</v>
      </c>
      <c r="H17" s="55">
        <v>0.43559999999999999</v>
      </c>
      <c r="I17" s="44">
        <v>1503719745</v>
      </c>
      <c r="J17" s="55">
        <v>4.3799999999999999E-2</v>
      </c>
      <c r="K17" s="44">
        <v>19365728586</v>
      </c>
      <c r="L17" s="34"/>
    </row>
    <row r="18" spans="1:12" ht="13.15" x14ac:dyDescent="0.4">
      <c r="A18" s="34"/>
      <c r="B18" s="54" t="s">
        <v>189</v>
      </c>
      <c r="C18" s="44">
        <v>35496760000</v>
      </c>
      <c r="D18" s="44">
        <v>35496766663</v>
      </c>
      <c r="E18" s="44">
        <v>34776207913</v>
      </c>
      <c r="F18" s="55">
        <v>0.97970000000000002</v>
      </c>
      <c r="G18" s="44">
        <v>23989499613</v>
      </c>
      <c r="H18" s="55">
        <v>0.68979999999999997</v>
      </c>
      <c r="I18" s="44">
        <v>1374354202</v>
      </c>
      <c r="J18" s="55">
        <v>3.95E-2</v>
      </c>
      <c r="K18" s="44">
        <v>10786708300</v>
      </c>
      <c r="L18" s="34"/>
    </row>
    <row r="19" spans="1:12" ht="13.15" x14ac:dyDescent="0.4">
      <c r="A19" s="34"/>
      <c r="B19" s="54" t="s">
        <v>60</v>
      </c>
      <c r="C19" s="44">
        <v>332108391000</v>
      </c>
      <c r="D19" s="44">
        <v>329811588532</v>
      </c>
      <c r="E19" s="44">
        <v>327394088532</v>
      </c>
      <c r="F19" s="55">
        <v>0.98580000000000001</v>
      </c>
      <c r="G19" s="44">
        <v>290746249171</v>
      </c>
      <c r="H19" s="55">
        <v>0.8881</v>
      </c>
      <c r="I19" s="44">
        <v>49405955835</v>
      </c>
      <c r="J19" s="55">
        <v>0.15090000000000001</v>
      </c>
      <c r="K19" s="44">
        <v>36647839361</v>
      </c>
      <c r="L19" s="34"/>
    </row>
    <row r="20" spans="1:12" ht="13.15" x14ac:dyDescent="0.4">
      <c r="A20" s="34"/>
      <c r="B20" s="56" t="s">
        <v>202</v>
      </c>
      <c r="C20" s="57">
        <v>730326988931</v>
      </c>
      <c r="D20" s="57">
        <v>730383339169</v>
      </c>
      <c r="E20" s="57">
        <v>721321342416</v>
      </c>
      <c r="F20" s="58">
        <v>0.98760000000000003</v>
      </c>
      <c r="G20" s="57">
        <v>485086758336</v>
      </c>
      <c r="H20" s="58">
        <v>0.67249999999999999</v>
      </c>
      <c r="I20" s="57">
        <v>74235716271</v>
      </c>
      <c r="J20" s="58">
        <v>0.10290000000000001</v>
      </c>
      <c r="K20" s="57">
        <v>236234584080</v>
      </c>
      <c r="L20" s="34"/>
    </row>
    <row r="21" spans="1:12" ht="13.15" x14ac:dyDescent="0.4">
      <c r="A21" s="3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34"/>
    </row>
    <row r="22" spans="1:12" ht="13.15" x14ac:dyDescent="0.4">
      <c r="A22" s="34"/>
      <c r="B22" s="59" t="s">
        <v>9</v>
      </c>
      <c r="C22" s="60"/>
      <c r="D22" s="60"/>
      <c r="E22" s="60"/>
      <c r="F22" s="60"/>
      <c r="G22" s="60"/>
      <c r="H22" s="60"/>
      <c r="I22" s="60"/>
      <c r="J22" s="60"/>
      <c r="K22" s="60"/>
      <c r="L22" s="34"/>
    </row>
    <row r="23" spans="1:12" ht="13.15" x14ac:dyDescent="0.4">
      <c r="A23" s="37"/>
      <c r="B23" s="61" t="s">
        <v>57</v>
      </c>
      <c r="C23" s="61" t="s">
        <v>47</v>
      </c>
      <c r="D23" s="61" t="s">
        <v>194</v>
      </c>
      <c r="E23" s="61" t="s">
        <v>195</v>
      </c>
      <c r="F23" s="61" t="s">
        <v>196</v>
      </c>
      <c r="G23" s="61" t="s">
        <v>197</v>
      </c>
      <c r="H23" s="61" t="s">
        <v>198</v>
      </c>
      <c r="I23" s="61" t="s">
        <v>199</v>
      </c>
      <c r="J23" s="61" t="s">
        <v>200</v>
      </c>
      <c r="K23" s="61" t="s">
        <v>201</v>
      </c>
      <c r="L23" s="37"/>
    </row>
    <row r="24" spans="1:12" ht="13.15" x14ac:dyDescent="0.4">
      <c r="A24" s="34"/>
      <c r="B24" s="54" t="s">
        <v>116</v>
      </c>
      <c r="C24" s="44">
        <v>41949878537</v>
      </c>
      <c r="D24" s="44">
        <v>41949878537</v>
      </c>
      <c r="E24" s="44">
        <v>41949878537</v>
      </c>
      <c r="F24" s="55">
        <v>1</v>
      </c>
      <c r="G24" s="44">
        <v>28303608349</v>
      </c>
      <c r="H24" s="55">
        <v>0.67469999999999997</v>
      </c>
      <c r="I24" s="44">
        <v>9632690644</v>
      </c>
      <c r="J24" s="55">
        <v>0.2296</v>
      </c>
      <c r="K24" s="44">
        <v>13646270188</v>
      </c>
      <c r="L24" s="34"/>
    </row>
    <row r="25" spans="1:12" ht="13.15" x14ac:dyDescent="0.4">
      <c r="A25" s="34"/>
      <c r="B25" s="54" t="s">
        <v>97</v>
      </c>
      <c r="C25" s="44">
        <v>50254776000</v>
      </c>
      <c r="D25" s="44">
        <v>50254775704</v>
      </c>
      <c r="E25" s="44">
        <v>50254775704</v>
      </c>
      <c r="F25" s="55">
        <v>1</v>
      </c>
      <c r="G25" s="44">
        <v>21266339047</v>
      </c>
      <c r="H25" s="55">
        <v>0.42320000000000002</v>
      </c>
      <c r="I25" s="44">
        <v>704063152</v>
      </c>
      <c r="J25" s="55">
        <v>1.4E-2</v>
      </c>
      <c r="K25" s="44">
        <v>28988436657</v>
      </c>
      <c r="L25" s="34"/>
    </row>
    <row r="26" spans="1:12" ht="13.15" x14ac:dyDescent="0.4">
      <c r="A26" s="34"/>
      <c r="B26" s="54" t="s">
        <v>131</v>
      </c>
      <c r="C26" s="44">
        <v>22542717000</v>
      </c>
      <c r="D26" s="44">
        <v>22542717000</v>
      </c>
      <c r="E26" s="44">
        <v>22542717000</v>
      </c>
      <c r="F26" s="55">
        <v>1</v>
      </c>
      <c r="G26" s="44">
        <v>16273511161</v>
      </c>
      <c r="H26" s="55">
        <v>0.72189999999999999</v>
      </c>
      <c r="I26" s="44">
        <v>699438204</v>
      </c>
      <c r="J26" s="55">
        <v>3.1E-2</v>
      </c>
      <c r="K26" s="44">
        <v>6269205839</v>
      </c>
      <c r="L26" s="34"/>
    </row>
    <row r="27" spans="1:12" ht="13.15" x14ac:dyDescent="0.4">
      <c r="A27" s="34"/>
      <c r="B27" s="54" t="s">
        <v>133</v>
      </c>
      <c r="C27" s="44">
        <v>20805476000</v>
      </c>
      <c r="D27" s="44">
        <v>23053998540</v>
      </c>
      <c r="E27" s="44">
        <v>23053998540</v>
      </c>
      <c r="F27" s="55">
        <v>1.1081000000000001</v>
      </c>
      <c r="G27" s="44">
        <v>11301848786</v>
      </c>
      <c r="H27" s="55">
        <v>0.49020000000000002</v>
      </c>
      <c r="I27" s="44">
        <v>132106375</v>
      </c>
      <c r="J27" s="55">
        <v>5.7000000000000002E-3</v>
      </c>
      <c r="K27" s="44">
        <v>11752149754</v>
      </c>
      <c r="L27" s="34"/>
    </row>
    <row r="28" spans="1:12" ht="13.15" x14ac:dyDescent="0.4">
      <c r="A28" s="34"/>
      <c r="B28" s="54" t="s">
        <v>136</v>
      </c>
      <c r="C28" s="44">
        <v>17365504000</v>
      </c>
      <c r="D28" s="44">
        <v>17365503560</v>
      </c>
      <c r="E28" s="44">
        <v>17365503560</v>
      </c>
      <c r="F28" s="55">
        <v>1</v>
      </c>
      <c r="G28" s="44">
        <v>9439022660</v>
      </c>
      <c r="H28" s="55">
        <v>0.54359999999999997</v>
      </c>
      <c r="I28" s="44">
        <v>197487346</v>
      </c>
      <c r="J28" s="55">
        <v>1.14E-2</v>
      </c>
      <c r="K28" s="44">
        <v>7926480900</v>
      </c>
      <c r="L28" s="34"/>
    </row>
    <row r="29" spans="1:12" ht="13.15" x14ac:dyDescent="0.4">
      <c r="A29" s="34"/>
      <c r="B29" s="54" t="s">
        <v>139</v>
      </c>
      <c r="C29" s="44">
        <v>20087368000</v>
      </c>
      <c r="D29" s="44">
        <v>20087368000</v>
      </c>
      <c r="E29" s="44">
        <v>20087368000</v>
      </c>
      <c r="F29" s="55">
        <v>1</v>
      </c>
      <c r="G29" s="44">
        <v>13450818955</v>
      </c>
      <c r="H29" s="55">
        <v>0.66959999999999997</v>
      </c>
      <c r="I29" s="44">
        <v>337455550</v>
      </c>
      <c r="J29" s="55">
        <v>1.6799999999999999E-2</v>
      </c>
      <c r="K29" s="44">
        <v>6636549045</v>
      </c>
      <c r="L29" s="34"/>
    </row>
    <row r="30" spans="1:12" ht="13.15" x14ac:dyDescent="0.4">
      <c r="A30" s="34"/>
      <c r="B30" s="54" t="s">
        <v>141</v>
      </c>
      <c r="C30" s="44">
        <v>28538689000</v>
      </c>
      <c r="D30" s="44">
        <v>28538688812</v>
      </c>
      <c r="E30" s="44">
        <v>28538688812</v>
      </c>
      <c r="F30" s="55">
        <v>1</v>
      </c>
      <c r="G30" s="44">
        <v>12466034712</v>
      </c>
      <c r="H30" s="55">
        <v>0.43680000000000002</v>
      </c>
      <c r="I30" s="44">
        <v>454542040</v>
      </c>
      <c r="J30" s="55">
        <v>1.5900000000000001E-2</v>
      </c>
      <c r="K30" s="44">
        <v>16072654100</v>
      </c>
      <c r="L30" s="34"/>
    </row>
    <row r="31" spans="1:12" ht="13.15" x14ac:dyDescent="0.4">
      <c r="A31" s="34"/>
      <c r="B31" s="54" t="s">
        <v>143</v>
      </c>
      <c r="C31" s="44">
        <v>9243055000</v>
      </c>
      <c r="D31" s="44">
        <v>9243055000</v>
      </c>
      <c r="E31" s="44">
        <v>9243055000</v>
      </c>
      <c r="F31" s="55">
        <v>1</v>
      </c>
      <c r="G31" s="44">
        <v>7153737482</v>
      </c>
      <c r="H31" s="55">
        <v>0.77400000000000002</v>
      </c>
      <c r="I31" s="44">
        <v>253379843</v>
      </c>
      <c r="J31" s="55">
        <v>2.7400000000000001E-2</v>
      </c>
      <c r="K31" s="44">
        <v>2089317518</v>
      </c>
      <c r="L31" s="34"/>
    </row>
    <row r="32" spans="1:12" ht="13.15" x14ac:dyDescent="0.4">
      <c r="A32" s="34"/>
      <c r="B32" s="54" t="s">
        <v>145</v>
      </c>
      <c r="C32" s="44">
        <v>26583433000</v>
      </c>
      <c r="D32" s="44">
        <v>26583433552</v>
      </c>
      <c r="E32" s="44">
        <v>26583433552</v>
      </c>
      <c r="F32" s="55">
        <v>1</v>
      </c>
      <c r="G32" s="44">
        <v>20894334901</v>
      </c>
      <c r="H32" s="55">
        <v>0.78600000000000003</v>
      </c>
      <c r="I32" s="44">
        <v>1705110618</v>
      </c>
      <c r="J32" s="55">
        <v>6.4100000000000004E-2</v>
      </c>
      <c r="K32" s="44">
        <v>5689098651</v>
      </c>
      <c r="L32" s="34"/>
    </row>
    <row r="33" spans="1:12" ht="13.15" x14ac:dyDescent="0.4">
      <c r="A33" s="34"/>
      <c r="B33" s="54" t="s">
        <v>147</v>
      </c>
      <c r="C33" s="44">
        <v>11122934000</v>
      </c>
      <c r="D33" s="44">
        <v>11122934000</v>
      </c>
      <c r="E33" s="44">
        <v>11122934000</v>
      </c>
      <c r="F33" s="55">
        <v>1</v>
      </c>
      <c r="G33" s="44">
        <v>1126417820</v>
      </c>
      <c r="H33" s="55">
        <v>0.1013</v>
      </c>
      <c r="I33" s="44">
        <v>421465514</v>
      </c>
      <c r="J33" s="55">
        <v>3.7900000000000003E-2</v>
      </c>
      <c r="K33" s="44">
        <v>9996516180</v>
      </c>
      <c r="L33" s="34"/>
    </row>
    <row r="34" spans="1:12" ht="13.15" x14ac:dyDescent="0.4">
      <c r="A34" s="34"/>
      <c r="B34" s="54" t="s">
        <v>149</v>
      </c>
      <c r="C34" s="44">
        <v>8737570000</v>
      </c>
      <c r="D34" s="44">
        <v>8737570000</v>
      </c>
      <c r="E34" s="44">
        <v>8737570000</v>
      </c>
      <c r="F34" s="55">
        <v>1</v>
      </c>
      <c r="G34" s="44">
        <v>860133360</v>
      </c>
      <c r="H34" s="55">
        <v>9.8400000000000001E-2</v>
      </c>
      <c r="I34" s="44">
        <v>148749912</v>
      </c>
      <c r="J34" s="55">
        <v>1.7000000000000001E-2</v>
      </c>
      <c r="K34" s="44">
        <v>7877436640</v>
      </c>
      <c r="L34" s="34"/>
    </row>
    <row r="35" spans="1:12" ht="13.15" x14ac:dyDescent="0.4">
      <c r="A35" s="34"/>
      <c r="B35" s="54" t="s">
        <v>151</v>
      </c>
      <c r="C35" s="44">
        <v>1871950730</v>
      </c>
      <c r="D35" s="44">
        <v>1871950730</v>
      </c>
      <c r="E35" s="44">
        <v>1871950730</v>
      </c>
      <c r="F35" s="55">
        <v>1</v>
      </c>
      <c r="G35" s="44">
        <v>483831830</v>
      </c>
      <c r="H35" s="55">
        <v>0.25850000000000001</v>
      </c>
      <c r="I35" s="44">
        <v>65501830</v>
      </c>
      <c r="J35" s="55">
        <v>3.5000000000000003E-2</v>
      </c>
      <c r="K35" s="44">
        <v>1388118900</v>
      </c>
      <c r="L35" s="34"/>
    </row>
    <row r="36" spans="1:12" ht="13.15" x14ac:dyDescent="0.4">
      <c r="A36" s="34"/>
      <c r="B36" s="54" t="s">
        <v>179</v>
      </c>
      <c r="C36" s="45">
        <v>0</v>
      </c>
      <c r="D36" s="45">
        <v>0</v>
      </c>
      <c r="E36" s="45">
        <v>0</v>
      </c>
      <c r="F36" s="50"/>
      <c r="G36" s="45">
        <v>0</v>
      </c>
      <c r="H36" s="50"/>
      <c r="I36" s="45">
        <v>0</v>
      </c>
      <c r="J36" s="50"/>
      <c r="K36" s="45">
        <v>0</v>
      </c>
      <c r="L36" s="34"/>
    </row>
    <row r="37" spans="1:12" ht="13.15" x14ac:dyDescent="0.4">
      <c r="A37" s="34"/>
      <c r="B37" s="54" t="s">
        <v>189</v>
      </c>
      <c r="C37" s="44">
        <v>30325250000</v>
      </c>
      <c r="D37" s="44">
        <v>30325250000</v>
      </c>
      <c r="E37" s="44">
        <v>30325250000</v>
      </c>
      <c r="F37" s="55">
        <v>1</v>
      </c>
      <c r="G37" s="44">
        <v>23157828727</v>
      </c>
      <c r="H37" s="55">
        <v>0.76359999999999995</v>
      </c>
      <c r="I37" s="44">
        <v>769817047</v>
      </c>
      <c r="J37" s="55">
        <v>2.5399999999999999E-2</v>
      </c>
      <c r="K37" s="44">
        <v>7167421273</v>
      </c>
      <c r="L37" s="34"/>
    </row>
    <row r="38" spans="1:12" ht="13.15" x14ac:dyDescent="0.4">
      <c r="A38" s="34"/>
      <c r="B38" s="54" t="s">
        <v>60</v>
      </c>
      <c r="C38" s="44">
        <v>317562391000</v>
      </c>
      <c r="D38" s="44">
        <v>315313866921</v>
      </c>
      <c r="E38" s="44">
        <v>315313866921</v>
      </c>
      <c r="F38" s="55">
        <v>0.9929</v>
      </c>
      <c r="G38" s="44">
        <v>289295753238</v>
      </c>
      <c r="H38" s="55">
        <v>0.91749999999999998</v>
      </c>
      <c r="I38" s="44">
        <v>48109844280</v>
      </c>
      <c r="J38" s="55">
        <v>0.15260000000000001</v>
      </c>
      <c r="K38" s="44">
        <v>26018113683</v>
      </c>
      <c r="L38" s="34"/>
    </row>
    <row r="39" spans="1:12" ht="13.15" x14ac:dyDescent="0.4">
      <c r="A39" s="38"/>
      <c r="B39" s="62" t="s">
        <v>202</v>
      </c>
      <c r="C39" s="63">
        <v>606990992267</v>
      </c>
      <c r="D39" s="63">
        <v>606990990356</v>
      </c>
      <c r="E39" s="63">
        <v>606990990356</v>
      </c>
      <c r="F39" s="64">
        <v>1</v>
      </c>
      <c r="G39" s="63">
        <v>455473221028</v>
      </c>
      <c r="H39" s="64">
        <v>0.75039999999999996</v>
      </c>
      <c r="I39" s="63">
        <v>63631652355</v>
      </c>
      <c r="J39" s="64">
        <v>0.1048</v>
      </c>
      <c r="K39" s="63">
        <v>151517769328</v>
      </c>
      <c r="L39" s="38"/>
    </row>
    <row r="40" spans="1:12" ht="13.15" x14ac:dyDescent="0.4">
      <c r="A40" s="34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34"/>
    </row>
    <row r="41" spans="1:12" ht="23.25" x14ac:dyDescent="0.4">
      <c r="A41" s="34"/>
      <c r="B41" s="65" t="s">
        <v>21</v>
      </c>
      <c r="C41" s="60"/>
      <c r="D41" s="60"/>
      <c r="E41" s="60"/>
      <c r="F41" s="60"/>
      <c r="G41" s="60"/>
      <c r="H41" s="60"/>
      <c r="I41" s="60"/>
      <c r="J41" s="60"/>
      <c r="K41" s="60"/>
      <c r="L41" s="34"/>
    </row>
    <row r="42" spans="1:12" ht="13.15" x14ac:dyDescent="0.4">
      <c r="A42" s="37"/>
      <c r="B42" s="61" t="s">
        <v>57</v>
      </c>
      <c r="C42" s="61" t="s">
        <v>47</v>
      </c>
      <c r="D42" s="61" t="s">
        <v>52</v>
      </c>
      <c r="E42" s="61" t="s">
        <v>53</v>
      </c>
      <c r="F42" s="61" t="s">
        <v>196</v>
      </c>
      <c r="G42" s="61" t="s">
        <v>203</v>
      </c>
      <c r="H42" s="61" t="s">
        <v>198</v>
      </c>
      <c r="I42" s="61" t="s">
        <v>45</v>
      </c>
      <c r="J42" s="61" t="s">
        <v>200</v>
      </c>
      <c r="K42" s="61" t="s">
        <v>55</v>
      </c>
      <c r="L42" s="37"/>
    </row>
    <row r="43" spans="1:12" ht="13.15" x14ac:dyDescent="0.4">
      <c r="A43" s="34"/>
      <c r="B43" s="54" t="s">
        <v>116</v>
      </c>
      <c r="C43" s="44">
        <v>3172068664</v>
      </c>
      <c r="D43" s="44">
        <v>3172068664</v>
      </c>
      <c r="E43" s="44">
        <v>3172068664</v>
      </c>
      <c r="F43" s="55">
        <v>1</v>
      </c>
      <c r="G43" s="44">
        <v>602899973</v>
      </c>
      <c r="H43" s="55">
        <v>0.19009999999999999</v>
      </c>
      <c r="I43" s="44">
        <v>104935473</v>
      </c>
      <c r="J43" s="55">
        <v>3.3099999999999997E-2</v>
      </c>
      <c r="K43" s="44">
        <v>2569168691</v>
      </c>
      <c r="L43" s="34"/>
    </row>
    <row r="44" spans="1:12" ht="13.15" x14ac:dyDescent="0.4">
      <c r="A44" s="34"/>
      <c r="B44" s="54" t="s">
        <v>97</v>
      </c>
      <c r="C44" s="44">
        <v>6370000000</v>
      </c>
      <c r="D44" s="44">
        <v>6370000000</v>
      </c>
      <c r="E44" s="44">
        <v>6370000000</v>
      </c>
      <c r="F44" s="55">
        <v>1</v>
      </c>
      <c r="G44" s="44">
        <v>530920000</v>
      </c>
      <c r="H44" s="55">
        <v>8.3299999999999999E-2</v>
      </c>
      <c r="I44" s="44">
        <v>69000000</v>
      </c>
      <c r="J44" s="55">
        <v>1.0800000000000001E-2</v>
      </c>
      <c r="K44" s="44">
        <v>5839080000</v>
      </c>
      <c r="L44" s="34"/>
    </row>
    <row r="45" spans="1:12" ht="13.15" x14ac:dyDescent="0.4">
      <c r="A45" s="34"/>
      <c r="B45" s="54" t="s">
        <v>131</v>
      </c>
      <c r="C45" s="44">
        <v>1504000000</v>
      </c>
      <c r="D45" s="44">
        <v>1504000000</v>
      </c>
      <c r="E45" s="44">
        <v>1504000000</v>
      </c>
      <c r="F45" s="55">
        <v>1</v>
      </c>
      <c r="G45" s="44">
        <v>631983784</v>
      </c>
      <c r="H45" s="55">
        <v>0.42020000000000002</v>
      </c>
      <c r="I45" s="45">
        <v>0</v>
      </c>
      <c r="J45" s="55">
        <v>0</v>
      </c>
      <c r="K45" s="44">
        <v>872016216</v>
      </c>
      <c r="L45" s="34"/>
    </row>
    <row r="46" spans="1:12" ht="13.15" x14ac:dyDescent="0.4">
      <c r="A46" s="34"/>
      <c r="B46" s="54" t="s">
        <v>133</v>
      </c>
      <c r="C46" s="44">
        <v>1446840000</v>
      </c>
      <c r="D46" s="44">
        <v>1446840000</v>
      </c>
      <c r="E46" s="44">
        <v>1446840000</v>
      </c>
      <c r="F46" s="55">
        <v>1</v>
      </c>
      <c r="G46" s="44">
        <v>46857638</v>
      </c>
      <c r="H46" s="55">
        <v>3.2399999999999998E-2</v>
      </c>
      <c r="I46" s="44">
        <v>8775138</v>
      </c>
      <c r="J46" s="55">
        <v>6.1000000000000004E-3</v>
      </c>
      <c r="K46" s="44">
        <v>1399982362</v>
      </c>
      <c r="L46" s="34"/>
    </row>
    <row r="47" spans="1:12" ht="13.15" x14ac:dyDescent="0.4">
      <c r="A47" s="34"/>
      <c r="B47" s="54" t="s">
        <v>136</v>
      </c>
      <c r="C47" s="44">
        <v>649000000</v>
      </c>
      <c r="D47" s="44">
        <v>649000000</v>
      </c>
      <c r="E47" s="44">
        <v>649000000</v>
      </c>
      <c r="F47" s="55">
        <v>1</v>
      </c>
      <c r="G47" s="44">
        <v>24707600</v>
      </c>
      <c r="H47" s="55">
        <v>3.8100000000000002E-2</v>
      </c>
      <c r="I47" s="45">
        <v>0</v>
      </c>
      <c r="J47" s="55">
        <v>0</v>
      </c>
      <c r="K47" s="44">
        <v>624292400</v>
      </c>
      <c r="L47" s="34"/>
    </row>
    <row r="48" spans="1:12" ht="13.15" x14ac:dyDescent="0.4">
      <c r="A48" s="34"/>
      <c r="B48" s="54" t="s">
        <v>139</v>
      </c>
      <c r="C48" s="44">
        <v>1185000000</v>
      </c>
      <c r="D48" s="44">
        <v>1185000000</v>
      </c>
      <c r="E48" s="44">
        <v>1185000000</v>
      </c>
      <c r="F48" s="55">
        <v>1</v>
      </c>
      <c r="G48" s="44">
        <v>495830000</v>
      </c>
      <c r="H48" s="55">
        <v>0.41839999999999999</v>
      </c>
      <c r="I48" s="45">
        <v>0</v>
      </c>
      <c r="J48" s="55">
        <v>0</v>
      </c>
      <c r="K48" s="44">
        <v>689170000</v>
      </c>
      <c r="L48" s="34"/>
    </row>
    <row r="49" spans="1:12" ht="13.15" x14ac:dyDescent="0.4">
      <c r="A49" s="34"/>
      <c r="B49" s="54" t="s">
        <v>141</v>
      </c>
      <c r="C49" s="44">
        <v>2242000000</v>
      </c>
      <c r="D49" s="44">
        <v>2242000000</v>
      </c>
      <c r="E49" s="44">
        <v>2242000000</v>
      </c>
      <c r="F49" s="55">
        <v>1</v>
      </c>
      <c r="G49" s="44">
        <v>45459000</v>
      </c>
      <c r="H49" s="55">
        <v>2.0299999999999999E-2</v>
      </c>
      <c r="I49" s="44">
        <v>36500000</v>
      </c>
      <c r="J49" s="55">
        <v>1.6299999999999999E-2</v>
      </c>
      <c r="K49" s="44">
        <v>2196541000</v>
      </c>
      <c r="L49" s="34"/>
    </row>
    <row r="50" spans="1:12" ht="13.15" x14ac:dyDescent="0.4">
      <c r="A50" s="34"/>
      <c r="B50" s="54" t="s">
        <v>143</v>
      </c>
      <c r="C50" s="44">
        <v>778000000</v>
      </c>
      <c r="D50" s="44">
        <v>778000000</v>
      </c>
      <c r="E50" s="44">
        <v>778000000</v>
      </c>
      <c r="F50" s="55">
        <v>1</v>
      </c>
      <c r="G50" s="44">
        <v>1944000</v>
      </c>
      <c r="H50" s="55">
        <v>2.5000000000000001E-3</v>
      </c>
      <c r="I50" s="44">
        <v>1944000</v>
      </c>
      <c r="J50" s="55">
        <v>2.5000000000000001E-3</v>
      </c>
      <c r="K50" s="44">
        <v>776056000</v>
      </c>
      <c r="L50" s="34"/>
    </row>
    <row r="51" spans="1:12" ht="13.15" x14ac:dyDescent="0.4">
      <c r="A51" s="34"/>
      <c r="B51" s="54" t="s">
        <v>145</v>
      </c>
      <c r="C51" s="44">
        <v>1600000000</v>
      </c>
      <c r="D51" s="44">
        <v>1600000000</v>
      </c>
      <c r="E51" s="44">
        <v>1600000000</v>
      </c>
      <c r="F51" s="55">
        <v>1</v>
      </c>
      <c r="G51" s="45">
        <v>0</v>
      </c>
      <c r="H51" s="55">
        <v>0</v>
      </c>
      <c r="I51" s="45">
        <v>0</v>
      </c>
      <c r="J51" s="55">
        <v>0</v>
      </c>
      <c r="K51" s="44">
        <v>1600000000</v>
      </c>
      <c r="L51" s="34"/>
    </row>
    <row r="52" spans="1:12" ht="13.15" x14ac:dyDescent="0.4">
      <c r="A52" s="34"/>
      <c r="B52" s="54" t="s">
        <v>147</v>
      </c>
      <c r="C52" s="44">
        <v>200000000</v>
      </c>
      <c r="D52" s="44">
        <v>200000000</v>
      </c>
      <c r="E52" s="44">
        <v>200000000</v>
      </c>
      <c r="F52" s="55">
        <v>1</v>
      </c>
      <c r="G52" s="45">
        <v>0</v>
      </c>
      <c r="H52" s="55">
        <v>0</v>
      </c>
      <c r="I52" s="45">
        <v>0</v>
      </c>
      <c r="J52" s="55">
        <v>0</v>
      </c>
      <c r="K52" s="44">
        <v>200000000</v>
      </c>
      <c r="L52" s="34"/>
    </row>
    <row r="53" spans="1:12" ht="13.15" x14ac:dyDescent="0.4">
      <c r="A53" s="34"/>
      <c r="B53" s="54" t="s">
        <v>149</v>
      </c>
      <c r="C53" s="44">
        <v>750000000</v>
      </c>
      <c r="D53" s="44">
        <v>750000000</v>
      </c>
      <c r="E53" s="44">
        <v>750000000</v>
      </c>
      <c r="F53" s="55">
        <v>1</v>
      </c>
      <c r="G53" s="45">
        <v>0</v>
      </c>
      <c r="H53" s="55">
        <v>0</v>
      </c>
      <c r="I53" s="45">
        <v>0</v>
      </c>
      <c r="J53" s="55">
        <v>0</v>
      </c>
      <c r="K53" s="44">
        <v>750000000</v>
      </c>
      <c r="L53" s="34"/>
    </row>
    <row r="54" spans="1:12" ht="13.15" x14ac:dyDescent="0.4">
      <c r="A54" s="34"/>
      <c r="B54" s="54" t="s">
        <v>151</v>
      </c>
      <c r="C54" s="45">
        <v>0</v>
      </c>
      <c r="D54" s="45">
        <v>0</v>
      </c>
      <c r="E54" s="45">
        <v>0</v>
      </c>
      <c r="F54" s="50"/>
      <c r="G54" s="45">
        <v>0</v>
      </c>
      <c r="H54" s="50"/>
      <c r="I54" s="45">
        <v>0</v>
      </c>
      <c r="J54" s="50"/>
      <c r="K54" s="45">
        <v>0</v>
      </c>
      <c r="L54" s="34"/>
    </row>
    <row r="55" spans="1:12" ht="13.15" x14ac:dyDescent="0.4">
      <c r="A55" s="34"/>
      <c r="B55" s="54" t="s">
        <v>179</v>
      </c>
      <c r="C55" s="44">
        <v>27992478000</v>
      </c>
      <c r="D55" s="44">
        <v>27992478000</v>
      </c>
      <c r="E55" s="44">
        <v>27992478000</v>
      </c>
      <c r="F55" s="55">
        <v>1</v>
      </c>
      <c r="G55" s="44">
        <v>13610757145</v>
      </c>
      <c r="H55" s="55">
        <v>0.48620000000000002</v>
      </c>
      <c r="I55" s="44">
        <v>444474748</v>
      </c>
      <c r="J55" s="55">
        <v>1.5900000000000001E-2</v>
      </c>
      <c r="K55" s="44">
        <v>14381720855</v>
      </c>
      <c r="L55" s="34"/>
    </row>
    <row r="56" spans="1:12" ht="13.15" x14ac:dyDescent="0.4">
      <c r="A56" s="34"/>
      <c r="B56" s="54" t="s">
        <v>189</v>
      </c>
      <c r="C56" s="44">
        <v>300000000</v>
      </c>
      <c r="D56" s="44">
        <v>300000000</v>
      </c>
      <c r="E56" s="44">
        <v>300000000</v>
      </c>
      <c r="F56" s="55">
        <v>1</v>
      </c>
      <c r="G56" s="44">
        <v>4951687</v>
      </c>
      <c r="H56" s="55">
        <v>1.6500000000000001E-2</v>
      </c>
      <c r="I56" s="45">
        <v>0</v>
      </c>
      <c r="J56" s="55">
        <v>0</v>
      </c>
      <c r="K56" s="44">
        <v>295048313</v>
      </c>
      <c r="L56" s="34"/>
    </row>
    <row r="57" spans="1:12" ht="13.15" x14ac:dyDescent="0.4">
      <c r="A57" s="34"/>
      <c r="B57" s="54" t="s">
        <v>60</v>
      </c>
      <c r="C57" s="45">
        <v>0</v>
      </c>
      <c r="D57" s="45">
        <v>0</v>
      </c>
      <c r="E57" s="45">
        <v>0</v>
      </c>
      <c r="F57" s="50"/>
      <c r="G57" s="45">
        <v>0</v>
      </c>
      <c r="H57" s="50"/>
      <c r="I57" s="45">
        <v>0</v>
      </c>
      <c r="J57" s="50"/>
      <c r="K57" s="45">
        <v>0</v>
      </c>
      <c r="L57" s="34"/>
    </row>
    <row r="58" spans="1:12" ht="13.15" x14ac:dyDescent="0.4">
      <c r="A58" s="38"/>
      <c r="B58" s="62" t="s">
        <v>202</v>
      </c>
      <c r="C58" s="63">
        <v>48189386664</v>
      </c>
      <c r="D58" s="63">
        <v>48189386664</v>
      </c>
      <c r="E58" s="63">
        <v>48189386664</v>
      </c>
      <c r="F58" s="64">
        <v>1</v>
      </c>
      <c r="G58" s="63">
        <v>15996310827</v>
      </c>
      <c r="H58" s="64">
        <v>0.33189999999999997</v>
      </c>
      <c r="I58" s="63">
        <v>665629359</v>
      </c>
      <c r="J58" s="64">
        <v>1.38E-2</v>
      </c>
      <c r="K58" s="63">
        <v>32193075837</v>
      </c>
      <c r="L58" s="38"/>
    </row>
    <row r="59" spans="1:12" ht="13.15" x14ac:dyDescent="0.4">
      <c r="A59" s="34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34"/>
    </row>
    <row r="60" spans="1:12" ht="13.15" x14ac:dyDescent="0.4">
      <c r="A60" s="34"/>
      <c r="B60" s="65" t="s">
        <v>24</v>
      </c>
      <c r="C60" s="60"/>
      <c r="D60" s="60"/>
      <c r="E60" s="60"/>
      <c r="F60" s="60"/>
      <c r="G60" s="60"/>
      <c r="H60" s="60"/>
      <c r="I60" s="60"/>
      <c r="J60" s="60"/>
      <c r="K60" s="60"/>
      <c r="L60" s="34"/>
    </row>
    <row r="61" spans="1:12" ht="13.15" x14ac:dyDescent="0.4">
      <c r="A61" s="37"/>
      <c r="B61" s="61" t="s">
        <v>57</v>
      </c>
      <c r="C61" s="61" t="s">
        <v>47</v>
      </c>
      <c r="D61" s="61" t="s">
        <v>52</v>
      </c>
      <c r="E61" s="61" t="s">
        <v>53</v>
      </c>
      <c r="F61" s="61" t="s">
        <v>196</v>
      </c>
      <c r="G61" s="61" t="s">
        <v>203</v>
      </c>
      <c r="H61" s="61" t="s">
        <v>198</v>
      </c>
      <c r="I61" s="61" t="s">
        <v>45</v>
      </c>
      <c r="J61" s="61" t="s">
        <v>200</v>
      </c>
      <c r="K61" s="61" t="s">
        <v>55</v>
      </c>
      <c r="L61" s="37"/>
    </row>
    <row r="62" spans="1:12" ht="13.15" x14ac:dyDescent="0.4">
      <c r="A62" s="34"/>
      <c r="B62" s="54" t="s">
        <v>116</v>
      </c>
      <c r="C62" s="45">
        <v>0</v>
      </c>
      <c r="D62" s="45">
        <v>0</v>
      </c>
      <c r="E62" s="45">
        <v>0</v>
      </c>
      <c r="F62" s="50"/>
      <c r="G62" s="45">
        <v>0</v>
      </c>
      <c r="H62" s="50"/>
      <c r="I62" s="45">
        <v>0</v>
      </c>
      <c r="J62" s="50"/>
      <c r="K62" s="45">
        <v>0</v>
      </c>
      <c r="L62" s="34"/>
    </row>
    <row r="63" spans="1:12" ht="13.15" x14ac:dyDescent="0.4">
      <c r="A63" s="34"/>
      <c r="B63" s="54" t="s">
        <v>97</v>
      </c>
      <c r="C63" s="45">
        <v>0</v>
      </c>
      <c r="D63" s="45">
        <v>0</v>
      </c>
      <c r="E63" s="45">
        <v>0</v>
      </c>
      <c r="F63" s="50"/>
      <c r="G63" s="45">
        <v>0</v>
      </c>
      <c r="H63" s="50"/>
      <c r="I63" s="45">
        <v>0</v>
      </c>
      <c r="J63" s="50"/>
      <c r="K63" s="45">
        <v>0</v>
      </c>
      <c r="L63" s="34"/>
    </row>
    <row r="64" spans="1:12" ht="13.15" x14ac:dyDescent="0.4">
      <c r="A64" s="34"/>
      <c r="B64" s="54" t="s">
        <v>131</v>
      </c>
      <c r="C64" s="45">
        <v>0</v>
      </c>
      <c r="D64" s="45">
        <v>0</v>
      </c>
      <c r="E64" s="45">
        <v>0</v>
      </c>
      <c r="F64" s="50"/>
      <c r="G64" s="45">
        <v>0</v>
      </c>
      <c r="H64" s="50"/>
      <c r="I64" s="45">
        <v>0</v>
      </c>
      <c r="J64" s="50"/>
      <c r="K64" s="45">
        <v>0</v>
      </c>
      <c r="L64" s="34"/>
    </row>
    <row r="65" spans="1:12" ht="13.15" x14ac:dyDescent="0.4">
      <c r="A65" s="34"/>
      <c r="B65" s="54" t="s">
        <v>133</v>
      </c>
      <c r="C65" s="45">
        <v>0</v>
      </c>
      <c r="D65" s="45">
        <v>0</v>
      </c>
      <c r="E65" s="45">
        <v>0</v>
      </c>
      <c r="F65" s="50"/>
      <c r="G65" s="45">
        <v>0</v>
      </c>
      <c r="H65" s="50"/>
      <c r="I65" s="45">
        <v>0</v>
      </c>
      <c r="J65" s="50"/>
      <c r="K65" s="45">
        <v>0</v>
      </c>
      <c r="L65" s="34"/>
    </row>
    <row r="66" spans="1:12" ht="13.15" x14ac:dyDescent="0.4">
      <c r="A66" s="34"/>
      <c r="B66" s="54" t="s">
        <v>136</v>
      </c>
      <c r="C66" s="45">
        <v>0</v>
      </c>
      <c r="D66" s="45">
        <v>0</v>
      </c>
      <c r="E66" s="45">
        <v>0</v>
      </c>
      <c r="F66" s="50"/>
      <c r="G66" s="45">
        <v>0</v>
      </c>
      <c r="H66" s="50"/>
      <c r="I66" s="45">
        <v>0</v>
      </c>
      <c r="J66" s="50"/>
      <c r="K66" s="45">
        <v>0</v>
      </c>
      <c r="L66" s="34"/>
    </row>
    <row r="67" spans="1:12" ht="13.15" x14ac:dyDescent="0.4">
      <c r="A67" s="34"/>
      <c r="B67" s="54" t="s">
        <v>139</v>
      </c>
      <c r="C67" s="45">
        <v>0</v>
      </c>
      <c r="D67" s="45">
        <v>0</v>
      </c>
      <c r="E67" s="45">
        <v>0</v>
      </c>
      <c r="F67" s="50"/>
      <c r="G67" s="45">
        <v>0</v>
      </c>
      <c r="H67" s="50"/>
      <c r="I67" s="45">
        <v>0</v>
      </c>
      <c r="J67" s="50"/>
      <c r="K67" s="45">
        <v>0</v>
      </c>
      <c r="L67" s="34"/>
    </row>
    <row r="68" spans="1:12" ht="13.15" x14ac:dyDescent="0.4">
      <c r="A68" s="34"/>
      <c r="B68" s="54" t="s">
        <v>141</v>
      </c>
      <c r="C68" s="45">
        <v>0</v>
      </c>
      <c r="D68" s="45">
        <v>0</v>
      </c>
      <c r="E68" s="45">
        <v>0</v>
      </c>
      <c r="F68" s="50"/>
      <c r="G68" s="45">
        <v>0</v>
      </c>
      <c r="H68" s="50"/>
      <c r="I68" s="45">
        <v>0</v>
      </c>
      <c r="J68" s="50"/>
      <c r="K68" s="45">
        <v>0</v>
      </c>
      <c r="L68" s="34"/>
    </row>
    <row r="69" spans="1:12" ht="13.15" x14ac:dyDescent="0.4">
      <c r="A69" s="34"/>
      <c r="B69" s="54" t="s">
        <v>143</v>
      </c>
      <c r="C69" s="45">
        <v>0</v>
      </c>
      <c r="D69" s="45">
        <v>0</v>
      </c>
      <c r="E69" s="45">
        <v>0</v>
      </c>
      <c r="F69" s="50"/>
      <c r="G69" s="45">
        <v>0</v>
      </c>
      <c r="H69" s="50"/>
      <c r="I69" s="45">
        <v>0</v>
      </c>
      <c r="J69" s="50"/>
      <c r="K69" s="45">
        <v>0</v>
      </c>
      <c r="L69" s="34"/>
    </row>
    <row r="70" spans="1:12" ht="13.15" x14ac:dyDescent="0.4">
      <c r="A70" s="34"/>
      <c r="B70" s="54" t="s">
        <v>145</v>
      </c>
      <c r="C70" s="45">
        <v>0</v>
      </c>
      <c r="D70" s="45">
        <v>0</v>
      </c>
      <c r="E70" s="45">
        <v>0</v>
      </c>
      <c r="F70" s="50"/>
      <c r="G70" s="45">
        <v>0</v>
      </c>
      <c r="H70" s="50"/>
      <c r="I70" s="45">
        <v>0</v>
      </c>
      <c r="J70" s="50"/>
      <c r="K70" s="45">
        <v>0</v>
      </c>
      <c r="L70" s="34"/>
    </row>
    <row r="71" spans="1:12" ht="13.15" x14ac:dyDescent="0.4">
      <c r="A71" s="34"/>
      <c r="B71" s="54" t="s">
        <v>147</v>
      </c>
      <c r="C71" s="45">
        <v>0</v>
      </c>
      <c r="D71" s="45">
        <v>0</v>
      </c>
      <c r="E71" s="45">
        <v>0</v>
      </c>
      <c r="F71" s="50"/>
      <c r="G71" s="45">
        <v>0</v>
      </c>
      <c r="H71" s="50"/>
      <c r="I71" s="45">
        <v>0</v>
      </c>
      <c r="J71" s="50"/>
      <c r="K71" s="45">
        <v>0</v>
      </c>
      <c r="L71" s="34"/>
    </row>
    <row r="72" spans="1:12" ht="13.15" x14ac:dyDescent="0.4">
      <c r="A72" s="34"/>
      <c r="B72" s="54" t="s">
        <v>149</v>
      </c>
      <c r="C72" s="45">
        <v>0</v>
      </c>
      <c r="D72" s="45">
        <v>0</v>
      </c>
      <c r="E72" s="45">
        <v>0</v>
      </c>
      <c r="F72" s="50"/>
      <c r="G72" s="45">
        <v>0</v>
      </c>
      <c r="H72" s="50"/>
      <c r="I72" s="45">
        <v>0</v>
      </c>
      <c r="J72" s="50"/>
      <c r="K72" s="45">
        <v>0</v>
      </c>
      <c r="L72" s="34"/>
    </row>
    <row r="73" spans="1:12" ht="13.15" x14ac:dyDescent="0.4">
      <c r="A73" s="34"/>
      <c r="B73" s="54" t="s">
        <v>151</v>
      </c>
      <c r="C73" s="45">
        <v>0</v>
      </c>
      <c r="D73" s="45">
        <v>0</v>
      </c>
      <c r="E73" s="45">
        <v>0</v>
      </c>
      <c r="F73" s="50"/>
      <c r="G73" s="45">
        <v>0</v>
      </c>
      <c r="H73" s="50"/>
      <c r="I73" s="45">
        <v>0</v>
      </c>
      <c r="J73" s="50"/>
      <c r="K73" s="45">
        <v>0</v>
      </c>
      <c r="L73" s="34"/>
    </row>
    <row r="74" spans="1:12" ht="13.15" x14ac:dyDescent="0.4">
      <c r="A74" s="34"/>
      <c r="B74" s="54" t="s">
        <v>179</v>
      </c>
      <c r="C74" s="45">
        <v>0</v>
      </c>
      <c r="D74" s="45">
        <v>0</v>
      </c>
      <c r="E74" s="45">
        <v>0</v>
      </c>
      <c r="F74" s="50"/>
      <c r="G74" s="45">
        <v>0</v>
      </c>
      <c r="H74" s="50"/>
      <c r="I74" s="45">
        <v>0</v>
      </c>
      <c r="J74" s="50"/>
      <c r="K74" s="45">
        <v>0</v>
      </c>
      <c r="L74" s="34"/>
    </row>
    <row r="75" spans="1:12" ht="13.15" x14ac:dyDescent="0.4">
      <c r="A75" s="34"/>
      <c r="B75" s="54" t="s">
        <v>189</v>
      </c>
      <c r="C75" s="45">
        <v>0</v>
      </c>
      <c r="D75" s="45">
        <v>0</v>
      </c>
      <c r="E75" s="45">
        <v>0</v>
      </c>
      <c r="F75" s="50"/>
      <c r="G75" s="45">
        <v>0</v>
      </c>
      <c r="H75" s="50"/>
      <c r="I75" s="45">
        <v>0</v>
      </c>
      <c r="J75" s="50"/>
      <c r="K75" s="45">
        <v>0</v>
      </c>
      <c r="L75" s="34"/>
    </row>
    <row r="76" spans="1:12" ht="13.15" x14ac:dyDescent="0.4">
      <c r="A76" s="34"/>
      <c r="B76" s="54" t="s">
        <v>60</v>
      </c>
      <c r="C76" s="44">
        <v>500000000</v>
      </c>
      <c r="D76" s="44">
        <v>492289000</v>
      </c>
      <c r="E76" s="44">
        <v>367289000</v>
      </c>
      <c r="F76" s="55">
        <v>0.73460000000000003</v>
      </c>
      <c r="G76" s="44">
        <v>20986164</v>
      </c>
      <c r="H76" s="55">
        <v>5.7099999999999998E-2</v>
      </c>
      <c r="I76" s="45">
        <v>0</v>
      </c>
      <c r="J76" s="55">
        <v>0</v>
      </c>
      <c r="K76" s="44">
        <v>346302836</v>
      </c>
      <c r="L76" s="34"/>
    </row>
    <row r="77" spans="1:12" ht="13.15" x14ac:dyDescent="0.4">
      <c r="A77" s="38"/>
      <c r="B77" s="62" t="s">
        <v>202</v>
      </c>
      <c r="C77" s="63">
        <v>500000000</v>
      </c>
      <c r="D77" s="63">
        <v>492289000</v>
      </c>
      <c r="E77" s="63">
        <v>367289000</v>
      </c>
      <c r="F77" s="64">
        <v>0.74609999999999999</v>
      </c>
      <c r="G77" s="63">
        <v>20986164</v>
      </c>
      <c r="H77" s="64">
        <v>5.7099999999999998E-2</v>
      </c>
      <c r="I77" s="66">
        <v>0</v>
      </c>
      <c r="J77" s="64">
        <v>0</v>
      </c>
      <c r="K77" s="63">
        <v>346302836</v>
      </c>
      <c r="L77" s="38"/>
    </row>
    <row r="78" spans="1:12" ht="13.15" x14ac:dyDescent="0.4">
      <c r="A78" s="34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34"/>
    </row>
    <row r="79" spans="1:12" ht="13.15" x14ac:dyDescent="0.4">
      <c r="A79" s="34"/>
      <c r="B79" s="65" t="s">
        <v>25</v>
      </c>
      <c r="C79" s="60"/>
      <c r="D79" s="60"/>
      <c r="E79" s="60"/>
      <c r="F79" s="60"/>
      <c r="G79" s="60"/>
      <c r="H79" s="60"/>
      <c r="I79" s="60"/>
      <c r="J79" s="60"/>
      <c r="K79" s="60"/>
      <c r="L79" s="34"/>
    </row>
    <row r="80" spans="1:12" ht="13.15" x14ac:dyDescent="0.4">
      <c r="A80" s="37"/>
      <c r="B80" s="61" t="s">
        <v>57</v>
      </c>
      <c r="C80" s="61" t="s">
        <v>47</v>
      </c>
      <c r="D80" s="61" t="s">
        <v>52</v>
      </c>
      <c r="E80" s="61" t="s">
        <v>53</v>
      </c>
      <c r="F80" s="61" t="s">
        <v>196</v>
      </c>
      <c r="G80" s="61" t="s">
        <v>203</v>
      </c>
      <c r="H80" s="61" t="s">
        <v>198</v>
      </c>
      <c r="I80" s="61" t="s">
        <v>45</v>
      </c>
      <c r="J80" s="61" t="s">
        <v>200</v>
      </c>
      <c r="K80" s="61" t="s">
        <v>55</v>
      </c>
      <c r="L80" s="37"/>
    </row>
    <row r="81" spans="1:12" ht="13.15" x14ac:dyDescent="0.4">
      <c r="A81" s="34"/>
      <c r="B81" s="54" t="s">
        <v>116</v>
      </c>
      <c r="C81" s="44">
        <v>1931870000</v>
      </c>
      <c r="D81" s="44">
        <v>1931870000</v>
      </c>
      <c r="E81" s="44">
        <v>1506172500</v>
      </c>
      <c r="F81" s="55">
        <v>0.77959999999999996</v>
      </c>
      <c r="G81" s="44">
        <v>235978350</v>
      </c>
      <c r="H81" s="55">
        <v>0.15670000000000001</v>
      </c>
      <c r="I81" s="44">
        <v>158206850</v>
      </c>
      <c r="J81" s="55">
        <v>0.105</v>
      </c>
      <c r="K81" s="44">
        <v>1270194150</v>
      </c>
      <c r="L81" s="34"/>
    </row>
    <row r="82" spans="1:12" ht="13.15" x14ac:dyDescent="0.4">
      <c r="A82" s="34"/>
      <c r="B82" s="54" t="s">
        <v>97</v>
      </c>
      <c r="C82" s="44">
        <v>2561006000</v>
      </c>
      <c r="D82" s="44">
        <v>2561006000</v>
      </c>
      <c r="E82" s="44">
        <v>1989504500</v>
      </c>
      <c r="F82" s="55">
        <v>0.77680000000000005</v>
      </c>
      <c r="G82" s="44">
        <v>592051011</v>
      </c>
      <c r="H82" s="55">
        <v>0.29759999999999998</v>
      </c>
      <c r="I82" s="44">
        <v>207870775</v>
      </c>
      <c r="J82" s="55">
        <v>0.1045</v>
      </c>
      <c r="K82" s="44">
        <v>1397453489</v>
      </c>
      <c r="L82" s="34"/>
    </row>
    <row r="83" spans="1:12" ht="13.15" x14ac:dyDescent="0.4">
      <c r="A83" s="34"/>
      <c r="B83" s="54" t="s">
        <v>131</v>
      </c>
      <c r="C83" s="44">
        <v>1162320000</v>
      </c>
      <c r="D83" s="44">
        <v>1062320000</v>
      </c>
      <c r="E83" s="44">
        <v>827490000</v>
      </c>
      <c r="F83" s="55">
        <v>0.71189999999999998</v>
      </c>
      <c r="G83" s="44">
        <v>225859389</v>
      </c>
      <c r="H83" s="55">
        <v>0.27289999999999998</v>
      </c>
      <c r="I83" s="44">
        <v>183468889</v>
      </c>
      <c r="J83" s="55">
        <v>0.22170000000000001</v>
      </c>
      <c r="K83" s="44">
        <v>601630611</v>
      </c>
      <c r="L83" s="34"/>
    </row>
    <row r="84" spans="1:12" ht="13.15" x14ac:dyDescent="0.4">
      <c r="A84" s="34"/>
      <c r="B84" s="54" t="s">
        <v>133</v>
      </c>
      <c r="C84" s="44">
        <v>1682602000</v>
      </c>
      <c r="D84" s="44">
        <v>1682602000</v>
      </c>
      <c r="E84" s="44">
        <v>1295701500</v>
      </c>
      <c r="F84" s="55">
        <v>0.77010000000000001</v>
      </c>
      <c r="G84" s="44">
        <v>345568297</v>
      </c>
      <c r="H84" s="55">
        <v>0.26669999999999999</v>
      </c>
      <c r="I84" s="44">
        <v>204075285</v>
      </c>
      <c r="J84" s="55">
        <v>0.1575</v>
      </c>
      <c r="K84" s="44">
        <v>950133203</v>
      </c>
      <c r="L84" s="34"/>
    </row>
    <row r="85" spans="1:12" ht="13.15" x14ac:dyDescent="0.4">
      <c r="A85" s="34"/>
      <c r="B85" s="54" t="s">
        <v>136</v>
      </c>
      <c r="C85" s="44">
        <v>1684046000</v>
      </c>
      <c r="D85" s="44">
        <v>1684046000</v>
      </c>
      <c r="E85" s="44">
        <v>1306284500</v>
      </c>
      <c r="F85" s="55">
        <v>0.77569999999999995</v>
      </c>
      <c r="G85" s="44">
        <v>278221421</v>
      </c>
      <c r="H85" s="55">
        <v>0.21299999999999999</v>
      </c>
      <c r="I85" s="44">
        <v>199894421</v>
      </c>
      <c r="J85" s="55">
        <v>0.153</v>
      </c>
      <c r="K85" s="44">
        <v>1028063079</v>
      </c>
      <c r="L85" s="34"/>
    </row>
    <row r="86" spans="1:12" ht="13.15" x14ac:dyDescent="0.4">
      <c r="A86" s="34"/>
      <c r="B86" s="54" t="s">
        <v>139</v>
      </c>
      <c r="C86" s="44">
        <v>1822913000</v>
      </c>
      <c r="D86" s="44">
        <v>1822913400</v>
      </c>
      <c r="E86" s="44">
        <v>1557701235</v>
      </c>
      <c r="F86" s="55">
        <v>0.85450000000000004</v>
      </c>
      <c r="G86" s="44">
        <v>940203567</v>
      </c>
      <c r="H86" s="55">
        <v>0.60360000000000003</v>
      </c>
      <c r="I86" s="44">
        <v>214869830</v>
      </c>
      <c r="J86" s="55">
        <v>0.13789999999999999</v>
      </c>
      <c r="K86" s="44">
        <v>617497668</v>
      </c>
      <c r="L86" s="34"/>
    </row>
    <row r="87" spans="1:12" ht="13.15" x14ac:dyDescent="0.4">
      <c r="A87" s="34"/>
      <c r="B87" s="54" t="s">
        <v>141</v>
      </c>
      <c r="C87" s="44">
        <v>1882128000</v>
      </c>
      <c r="D87" s="44">
        <v>2303622733</v>
      </c>
      <c r="E87" s="44">
        <v>1822577320</v>
      </c>
      <c r="F87" s="55">
        <v>0.96840000000000004</v>
      </c>
      <c r="G87" s="44">
        <v>631076912</v>
      </c>
      <c r="H87" s="55">
        <v>0.3463</v>
      </c>
      <c r="I87" s="44">
        <v>200799692</v>
      </c>
      <c r="J87" s="55">
        <v>0.11020000000000001</v>
      </c>
      <c r="K87" s="44">
        <v>1191500408</v>
      </c>
      <c r="L87" s="34"/>
    </row>
    <row r="88" spans="1:12" ht="13.15" x14ac:dyDescent="0.4">
      <c r="A88" s="34"/>
      <c r="B88" s="54" t="s">
        <v>143</v>
      </c>
      <c r="C88" s="44">
        <v>1216858000</v>
      </c>
      <c r="D88" s="44">
        <v>1076858000</v>
      </c>
      <c r="E88" s="44">
        <v>841718500</v>
      </c>
      <c r="F88" s="55">
        <v>0.69169999999999998</v>
      </c>
      <c r="G88" s="44">
        <v>163729636</v>
      </c>
      <c r="H88" s="55">
        <v>0.19450000000000001</v>
      </c>
      <c r="I88" s="44">
        <v>117593136</v>
      </c>
      <c r="J88" s="55">
        <v>0.13969999999999999</v>
      </c>
      <c r="K88" s="44">
        <v>677988864</v>
      </c>
      <c r="L88" s="34"/>
    </row>
    <row r="89" spans="1:12" ht="13.15" x14ac:dyDescent="0.4">
      <c r="A89" s="34"/>
      <c r="B89" s="54" t="s">
        <v>145</v>
      </c>
      <c r="C89" s="44">
        <v>1861257000</v>
      </c>
      <c r="D89" s="44">
        <v>2067396700</v>
      </c>
      <c r="E89" s="44">
        <v>1591061775</v>
      </c>
      <c r="F89" s="55">
        <v>0.8548</v>
      </c>
      <c r="G89" s="44">
        <v>225459743</v>
      </c>
      <c r="H89" s="55">
        <v>0.14169999999999999</v>
      </c>
      <c r="I89" s="44">
        <v>163458728</v>
      </c>
      <c r="J89" s="55">
        <v>0.1027</v>
      </c>
      <c r="K89" s="44">
        <v>1365602032</v>
      </c>
      <c r="L89" s="34"/>
    </row>
    <row r="90" spans="1:12" ht="13.15" x14ac:dyDescent="0.4">
      <c r="A90" s="34"/>
      <c r="B90" s="54" t="s">
        <v>147</v>
      </c>
      <c r="C90" s="44">
        <v>960700000</v>
      </c>
      <c r="D90" s="44">
        <v>910700000</v>
      </c>
      <c r="E90" s="44">
        <v>705525000</v>
      </c>
      <c r="F90" s="55">
        <v>0.73440000000000005</v>
      </c>
      <c r="G90" s="44">
        <v>292161412</v>
      </c>
      <c r="H90" s="55">
        <v>0.41410000000000002</v>
      </c>
      <c r="I90" s="44">
        <v>161807412</v>
      </c>
      <c r="J90" s="55">
        <v>0.2293</v>
      </c>
      <c r="K90" s="44">
        <v>413363588</v>
      </c>
      <c r="L90" s="34"/>
    </row>
    <row r="91" spans="1:12" ht="13.15" x14ac:dyDescent="0.4">
      <c r="A91" s="34"/>
      <c r="B91" s="54" t="s">
        <v>149</v>
      </c>
      <c r="C91" s="44">
        <v>1792231000</v>
      </c>
      <c r="D91" s="44">
        <v>1792231000</v>
      </c>
      <c r="E91" s="44">
        <v>1381923250</v>
      </c>
      <c r="F91" s="55">
        <v>0.77110000000000001</v>
      </c>
      <c r="G91" s="44">
        <v>317782812</v>
      </c>
      <c r="H91" s="55">
        <v>0.23</v>
      </c>
      <c r="I91" s="44">
        <v>168080362</v>
      </c>
      <c r="J91" s="55">
        <v>0.1216</v>
      </c>
      <c r="K91" s="44">
        <v>1064140438</v>
      </c>
      <c r="L91" s="34"/>
    </row>
    <row r="92" spans="1:12" ht="13.15" x14ac:dyDescent="0.4">
      <c r="A92" s="34"/>
      <c r="B92" s="54" t="s">
        <v>151</v>
      </c>
      <c r="C92" s="44">
        <v>372660000</v>
      </c>
      <c r="D92" s="44">
        <v>372660000</v>
      </c>
      <c r="E92" s="44">
        <v>285660000</v>
      </c>
      <c r="F92" s="55">
        <v>0.76649999999999996</v>
      </c>
      <c r="G92" s="44">
        <v>18972350</v>
      </c>
      <c r="H92" s="55">
        <v>6.6400000000000001E-2</v>
      </c>
      <c r="I92" s="44">
        <v>9429650</v>
      </c>
      <c r="J92" s="55">
        <v>3.3000000000000002E-2</v>
      </c>
      <c r="K92" s="44">
        <v>266687650</v>
      </c>
      <c r="L92" s="34"/>
    </row>
    <row r="93" spans="1:12" ht="13.15" x14ac:dyDescent="0.4">
      <c r="A93" s="34"/>
      <c r="B93" s="54" t="s">
        <v>179</v>
      </c>
      <c r="C93" s="44">
        <v>3494050000</v>
      </c>
      <c r="D93" s="44">
        <v>3494050000</v>
      </c>
      <c r="E93" s="44">
        <v>2668267750</v>
      </c>
      <c r="F93" s="55">
        <v>0.76370000000000005</v>
      </c>
      <c r="G93" s="44">
        <v>530092916</v>
      </c>
      <c r="H93" s="55">
        <v>0.19869999999999999</v>
      </c>
      <c r="I93" s="44">
        <v>310136927</v>
      </c>
      <c r="J93" s="55">
        <v>0.1162</v>
      </c>
      <c r="K93" s="44">
        <v>2138174834</v>
      </c>
      <c r="L93" s="34"/>
    </row>
    <row r="94" spans="1:12" ht="13.15" x14ac:dyDescent="0.4">
      <c r="A94" s="34"/>
      <c r="B94" s="54" t="s">
        <v>189</v>
      </c>
      <c r="C94" s="44">
        <v>2401223000</v>
      </c>
      <c r="D94" s="44">
        <v>2401223000</v>
      </c>
      <c r="E94" s="44">
        <v>1841914250</v>
      </c>
      <c r="F94" s="55">
        <v>0.7671</v>
      </c>
      <c r="G94" s="44">
        <v>234213669</v>
      </c>
      <c r="H94" s="55">
        <v>0.12720000000000001</v>
      </c>
      <c r="I94" s="44">
        <v>158066279</v>
      </c>
      <c r="J94" s="55">
        <v>8.5800000000000001E-2</v>
      </c>
      <c r="K94" s="44">
        <v>1607700581</v>
      </c>
      <c r="L94" s="34"/>
    </row>
    <row r="95" spans="1:12" ht="13.15" x14ac:dyDescent="0.4">
      <c r="A95" s="34"/>
      <c r="B95" s="54" t="s">
        <v>60</v>
      </c>
      <c r="C95" s="44">
        <v>7946000000</v>
      </c>
      <c r="D95" s="44">
        <v>7905432611</v>
      </c>
      <c r="E95" s="44">
        <v>6012932611</v>
      </c>
      <c r="F95" s="55">
        <v>0.75670000000000004</v>
      </c>
      <c r="G95" s="44">
        <v>419135164</v>
      </c>
      <c r="H95" s="55">
        <v>6.9699999999999998E-2</v>
      </c>
      <c r="I95" s="44">
        <v>328193950</v>
      </c>
      <c r="J95" s="55">
        <v>5.4600000000000003E-2</v>
      </c>
      <c r="K95" s="44">
        <v>5593797447</v>
      </c>
      <c r="L95" s="34"/>
    </row>
    <row r="96" spans="1:12" ht="13.15" x14ac:dyDescent="0.4">
      <c r="A96" s="38"/>
      <c r="B96" s="62" t="s">
        <v>202</v>
      </c>
      <c r="C96" s="63">
        <v>32771864000</v>
      </c>
      <c r="D96" s="63">
        <v>33068931444</v>
      </c>
      <c r="E96" s="63">
        <v>25634434691</v>
      </c>
      <c r="F96" s="64">
        <v>0.7752</v>
      </c>
      <c r="G96" s="63">
        <v>5450506649</v>
      </c>
      <c r="H96" s="64">
        <v>0.21260000000000001</v>
      </c>
      <c r="I96" s="63">
        <v>2785952186</v>
      </c>
      <c r="J96" s="64">
        <v>0.1087</v>
      </c>
      <c r="K96" s="63">
        <v>20183928042</v>
      </c>
      <c r="L96" s="38"/>
    </row>
    <row r="97" spans="1:12" ht="13.15" x14ac:dyDescent="0.4">
      <c r="A97" s="34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34"/>
    </row>
    <row r="98" spans="1:12" ht="12.75" hidden="1" customHeight="1" x14ac:dyDescent="0.4">
      <c r="A98" s="34"/>
      <c r="B98" s="59" t="s">
        <v>169</v>
      </c>
      <c r="C98" s="60"/>
      <c r="D98" s="60"/>
      <c r="E98" s="60"/>
      <c r="F98" s="60"/>
      <c r="G98" s="60"/>
      <c r="H98" s="60"/>
      <c r="I98" s="60"/>
      <c r="J98" s="60"/>
      <c r="K98" s="60"/>
      <c r="L98" s="34"/>
    </row>
    <row r="99" spans="1:12" ht="12.75" hidden="1" customHeight="1" x14ac:dyDescent="0.4">
      <c r="A99" s="37"/>
      <c r="B99" s="61" t="s">
        <v>57</v>
      </c>
      <c r="C99" s="67"/>
      <c r="D99" s="61" t="s">
        <v>52</v>
      </c>
      <c r="E99" s="61" t="s">
        <v>53</v>
      </c>
      <c r="F99" s="61" t="s">
        <v>196</v>
      </c>
      <c r="G99" s="61" t="s">
        <v>203</v>
      </c>
      <c r="H99" s="61" t="s">
        <v>198</v>
      </c>
      <c r="I99" s="61" t="s">
        <v>45</v>
      </c>
      <c r="J99" s="61" t="s">
        <v>200</v>
      </c>
      <c r="K99" s="61" t="s">
        <v>55</v>
      </c>
      <c r="L99" s="37"/>
    </row>
    <row r="100" spans="1:12" ht="12.75" hidden="1" customHeight="1" x14ac:dyDescent="0.4">
      <c r="A100" s="34"/>
      <c r="B100" s="54" t="s">
        <v>116</v>
      </c>
      <c r="C100" s="50"/>
      <c r="D100" s="45">
        <v>0</v>
      </c>
      <c r="E100" s="45">
        <v>0</v>
      </c>
      <c r="F100" s="50"/>
      <c r="G100" s="45">
        <v>0</v>
      </c>
      <c r="H100" s="50"/>
      <c r="I100" s="45">
        <v>0</v>
      </c>
      <c r="J100" s="50"/>
      <c r="K100" s="45">
        <v>0</v>
      </c>
      <c r="L100" s="34"/>
    </row>
    <row r="101" spans="1:12" ht="12.75" hidden="1" customHeight="1" x14ac:dyDescent="0.4">
      <c r="A101" s="34"/>
      <c r="B101" s="54" t="s">
        <v>97</v>
      </c>
      <c r="C101" s="50"/>
      <c r="D101" s="45">
        <v>0</v>
      </c>
      <c r="E101" s="45">
        <v>0</v>
      </c>
      <c r="F101" s="50"/>
      <c r="G101" s="45">
        <v>0</v>
      </c>
      <c r="H101" s="50"/>
      <c r="I101" s="45">
        <v>0</v>
      </c>
      <c r="J101" s="50"/>
      <c r="K101" s="45">
        <v>0</v>
      </c>
      <c r="L101" s="34"/>
    </row>
    <row r="102" spans="1:12" ht="12.75" hidden="1" customHeight="1" x14ac:dyDescent="0.4">
      <c r="A102" s="34"/>
      <c r="B102" s="54" t="s">
        <v>131</v>
      </c>
      <c r="C102" s="50"/>
      <c r="D102" s="45">
        <v>0</v>
      </c>
      <c r="E102" s="45">
        <v>0</v>
      </c>
      <c r="F102" s="50"/>
      <c r="G102" s="45">
        <v>0</v>
      </c>
      <c r="H102" s="50"/>
      <c r="I102" s="45">
        <v>0</v>
      </c>
      <c r="J102" s="50"/>
      <c r="K102" s="45">
        <v>0</v>
      </c>
      <c r="L102" s="34"/>
    </row>
    <row r="103" spans="1:12" ht="12.75" hidden="1" customHeight="1" x14ac:dyDescent="0.4">
      <c r="A103" s="34"/>
      <c r="B103" s="54" t="s">
        <v>133</v>
      </c>
      <c r="C103" s="50"/>
      <c r="D103" s="45">
        <v>0</v>
      </c>
      <c r="E103" s="45">
        <v>0</v>
      </c>
      <c r="F103" s="50"/>
      <c r="G103" s="45">
        <v>0</v>
      </c>
      <c r="H103" s="50"/>
      <c r="I103" s="45">
        <v>0</v>
      </c>
      <c r="J103" s="50"/>
      <c r="K103" s="45">
        <v>0</v>
      </c>
      <c r="L103" s="34"/>
    </row>
    <row r="104" spans="1:12" ht="12.75" hidden="1" customHeight="1" x14ac:dyDescent="0.4">
      <c r="A104" s="34"/>
      <c r="B104" s="54" t="s">
        <v>136</v>
      </c>
      <c r="C104" s="50"/>
      <c r="D104" s="45">
        <v>0</v>
      </c>
      <c r="E104" s="45">
        <v>0</v>
      </c>
      <c r="F104" s="50"/>
      <c r="G104" s="45">
        <v>0</v>
      </c>
      <c r="H104" s="50"/>
      <c r="I104" s="45">
        <v>0</v>
      </c>
      <c r="J104" s="50"/>
      <c r="K104" s="45">
        <v>0</v>
      </c>
      <c r="L104" s="34"/>
    </row>
    <row r="105" spans="1:12" ht="12.75" hidden="1" customHeight="1" x14ac:dyDescent="0.4">
      <c r="A105" s="34"/>
      <c r="B105" s="54" t="s">
        <v>139</v>
      </c>
      <c r="C105" s="50"/>
      <c r="D105" s="45">
        <v>0</v>
      </c>
      <c r="E105" s="45">
        <v>0</v>
      </c>
      <c r="F105" s="50"/>
      <c r="G105" s="45">
        <v>0</v>
      </c>
      <c r="H105" s="50"/>
      <c r="I105" s="45">
        <v>0</v>
      </c>
      <c r="J105" s="50"/>
      <c r="K105" s="45">
        <v>0</v>
      </c>
      <c r="L105" s="34"/>
    </row>
    <row r="106" spans="1:12" ht="12.75" hidden="1" customHeight="1" x14ac:dyDescent="0.4">
      <c r="A106" s="34"/>
      <c r="B106" s="54" t="s">
        <v>141</v>
      </c>
      <c r="C106" s="50"/>
      <c r="D106" s="45">
        <v>0</v>
      </c>
      <c r="E106" s="45">
        <v>0</v>
      </c>
      <c r="F106" s="50"/>
      <c r="G106" s="45">
        <v>0</v>
      </c>
      <c r="H106" s="50"/>
      <c r="I106" s="45">
        <v>0</v>
      </c>
      <c r="J106" s="50"/>
      <c r="K106" s="45">
        <v>0</v>
      </c>
      <c r="L106" s="34"/>
    </row>
    <row r="107" spans="1:12" ht="12.75" hidden="1" customHeight="1" x14ac:dyDescent="0.4">
      <c r="A107" s="34"/>
      <c r="B107" s="54" t="s">
        <v>143</v>
      </c>
      <c r="C107" s="50"/>
      <c r="D107" s="45">
        <v>0</v>
      </c>
      <c r="E107" s="45">
        <v>0</v>
      </c>
      <c r="F107" s="50"/>
      <c r="G107" s="45">
        <v>0</v>
      </c>
      <c r="H107" s="50"/>
      <c r="I107" s="45">
        <v>0</v>
      </c>
      <c r="J107" s="50"/>
      <c r="K107" s="45">
        <v>0</v>
      </c>
      <c r="L107" s="34"/>
    </row>
    <row r="108" spans="1:12" ht="12.75" hidden="1" customHeight="1" x14ac:dyDescent="0.4">
      <c r="A108" s="34"/>
      <c r="B108" s="54" t="s">
        <v>145</v>
      </c>
      <c r="C108" s="50"/>
      <c r="D108" s="45">
        <v>0</v>
      </c>
      <c r="E108" s="45">
        <v>0</v>
      </c>
      <c r="F108" s="50"/>
      <c r="G108" s="45">
        <v>0</v>
      </c>
      <c r="H108" s="50"/>
      <c r="I108" s="45">
        <v>0</v>
      </c>
      <c r="J108" s="50"/>
      <c r="K108" s="45">
        <v>0</v>
      </c>
      <c r="L108" s="34"/>
    </row>
    <row r="109" spans="1:12" ht="12.75" hidden="1" customHeight="1" x14ac:dyDescent="0.4">
      <c r="A109" s="34"/>
      <c r="B109" s="54" t="s">
        <v>147</v>
      </c>
      <c r="C109" s="50"/>
      <c r="D109" s="45">
        <v>0</v>
      </c>
      <c r="E109" s="45">
        <v>0</v>
      </c>
      <c r="F109" s="50"/>
      <c r="G109" s="45">
        <v>0</v>
      </c>
      <c r="H109" s="50"/>
      <c r="I109" s="45">
        <v>0</v>
      </c>
      <c r="J109" s="50"/>
      <c r="K109" s="45">
        <v>0</v>
      </c>
      <c r="L109" s="34"/>
    </row>
    <row r="110" spans="1:12" ht="12.75" hidden="1" customHeight="1" x14ac:dyDescent="0.4">
      <c r="A110" s="34"/>
      <c r="B110" s="54" t="s">
        <v>149</v>
      </c>
      <c r="C110" s="50"/>
      <c r="D110" s="45">
        <v>0</v>
      </c>
      <c r="E110" s="45">
        <v>0</v>
      </c>
      <c r="F110" s="50"/>
      <c r="G110" s="45">
        <v>0</v>
      </c>
      <c r="H110" s="50"/>
      <c r="I110" s="45">
        <v>0</v>
      </c>
      <c r="J110" s="50"/>
      <c r="K110" s="45">
        <v>0</v>
      </c>
      <c r="L110" s="34"/>
    </row>
    <row r="111" spans="1:12" ht="12.75" hidden="1" customHeight="1" x14ac:dyDescent="0.4">
      <c r="A111" s="34"/>
      <c r="B111" s="54" t="s">
        <v>151</v>
      </c>
      <c r="C111" s="50"/>
      <c r="D111" s="45">
        <v>0</v>
      </c>
      <c r="E111" s="45">
        <v>0</v>
      </c>
      <c r="F111" s="50"/>
      <c r="G111" s="45">
        <v>0</v>
      </c>
      <c r="H111" s="50"/>
      <c r="I111" s="45">
        <v>0</v>
      </c>
      <c r="J111" s="50"/>
      <c r="K111" s="45">
        <v>0</v>
      </c>
      <c r="L111" s="34"/>
    </row>
    <row r="112" spans="1:12" ht="12.75" hidden="1" customHeight="1" x14ac:dyDescent="0.4">
      <c r="A112" s="34"/>
      <c r="B112" s="54" t="s">
        <v>179</v>
      </c>
      <c r="C112" s="50"/>
      <c r="D112" s="45">
        <v>0</v>
      </c>
      <c r="E112" s="45">
        <v>0</v>
      </c>
      <c r="F112" s="50"/>
      <c r="G112" s="45">
        <v>0</v>
      </c>
      <c r="H112" s="50"/>
      <c r="I112" s="45">
        <v>0</v>
      </c>
      <c r="J112" s="50"/>
      <c r="K112" s="45">
        <v>0</v>
      </c>
      <c r="L112" s="34"/>
    </row>
    <row r="113" spans="1:12" ht="12.75" hidden="1" customHeight="1" x14ac:dyDescent="0.4">
      <c r="A113" s="34"/>
      <c r="B113" s="54" t="s">
        <v>189</v>
      </c>
      <c r="C113" s="50"/>
      <c r="D113" s="45">
        <v>0</v>
      </c>
      <c r="E113" s="45">
        <v>0</v>
      </c>
      <c r="F113" s="50"/>
      <c r="G113" s="45">
        <v>0</v>
      </c>
      <c r="H113" s="50"/>
      <c r="I113" s="45">
        <v>0</v>
      </c>
      <c r="J113" s="50"/>
      <c r="K113" s="45">
        <v>0</v>
      </c>
      <c r="L113" s="34"/>
    </row>
    <row r="114" spans="1:12" ht="12.75" hidden="1" customHeight="1" x14ac:dyDescent="0.4">
      <c r="A114" s="34"/>
      <c r="B114" s="54" t="s">
        <v>60</v>
      </c>
      <c r="C114" s="50"/>
      <c r="D114" s="45">
        <v>0</v>
      </c>
      <c r="E114" s="45">
        <v>0</v>
      </c>
      <c r="F114" s="50"/>
      <c r="G114" s="45">
        <v>0</v>
      </c>
      <c r="H114" s="50"/>
      <c r="I114" s="45">
        <v>0</v>
      </c>
      <c r="J114" s="50"/>
      <c r="K114" s="45">
        <v>0</v>
      </c>
      <c r="L114" s="34"/>
    </row>
    <row r="115" spans="1:12" ht="12.75" hidden="1" customHeight="1" x14ac:dyDescent="0.4">
      <c r="A115" s="38"/>
      <c r="B115" s="62" t="s">
        <v>202</v>
      </c>
      <c r="C115" s="67"/>
      <c r="D115" s="66">
        <v>0</v>
      </c>
      <c r="E115" s="66">
        <v>0</v>
      </c>
      <c r="F115" s="61" t="e">
        <v>#DIV/0!</v>
      </c>
      <c r="G115" s="66">
        <v>0</v>
      </c>
      <c r="H115" s="61" t="e">
        <v>#DIV/0!</v>
      </c>
      <c r="I115" s="66">
        <v>0</v>
      </c>
      <c r="J115" s="61" t="e">
        <v>#DIV/0!</v>
      </c>
      <c r="K115" s="66">
        <v>0</v>
      </c>
      <c r="L115" s="38"/>
    </row>
    <row r="116" spans="1:12" ht="12.75" hidden="1" customHeight="1" x14ac:dyDescent="0.4">
      <c r="A116" s="34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34"/>
    </row>
    <row r="117" spans="1:12" ht="12.75" customHeight="1" x14ac:dyDescent="0.4">
      <c r="A117" s="34"/>
      <c r="B117" s="59" t="s">
        <v>23</v>
      </c>
      <c r="C117" s="60"/>
      <c r="D117" s="60"/>
      <c r="E117" s="60"/>
      <c r="F117" s="60"/>
      <c r="G117" s="60"/>
      <c r="H117" s="60"/>
      <c r="I117" s="60"/>
      <c r="J117" s="60"/>
      <c r="K117" s="60"/>
      <c r="L117" s="34"/>
    </row>
    <row r="118" spans="1:12" ht="12.75" customHeight="1" x14ac:dyDescent="0.4">
      <c r="A118" s="37"/>
      <c r="B118" s="61" t="s">
        <v>57</v>
      </c>
      <c r="C118" s="61" t="s">
        <v>47</v>
      </c>
      <c r="D118" s="61" t="s">
        <v>52</v>
      </c>
      <c r="E118" s="61" t="s">
        <v>53</v>
      </c>
      <c r="F118" s="61" t="s">
        <v>196</v>
      </c>
      <c r="G118" s="61" t="s">
        <v>203</v>
      </c>
      <c r="H118" s="61" t="s">
        <v>198</v>
      </c>
      <c r="I118" s="61" t="s">
        <v>45</v>
      </c>
      <c r="J118" s="61" t="s">
        <v>200</v>
      </c>
      <c r="K118" s="61" t="s">
        <v>55</v>
      </c>
      <c r="L118" s="37"/>
    </row>
    <row r="119" spans="1:12" ht="12.75" customHeight="1" x14ac:dyDescent="0.4">
      <c r="A119" s="34"/>
      <c r="B119" s="54" t="s">
        <v>116</v>
      </c>
      <c r="C119" s="44">
        <v>200000000</v>
      </c>
      <c r="D119" s="44">
        <v>200000000</v>
      </c>
      <c r="E119" s="44">
        <v>150000000</v>
      </c>
      <c r="F119" s="55">
        <v>0.75</v>
      </c>
      <c r="G119" s="44">
        <v>66464000</v>
      </c>
      <c r="H119" s="55">
        <v>0.44309999999999999</v>
      </c>
      <c r="I119" s="44">
        <v>24488000</v>
      </c>
      <c r="J119" s="55">
        <v>0.1633</v>
      </c>
      <c r="K119" s="44">
        <v>83536000</v>
      </c>
      <c r="L119" s="34"/>
    </row>
    <row r="120" spans="1:12" ht="12.75" customHeight="1" x14ac:dyDescent="0.4">
      <c r="A120" s="34"/>
      <c r="B120" s="54" t="s">
        <v>97</v>
      </c>
      <c r="C120" s="44">
        <v>400000000</v>
      </c>
      <c r="D120" s="44">
        <v>400000000</v>
      </c>
      <c r="E120" s="44">
        <v>300000000</v>
      </c>
      <c r="F120" s="55">
        <v>0.75</v>
      </c>
      <c r="G120" s="45">
        <v>0</v>
      </c>
      <c r="H120" s="55">
        <v>0</v>
      </c>
      <c r="I120" s="45">
        <v>0</v>
      </c>
      <c r="J120" s="55">
        <v>0</v>
      </c>
      <c r="K120" s="44">
        <v>300000000</v>
      </c>
      <c r="L120" s="34"/>
    </row>
    <row r="121" spans="1:12" ht="12.75" customHeight="1" x14ac:dyDescent="0.4">
      <c r="A121" s="34"/>
      <c r="B121" s="54" t="s">
        <v>131</v>
      </c>
      <c r="C121" s="44">
        <v>705000000</v>
      </c>
      <c r="D121" s="44">
        <v>705000000</v>
      </c>
      <c r="E121" s="44">
        <v>528750000</v>
      </c>
      <c r="F121" s="55">
        <v>0.75</v>
      </c>
      <c r="G121" s="44">
        <v>497734500</v>
      </c>
      <c r="H121" s="55">
        <v>0.94130000000000003</v>
      </c>
      <c r="I121" s="45">
        <v>0</v>
      </c>
      <c r="J121" s="55">
        <v>0</v>
      </c>
      <c r="K121" s="44">
        <v>31015500</v>
      </c>
      <c r="L121" s="34"/>
    </row>
    <row r="122" spans="1:12" ht="12.75" customHeight="1" x14ac:dyDescent="0.4">
      <c r="A122" s="34"/>
      <c r="B122" s="54" t="s">
        <v>133</v>
      </c>
      <c r="C122" s="44">
        <v>250000000</v>
      </c>
      <c r="D122" s="44">
        <v>250000000</v>
      </c>
      <c r="E122" s="44">
        <v>187500000</v>
      </c>
      <c r="F122" s="55">
        <v>0.75</v>
      </c>
      <c r="G122" s="45">
        <v>0</v>
      </c>
      <c r="H122" s="55">
        <v>0</v>
      </c>
      <c r="I122" s="45">
        <v>0</v>
      </c>
      <c r="J122" s="55">
        <v>0</v>
      </c>
      <c r="K122" s="44">
        <v>187500000</v>
      </c>
      <c r="L122" s="34"/>
    </row>
    <row r="123" spans="1:12" ht="12.75" customHeight="1" x14ac:dyDescent="0.4">
      <c r="A123" s="34"/>
      <c r="B123" s="54" t="s">
        <v>136</v>
      </c>
      <c r="C123" s="44">
        <v>150000000</v>
      </c>
      <c r="D123" s="44">
        <v>150000000</v>
      </c>
      <c r="E123" s="44">
        <v>112500000</v>
      </c>
      <c r="F123" s="55">
        <v>0.75</v>
      </c>
      <c r="G123" s="44">
        <v>41856000</v>
      </c>
      <c r="H123" s="55">
        <v>0.37209999999999999</v>
      </c>
      <c r="I123" s="44">
        <v>41856000</v>
      </c>
      <c r="J123" s="55">
        <v>0.37209999999999999</v>
      </c>
      <c r="K123" s="44">
        <v>70644000</v>
      </c>
      <c r="L123" s="34"/>
    </row>
    <row r="124" spans="1:12" ht="12.75" customHeight="1" x14ac:dyDescent="0.4">
      <c r="A124" s="34"/>
      <c r="B124" s="54" t="s">
        <v>139</v>
      </c>
      <c r="C124" s="44">
        <v>1040000000</v>
      </c>
      <c r="D124" s="44">
        <v>1040000000</v>
      </c>
      <c r="E124" s="44">
        <v>780000000</v>
      </c>
      <c r="F124" s="55">
        <v>0.75</v>
      </c>
      <c r="G124" s="45">
        <v>0</v>
      </c>
      <c r="H124" s="55">
        <v>0</v>
      </c>
      <c r="I124" s="45">
        <v>0</v>
      </c>
      <c r="J124" s="55">
        <v>0</v>
      </c>
      <c r="K124" s="44">
        <v>780000000</v>
      </c>
      <c r="L124" s="34"/>
    </row>
    <row r="125" spans="1:12" ht="12.75" customHeight="1" x14ac:dyDescent="0.4">
      <c r="A125" s="34"/>
      <c r="B125" s="54" t="s">
        <v>141</v>
      </c>
      <c r="C125" s="44">
        <v>200000000</v>
      </c>
      <c r="D125" s="44">
        <v>200000000</v>
      </c>
      <c r="E125" s="44">
        <v>150000000</v>
      </c>
      <c r="F125" s="55">
        <v>0.75</v>
      </c>
      <c r="G125" s="45">
        <v>0</v>
      </c>
      <c r="H125" s="55">
        <v>0</v>
      </c>
      <c r="I125" s="45">
        <v>0</v>
      </c>
      <c r="J125" s="55">
        <v>0</v>
      </c>
      <c r="K125" s="44">
        <v>150000000</v>
      </c>
      <c r="L125" s="34"/>
    </row>
    <row r="126" spans="1:12" ht="12.75" customHeight="1" x14ac:dyDescent="0.4">
      <c r="A126" s="34"/>
      <c r="B126" s="54" t="s">
        <v>143</v>
      </c>
      <c r="C126" s="44">
        <v>100000000</v>
      </c>
      <c r="D126" s="44">
        <v>100000000</v>
      </c>
      <c r="E126" s="44">
        <v>75000000</v>
      </c>
      <c r="F126" s="55">
        <v>0.75</v>
      </c>
      <c r="G126" s="44">
        <v>2159300</v>
      </c>
      <c r="H126" s="55">
        <v>2.8799999999999999E-2</v>
      </c>
      <c r="I126" s="44">
        <v>2159300</v>
      </c>
      <c r="J126" s="55">
        <v>2.8799999999999999E-2</v>
      </c>
      <c r="K126" s="44">
        <v>72840700</v>
      </c>
      <c r="L126" s="34"/>
    </row>
    <row r="127" spans="1:12" ht="12.75" customHeight="1" x14ac:dyDescent="0.4">
      <c r="A127" s="34"/>
      <c r="B127" s="54" t="s">
        <v>145</v>
      </c>
      <c r="C127" s="44">
        <v>200000000</v>
      </c>
      <c r="D127" s="44">
        <v>200000000</v>
      </c>
      <c r="E127" s="44">
        <v>150000000</v>
      </c>
      <c r="F127" s="55">
        <v>0.75</v>
      </c>
      <c r="G127" s="45">
        <v>0</v>
      </c>
      <c r="H127" s="55">
        <v>0</v>
      </c>
      <c r="I127" s="45">
        <v>0</v>
      </c>
      <c r="J127" s="55">
        <v>0</v>
      </c>
      <c r="K127" s="44">
        <v>150000000</v>
      </c>
      <c r="L127" s="34"/>
    </row>
    <row r="128" spans="1:12" ht="12.75" customHeight="1" x14ac:dyDescent="0.4">
      <c r="A128" s="34"/>
      <c r="B128" s="54" t="s">
        <v>147</v>
      </c>
      <c r="C128" s="44">
        <v>110000000</v>
      </c>
      <c r="D128" s="44">
        <v>110000000</v>
      </c>
      <c r="E128" s="44">
        <v>82500000</v>
      </c>
      <c r="F128" s="55">
        <v>0.75</v>
      </c>
      <c r="G128" s="44">
        <v>11000000</v>
      </c>
      <c r="H128" s="55">
        <v>0.1333</v>
      </c>
      <c r="I128" s="45">
        <v>0</v>
      </c>
      <c r="J128" s="55">
        <v>0</v>
      </c>
      <c r="K128" s="44">
        <v>71500000</v>
      </c>
      <c r="L128" s="34"/>
    </row>
    <row r="129" spans="1:12" ht="12.75" customHeight="1" x14ac:dyDescent="0.4">
      <c r="A129" s="34"/>
      <c r="B129" s="54" t="s">
        <v>149</v>
      </c>
      <c r="C129" s="44">
        <v>250000000</v>
      </c>
      <c r="D129" s="44">
        <v>250000000</v>
      </c>
      <c r="E129" s="44">
        <v>187500000</v>
      </c>
      <c r="F129" s="55">
        <v>0.75</v>
      </c>
      <c r="G129" s="45">
        <v>0</v>
      </c>
      <c r="H129" s="55">
        <v>0</v>
      </c>
      <c r="I129" s="45">
        <v>0</v>
      </c>
      <c r="J129" s="55">
        <v>0</v>
      </c>
      <c r="K129" s="44">
        <v>187500000</v>
      </c>
      <c r="L129" s="34"/>
    </row>
    <row r="130" spans="1:12" ht="12.75" customHeight="1" x14ac:dyDescent="0.4">
      <c r="A130" s="34"/>
      <c r="B130" s="54" t="s">
        <v>151</v>
      </c>
      <c r="C130" s="44">
        <v>60000000</v>
      </c>
      <c r="D130" s="44">
        <v>60000000</v>
      </c>
      <c r="E130" s="44">
        <v>45000000</v>
      </c>
      <c r="F130" s="55">
        <v>0.75</v>
      </c>
      <c r="G130" s="44">
        <v>9000000</v>
      </c>
      <c r="H130" s="55">
        <v>0.2</v>
      </c>
      <c r="I130" s="45">
        <v>0</v>
      </c>
      <c r="J130" s="55">
        <v>0</v>
      </c>
      <c r="K130" s="44">
        <v>36000000</v>
      </c>
      <c r="L130" s="34"/>
    </row>
    <row r="131" spans="1:12" ht="12.75" customHeight="1" x14ac:dyDescent="0.4">
      <c r="A131" s="34"/>
      <c r="B131" s="54" t="s">
        <v>179</v>
      </c>
      <c r="C131" s="44">
        <v>100000000</v>
      </c>
      <c r="D131" s="44">
        <v>100000000</v>
      </c>
      <c r="E131" s="44">
        <v>75000000</v>
      </c>
      <c r="F131" s="55">
        <v>0.75</v>
      </c>
      <c r="G131" s="44">
        <v>12720000</v>
      </c>
      <c r="H131" s="55">
        <v>0.1696</v>
      </c>
      <c r="I131" s="44">
        <v>12720000</v>
      </c>
      <c r="J131" s="55">
        <v>0.1696</v>
      </c>
      <c r="K131" s="44">
        <v>62280000</v>
      </c>
      <c r="L131" s="34"/>
    </row>
    <row r="132" spans="1:12" ht="12.75" customHeight="1" x14ac:dyDescent="0.4">
      <c r="A132" s="34"/>
      <c r="B132" s="54" t="s">
        <v>189</v>
      </c>
      <c r="C132" s="44">
        <v>645000000</v>
      </c>
      <c r="D132" s="44">
        <v>645000000</v>
      </c>
      <c r="E132" s="44">
        <v>483750000</v>
      </c>
      <c r="F132" s="55">
        <v>0.75</v>
      </c>
      <c r="G132" s="44">
        <v>183170000</v>
      </c>
      <c r="H132" s="55">
        <v>0.37859999999999999</v>
      </c>
      <c r="I132" s="44">
        <v>83170000</v>
      </c>
      <c r="J132" s="55">
        <v>0.1719</v>
      </c>
      <c r="K132" s="44">
        <v>300580000</v>
      </c>
      <c r="L132" s="34"/>
    </row>
    <row r="133" spans="1:12" ht="12.75" customHeight="1" x14ac:dyDescent="0.4">
      <c r="A133" s="34"/>
      <c r="B133" s="54" t="s">
        <v>60</v>
      </c>
      <c r="C133" s="44">
        <v>1600000000</v>
      </c>
      <c r="D133" s="44">
        <v>1600000000</v>
      </c>
      <c r="E133" s="44">
        <v>1200000000</v>
      </c>
      <c r="F133" s="55">
        <v>0.75</v>
      </c>
      <c r="G133" s="44">
        <v>42457000</v>
      </c>
      <c r="H133" s="55">
        <v>3.5400000000000001E-2</v>
      </c>
      <c r="I133" s="45">
        <v>0</v>
      </c>
      <c r="J133" s="55">
        <v>0</v>
      </c>
      <c r="K133" s="44">
        <v>1157543000</v>
      </c>
      <c r="L133" s="34"/>
    </row>
    <row r="134" spans="1:12" ht="12.75" customHeight="1" x14ac:dyDescent="0.4">
      <c r="A134" s="38"/>
      <c r="B134" s="62" t="s">
        <v>202</v>
      </c>
      <c r="C134" s="63">
        <v>6010000000</v>
      </c>
      <c r="D134" s="63">
        <v>6010000000</v>
      </c>
      <c r="E134" s="63">
        <v>4507500000</v>
      </c>
      <c r="F134" s="64">
        <v>0.75</v>
      </c>
      <c r="G134" s="63">
        <v>866560800</v>
      </c>
      <c r="H134" s="64">
        <v>0.19220000000000001</v>
      </c>
      <c r="I134" s="63">
        <v>164393300</v>
      </c>
      <c r="J134" s="64">
        <v>3.6499999999999998E-2</v>
      </c>
      <c r="K134" s="63">
        <v>3640939200</v>
      </c>
      <c r="L134" s="38"/>
    </row>
    <row r="135" spans="1:12" ht="12.75" customHeight="1" x14ac:dyDescent="0.4">
      <c r="A135" s="34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34"/>
    </row>
    <row r="136" spans="1:12" ht="12.75" customHeight="1" x14ac:dyDescent="0.4">
      <c r="A136" s="34"/>
      <c r="B136" s="65" t="s">
        <v>22</v>
      </c>
      <c r="C136" s="60"/>
      <c r="D136" s="60"/>
      <c r="E136" s="60"/>
      <c r="F136" s="60"/>
      <c r="G136" s="60"/>
      <c r="H136" s="60"/>
      <c r="I136" s="60"/>
      <c r="J136" s="60"/>
      <c r="K136" s="60"/>
      <c r="L136" s="34"/>
    </row>
    <row r="137" spans="1:12" ht="12.75" customHeight="1" x14ac:dyDescent="0.4">
      <c r="A137" s="37"/>
      <c r="B137" s="61" t="s">
        <v>57</v>
      </c>
      <c r="C137" s="61" t="s">
        <v>47</v>
      </c>
      <c r="D137" s="61" t="s">
        <v>52</v>
      </c>
      <c r="E137" s="61" t="s">
        <v>53</v>
      </c>
      <c r="F137" s="61" t="s">
        <v>196</v>
      </c>
      <c r="G137" s="61" t="s">
        <v>203</v>
      </c>
      <c r="H137" s="61" t="s">
        <v>198</v>
      </c>
      <c r="I137" s="61" t="s">
        <v>45</v>
      </c>
      <c r="J137" s="61" t="s">
        <v>200</v>
      </c>
      <c r="K137" s="61" t="s">
        <v>55</v>
      </c>
      <c r="L137" s="37"/>
    </row>
    <row r="138" spans="1:12" ht="12.75" customHeight="1" x14ac:dyDescent="0.4">
      <c r="A138" s="34"/>
      <c r="B138" s="54" t="s">
        <v>116</v>
      </c>
      <c r="C138" s="45">
        <v>0</v>
      </c>
      <c r="D138" s="45">
        <v>0</v>
      </c>
      <c r="E138" s="45">
        <v>0</v>
      </c>
      <c r="F138" s="50"/>
      <c r="G138" s="45">
        <v>0</v>
      </c>
      <c r="H138" s="50"/>
      <c r="I138" s="45">
        <v>0</v>
      </c>
      <c r="J138" s="50"/>
      <c r="K138" s="45">
        <v>0</v>
      </c>
      <c r="L138" s="34"/>
    </row>
    <row r="139" spans="1:12" ht="12.75" customHeight="1" x14ac:dyDescent="0.4">
      <c r="A139" s="34"/>
      <c r="B139" s="54" t="s">
        <v>97</v>
      </c>
      <c r="C139" s="44">
        <v>180000000</v>
      </c>
      <c r="D139" s="44">
        <v>180000150</v>
      </c>
      <c r="E139" s="44">
        <v>180000150</v>
      </c>
      <c r="F139" s="55">
        <v>1</v>
      </c>
      <c r="G139" s="44">
        <v>28710000</v>
      </c>
      <c r="H139" s="55">
        <v>0.1595</v>
      </c>
      <c r="I139" s="45">
        <v>0</v>
      </c>
      <c r="J139" s="55">
        <v>0</v>
      </c>
      <c r="K139" s="44">
        <v>151290150</v>
      </c>
      <c r="L139" s="34"/>
    </row>
    <row r="140" spans="1:12" ht="12.75" customHeight="1" x14ac:dyDescent="0.4">
      <c r="A140" s="34"/>
      <c r="B140" s="54" t="s">
        <v>131</v>
      </c>
      <c r="C140" s="44">
        <v>118875000</v>
      </c>
      <c r="D140" s="44">
        <v>118875000</v>
      </c>
      <c r="E140" s="44">
        <v>118875000</v>
      </c>
      <c r="F140" s="55">
        <v>1</v>
      </c>
      <c r="G140" s="44">
        <v>15775000</v>
      </c>
      <c r="H140" s="55">
        <v>0.13270000000000001</v>
      </c>
      <c r="I140" s="44">
        <v>7520000</v>
      </c>
      <c r="J140" s="55">
        <v>6.3299999999999995E-2</v>
      </c>
      <c r="K140" s="44">
        <v>103100000</v>
      </c>
      <c r="L140" s="34"/>
    </row>
    <row r="141" spans="1:12" ht="12.75" customHeight="1" x14ac:dyDescent="0.4">
      <c r="A141" s="34"/>
      <c r="B141" s="54" t="s">
        <v>133</v>
      </c>
      <c r="C141" s="44">
        <v>90090000</v>
      </c>
      <c r="D141" s="44">
        <v>90090000</v>
      </c>
      <c r="E141" s="44">
        <v>90090000</v>
      </c>
      <c r="F141" s="55">
        <v>1</v>
      </c>
      <c r="G141" s="44">
        <v>11205000</v>
      </c>
      <c r="H141" s="55">
        <v>0.1244</v>
      </c>
      <c r="I141" s="45">
        <v>0</v>
      </c>
      <c r="J141" s="55">
        <v>0</v>
      </c>
      <c r="K141" s="44">
        <v>78885000</v>
      </c>
      <c r="L141" s="34"/>
    </row>
    <row r="142" spans="1:12" ht="12.75" customHeight="1" x14ac:dyDescent="0.4">
      <c r="A142" s="34"/>
      <c r="B142" s="54" t="s">
        <v>136</v>
      </c>
      <c r="C142" s="44">
        <v>320100000</v>
      </c>
      <c r="D142" s="44">
        <v>320100000</v>
      </c>
      <c r="E142" s="44">
        <v>320100000</v>
      </c>
      <c r="F142" s="55">
        <v>1</v>
      </c>
      <c r="G142" s="44">
        <v>71775000</v>
      </c>
      <c r="H142" s="55">
        <v>0.22420000000000001</v>
      </c>
      <c r="I142" s="44">
        <v>71775000</v>
      </c>
      <c r="J142" s="55">
        <v>0.22420000000000001</v>
      </c>
      <c r="K142" s="44">
        <v>248325000</v>
      </c>
      <c r="L142" s="34"/>
    </row>
    <row r="143" spans="1:12" ht="12.75" customHeight="1" x14ac:dyDescent="0.4">
      <c r="A143" s="34"/>
      <c r="B143" s="54" t="s">
        <v>139</v>
      </c>
      <c r="C143" s="44">
        <v>250000000</v>
      </c>
      <c r="D143" s="44">
        <v>250000000</v>
      </c>
      <c r="E143" s="44">
        <v>250000000</v>
      </c>
      <c r="F143" s="55">
        <v>1</v>
      </c>
      <c r="G143" s="44">
        <v>32848750</v>
      </c>
      <c r="H143" s="55">
        <v>0.13139999999999999</v>
      </c>
      <c r="I143" s="44">
        <v>32848750</v>
      </c>
      <c r="J143" s="55">
        <v>0.13139999999999999</v>
      </c>
      <c r="K143" s="44">
        <v>217151250</v>
      </c>
      <c r="L143" s="34"/>
    </row>
    <row r="144" spans="1:12" ht="12.75" customHeight="1" x14ac:dyDescent="0.4">
      <c r="A144" s="34"/>
      <c r="B144" s="54" t="s">
        <v>141</v>
      </c>
      <c r="C144" s="44">
        <v>346378000</v>
      </c>
      <c r="D144" s="44">
        <v>346377600</v>
      </c>
      <c r="E144" s="44">
        <v>346377600</v>
      </c>
      <c r="F144" s="55">
        <v>1</v>
      </c>
      <c r="G144" s="44">
        <v>63260000</v>
      </c>
      <c r="H144" s="55">
        <v>0.18260000000000001</v>
      </c>
      <c r="I144" s="44">
        <v>62100000</v>
      </c>
      <c r="J144" s="55">
        <v>0.17929999999999999</v>
      </c>
      <c r="K144" s="44">
        <v>283117600</v>
      </c>
      <c r="L144" s="34"/>
    </row>
    <row r="145" spans="1:12" ht="12.75" customHeight="1" x14ac:dyDescent="0.4">
      <c r="A145" s="34"/>
      <c r="B145" s="54" t="s">
        <v>143</v>
      </c>
      <c r="C145" s="44">
        <v>111310000</v>
      </c>
      <c r="D145" s="44">
        <v>111310000</v>
      </c>
      <c r="E145" s="44">
        <v>111310000</v>
      </c>
      <c r="F145" s="55">
        <v>1</v>
      </c>
      <c r="G145" s="44">
        <v>21262500</v>
      </c>
      <c r="H145" s="55">
        <v>0.191</v>
      </c>
      <c r="I145" s="44">
        <v>21262500</v>
      </c>
      <c r="J145" s="55">
        <v>0.191</v>
      </c>
      <c r="K145" s="44">
        <v>90047500</v>
      </c>
      <c r="L145" s="34"/>
    </row>
    <row r="146" spans="1:12" ht="12.75" customHeight="1" x14ac:dyDescent="0.4">
      <c r="A146" s="34"/>
      <c r="B146" s="54" t="s">
        <v>145</v>
      </c>
      <c r="C146" s="44">
        <v>141550000</v>
      </c>
      <c r="D146" s="44">
        <v>141550000</v>
      </c>
      <c r="E146" s="44">
        <v>141550000</v>
      </c>
      <c r="F146" s="55">
        <v>1</v>
      </c>
      <c r="G146" s="44">
        <v>28052000</v>
      </c>
      <c r="H146" s="55">
        <v>0.19819999999999999</v>
      </c>
      <c r="I146" s="44">
        <v>28052000</v>
      </c>
      <c r="J146" s="55">
        <v>0.19819999999999999</v>
      </c>
      <c r="K146" s="44">
        <v>113498000</v>
      </c>
      <c r="L146" s="34"/>
    </row>
    <row r="147" spans="1:12" ht="12.75" customHeight="1" x14ac:dyDescent="0.4">
      <c r="A147" s="34"/>
      <c r="B147" s="54" t="s">
        <v>147</v>
      </c>
      <c r="C147" s="44">
        <v>99980000</v>
      </c>
      <c r="D147" s="44">
        <v>99980000</v>
      </c>
      <c r="E147" s="44">
        <v>99980000</v>
      </c>
      <c r="F147" s="55">
        <v>1</v>
      </c>
      <c r="G147" s="44">
        <v>19823200</v>
      </c>
      <c r="H147" s="55">
        <v>0.1983</v>
      </c>
      <c r="I147" s="45">
        <v>0</v>
      </c>
      <c r="J147" s="55">
        <v>0</v>
      </c>
      <c r="K147" s="44">
        <v>80156800</v>
      </c>
      <c r="L147" s="34"/>
    </row>
    <row r="148" spans="1:12" ht="12.75" customHeight="1" x14ac:dyDescent="0.4">
      <c r="A148" s="34"/>
      <c r="B148" s="54" t="s">
        <v>149</v>
      </c>
      <c r="C148" s="44">
        <v>316800000</v>
      </c>
      <c r="D148" s="44">
        <v>316800000</v>
      </c>
      <c r="E148" s="44">
        <v>316800000</v>
      </c>
      <c r="F148" s="55">
        <v>1</v>
      </c>
      <c r="G148" s="44">
        <v>52208150</v>
      </c>
      <c r="H148" s="55">
        <v>0.1648</v>
      </c>
      <c r="I148" s="45">
        <v>0</v>
      </c>
      <c r="J148" s="55">
        <v>0</v>
      </c>
      <c r="K148" s="44">
        <v>264591850</v>
      </c>
      <c r="L148" s="34"/>
    </row>
    <row r="149" spans="1:12" ht="12.75" customHeight="1" x14ac:dyDescent="0.4">
      <c r="A149" s="34"/>
      <c r="B149" s="54" t="s">
        <v>151</v>
      </c>
      <c r="C149" s="44">
        <v>45150000</v>
      </c>
      <c r="D149" s="44">
        <v>45150000</v>
      </c>
      <c r="E149" s="44">
        <v>45150000</v>
      </c>
      <c r="F149" s="55">
        <v>1</v>
      </c>
      <c r="G149" s="44">
        <v>12542600</v>
      </c>
      <c r="H149" s="55">
        <v>0.27779999999999999</v>
      </c>
      <c r="I149" s="44">
        <v>6119400</v>
      </c>
      <c r="J149" s="55">
        <v>0.13550000000000001</v>
      </c>
      <c r="K149" s="44">
        <v>32607400</v>
      </c>
      <c r="L149" s="34"/>
    </row>
    <row r="150" spans="1:12" ht="12.75" customHeight="1" x14ac:dyDescent="0.4">
      <c r="A150" s="34"/>
      <c r="B150" s="54" t="s">
        <v>179</v>
      </c>
      <c r="C150" s="44">
        <v>1016150000</v>
      </c>
      <c r="D150" s="44">
        <v>1016150000</v>
      </c>
      <c r="E150" s="44">
        <v>1016150000</v>
      </c>
      <c r="F150" s="55">
        <v>1</v>
      </c>
      <c r="G150" s="44">
        <v>163165000</v>
      </c>
      <c r="H150" s="55">
        <v>0.16059999999999999</v>
      </c>
      <c r="I150" s="44">
        <v>128340000</v>
      </c>
      <c r="J150" s="55">
        <v>0.1263</v>
      </c>
      <c r="K150" s="44">
        <v>852985000</v>
      </c>
      <c r="L150" s="34"/>
    </row>
    <row r="151" spans="1:12" ht="12.75" customHeight="1" x14ac:dyDescent="0.4">
      <c r="A151" s="34"/>
      <c r="B151" s="54" t="s">
        <v>189</v>
      </c>
      <c r="C151" s="44">
        <v>285972000</v>
      </c>
      <c r="D151" s="44">
        <v>285978663</v>
      </c>
      <c r="E151" s="44">
        <v>285978663</v>
      </c>
      <c r="F151" s="55">
        <v>1</v>
      </c>
      <c r="G151" s="44">
        <v>71585000</v>
      </c>
      <c r="H151" s="55">
        <v>0.25030000000000002</v>
      </c>
      <c r="I151" s="44">
        <v>32200000</v>
      </c>
      <c r="J151" s="55">
        <v>0.11260000000000001</v>
      </c>
      <c r="K151" s="44">
        <v>214393663</v>
      </c>
      <c r="L151" s="34"/>
    </row>
    <row r="152" spans="1:12" ht="12.75" customHeight="1" x14ac:dyDescent="0.4">
      <c r="A152" s="34"/>
      <c r="B152" s="54" t="s">
        <v>60</v>
      </c>
      <c r="C152" s="45">
        <v>0</v>
      </c>
      <c r="D152" s="45">
        <v>0</v>
      </c>
      <c r="E152" s="45">
        <v>0</v>
      </c>
      <c r="F152" s="50"/>
      <c r="G152" s="45">
        <v>0</v>
      </c>
      <c r="H152" s="50"/>
      <c r="I152" s="45">
        <v>0</v>
      </c>
      <c r="J152" s="50"/>
      <c r="K152" s="45">
        <v>0</v>
      </c>
      <c r="L152" s="34"/>
    </row>
    <row r="153" spans="1:12" ht="12.75" customHeight="1" x14ac:dyDescent="0.4">
      <c r="A153" s="38"/>
      <c r="B153" s="62" t="s">
        <v>202</v>
      </c>
      <c r="C153" s="63">
        <v>3322355000</v>
      </c>
      <c r="D153" s="63">
        <v>3322361413</v>
      </c>
      <c r="E153" s="63">
        <v>3322361413</v>
      </c>
      <c r="F153" s="64">
        <v>1</v>
      </c>
      <c r="G153" s="63">
        <v>592212200</v>
      </c>
      <c r="H153" s="64">
        <v>0.17829999999999999</v>
      </c>
      <c r="I153" s="63">
        <v>390217650</v>
      </c>
      <c r="J153" s="64">
        <v>0.11749999999999999</v>
      </c>
      <c r="K153" s="63">
        <v>2730149213</v>
      </c>
      <c r="L153" s="38"/>
    </row>
    <row r="154" spans="1:12" ht="12.75" customHeight="1" x14ac:dyDescent="0.4">
      <c r="A154" s="34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34"/>
    </row>
    <row r="155" spans="1:12" ht="12.75" customHeight="1" x14ac:dyDescent="0.4">
      <c r="A155" s="34"/>
      <c r="B155" s="65" t="s">
        <v>26</v>
      </c>
      <c r="C155" s="60"/>
      <c r="D155" s="60"/>
      <c r="E155" s="60"/>
      <c r="F155" s="60"/>
      <c r="G155" s="60"/>
      <c r="H155" s="60"/>
      <c r="I155" s="60"/>
      <c r="J155" s="60"/>
      <c r="K155" s="60"/>
      <c r="L155" s="34"/>
    </row>
    <row r="156" spans="1:12" ht="12.75" customHeight="1" x14ac:dyDescent="0.4">
      <c r="A156" s="37"/>
      <c r="B156" s="61" t="s">
        <v>57</v>
      </c>
      <c r="C156" s="61" t="s">
        <v>47</v>
      </c>
      <c r="D156" s="61" t="s">
        <v>52</v>
      </c>
      <c r="E156" s="61" t="s">
        <v>53</v>
      </c>
      <c r="F156" s="61" t="s">
        <v>196</v>
      </c>
      <c r="G156" s="61" t="s">
        <v>203</v>
      </c>
      <c r="H156" s="61" t="s">
        <v>198</v>
      </c>
      <c r="I156" s="61" t="s">
        <v>45</v>
      </c>
      <c r="J156" s="61" t="s">
        <v>200</v>
      </c>
      <c r="K156" s="61" t="s">
        <v>55</v>
      </c>
      <c r="L156" s="37"/>
    </row>
    <row r="157" spans="1:12" ht="12.75" customHeight="1" x14ac:dyDescent="0.4">
      <c r="A157" s="34"/>
      <c r="B157" s="54" t="s">
        <v>116</v>
      </c>
      <c r="C157" s="45">
        <v>0</v>
      </c>
      <c r="D157" s="45">
        <v>0</v>
      </c>
      <c r="E157" s="45">
        <v>0</v>
      </c>
      <c r="F157" s="50"/>
      <c r="G157" s="45">
        <v>0</v>
      </c>
      <c r="H157" s="50"/>
      <c r="I157" s="45">
        <v>0</v>
      </c>
      <c r="J157" s="50"/>
      <c r="K157" s="45">
        <v>0</v>
      </c>
      <c r="L157" s="34"/>
    </row>
    <row r="158" spans="1:12" ht="12.75" customHeight="1" x14ac:dyDescent="0.4">
      <c r="A158" s="34"/>
      <c r="B158" s="54" t="s">
        <v>97</v>
      </c>
      <c r="C158" s="44">
        <v>3500000000</v>
      </c>
      <c r="D158" s="44">
        <v>3500000000</v>
      </c>
      <c r="E158" s="44">
        <v>3500000000</v>
      </c>
      <c r="F158" s="55">
        <v>1</v>
      </c>
      <c r="G158" s="44">
        <v>675269947</v>
      </c>
      <c r="H158" s="55">
        <v>0.19289999999999999</v>
      </c>
      <c r="I158" s="44">
        <v>675269947</v>
      </c>
      <c r="J158" s="55">
        <v>0.19289999999999999</v>
      </c>
      <c r="K158" s="44">
        <v>2824730053</v>
      </c>
      <c r="L158" s="34"/>
    </row>
    <row r="159" spans="1:12" ht="12.75" customHeight="1" x14ac:dyDescent="0.4">
      <c r="A159" s="34"/>
      <c r="B159" s="54" t="s">
        <v>131</v>
      </c>
      <c r="C159" s="44">
        <v>2260000000</v>
      </c>
      <c r="D159" s="44">
        <v>2260000000</v>
      </c>
      <c r="E159" s="44">
        <v>2260000000</v>
      </c>
      <c r="F159" s="55">
        <v>1</v>
      </c>
      <c r="G159" s="44">
        <v>474175238</v>
      </c>
      <c r="H159" s="55">
        <v>0.20979999999999999</v>
      </c>
      <c r="I159" s="44">
        <v>474175238</v>
      </c>
      <c r="J159" s="55">
        <v>0.20979999999999999</v>
      </c>
      <c r="K159" s="44">
        <v>1785824762</v>
      </c>
      <c r="L159" s="34"/>
    </row>
    <row r="160" spans="1:12" ht="12.75" customHeight="1" x14ac:dyDescent="0.4">
      <c r="A160" s="34"/>
      <c r="B160" s="54" t="s">
        <v>133</v>
      </c>
      <c r="C160" s="44">
        <v>2501300000</v>
      </c>
      <c r="D160" s="44">
        <v>2501300000</v>
      </c>
      <c r="E160" s="44">
        <v>2501300000</v>
      </c>
      <c r="F160" s="55">
        <v>1</v>
      </c>
      <c r="G160" s="44">
        <v>493648655</v>
      </c>
      <c r="H160" s="55">
        <v>0.19739999999999999</v>
      </c>
      <c r="I160" s="44">
        <v>493648655</v>
      </c>
      <c r="J160" s="55">
        <v>0.19739999999999999</v>
      </c>
      <c r="K160" s="44">
        <v>2007651345</v>
      </c>
      <c r="L160" s="34"/>
    </row>
    <row r="161" spans="1:12" ht="12.75" customHeight="1" x14ac:dyDescent="0.4">
      <c r="A161" s="34"/>
      <c r="B161" s="54" t="s">
        <v>136</v>
      </c>
      <c r="C161" s="44">
        <v>2570000000</v>
      </c>
      <c r="D161" s="44">
        <v>2570000000</v>
      </c>
      <c r="E161" s="44">
        <v>2570000000</v>
      </c>
      <c r="F161" s="55">
        <v>1</v>
      </c>
      <c r="G161" s="44">
        <v>569677542</v>
      </c>
      <c r="H161" s="55">
        <v>0.22170000000000001</v>
      </c>
      <c r="I161" s="44">
        <v>569677542</v>
      </c>
      <c r="J161" s="55">
        <v>0.22170000000000001</v>
      </c>
      <c r="K161" s="44">
        <v>2000322458</v>
      </c>
      <c r="L161" s="34"/>
    </row>
    <row r="162" spans="1:12" ht="12.75" customHeight="1" x14ac:dyDescent="0.4">
      <c r="A162" s="34"/>
      <c r="B162" s="54" t="s">
        <v>139</v>
      </c>
      <c r="C162" s="44">
        <v>3063576000</v>
      </c>
      <c r="D162" s="44">
        <v>3063576000</v>
      </c>
      <c r="E162" s="44">
        <v>3063576000</v>
      </c>
      <c r="F162" s="55">
        <v>1</v>
      </c>
      <c r="G162" s="44">
        <v>573387303</v>
      </c>
      <c r="H162" s="55">
        <v>0.18720000000000001</v>
      </c>
      <c r="I162" s="44">
        <v>573387303</v>
      </c>
      <c r="J162" s="55">
        <v>0.18720000000000001</v>
      </c>
      <c r="K162" s="44">
        <v>2490188697</v>
      </c>
      <c r="L162" s="34"/>
    </row>
    <row r="163" spans="1:12" ht="12.75" customHeight="1" x14ac:dyDescent="0.4">
      <c r="A163" s="34"/>
      <c r="B163" s="54" t="s">
        <v>141</v>
      </c>
      <c r="C163" s="44">
        <v>2185360000</v>
      </c>
      <c r="D163" s="44">
        <v>1952349292</v>
      </c>
      <c r="E163" s="44">
        <v>1952349292</v>
      </c>
      <c r="F163" s="55">
        <v>0.89339999999999997</v>
      </c>
      <c r="G163" s="44">
        <v>465736545</v>
      </c>
      <c r="H163" s="55">
        <v>0.23860000000000001</v>
      </c>
      <c r="I163" s="44">
        <v>465736545</v>
      </c>
      <c r="J163" s="55">
        <v>0.23860000000000001</v>
      </c>
      <c r="K163" s="44">
        <v>1486612747</v>
      </c>
      <c r="L163" s="34"/>
    </row>
    <row r="164" spans="1:12" ht="12.75" customHeight="1" x14ac:dyDescent="0.4">
      <c r="A164" s="34"/>
      <c r="B164" s="54" t="s">
        <v>143</v>
      </c>
      <c r="C164" s="44">
        <v>2310000000</v>
      </c>
      <c r="D164" s="44">
        <v>2310000000</v>
      </c>
      <c r="E164" s="44">
        <v>2310000000</v>
      </c>
      <c r="F164" s="55">
        <v>1</v>
      </c>
      <c r="G164" s="44">
        <v>407799162</v>
      </c>
      <c r="H164" s="55">
        <v>0.17649999999999999</v>
      </c>
      <c r="I164" s="44">
        <v>407799162</v>
      </c>
      <c r="J164" s="55">
        <v>0.17649999999999999</v>
      </c>
      <c r="K164" s="44">
        <v>1902200838</v>
      </c>
      <c r="L164" s="34"/>
    </row>
    <row r="165" spans="1:12" ht="12.75" customHeight="1" x14ac:dyDescent="0.4">
      <c r="A165" s="34"/>
      <c r="B165" s="54" t="s">
        <v>145</v>
      </c>
      <c r="C165" s="44">
        <v>2911760000</v>
      </c>
      <c r="D165" s="44">
        <v>2911760000</v>
      </c>
      <c r="E165" s="44">
        <v>2911760000</v>
      </c>
      <c r="F165" s="55">
        <v>1</v>
      </c>
      <c r="G165" s="44">
        <v>600767392</v>
      </c>
      <c r="H165" s="55">
        <v>0.20630000000000001</v>
      </c>
      <c r="I165" s="44">
        <v>600310622</v>
      </c>
      <c r="J165" s="55">
        <v>0.20619999999999999</v>
      </c>
      <c r="K165" s="44">
        <v>2310992608</v>
      </c>
      <c r="L165" s="34"/>
    </row>
    <row r="166" spans="1:12" ht="12.75" customHeight="1" x14ac:dyDescent="0.4">
      <c r="A166" s="34"/>
      <c r="B166" s="54" t="s">
        <v>147</v>
      </c>
      <c r="C166" s="44">
        <v>411080000</v>
      </c>
      <c r="D166" s="44">
        <v>411080000</v>
      </c>
      <c r="E166" s="44">
        <v>411080000</v>
      </c>
      <c r="F166" s="55">
        <v>1</v>
      </c>
      <c r="G166" s="44">
        <v>142418828</v>
      </c>
      <c r="H166" s="55">
        <v>0.34649999999999997</v>
      </c>
      <c r="I166" s="44">
        <v>100820038</v>
      </c>
      <c r="J166" s="55">
        <v>0.24529999999999999</v>
      </c>
      <c r="K166" s="44">
        <v>268661172</v>
      </c>
      <c r="L166" s="34"/>
    </row>
    <row r="167" spans="1:12" ht="12.75" customHeight="1" x14ac:dyDescent="0.4">
      <c r="A167" s="34"/>
      <c r="B167" s="54" t="s">
        <v>149</v>
      </c>
      <c r="C167" s="44">
        <v>2230000000</v>
      </c>
      <c r="D167" s="44">
        <v>2230000000</v>
      </c>
      <c r="E167" s="44">
        <v>2230000000</v>
      </c>
      <c r="F167" s="55">
        <v>1</v>
      </c>
      <c r="G167" s="44">
        <v>348979818</v>
      </c>
      <c r="H167" s="55">
        <v>0.1565</v>
      </c>
      <c r="I167" s="44">
        <v>329979818</v>
      </c>
      <c r="J167" s="55">
        <v>0.14799999999999999</v>
      </c>
      <c r="K167" s="44">
        <v>1881020182</v>
      </c>
      <c r="L167" s="34"/>
    </row>
    <row r="168" spans="1:12" ht="12.75" customHeight="1" x14ac:dyDescent="0.4">
      <c r="A168" s="34"/>
      <c r="B168" s="54" t="s">
        <v>151</v>
      </c>
      <c r="C168" s="45">
        <v>0</v>
      </c>
      <c r="D168" s="45">
        <v>0</v>
      </c>
      <c r="E168" s="45">
        <v>0</v>
      </c>
      <c r="F168" s="50"/>
      <c r="G168" s="45">
        <v>0</v>
      </c>
      <c r="H168" s="50"/>
      <c r="I168" s="45">
        <v>0</v>
      </c>
      <c r="J168" s="50"/>
      <c r="K168" s="45">
        <v>0</v>
      </c>
      <c r="L168" s="34"/>
    </row>
    <row r="169" spans="1:12" ht="12.75" customHeight="1" x14ac:dyDescent="0.4">
      <c r="A169" s="34"/>
      <c r="B169" s="54" t="s">
        <v>179</v>
      </c>
      <c r="C169" s="44">
        <v>2560000000</v>
      </c>
      <c r="D169" s="44">
        <v>2560000000</v>
      </c>
      <c r="E169" s="44">
        <v>2560000000</v>
      </c>
      <c r="F169" s="55">
        <v>1</v>
      </c>
      <c r="G169" s="44">
        <v>629432103</v>
      </c>
      <c r="H169" s="55">
        <v>0.24590000000000001</v>
      </c>
      <c r="I169" s="44">
        <v>608048070</v>
      </c>
      <c r="J169" s="55">
        <v>0.23749999999999999</v>
      </c>
      <c r="K169" s="44">
        <v>1930567897</v>
      </c>
      <c r="L169" s="34"/>
    </row>
    <row r="170" spans="1:12" ht="12.75" customHeight="1" x14ac:dyDescent="0.4">
      <c r="A170" s="34"/>
      <c r="B170" s="54" t="s">
        <v>189</v>
      </c>
      <c r="C170" s="44">
        <v>1539315000</v>
      </c>
      <c r="D170" s="44">
        <v>1539315000</v>
      </c>
      <c r="E170" s="44">
        <v>1539315000</v>
      </c>
      <c r="F170" s="55">
        <v>1</v>
      </c>
      <c r="G170" s="44">
        <v>337750530</v>
      </c>
      <c r="H170" s="55">
        <v>0.21940000000000001</v>
      </c>
      <c r="I170" s="44">
        <v>331100876</v>
      </c>
      <c r="J170" s="55">
        <v>0.21510000000000001</v>
      </c>
      <c r="K170" s="44">
        <v>1201564470</v>
      </c>
      <c r="L170" s="34"/>
    </row>
    <row r="171" spans="1:12" ht="12.75" customHeight="1" x14ac:dyDescent="0.4">
      <c r="A171" s="34"/>
      <c r="B171" s="54" t="s">
        <v>60</v>
      </c>
      <c r="C171" s="44">
        <v>4500000000</v>
      </c>
      <c r="D171" s="44">
        <v>4500000000</v>
      </c>
      <c r="E171" s="44">
        <v>4500000000</v>
      </c>
      <c r="F171" s="55">
        <v>1</v>
      </c>
      <c r="G171" s="44">
        <v>967917605</v>
      </c>
      <c r="H171" s="55">
        <v>0.21510000000000001</v>
      </c>
      <c r="I171" s="44">
        <v>967917605</v>
      </c>
      <c r="J171" s="55">
        <v>0.21510000000000001</v>
      </c>
      <c r="K171" s="44">
        <v>3532082395</v>
      </c>
      <c r="L171" s="34"/>
    </row>
    <row r="172" spans="1:12" ht="12.75" customHeight="1" x14ac:dyDescent="0.4">
      <c r="A172" s="38"/>
      <c r="B172" s="62" t="s">
        <v>202</v>
      </c>
      <c r="C172" s="63">
        <v>32542391000</v>
      </c>
      <c r="D172" s="63">
        <v>32309380292</v>
      </c>
      <c r="E172" s="63">
        <v>32309380292</v>
      </c>
      <c r="F172" s="64">
        <v>1</v>
      </c>
      <c r="G172" s="63">
        <v>6686960668</v>
      </c>
      <c r="H172" s="64">
        <v>0.20699999999999999</v>
      </c>
      <c r="I172" s="63">
        <v>6597871421</v>
      </c>
      <c r="J172" s="64">
        <v>0.20419999999999999</v>
      </c>
      <c r="K172" s="63">
        <v>25622419624</v>
      </c>
      <c r="L172" s="38"/>
    </row>
    <row r="173" spans="1:12" ht="13.15" x14ac:dyDescent="0.4">
      <c r="A173" s="34"/>
      <c r="B173" s="34"/>
      <c r="C173" s="35"/>
      <c r="D173" s="35"/>
      <c r="E173" s="35"/>
      <c r="F173" s="36"/>
      <c r="G173" s="35"/>
      <c r="H173" s="36"/>
      <c r="I173" s="35"/>
      <c r="J173" s="36"/>
      <c r="K173" s="35"/>
      <c r="L173" s="3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Monitoring RKA 2026</vt:lpstr>
      <vt:lpstr>Hitung Per Bulan</vt:lpstr>
      <vt:lpstr>Pivot</vt:lpstr>
      <vt:lpstr>ZFM01</vt:lpstr>
      <vt:lpstr>Pivot_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2026-02-23T06:44:17Z</dcterms:created>
  <dcterms:modified xsi:type="dcterms:W3CDTF">2026-03-30T03:01:24Z</dcterms:modified>
</cp:coreProperties>
</file>