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G:\My Drive\3. TSSP.3\1. Laporan Bulanan\2026\2. Feb\KP\✓ RKA\"/>
    </mc:Choice>
  </mc:AlternateContent>
  <xr:revisionPtr revIDLastSave="0" documentId="13_ncr:1_{EC9E9833-9699-497F-A376-F3C50F5BD73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ZFM01" sheetId="1" r:id="rId1"/>
    <sheet name="Pivot" sheetId="2" state="hidden" r:id="rId2"/>
    <sheet name="Pivot_" sheetId="6" r:id="rId3"/>
    <sheet name="Rekap" sheetId="3" r:id="rId4"/>
    <sheet name="KPI" sheetId="4" state="hidden" r:id="rId5"/>
    <sheet name="Lookup" sheetId="5" state="hidden" r:id="rId6"/>
  </sheets>
  <definedNames>
    <definedName name="_xlnm._FilterDatabase" localSheetId="0" hidden="1">ZFM01!$A$2:$J$544</definedName>
  </definedNames>
  <calcPr calcId="191029"/>
  <pivotCaches>
    <pivotCache cacheId="0" r:id="rId7"/>
    <pivotCache cacheId="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3" l="1"/>
  <c r="C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78" i="4" s="1"/>
  <c r="C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59" i="4" s="1"/>
  <c r="C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40" i="4" s="1"/>
  <c r="C20" i="4"/>
  <c r="C19" i="4"/>
  <c r="C18" i="4"/>
  <c r="D18" i="4" s="1"/>
  <c r="E18" i="4" s="1"/>
  <c r="E17" i="4"/>
  <c r="D17" i="4"/>
  <c r="C17" i="4"/>
  <c r="C16" i="4"/>
  <c r="C15" i="4"/>
  <c r="C21" i="4" s="1"/>
  <c r="E14" i="4"/>
  <c r="D14" i="4"/>
  <c r="C14" i="4"/>
  <c r="D13" i="4"/>
  <c r="C13" i="4"/>
  <c r="E13" i="4" s="1"/>
  <c r="D12" i="4"/>
  <c r="E12" i="4" s="1"/>
  <c r="C12" i="4"/>
  <c r="D11" i="4"/>
  <c r="C11" i="4"/>
  <c r="E11" i="4" s="1"/>
  <c r="E10" i="4"/>
  <c r="D10" i="4"/>
  <c r="C10" i="4"/>
  <c r="D9" i="4"/>
  <c r="E9" i="4" s="1"/>
  <c r="C9" i="4"/>
  <c r="C8" i="4"/>
  <c r="C7" i="4"/>
  <c r="C6" i="4"/>
  <c r="E8" i="4" l="1"/>
  <c r="E19" i="4"/>
  <c r="D20" i="4"/>
  <c r="E20" i="4" s="1"/>
  <c r="D7" i="4"/>
  <c r="E7" i="4" s="1"/>
  <c r="D8" i="4"/>
  <c r="D19" i="4"/>
  <c r="D15" i="4"/>
  <c r="E15" i="4"/>
  <c r="D16" i="4"/>
  <c r="E16" i="4" s="1"/>
  <c r="D6" i="4"/>
  <c r="D21" i="4" s="1"/>
  <c r="E21" i="4" s="1"/>
  <c r="E6" i="4" l="1"/>
</calcChain>
</file>

<file path=xl/sharedStrings.xml><?xml version="1.0" encoding="utf-8"?>
<sst xmlns="http://schemas.openxmlformats.org/spreadsheetml/2006/main" count="2414" uniqueCount="298">
  <si>
    <t>Funds Center/Commitment Item</t>
  </si>
  <si>
    <t>RKAP</t>
  </si>
  <si>
    <t>Release</t>
  </si>
  <si>
    <t>Comitment</t>
  </si>
  <si>
    <t>Actual</t>
  </si>
  <si>
    <t>Consumed</t>
  </si>
  <si>
    <t>Available</t>
  </si>
  <si>
    <t>NotRelease</t>
  </si>
  <si>
    <t>Daerah</t>
  </si>
  <si>
    <t>1182000000  Persediaan Prasarana Perkeretaapian dan Umum</t>
  </si>
  <si>
    <t>Perawatan BMN</t>
  </si>
  <si>
    <t>4123210010  Gaji &amp;Tunjangan Pegawai Perawatan Sarana</t>
  </si>
  <si>
    <t>-</t>
  </si>
  <si>
    <t>4123220010  Iuran Pensiun Pegawai Perawatan Sarana</t>
  </si>
  <si>
    <t>4123240000  Lembur dan Perangsang Pegawai Perawatan Sarana</t>
  </si>
  <si>
    <t>4211000000  Perawatan Bangunan Lainnya KAI</t>
  </si>
  <si>
    <t>BUTAP KAI</t>
  </si>
  <si>
    <t>4221421010  Peralatan Dalam Sinyal Elektrik BMN</t>
  </si>
  <si>
    <t>4221422010  Peralatan Luar Sinyal Elektrik BMN</t>
  </si>
  <si>
    <t>4221423010  Peralatan Dalam Sinyal Mekanik BMN</t>
  </si>
  <si>
    <t>4221425010  Pengamanan Perlintasan Sebidang BMN</t>
  </si>
  <si>
    <t>4221427010  Transmisi Komunikasi BMN</t>
  </si>
  <si>
    <t>4221428010  Peralatan Pendukung Sintel BMN</t>
  </si>
  <si>
    <t>4221428011  Bangunan Sintel BMN</t>
  </si>
  <si>
    <t>4221428012  Sistem Proteksi Sintel BMN</t>
  </si>
  <si>
    <t>4221428014  Catu Daya Sintel BMN</t>
  </si>
  <si>
    <t>4221429011  Beban Pemakaian Alat Kerja pendukung perawatan BMN</t>
  </si>
  <si>
    <t>4221521010  Catu Daya LAA BMN</t>
  </si>
  <si>
    <t>4221522010  Tranmisi Tenaga LAA BMN</t>
  </si>
  <si>
    <t>4221526010  Sistim Proteksi LAA BMN</t>
  </si>
  <si>
    <t>4222600000  Peralatan Khusus Prasarana KAI</t>
  </si>
  <si>
    <t>Peralatan Khusus KAI</t>
  </si>
  <si>
    <t>4231110000  Rapat&amp;Akomodasi BbnUmum Prwtn Prasarana Pemerintah</t>
  </si>
  <si>
    <t>BUTAP BMN</t>
  </si>
  <si>
    <t>4231140000  Komunikasi Radio &amp; Telekomunikasi</t>
  </si>
  <si>
    <t>LAT IO</t>
  </si>
  <si>
    <t>4233100000  Rapat&amp;Akomodasi Beban Umum Perawatan Prasarana KAI</t>
  </si>
  <si>
    <t>4233150010  Kerumahtanggaan Beban Umum Perawatan Prasarana KAI</t>
  </si>
  <si>
    <t>4233151710  Kerumahtanggaan UMDT Beban Umum Perawatan Pras KAI</t>
  </si>
  <si>
    <t>4233160010  Inventaris Beban Umum Perawatan Prasarana KAI</t>
  </si>
  <si>
    <t>4233180010  Beban Umum Pengiriman Prasarana KAI</t>
  </si>
  <si>
    <t>4233200000  Perjalanan Dinas BebanUmum Perawatan Prasarana KAI</t>
  </si>
  <si>
    <t>4233400000  ATK Beban Umum Perawatan Prasarana KAI</t>
  </si>
  <si>
    <t>4272100010  Gaji &amp;Tunjangan PegawaiPerawatan Prasarana Unit JJ</t>
  </si>
  <si>
    <t>4272200010  Iuran Pensiun Pegawai Perawatan Prasarana Unit JJ/</t>
  </si>
  <si>
    <t>4272400000  Lembur dan Perangsang Peg PrwtnPrsrna unit JJ/Sntl</t>
  </si>
  <si>
    <t>4272500000  PakaianDinas PegPrwtn PrasaranaUnit JJ/sntl/BY Pra</t>
  </si>
  <si>
    <t>4273100010  Gaji &amp;Tunjangan Pegawai Renwas JJ/Sintel LAA</t>
  </si>
  <si>
    <t>4273200010  Iuran Pensiun Pegawai Renwas JJ/Sintel LAA</t>
  </si>
  <si>
    <t>4273400000  Lembur dan Perangsang Pegawai Renwas JJ/Sintel LAA</t>
  </si>
  <si>
    <t>4273500000  Pakaian Dinas Pegawai Renwas JJ/Sintel LAA</t>
  </si>
  <si>
    <t>5110000010  Gaji &amp;Tunjangan Pegawai Umum &amp; Administrasi</t>
  </si>
  <si>
    <t>5319000000  Pendidikan</t>
  </si>
  <si>
    <t>5324000000  Administrasi Beban Umum &amp; Administrasi</t>
  </si>
  <si>
    <t>5325480000  Teknologi Informasi</t>
  </si>
  <si>
    <t>5400000000  Penyusutan AT Lainnya (Fasilitas Umum)</t>
  </si>
  <si>
    <t>10025000  Signalling, Telecomm, And Electricity</t>
  </si>
  <si>
    <t>4123110010  Gaji &amp;Tunjangan Pegawai Operasi Sarana</t>
  </si>
  <si>
    <t>4221424010  Peralatan Luar Sinyal Mekanik BMN</t>
  </si>
  <si>
    <t>4221426010  Pesawat Telepon BMN</t>
  </si>
  <si>
    <t>4221428013  Tanda Semboyan Marka Sintel BMN</t>
  </si>
  <si>
    <t>4222421110  Transmisi Komunikasi KAI</t>
  </si>
  <si>
    <t>Perawatan KAI</t>
  </si>
  <si>
    <t>4222422110  Peralatan Pendukung Sintel KAI</t>
  </si>
  <si>
    <t>4222428010  Pesawat Telepon KAI</t>
  </si>
  <si>
    <t>4222470010  Alat Kerja Sintel KAI</t>
  </si>
  <si>
    <t>4222800000  Beban BBM Mekanik Prasarana</t>
  </si>
  <si>
    <t>BBM Mekanik</t>
  </si>
  <si>
    <t>4232130000  LAT Beban Umum Pengoperasian Prasarana (IO)</t>
  </si>
  <si>
    <t>4242000000  Beban Penyusutan AT Bangunan Kantor</t>
  </si>
  <si>
    <t>4271400000  Lembur dan Perangsang Pegawai Operasi Prasarana</t>
  </si>
  <si>
    <t>21022000  Sintelis</t>
  </si>
  <si>
    <t>4123250000  Pakaian Dinas Pegawai Perawatan Sarana</t>
  </si>
  <si>
    <t>4221523010  Pengendalian Catu Daya LAA BMN</t>
  </si>
  <si>
    <t>4221524010  Tanda Semboyan LAA BMN</t>
  </si>
  <si>
    <t>4221525010  Bangunan LAA BMN</t>
  </si>
  <si>
    <t>4221527010  Pendukung LAA BMN</t>
  </si>
  <si>
    <t>4221570010  Alat Kerja LAA BMN</t>
  </si>
  <si>
    <t>4222522010  Tranmisi Tenaga LAA KAI</t>
  </si>
  <si>
    <t>4222525010  Bangunan LAA KAI</t>
  </si>
  <si>
    <t>4222526010  Sistim Proteksi LAA KAI</t>
  </si>
  <si>
    <t>4222527010  Pendukung LAA KAI</t>
  </si>
  <si>
    <t>4241000000  Beban Penyusutan AT Prasarana Perkeretaapian</t>
  </si>
  <si>
    <t>21023000  Listrik Aliran Atas</t>
  </si>
  <si>
    <t>22022000  Sintelis</t>
  </si>
  <si>
    <t>4222424010  Peralatan Luar Sinyal Elektrik KAI</t>
  </si>
  <si>
    <t>4233300000  LAT Beban Umum Perawatan Prasarana KAI</t>
  </si>
  <si>
    <t>23022000  Sintelis</t>
  </si>
  <si>
    <t>24022000  Sintelis</t>
  </si>
  <si>
    <t>25022000  Sintelis</t>
  </si>
  <si>
    <t>4222528010  Alat Kerja pendukung perawatan KAI</t>
  </si>
  <si>
    <t>26022000  Sintelis</t>
  </si>
  <si>
    <t>4222423110  Bangunan Sintel KAI</t>
  </si>
  <si>
    <t>27022000  Sintelis</t>
  </si>
  <si>
    <t>28022000  Sintelis</t>
  </si>
  <si>
    <t>29022000  Sintelis</t>
  </si>
  <si>
    <t>31022000  Sintelis</t>
  </si>
  <si>
    <t>4112222200  Bbn Penystn Srana Perkeretaapian Fasilitas Dipo-By</t>
  </si>
  <si>
    <t>4221221100  Perawatan Rel BMN</t>
  </si>
  <si>
    <t>4221222200  Perawatan Wesel BMN</t>
  </si>
  <si>
    <t>4221223300  Bbn Jasa Penambahan Balas BMN</t>
  </si>
  <si>
    <t>4221224400  Pemasangan Bantalan BMN</t>
  </si>
  <si>
    <t>4221225500  Perawatan Balas BMN</t>
  </si>
  <si>
    <t>4221226000  Pemecokan BMN</t>
  </si>
  <si>
    <t>4221226006  Perlintasan BMN</t>
  </si>
  <si>
    <t>4221226008  Geometri BMN</t>
  </si>
  <si>
    <t>4221226010  Perbaikan Periodik BMN</t>
  </si>
  <si>
    <t>4221321010  Perawatan Baja Jembatan Kelas 1 BMN</t>
  </si>
  <si>
    <t>4221322010  Perawatan Cat Jembatan Kelas 1 BMN</t>
  </si>
  <si>
    <t>4221323010  Perawatan Batu Jembatan Kelas 1 BMN</t>
  </si>
  <si>
    <t>4221325010  Perawatan Cat Jembatan Kelas 2 BMN</t>
  </si>
  <si>
    <t>4221325013  Perawatan Batu Jembatan Kelas 3 BMN</t>
  </si>
  <si>
    <t>4221325014  Perawatan Beton Jembatan Kelas 3 BMN</t>
  </si>
  <si>
    <t>4221600000  Peralatan Khusus Prasarana Pemerintah</t>
  </si>
  <si>
    <t>Peralatan Khusus BMN</t>
  </si>
  <si>
    <t>4222222200  Perawatan Wesel KAI</t>
  </si>
  <si>
    <t>4231120000  PerjlDinas BebanUmum PerawatanPrasarana Pemerintah</t>
  </si>
  <si>
    <t>4231130000  LAT Beban Umum Perawatan Prasarana Pemerintah</t>
  </si>
  <si>
    <t>4231140010  ATK Beban Umum Perawatan Prasarana Pemerintah</t>
  </si>
  <si>
    <t>4231150010  Krt Beban Umum Perawatan Prasarana Pemerintah</t>
  </si>
  <si>
    <t>4231151710  Kerumahtanggaan UMDT Beban Umum Perawatan Pras BMN</t>
  </si>
  <si>
    <t>4231160010  Inventaris BebanUmum PerawatanPrasarana Pemerintah</t>
  </si>
  <si>
    <t>4231180010  Pengiriman Prasarana BMN</t>
  </si>
  <si>
    <t>4232152310  Tenaga PJL Alih Daya</t>
  </si>
  <si>
    <t>4271100010  Gaji &amp;Tunjangan Pegawai Operasi Prasarana</t>
  </si>
  <si>
    <t>4271500000  Pakaian Dinas Pegawai Operasi Prasarana</t>
  </si>
  <si>
    <t>32020100  Prasarana</t>
  </si>
  <si>
    <t>4222424110  Sistem Proteksi Sintel KAI</t>
  </si>
  <si>
    <t>4222425010  Peralatan Dalam Sinyal Mekanik KAI</t>
  </si>
  <si>
    <t>4222426010  Peralatan Luar Sinyal Mekanik KAI</t>
  </si>
  <si>
    <t>4222426110  Catu Daya Sintel KAI</t>
  </si>
  <si>
    <t>4222427010  Pengamanan Perlintasan Sebidang KAI</t>
  </si>
  <si>
    <t>34022000  Sintelis Divre III Palembang</t>
  </si>
  <si>
    <t>35022000  Sintelis Divre IV Tanjungkarang</t>
  </si>
  <si>
    <t>Jenis</t>
  </si>
  <si>
    <t>1 Jak LAA</t>
  </si>
  <si>
    <t>1 Jak STL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</si>
  <si>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</si>
  <si>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</si>
  <si>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</si>
  <si>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</si>
  <si>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</si>
  <si>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</si>
  <si>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</si>
  <si>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</si>
  <si>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</si>
  <si>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III Pg</t>
  </si>
  <si>
    <t>IV Tnk</t>
  </si>
  <si>
    <t>Perawatan KAI Total</t>
  </si>
  <si>
    <t>II Pd</t>
  </si>
  <si>
    <t>KP</t>
  </si>
  <si>
    <t>Perawatan BMN Total</t>
  </si>
  <si>
    <t>Peralatan Khusus KAI Total</t>
  </si>
  <si>
    <t>Peralatan Khusus BMN Total</t>
  </si>
  <si>
    <t>LAT IO Total</t>
  </si>
  <si>
    <t>BUTAP KAI Total</t>
  </si>
  <si>
    <t>BUTAP BMN Total</t>
  </si>
  <si>
    <t>BBM Mekanik Total</t>
  </si>
  <si>
    <t>Grand Total</t>
  </si>
  <si>
    <t>TOTAL STE</t>
  </si>
  <si>
    <t>RKAP SAP</t>
  </si>
  <si>
    <t>Release SAP</t>
  </si>
  <si>
    <t>% Release</t>
  </si>
  <si>
    <t>Consume SAP</t>
  </si>
  <si>
    <t>% Consume</t>
  </si>
  <si>
    <t>Actual SAP</t>
  </si>
  <si>
    <t>% Actual</t>
  </si>
  <si>
    <t>Available SAP</t>
  </si>
  <si>
    <t>TOTAL</t>
  </si>
  <si>
    <t>Consume</t>
  </si>
  <si>
    <t>KPI (10%)</t>
  </si>
  <si>
    <t>Selisih</t>
  </si>
  <si>
    <t>Fund Center</t>
  </si>
  <si>
    <t>Unit</t>
  </si>
  <si>
    <t>CI</t>
  </si>
  <si>
    <t>Keterangan</t>
  </si>
  <si>
    <t>Pos Anggaran</t>
  </si>
  <si>
    <t/>
  </si>
  <si>
    <t>1182000000 Persediaan Prasarana Perkeretaapian dan Umum</t>
  </si>
  <si>
    <t>4211000000 Perawatan Bangunan Lainnya KAI</t>
  </si>
  <si>
    <t>4221421010 Peralatan Dalam Sinyal Elektrik BMN</t>
  </si>
  <si>
    <t>4221422010 Peralatan Luar Sinyal Elektrik BMN</t>
  </si>
  <si>
    <t>4221425010 Pengamanan Perlintasan Sebidang BMN</t>
  </si>
  <si>
    <t>4221426010 Pesawat Telepon BMN</t>
  </si>
  <si>
    <t>4221427010 Transmisi Komunikasi BMN</t>
  </si>
  <si>
    <t>4221428010 Peralatan Pendukung Sintel BMN</t>
  </si>
  <si>
    <t>4221429011 Beban Pemakaian Alat Kerja pendukung perawatan BMN</t>
  </si>
  <si>
    <t>4221521010 Catu Daya LAA BMN</t>
  </si>
  <si>
    <t>4221522010 Tranmisi Tenaga LAA BMN</t>
  </si>
  <si>
    <t>4221570010 Alat Kerja LAA BMN</t>
  </si>
  <si>
    <t>4222521010 Catu Daya LAA KAI</t>
  </si>
  <si>
    <t>4222600000 Peralatan Khusus Prasarana KAI</t>
  </si>
  <si>
    <t>4231110000 Rapat&amp;Akomodasi BbnUmum Prwtn Prasarana Pemerintah</t>
  </si>
  <si>
    <t>4231140000 Komunikasi Radio &amp; Telekomunikasi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</si>
  <si>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</si>
  <si>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</si>
  <si>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</si>
  <si>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</si>
  <si>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4233180010 Beban Umum Pengiriman Prasarana KAI</t>
  </si>
  <si>
    <t>4233200000 Perjalanan Dinas BebanUmum Perawatan Prasarana KAI</t>
  </si>
  <si>
    <t>4233400000 ATK Beban Umum Perawatan Prasarana KAI</t>
  </si>
  <si>
    <t>4272100010 Gaji &amp;Tunjangan PegawaiPerawatan Prasarana Unit JJ</t>
  </si>
  <si>
    <t>4272200010 Iuran Pensiun Pegawai Perawatan Prasarana Unit JJ/</t>
  </si>
  <si>
    <t>4272400000 Lembur dan Perangsang Peg PrwtnPrsrna unit JJ/Sntl</t>
  </si>
  <si>
    <t>4273100010 Gaji &amp;Tunjangan Pegawai Renwas JJ/Sintel LAA</t>
  </si>
  <si>
    <t>4273200010 Iuran Pensiun Pegawai Renwas JJ/Sintel LAA</t>
  </si>
  <si>
    <t>4273400000 Lembur dan Perangsang Pegawai Renwas JJ/Sintel LAA</t>
  </si>
  <si>
    <t>5110000010 Gaji &amp;Tunjangan Pegawai Umum &amp; Administrasi</t>
  </si>
  <si>
    <t>5319000000 Pendidikan</t>
  </si>
  <si>
    <t>5325480000 Teknologi Informasi</t>
  </si>
  <si>
    <t>10025000 Signalling, Telecomm &amp; Electricity</t>
  </si>
  <si>
    <t>4221423010 Peralatan Dalam Sinyal Mekanik BMN</t>
  </si>
  <si>
    <t>4221424010 Peralatan Luar Sinyal Mekanik BMN</t>
  </si>
  <si>
    <t>4221428011 Bangunan Sintel BMN</t>
  </si>
  <si>
    <t>4221428012 Sistem Proteksi Sintel BMN</t>
  </si>
  <si>
    <t>4221428013 Tanda Semboyan Marka Sintel BMN</t>
  </si>
  <si>
    <t>4221428014 Catu Daya Sintel BMN</t>
  </si>
  <si>
    <t>4222422110 Peralatan Pendukung Sintel KAI</t>
  </si>
  <si>
    <t>4222423110 Bangunan Sintel KAI</t>
  </si>
  <si>
    <t>4222428010 Pesawat Telepon KAI</t>
  </si>
  <si>
    <t>4222470010 Alat Kerja Sintel KAI</t>
  </si>
  <si>
    <t>4222800000 Beban BBM Mekanik Prasarana</t>
  </si>
  <si>
    <t>4232130000 LAT Beban Umum Pengoperasian Prasarana (IO)</t>
  </si>
  <si>
    <t>21022000 Sintelis</t>
  </si>
  <si>
    <t>4221523010 Pengendalian Catu Daya LAA BMN</t>
  </si>
  <si>
    <t>4221524010 Tanda Semboyan LAA BMN</t>
  </si>
  <si>
    <t>4221525010 Bangunan LAA BMN</t>
  </si>
  <si>
    <t>4221526010 Sistim Proteksi LAA BMN</t>
  </si>
  <si>
    <t>4221527010 Pendukung LAA BMN</t>
  </si>
  <si>
    <t>4222522010 Tranmisi Tenaga LAA KAI</t>
  </si>
  <si>
    <t>4222525010 Bangunan LAA KAI</t>
  </si>
  <si>
    <t>4222526010 Sistim Proteksi LAA KAI</t>
  </si>
  <si>
    <t>4222527010 Pendukung LAA KAI</t>
  </si>
  <si>
    <t>4222528010 Alat Kerja pendukung perawatan KAI</t>
  </si>
  <si>
    <t>21023000 Listrik Aliran Atas</t>
  </si>
  <si>
    <t>22022000 Sintelis</t>
  </si>
  <si>
    <t>4222424010 Peralatan Luar Sinyal Elektrik KAI</t>
  </si>
  <si>
    <t>23022000 Sintelis</t>
  </si>
  <si>
    <t>4233300000 LAT Beban Umum Perawatan Prasarana KAI</t>
  </si>
  <si>
    <t>24022000 Sintelis</t>
  </si>
  <si>
    <t>25022000 Sintelis</t>
  </si>
  <si>
    <t>26022000 Sintelis</t>
  </si>
  <si>
    <t>27022000 Sintelis</t>
  </si>
  <si>
    <t>28022000 Sintelis</t>
  </si>
  <si>
    <t>29022000 Sintelis</t>
  </si>
  <si>
    <t>31022000 Sintelis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</si>
  <si>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</si>
  <si>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</si>
  <si>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</si>
  <si>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</si>
  <si>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</si>
  <si>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</si>
  <si>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</si>
  <si>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</si>
  <si>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</si>
  <si>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</si>
  <si>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</si>
  <si>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</si>
  <si>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</si>
  <si>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</si>
  <si>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</si>
  <si>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4221600000 Peralatan Khusus Prasarana Pemerintah</t>
  </si>
  <si>
    <t>4222222200 Perawatan Wesel KAI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</si>
  <si>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</si>
  <si>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</si>
  <si>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</si>
  <si>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</si>
  <si>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</si>
  <si>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4271100010 Gaji &amp;Tunjangan Pegawai Operasi Prasarana</t>
  </si>
  <si>
    <t>4271400000 Lembur dan Perangsang Pegawai Operasi Prasarana</t>
  </si>
  <si>
    <t>32020100 Prasarana</t>
  </si>
  <si>
    <t>4222421110 Transmisi Komunikasi KAI</t>
  </si>
  <si>
    <t>4222423010 Peralatan Dalam Sinyal Elektrik KAI</t>
  </si>
  <si>
    <t>4222424110 Sistem Proteksi Sintel KAI</t>
  </si>
  <si>
    <t>4222425010 Peralatan Dalam Sinyal Mekanik KAI</t>
  </si>
  <si>
    <t>4222425110 Tanda Semboyan Marka Sintel KAI</t>
  </si>
  <si>
    <t>4222426010 Peralatan Luar Sinyal Mekanik KAI</t>
  </si>
  <si>
    <t>4222426110 Catu Daya Sintel KAI</t>
  </si>
  <si>
    <t>4222427010 Pengamanan Perlintasan Sebidang KAI</t>
  </si>
  <si>
    <t>34022000 Sintelis Divre III Palembang</t>
  </si>
  <si>
    <t>35022000 Sintelis Divre IV Tanjungkarang</t>
  </si>
  <si>
    <t>RKAO Disetujui</t>
  </si>
  <si>
    <t>Row Labels</t>
  </si>
  <si>
    <t>(blank)</t>
  </si>
  <si>
    <t>Sum of Consumed</t>
  </si>
  <si>
    <t>Sum of Actual</t>
  </si>
  <si>
    <t>4272500000 PakaianDinas PegPrwtn PrasaranaUnit JJ/sntl/BY Pra</t>
  </si>
  <si>
    <t>4273500000 Pakaian Dinas Pegawai Renwas JJ/Sintel LAA</t>
  </si>
  <si>
    <t>5400000000 Penyusutan AT Lainnya (Fasilitas Umum)</t>
  </si>
  <si>
    <t>4123210010 Gaji &amp;Tunjangan Pegawai Perawatan Sarana</t>
  </si>
  <si>
    <t>4123240000 Lembur dan Perangsang Pegawai Perawatan Sarana</t>
  </si>
  <si>
    <t>4123250000 Pakaian Dinas Pegawai Perawatan Sarana</t>
  </si>
  <si>
    <t>4242000000 Beban Penyusutan AT Bangunan Kantor</t>
  </si>
  <si>
    <t>5140000000 Lembur dan Perangsang Pegawai Umum &amp; Administrasi</t>
  </si>
  <si>
    <t>4123110010 Gaji &amp;Tunjangan Pegawai Operasi Sarana</t>
  </si>
  <si>
    <t>4241000000 Beban Penyusutan AT Prasarana Perkeretaapian</t>
  </si>
  <si>
    <t>4112222200 Bbn Penystn Srana Perkeretaapian Fasilitas Dipo-By</t>
  </si>
  <si>
    <t>4271500000 Pakaian Dinas Pegawai Operasi Prasarana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</si>
</sst>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0"/>
      <color rgb="FF000000"/>
      <name val="Arial"/>
      <scheme val="minor"/>
    </font>
    <font>
      <sz val="9"/>
      <color theme="1"/>
      <name val="Calibri"/>
    </font>
    <font>
      <sz val="9"/>
      <color rgb="FFFFFFFF"/>
      <name val="Calibri"/>
    </font>
    <font>
      <i/>
      <sz val="8"/>
      <color theme="1"/>
      <name val="Calibri"/>
    </font>
    <font>
      <b/>
      <sz val="9"/>
      <color theme="1"/>
      <name val="Calibri"/>
    </font>
    <font>
      <sz val="8"/>
      <color theme="1"/>
      <name val="Montserrat"/>
    </font>
    <font>
      <sz val="8"/>
      <color rgb="FFFFFFFF"/>
      <name val="Montserrat"/>
    </font>
    <font>
      <b/>
      <sz val="8"/>
      <color theme="1"/>
      <name val="Montserrat"/>
    </font>
    <font>
      <sz val="9"/>
      <color rgb="FF000000"/>
      <name val="Calibri"/>
      <family val="2"/>
    </font>
    <font>
      <sz val="10"/>
      <color rgb="FF000000"/>
      <name val="Arial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Arial"/>
      <scheme val="minor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FF9900"/>
        <bgColor rgb="FFFF9900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B7E1CD"/>
        <bgColor rgb="FFB7E1CD"/>
      </patternFill>
    </fill>
    <fill>
      <patternFill patternType="solid">
        <fgColor rgb="FFB6D7A8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06">
    <xf numFmtId="0" fontId="0" fillId="0" borderId="0" xfId="0" applyFont="1" applyAlignment="1"/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10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vertical="center"/>
    </xf>
    <xf numFmtId="3" fontId="2" fillId="3" borderId="0" xfId="0" applyNumberFormat="1" applyFont="1" applyFill="1" applyAlignment="1">
      <alignment vertical="center"/>
    </xf>
    <xf numFmtId="10" fontId="2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0" fontId="1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3" fontId="4" fillId="4" borderId="1" xfId="0" applyNumberFormat="1" applyFont="1" applyFill="1" applyBorder="1" applyAlignment="1">
      <alignment vertical="center"/>
    </xf>
    <xf numFmtId="10" fontId="4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vertical="center"/>
    </xf>
    <xf numFmtId="3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6" borderId="1" xfId="0" applyFont="1" applyFill="1" applyBorder="1" applyAlignment="1">
      <alignment vertical="center"/>
    </xf>
    <xf numFmtId="3" fontId="4" fillId="6" borderId="1" xfId="0" applyNumberFormat="1" applyFont="1" applyFill="1" applyBorder="1" applyAlignment="1">
      <alignment vertical="center"/>
    </xf>
    <xf numFmtId="10" fontId="4" fillId="6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3" fontId="7" fillId="4" borderId="1" xfId="0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6" fillId="2" borderId="0" xfId="0" applyFont="1" applyFill="1" applyAlignment="1">
      <alignment vertical="center"/>
    </xf>
    <xf numFmtId="3" fontId="6" fillId="2" borderId="0" xfId="0" applyNumberFormat="1" applyFont="1" applyFill="1" applyAlignment="1">
      <alignment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6" borderId="1" xfId="0" applyFont="1" applyFill="1" applyBorder="1" applyAlignment="1">
      <alignment vertical="center"/>
    </xf>
    <xf numFmtId="3" fontId="7" fillId="6" borderId="1" xfId="0" applyNumberFormat="1" applyFont="1" applyFill="1" applyBorder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1" xfId="0" applyNumberFormat="1" applyFont="1" applyBorder="1" applyAlignment="1">
      <alignment horizontal="right"/>
    </xf>
    <xf numFmtId="3" fontId="5" fillId="0" borderId="0" xfId="0" applyNumberFormat="1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/>
    <xf numFmtId="0" fontId="5" fillId="0" borderId="1" xfId="0" applyFont="1" applyBorder="1"/>
    <xf numFmtId="0" fontId="5" fillId="0" borderId="0" xfId="0" applyFont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2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2" xfId="0" applyNumberFormat="1" applyFont="1" applyBorder="1" applyAlignment="1"/>
    <xf numFmtId="0" fontId="0" fillId="0" borderId="5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0" xfId="0" applyNumberFormat="1" applyFont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0" xfId="0" applyNumberFormat="1" applyFont="1" applyBorder="1" applyAlignment="1"/>
    <xf numFmtId="0" fontId="0" fillId="0" borderId="12" xfId="0" applyNumberFormat="1" applyFont="1" applyBorder="1" applyAlignment="1"/>
    <xf numFmtId="0" fontId="0" fillId="0" borderId="13" xfId="0" applyNumberFormat="1" applyFont="1" applyBorder="1" applyAlignment="1"/>
    <xf numFmtId="0" fontId="12" fillId="0" borderId="0" xfId="0" applyFont="1" applyAlignment="1">
      <alignment horizontal="left" indent="1"/>
    </xf>
    <xf numFmtId="0" fontId="12" fillId="0" borderId="0" xfId="0" applyFont="1" applyAlignment="1"/>
    <xf numFmtId="0" fontId="12" fillId="0" borderId="0" xfId="0" applyFont="1" applyAlignment="1">
      <alignment horizontal="left"/>
    </xf>
    <xf numFmtId="0" fontId="12" fillId="0" borderId="0" xfId="0" pivotButton="1" applyFont="1" applyAlignment="1"/>
    <xf numFmtId="164" fontId="12" fillId="0" borderId="0" xfId="0" applyNumberFormat="1" applyFont="1" applyAlignment="1">
      <alignment horizontal="right"/>
    </xf>
    <xf numFmtId="164" fontId="12" fillId="0" borderId="0" xfId="1" applyNumberFormat="1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3" fontId="8" fillId="0" borderId="0" xfId="0" applyNumberFormat="1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8" fillId="8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vertical="center" wrapText="1"/>
    </xf>
    <xf numFmtId="3" fontId="8" fillId="9" borderId="0" xfId="0" applyNumberFormat="1" applyFont="1" applyFill="1" applyAlignment="1">
      <alignment horizontal="right" vertical="center" wrapText="1"/>
    </xf>
    <xf numFmtId="0" fontId="8" fillId="9" borderId="0" xfId="0" applyFont="1" applyFill="1" applyAlignment="1">
      <alignment horizontal="right" vertical="center" wrapText="1"/>
    </xf>
    <xf numFmtId="0" fontId="8" fillId="9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9" fillId="8" borderId="0" xfId="0" applyFont="1" applyFill="1" applyAlignment="1">
      <alignment vertical="center" wrapText="1"/>
    </xf>
    <xf numFmtId="0" fontId="12" fillId="0" borderId="0" xfId="0" applyFont="1" applyAlignment="1">
      <alignment horizontal="right"/>
    </xf>
    <xf numFmtId="14" fontId="8" fillId="7" borderId="0" xfId="0" applyNumberFormat="1" applyFont="1" applyFill="1" applyAlignment="1">
      <alignment horizontal="left" vertical="center" wrapText="1"/>
    </xf>
    <xf numFmtId="14" fontId="2" fillId="2" borderId="0" xfId="0" applyNumberFormat="1" applyFont="1" applyFill="1" applyAlignment="1">
      <alignment horizontal="left" vertical="center"/>
    </xf>
    <xf numFmtId="14" fontId="0" fillId="0" borderId="0" xfId="0" applyNumberFormat="1" applyFont="1" applyAlignment="1"/>
    <xf numFmtId="0" fontId="3" fillId="0" borderId="0" xfId="0" applyFont="1" applyAlignment="1">
      <alignment vertical="center" wrapText="1"/>
    </xf>
    <xf numFmtId="0" fontId="0" fillId="0" borderId="0" xfId="0" applyFont="1" applyAlignment="1"/>
  </cellXfs>
  <cellStyles count="2">
    <cellStyle name="Comma" xfId="1" builtinId="3"/>
    <cellStyle name="Normal" xfId="0" builtinId="0"/>
  </cellStyles>
  <dxfs count="78"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114300</xdr:colOff>
      <xdr:row>3</xdr:row>
      <xdr:rowOff>66675</xdr:rowOff>
    </xdr:from>
    <xdr:ext cx="4876800" cy="19240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2.306027777777" createdVersion="7" refreshedVersion="7" minRefreshableVersion="3" recordCount="550" xr:uid="{6ADE4BD8-FB2F-42C3-AEFD-B34A2C08E134}">
  <cacheSource type="worksheet">
    <worksheetSource ref="A2:J1048576" sheet="ZFM01"/>
  </cacheSource>
  <cacheFields count="10">
    <cacheField name="Funds Center/Commitment Item" numFmtId="0">
      <sharedItems containsBlank="1"/>
    </cacheField>
    <cacheField name="RKAP" numFmtId="0">
      <sharedItems containsString="0" containsBlank="1" containsNumber="1" containsInteger="1" minValue="0" maxValue="345318257422"/>
    </cacheField>
    <cacheField name="Release" numFmtId="0">
      <sharedItems containsString="0" containsBlank="1" containsNumber="1" containsInteger="1" minValue="0" maxValue="345318257422"/>
    </cacheField>
    <cacheField name="Comitment" numFmtId="0">
      <sharedItems containsString="0" containsBlank="1" containsNumber="1" containsInteger="1" minValue="0" maxValue="144528866854"/>
    </cacheField>
    <cacheField name="Actual" numFmtId="0">
      <sharedItems containsString="0" containsBlank="1" containsNumber="1" containsInteger="1" minValue="-7500000" maxValue="55526565365"/>
    </cacheField>
    <cacheField name="Consumed" numFmtId="0">
      <sharedItems containsString="0" containsBlank="1" containsNumber="1" containsInteger="1" minValue="-7500000" maxValue="149035643798"/>
    </cacheField>
    <cacheField name="Available" numFmtId="0">
      <sharedItems containsString="0" containsBlank="1" containsNumber="1" containsInteger="1" minValue="-1109532373" maxValue="196282613624"/>
    </cacheField>
    <cacheField name="NotRelease" numFmtId="0">
      <sharedItems containsString="0" containsBlank="1" containsNumber="1" containsInteger="1" minValue="0" maxValue="2745836393"/>
    </cacheField>
    <cacheField name="Daerah" numFmtId="0">
      <sharedItems containsBlank="1" count="17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  <e v="#N/A" u="1"/>
      </sharedItems>
    </cacheField>
    <cacheField name="Jenis" numFmtId="0">
      <sharedItems containsBlank="1" count="11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DMIN" refreshedDate="46083.599052314814" refreshedVersion="7" recordCount="534" xr:uid="{00000000-000A-0000-FFFF-FFFF00000000}">
  <cacheSource type="worksheet">
    <worksheetSource ref="A2:J536" sheet="ZFM01"/>
  </cacheSource>
  <cacheFields count="10">
    <cacheField name="Funds Center/Commitment Item" numFmtId="0">
      <sharedItems/>
    </cacheField>
    <cacheField name="RKAP" numFmtId="0">
      <sharedItems containsString="0" containsBlank="1" containsNumber="1" containsInteger="1" minValue="0" maxValue="345318257422"/>
    </cacheField>
    <cacheField name="Release" numFmtId="0">
      <sharedItems containsString="0" containsBlank="1" containsNumber="1" containsInteger="1" minValue="0" maxValue="345318257422"/>
    </cacheField>
    <cacheField name="Comitment" numFmtId="0">
      <sharedItems containsString="0" containsBlank="1" containsNumber="1" containsInteger="1" minValue="0" maxValue="144528866854"/>
    </cacheField>
    <cacheField name="Actual" numFmtId="0">
      <sharedItems containsString="0" containsBlank="1" containsNumber="1" containsInteger="1" minValue="-7500000" maxValue="6071405261"/>
    </cacheField>
    <cacheField name="Consumed" numFmtId="0">
      <sharedItems containsString="0" containsBlank="1" containsNumber="1" containsInteger="1" minValue="-7500000" maxValue="149035643798"/>
    </cacheField>
    <cacheField name="Available" numFmtId="0">
      <sharedItems containsString="0" containsBlank="1" containsNumber="1" containsInteger="1" minValue="-205407666" maxValue="196282613624"/>
    </cacheField>
    <cacheField name="NotRelease" numFmtId="0">
      <sharedItems containsString="0" containsBlank="1" containsNumber="1" containsInteger="1" minValue="0" maxValue="2745836393"/>
    </cacheField>
    <cacheField name="Daerah" numFmtId="0">
      <sharedItems count="15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</sharedItems>
    </cacheField>
    <cacheField name="Jenis" numFmtId="0">
      <sharedItems count="10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s v="1182000000 Persediaan Prasarana Perkeretaapian dan Umum"/>
    <n v="108692034000"/>
    <n v="108692034000"/>
    <n v="26587789762"/>
    <n v="0"/>
    <n v="26587789762"/>
    <n v="82104244238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41172787000"/>
    <n v="41172787000"/>
    <n v="36000000000"/>
    <n v="0"/>
    <n v="36000000000"/>
    <n v="5172787000"/>
    <n v="0"/>
    <x v="0"/>
    <x v="0"/>
  </r>
  <r>
    <s v="4221422010 Peralatan Luar Sinyal Elektrik BMN"/>
    <n v="34187077000"/>
    <n v="34187077000"/>
    <n v="3132332000"/>
    <n v="0"/>
    <n v="3132332000"/>
    <n v="31054745000"/>
    <n v="0"/>
    <x v="0"/>
    <x v="0"/>
  </r>
  <r>
    <s v="4221425010 Pengamanan Perlintasan Sebidang BMN"/>
    <n v="17677615360"/>
    <n v="17677615360"/>
    <n v="17448621050"/>
    <n v="0"/>
    <n v="17448621050"/>
    <n v="228994310"/>
    <n v="0"/>
    <x v="0"/>
    <x v="0"/>
  </r>
  <r>
    <s v="4221426010 Pesawat Telepon BMN"/>
    <n v="959026500"/>
    <n v="959026500"/>
    <n v="0"/>
    <n v="0"/>
    <n v="0"/>
    <n v="959026500"/>
    <n v="0"/>
    <x v="0"/>
    <x v="0"/>
  </r>
  <r>
    <s v="4221427010 Transmisi Komunikasi BMN"/>
    <n v="64271431000"/>
    <n v="64271431000"/>
    <n v="61247356664"/>
    <n v="0"/>
    <n v="61247356664"/>
    <n v="3024074336"/>
    <n v="0"/>
    <x v="0"/>
    <x v="0"/>
  </r>
  <r>
    <s v="4221428010 Peralatan Pendukung Sintel BMN"/>
    <n v="394269250"/>
    <n v="394269250"/>
    <n v="0"/>
    <n v="0"/>
    <n v="0"/>
    <n v="394269250"/>
    <n v="0"/>
    <x v="0"/>
    <x v="0"/>
  </r>
  <r>
    <s v="4221429011 Beban Pemakaian Alat Kerja pendukung perawatan BMN"/>
    <n v="252697500"/>
    <n v="252697500"/>
    <n v="0"/>
    <n v="0"/>
    <n v="0"/>
    <n v="252697500"/>
    <n v="0"/>
    <x v="0"/>
    <x v="0"/>
  </r>
  <r>
    <s v="4221521010 Catu Daya LAA BMN"/>
    <n v="26462829544"/>
    <n v="26462829544"/>
    <n v="0"/>
    <n v="0"/>
    <n v="0"/>
    <n v="26462829544"/>
    <n v="0"/>
    <x v="0"/>
    <x v="0"/>
  </r>
  <r>
    <s v="4221522010 Tranmisi Tenaga LAA BMN"/>
    <n v="12064691636"/>
    <n v="12064691636"/>
    <n v="0"/>
    <n v="0"/>
    <n v="0"/>
    <n v="12064691636"/>
    <n v="0"/>
    <x v="0"/>
    <x v="0"/>
  </r>
  <r>
    <s v="4221570010 Alat Kerja LAA BMN"/>
    <n v="1175883000"/>
    <n v="1175883000"/>
    <n v="0"/>
    <n v="0"/>
    <n v="0"/>
    <n v="1175883000"/>
    <n v="0"/>
    <x v="0"/>
    <x v="0"/>
  </r>
  <r>
    <s v="4222521010 Catu Daya LAA KAI"/>
    <n v="1734605250"/>
    <n v="1734605250"/>
    <n v="0"/>
    <n v="0"/>
    <n v="0"/>
    <n v="1734605250"/>
    <n v="0"/>
    <x v="0"/>
    <x v="2"/>
  </r>
  <r>
    <s v="4222600000 Peralatan Khusus Prasarana KAI"/>
    <n v="250000000"/>
    <n v="250000000"/>
    <n v="0"/>
    <n v="0"/>
    <n v="0"/>
    <n v="250000000"/>
    <n v="0"/>
    <x v="0"/>
    <x v="3"/>
  </r>
  <r>
    <s v="4231110000 Rapat&amp;Akomodasi BbnUmum Prwtn Prasarana Pemerintah"/>
    <n v="125000000"/>
    <n v="125000000"/>
    <n v="20986164"/>
    <n v="0"/>
    <n v="20986164"/>
    <n v="104013836"/>
    <n v="0"/>
    <x v="0"/>
    <x v="4"/>
  </r>
  <r>
    <s v="4231140000 Komunikasi Radio &amp; Telekomunikasi"/>
    <n v="1125000000"/>
    <n v="1125000000"/>
    <n v="0"/>
    <n v="901692058"/>
    <n v="901692058"/>
    <n v="223307942"/>
    <n v="0"/>
    <x v="0"/>
    <x v="5"/>
  </r>
  <r>
    <s v="4233100000 Rapat&amp;Akomodasi Beban Umum Perawatan Prasarana KAI"/>
    <n v="375000000"/>
    <n v="375000000"/>
    <n v="1948000"/>
    <n v="0"/>
    <n v="1948000"/>
    <n v="373052000"/>
    <n v="0"/>
    <x v="0"/>
    <x v="1"/>
  </r>
  <r>
    <s v="4233150010 Kerumahtanggaan Beban Umum Perawatan Prasarana KAI"/>
    <n v="185260000"/>
    <n v="185260000"/>
    <n v="24326714"/>
    <n v="28810450"/>
    <n v="53137164"/>
    <n v="132122836"/>
    <n v="0"/>
    <x v="0"/>
    <x v="1"/>
  </r>
  <r>
    <s v="4233151710 Kerumahtanggaan UMDT Beban Umum Perawatan Pras KAI"/>
    <n v="39000000"/>
    <n v="39000000"/>
    <n v="0"/>
    <n v="13000000"/>
    <n v="13000000"/>
    <n v="26000000"/>
    <n v="0"/>
    <x v="0"/>
    <x v="1"/>
  </r>
  <r>
    <s v="4233160010 Inventaris Beban Umum Perawatan Prasarana KAI"/>
    <n v="125000000"/>
    <n v="125000000"/>
    <n v="0"/>
    <n v="0"/>
    <n v="0"/>
    <n v="125000000"/>
    <n v="0"/>
    <x v="0"/>
    <x v="1"/>
  </r>
  <r>
    <s v="4233180010 Beban Umum Pengiriman Prasarana KAI"/>
    <n v="200000000"/>
    <n v="200000000"/>
    <n v="56042500"/>
    <n v="49833500"/>
    <n v="105876000"/>
    <n v="94124000"/>
    <n v="0"/>
    <x v="0"/>
    <x v="1"/>
  </r>
  <r>
    <s v="4233200000 Perjalanan Dinas BebanUmum Perawatan Prasarana KAI"/>
    <n v="625000000"/>
    <n v="625000000"/>
    <n v="0"/>
    <n v="174031250"/>
    <n v="174031250"/>
    <n v="450968750"/>
    <n v="0"/>
    <x v="0"/>
    <x v="1"/>
  </r>
  <r>
    <s v="4233400000 ATK Beban Umum Perawatan Prasarana KAI"/>
    <n v="55000000"/>
    <n v="55000000"/>
    <n v="0"/>
    <n v="0"/>
    <n v="0"/>
    <n v="55000000"/>
    <n v="0"/>
    <x v="0"/>
    <x v="1"/>
  </r>
  <r>
    <s v="4272100010 Gaji &amp;Tunjangan PegawaiPerawatan Prasarana Unit JJ"/>
    <n v="3456614204"/>
    <n v="3456614204"/>
    <n v="0"/>
    <n v="413008253"/>
    <n v="413008253"/>
    <n v="3043605951"/>
    <n v="0"/>
    <x v="0"/>
    <x v="6"/>
  </r>
  <r>
    <s v="4272200010 Iuran Pensiun Pegawai Perawatan Prasarana Unit JJ/"/>
    <n v="52828623"/>
    <n v="52828623"/>
    <n v="0"/>
    <n v="6538778"/>
    <n v="6538778"/>
    <n v="46289845"/>
    <n v="0"/>
    <x v="0"/>
    <x v="6"/>
  </r>
  <r>
    <s v="4272400000 Lembur dan Perangsang Peg PrwtnPrsrna unit JJ/Sntl"/>
    <n v="4078270035"/>
    <n v="4078270035"/>
    <n v="0"/>
    <n v="308142214"/>
    <n v="308142214"/>
    <n v="3770127821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1120324189"/>
    <n v="1120324189"/>
    <n v="9827151066"/>
    <n v="0"/>
    <x v="0"/>
    <x v="6"/>
  </r>
  <r>
    <s v="4273200010 Iuran Pensiun Pegawai Renwas JJ/Sintel LAA"/>
    <n v="248090002"/>
    <n v="248090002"/>
    <n v="0"/>
    <n v="44762586"/>
    <n v="44762586"/>
    <n v="203327416"/>
    <n v="0"/>
    <x v="0"/>
    <x v="6"/>
  </r>
  <r>
    <s v="4273400000 Lembur dan Perangsang Pegawai Renwas JJ/Sintel LAA"/>
    <n v="13970066046"/>
    <n v="13970066046"/>
    <n v="0"/>
    <n v="1248726000"/>
    <n v="1248726000"/>
    <n v="12721340046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7500000"/>
    <n v="-7500000"/>
    <n v="7500000"/>
    <n v="0"/>
    <x v="0"/>
    <x v="6"/>
  </r>
  <r>
    <s v="5319000000 Pendidikan"/>
    <n v="250000000"/>
    <n v="250000000"/>
    <n v="9464000"/>
    <n v="0"/>
    <n v="9464000"/>
    <n v="240536000"/>
    <n v="0"/>
    <x v="0"/>
    <x v="1"/>
  </r>
  <r>
    <s v="5325480000 Teknologi Informasi"/>
    <n v="125000000"/>
    <n v="125000000"/>
    <n v="0"/>
    <n v="0"/>
    <n v="0"/>
    <n v="125000000"/>
    <n v="0"/>
    <x v="0"/>
    <x v="1"/>
  </r>
  <r>
    <s v="5400000000 Penyusutan AT Lainnya (Fasilitas Umum)"/>
    <n v="0"/>
    <n v="0"/>
    <n v="0"/>
    <n v="205407666"/>
    <n v="205407666"/>
    <n v="-205407666"/>
    <n v="0"/>
    <x v="0"/>
    <x v="6"/>
  </r>
  <r>
    <s v="10025000 Signalling, Telecomm &amp; Electricity"/>
    <n v="345318257422"/>
    <n v="345318257422"/>
    <n v="144528866854"/>
    <n v="4506776944"/>
    <n v="149035643798"/>
    <n v="196282613624"/>
    <n v="0"/>
    <x v="0"/>
    <x v="7"/>
  </r>
  <r>
    <s v="1182000000 Persediaan Prasarana Perkeretaapian dan Umum"/>
    <n v="17706636144"/>
    <n v="17706636144"/>
    <n v="13902367700"/>
    <n v="0"/>
    <n v="13902367700"/>
    <n v="3804268444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200000000"/>
    <n v="200000000"/>
    <n v="0"/>
    <n v="0"/>
    <n v="0"/>
    <n v="200000000"/>
    <n v="0"/>
    <x v="1"/>
    <x v="0"/>
  </r>
  <r>
    <s v="4221422010 Peralatan Luar Sinyal Elektrik BMN"/>
    <n v="1000000000"/>
    <n v="1000000000"/>
    <n v="0"/>
    <n v="0"/>
    <n v="0"/>
    <n v="1000000000"/>
    <n v="0"/>
    <x v="1"/>
    <x v="0"/>
  </r>
  <r>
    <s v="4221423010 Peralatan Dalam Sinyal Mekanik BMN"/>
    <n v="50000000"/>
    <n v="50000000"/>
    <n v="0"/>
    <n v="0"/>
    <n v="0"/>
    <n v="50000000"/>
    <n v="0"/>
    <x v="1"/>
    <x v="0"/>
  </r>
  <r>
    <s v="4221424010 Peralatan Luar Sinyal Mekanik BMN"/>
    <n v="200000000"/>
    <n v="200000000"/>
    <n v="0"/>
    <n v="0"/>
    <n v="0"/>
    <n v="200000000"/>
    <n v="0"/>
    <x v="1"/>
    <x v="0"/>
  </r>
  <r>
    <s v="4221425010 Pengamanan Perlintasan Sebidang BMN"/>
    <n v="650000000"/>
    <n v="650000000"/>
    <n v="0"/>
    <n v="0"/>
    <n v="0"/>
    <n v="650000000"/>
    <n v="0"/>
    <x v="1"/>
    <x v="0"/>
  </r>
  <r>
    <s v="4221427010 Transmisi Komunikasi BMN"/>
    <n v="3000000000"/>
    <n v="3000000000"/>
    <n v="2487092234"/>
    <n v="0"/>
    <n v="2487092234"/>
    <n v="512907766"/>
    <n v="0"/>
    <x v="1"/>
    <x v="0"/>
  </r>
  <r>
    <s v="4221428010 Peralatan Pendukung Sintel BMN"/>
    <n v="2130000000"/>
    <n v="2130000000"/>
    <n v="834283272"/>
    <n v="0"/>
    <n v="834283272"/>
    <n v="1295716728"/>
    <n v="0"/>
    <x v="1"/>
    <x v="0"/>
  </r>
  <r>
    <s v="4221428011 Bangunan Sintel BMN"/>
    <n v="500000000"/>
    <n v="500000000"/>
    <n v="0"/>
    <n v="0"/>
    <n v="0"/>
    <n v="500000000"/>
    <n v="0"/>
    <x v="1"/>
    <x v="0"/>
  </r>
  <r>
    <s v="4221428012 Sistem Proteksi Sintel BMN"/>
    <n v="1250000000"/>
    <n v="1250000000"/>
    <n v="0"/>
    <n v="0"/>
    <n v="0"/>
    <n v="1250000000"/>
    <n v="0"/>
    <x v="1"/>
    <x v="0"/>
  </r>
  <r>
    <s v="4221428013 Tanda Semboyan Marka Sintel BMN"/>
    <n v="125000000"/>
    <n v="125000000"/>
    <n v="0"/>
    <n v="0"/>
    <n v="0"/>
    <n v="125000000"/>
    <n v="0"/>
    <x v="1"/>
    <x v="0"/>
  </r>
  <r>
    <s v="4221428014 Catu Daya Sintel BMN"/>
    <n v="3425000000"/>
    <n v="3425000000"/>
    <n v="212238560"/>
    <n v="0"/>
    <n v="212238560"/>
    <n v="3212761440"/>
    <n v="0"/>
    <x v="1"/>
    <x v="0"/>
  </r>
  <r>
    <s v="4222422110 Peralatan Pendukung Sintel KAI"/>
    <n v="1310000000"/>
    <n v="1310000000"/>
    <n v="113020000"/>
    <n v="34500000"/>
    <n v="147520000"/>
    <n v="1162480000"/>
    <n v="0"/>
    <x v="1"/>
    <x v="2"/>
  </r>
  <r>
    <s v="4222423110 Bangunan Sintel KAI"/>
    <n v="375000000"/>
    <n v="375000000"/>
    <n v="0"/>
    <n v="0"/>
    <n v="0"/>
    <n v="375000000"/>
    <n v="0"/>
    <x v="1"/>
    <x v="2"/>
  </r>
  <r>
    <s v="4222428010 Pesawat Telepon KAI"/>
    <n v="488400000"/>
    <n v="488400000"/>
    <n v="0"/>
    <n v="0"/>
    <n v="0"/>
    <n v="488400000"/>
    <n v="0"/>
    <x v="1"/>
    <x v="2"/>
  </r>
  <r>
    <s v="4222470010 Alat Kerja Sintel KAI"/>
    <n v="1250000000"/>
    <n v="1250000000"/>
    <n v="0"/>
    <n v="0"/>
    <n v="0"/>
    <n v="1250000000"/>
    <n v="0"/>
    <x v="1"/>
    <x v="2"/>
  </r>
  <r>
    <s v="4222600000 Peralatan Khusus Prasarana KAI"/>
    <n v="200000000"/>
    <n v="200000000"/>
    <n v="0"/>
    <n v="0"/>
    <n v="0"/>
    <n v="200000000"/>
    <n v="0"/>
    <x v="1"/>
    <x v="3"/>
  </r>
  <r>
    <s v="4222800000 Beban BBM Mekanik Prasarana"/>
    <n v="90000000"/>
    <n v="90000000"/>
    <n v="0"/>
    <n v="0"/>
    <n v="0"/>
    <n v="90000000"/>
    <n v="0"/>
    <x v="1"/>
    <x v="8"/>
  </r>
  <r>
    <s v="4232130000 LAT Beban Umum Pengoperasian Prasarana (IO)"/>
    <n v="875000000"/>
    <n v="875000000"/>
    <n v="0"/>
    <n v="466659980"/>
    <n v="466659980"/>
    <n v="408340020"/>
    <n v="0"/>
    <x v="1"/>
    <x v="5"/>
  </r>
  <r>
    <s v="4233100000 Rapat&amp;Akomodasi Beban Umum Perawatan Prasarana KAI"/>
    <n v="256899832"/>
    <n v="256899832"/>
    <n v="7567000"/>
    <n v="27969350"/>
    <n v="35536350"/>
    <n v="221363482"/>
    <n v="0"/>
    <x v="1"/>
    <x v="1"/>
  </r>
  <r>
    <s v="4233150010 Kerumahtanggaan Beban Umum Perawatan Prasarana KAI"/>
    <n v="204937866"/>
    <n v="204937866"/>
    <n v="49275316"/>
    <n v="14993600"/>
    <n v="64268916"/>
    <n v="140668950"/>
    <n v="0"/>
    <x v="1"/>
    <x v="1"/>
  </r>
  <r>
    <s v="4233151710 Kerumahtanggaan UMDT Beban Umum Perawatan Pras KAI"/>
    <n v="83250000"/>
    <n v="83250000"/>
    <n v="0"/>
    <n v="15750000"/>
    <n v="15750000"/>
    <n v="67500000"/>
    <n v="0"/>
    <x v="1"/>
    <x v="1"/>
  </r>
  <r>
    <s v="4233160010 Inventaris Beban Umum Perawatan Prasarana KAI"/>
    <n v="336297413"/>
    <n v="336297413"/>
    <n v="0"/>
    <n v="0"/>
    <n v="0"/>
    <n v="336297413"/>
    <n v="0"/>
    <x v="1"/>
    <x v="1"/>
  </r>
  <r>
    <s v="4233180010 Beban Umum Pengiriman Prasarana KAI"/>
    <n v="5000000"/>
    <n v="5000000"/>
    <n v="0"/>
    <n v="0"/>
    <n v="0"/>
    <n v="5000000"/>
    <n v="0"/>
    <x v="1"/>
    <x v="1"/>
  </r>
  <r>
    <s v="4233200000 Perjalanan Dinas BebanUmum Perawatan Prasarana KAI"/>
    <n v="201492190"/>
    <n v="201492190"/>
    <n v="0"/>
    <n v="55122500"/>
    <n v="55122500"/>
    <n v="146369690"/>
    <n v="0"/>
    <x v="1"/>
    <x v="1"/>
  </r>
  <r>
    <s v="4233400000 ATK Beban Umum Perawatan Prasarana KAI"/>
    <n v="35341673"/>
    <n v="35341673"/>
    <n v="0"/>
    <n v="0"/>
    <n v="0"/>
    <n v="35341673"/>
    <n v="0"/>
    <x v="1"/>
    <x v="1"/>
  </r>
  <r>
    <s v="4242000000 Beban Penyusutan AT Bangunan Kantor"/>
    <n v="0"/>
    <n v="0"/>
    <n v="0"/>
    <n v="6318436"/>
    <n v="6318436"/>
    <n v="-6318436"/>
    <n v="0"/>
    <x v="1"/>
    <x v="6"/>
  </r>
  <r>
    <s v="4272100010 Gaji &amp;Tunjangan PegawaiPerawatan Prasarana Unit JJ"/>
    <n v="22931607229"/>
    <n v="22931607229"/>
    <n v="0"/>
    <n v="3273696856"/>
    <n v="3273696856"/>
    <n v="19657910373"/>
    <n v="0"/>
    <x v="1"/>
    <x v="6"/>
  </r>
  <r>
    <s v="4272200010 Iuran Pensiun Pegawai Perawatan Prasarana Unit JJ/"/>
    <n v="604955157"/>
    <n v="604955157"/>
    <n v="0"/>
    <n v="87915397"/>
    <n v="87915397"/>
    <n v="517039760"/>
    <n v="0"/>
    <x v="1"/>
    <x v="6"/>
  </r>
  <r>
    <s v="4272400000 Lembur dan Perangsang Peg PrwtnPrsrna unit JJ/Sntl"/>
    <n v="20967421530"/>
    <n v="20967421530"/>
    <n v="0"/>
    <n v="1613036038"/>
    <n v="1613036038"/>
    <n v="19354385492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258896079"/>
    <n v="258896079"/>
    <n v="1390530506"/>
    <n v="0"/>
    <x v="1"/>
    <x v="6"/>
  </r>
  <r>
    <s v="4273200010 Iuran Pensiun Pegawai Renwas JJ/Sintel LAA"/>
    <n v="53660123"/>
    <n v="53660123"/>
    <n v="0"/>
    <n v="10936488"/>
    <n v="10936488"/>
    <n v="42723635"/>
    <n v="0"/>
    <x v="1"/>
    <x v="6"/>
  </r>
  <r>
    <s v="4273400000 Lembur dan Perangsang Pegawai Renwas JJ/Sintel LAA"/>
    <n v="1937118528"/>
    <n v="1937118528"/>
    <n v="0"/>
    <n v="205194521"/>
    <n v="205194521"/>
    <n v="1731924007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84251784955"/>
    <n v="84251784955"/>
    <n v="17605844082"/>
    <n v="6071405261"/>
    <n v="23677249343"/>
    <n v="60574535612"/>
    <n v="0"/>
    <x v="1"/>
    <x v="7"/>
  </r>
  <r>
    <s v="1182000000 Persediaan Prasarana Perkeretaapian dan Umum"/>
    <n v="2022054000"/>
    <n v="2022054000"/>
    <n v="1229711000"/>
    <n v="0"/>
    <n v="1229711000"/>
    <n v="792343000"/>
    <n v="0"/>
    <x v="2"/>
    <x v="0"/>
  </r>
  <r>
    <s v="4123110010 Gaji &amp;Tunjangan Pegawai Operasi Sarana"/>
    <n v="0"/>
    <n v="0"/>
    <n v="0"/>
    <n v="-1450000"/>
    <n v="-1450000"/>
    <n v="1450000"/>
    <n v="0"/>
    <x v="2"/>
    <x v="6"/>
  </r>
  <r>
    <s v="4221521010 Catu Daya LAA BMN"/>
    <n v="828635000"/>
    <n v="828635000"/>
    <n v="53100000"/>
    <n v="58598600"/>
    <n v="111698600"/>
    <n v="716936400"/>
    <n v="0"/>
    <x v="2"/>
    <x v="0"/>
  </r>
  <r>
    <s v="4221522010 Tranmisi Tenaga LAA BMN"/>
    <n v="23866781388"/>
    <n v="23866781388"/>
    <n v="22699357069"/>
    <n v="270535984"/>
    <n v="22969893053"/>
    <n v="896888335"/>
    <n v="0"/>
    <x v="2"/>
    <x v="0"/>
  </r>
  <r>
    <s v="4221523010 Pengendalian Catu Daya LAA BMN"/>
    <n v="144110500"/>
    <n v="144110500"/>
    <n v="0"/>
    <n v="0"/>
    <n v="0"/>
    <n v="144110500"/>
    <n v="0"/>
    <x v="2"/>
    <x v="0"/>
  </r>
  <r>
    <s v="4221524010 Tanda Semboyan LAA BMN"/>
    <n v="296500000"/>
    <n v="296500000"/>
    <n v="0"/>
    <n v="0"/>
    <n v="0"/>
    <n v="296500000"/>
    <n v="0"/>
    <x v="2"/>
    <x v="0"/>
  </r>
  <r>
    <s v="4221525010 Bangunan LAA BMN"/>
    <n v="605382500"/>
    <n v="605382500"/>
    <n v="104534440"/>
    <n v="0"/>
    <n v="104534440"/>
    <n v="500848060"/>
    <n v="0"/>
    <x v="2"/>
    <x v="0"/>
  </r>
  <r>
    <s v="4221526010 Sistim Proteksi LAA BMN"/>
    <n v="396500562"/>
    <n v="396500562"/>
    <n v="396500562"/>
    <n v="0"/>
    <n v="396500562"/>
    <n v="0"/>
    <n v="0"/>
    <x v="2"/>
    <x v="0"/>
  </r>
  <r>
    <s v="4221527010 Pendukung LAA BMN"/>
    <n v="1398260000"/>
    <n v="1398260000"/>
    <n v="722440785"/>
    <n v="127902843"/>
    <n v="850343628"/>
    <n v="547916372"/>
    <n v="0"/>
    <x v="2"/>
    <x v="0"/>
  </r>
  <r>
    <s v="4222521010 Catu Daya LAA KAI"/>
    <n v="115793500"/>
    <n v="115793500"/>
    <n v="0"/>
    <n v="0"/>
    <n v="0"/>
    <n v="115793500"/>
    <n v="0"/>
    <x v="2"/>
    <x v="2"/>
  </r>
  <r>
    <s v="4222522010 Tranmisi Tenaga LAA KAI"/>
    <n v="2926668275"/>
    <n v="180831882"/>
    <n v="0"/>
    <n v="0"/>
    <n v="0"/>
    <n v="180831882"/>
    <n v="2745836393"/>
    <x v="2"/>
    <x v="2"/>
  </r>
  <r>
    <s v="4222525010 Bangunan LAA KAI"/>
    <n v="200000000"/>
    <n v="200000000"/>
    <n v="45150000"/>
    <n v="7366373"/>
    <n v="52516373"/>
    <n v="147483627"/>
    <n v="0"/>
    <x v="2"/>
    <x v="2"/>
  </r>
  <r>
    <s v="4222526010 Sistim Proteksi LAA KAI"/>
    <n v="144577500"/>
    <n v="144577500"/>
    <n v="0"/>
    <n v="0"/>
    <n v="0"/>
    <n v="144577500"/>
    <n v="0"/>
    <x v="2"/>
    <x v="2"/>
  </r>
  <r>
    <s v="4222527010 Pendukung LAA KAI"/>
    <n v="180000000"/>
    <n v="180000000"/>
    <n v="0"/>
    <n v="0"/>
    <n v="0"/>
    <n v="180000000"/>
    <n v="0"/>
    <x v="2"/>
    <x v="2"/>
  </r>
  <r>
    <s v="4222528010 Alat Kerja pendukung perawatan KAI"/>
    <n v="855247000"/>
    <n v="855247000"/>
    <n v="63755600"/>
    <n v="0"/>
    <n v="63755600"/>
    <n v="791491400"/>
    <n v="0"/>
    <x v="2"/>
    <x v="2"/>
  </r>
  <r>
    <s v="4222600000 Peralatan Khusus Prasarana KAI"/>
    <n v="100000000"/>
    <n v="100000000"/>
    <n v="0"/>
    <n v="24488000"/>
    <n v="24488000"/>
    <n v="75512000"/>
    <n v="0"/>
    <x v="2"/>
    <x v="3"/>
  </r>
  <r>
    <s v="4233100000 Rapat&amp;Akomodasi Beban Umum Perawatan Prasarana KAI"/>
    <n v="21194933"/>
    <n v="21194933"/>
    <n v="10047000"/>
    <n v="2008000"/>
    <n v="12055000"/>
    <n v="9139933"/>
    <n v="0"/>
    <x v="2"/>
    <x v="1"/>
  </r>
  <r>
    <s v="4233150010 Kerumahtanggaan Beban Umum Perawatan Prasarana KAI"/>
    <n v="54400000"/>
    <n v="54400000"/>
    <n v="19700000"/>
    <n v="27200000"/>
    <n v="46900000"/>
    <n v="7500000"/>
    <n v="0"/>
    <x v="2"/>
    <x v="1"/>
  </r>
  <r>
    <s v="4233151710 Kerumahtanggaan UMDT Beban Umum Perawatan Pras KAI"/>
    <n v="34454000"/>
    <n v="34454000"/>
    <n v="0"/>
    <n v="11500000"/>
    <n v="11500000"/>
    <n v="22954000"/>
    <n v="0"/>
    <x v="2"/>
    <x v="1"/>
  </r>
  <r>
    <s v="4233200000 Perjalanan Dinas BebanUmum Perawatan Prasarana KAI"/>
    <n v="111048250"/>
    <n v="111048250"/>
    <n v="0"/>
    <n v="77114000"/>
    <n v="77114000"/>
    <n v="33934250"/>
    <n v="0"/>
    <x v="2"/>
    <x v="1"/>
  </r>
  <r>
    <s v="4241000000 Beban Penyusutan AT Prasarana Perkeretaapian"/>
    <n v="0"/>
    <n v="0"/>
    <n v="0"/>
    <n v="60232409"/>
    <n v="60232409"/>
    <n v="-60232409"/>
    <n v="0"/>
    <x v="2"/>
    <x v="6"/>
  </r>
  <r>
    <s v="4242000000 Beban Penyusutan AT Bangunan Kantor"/>
    <n v="0"/>
    <n v="0"/>
    <n v="0"/>
    <n v="4113715"/>
    <n v="4113715"/>
    <n v="-4113715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2331721923"/>
    <n v="2331721923"/>
    <n v="13891922930"/>
    <n v="0"/>
    <x v="2"/>
    <x v="6"/>
  </r>
  <r>
    <s v="4272200010 Iuran Pensiun Pegawai Perawatan Prasarana Unit JJ/"/>
    <n v="201591062"/>
    <n v="201591062"/>
    <n v="0"/>
    <n v="32984926"/>
    <n v="32984926"/>
    <n v="168606136"/>
    <n v="0"/>
    <x v="2"/>
    <x v="6"/>
  </r>
  <r>
    <s v="4272400000 Lembur dan Perangsang Peg PrwtnPrsrna unit JJ/Sntl"/>
    <n v="14498179948"/>
    <n v="14498179948"/>
    <n v="0"/>
    <n v="1150516481"/>
    <n v="1150516481"/>
    <n v="1334766346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195522638"/>
    <n v="195522638"/>
    <n v="1768950358"/>
    <n v="0"/>
    <x v="2"/>
    <x v="6"/>
  </r>
  <r>
    <s v="4273200010 Iuran Pensiun Pegawai Renwas JJ/Sintel LAA"/>
    <n v="40912616"/>
    <n v="40912616"/>
    <n v="0"/>
    <n v="6685068"/>
    <n v="6685068"/>
    <n v="34227548"/>
    <n v="0"/>
    <x v="2"/>
    <x v="6"/>
  </r>
  <r>
    <s v="4273400000 Lembur dan Perangsang Pegawai Renwas JJ/Sintel LAA"/>
    <n v="1928660874"/>
    <n v="1928660874"/>
    <n v="0"/>
    <n v="172772106"/>
    <n v="172772106"/>
    <n v="1755888768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69242132443"/>
    <n v="66496296050"/>
    <n v="25344296456"/>
    <n v="4560304437"/>
    <n v="29904600893"/>
    <n v="36591695157"/>
    <n v="2745836393"/>
    <x v="2"/>
    <x v="7"/>
  </r>
  <r>
    <s v="1182000000 Persediaan Prasarana Perkeretaapian dan Umum"/>
    <n v="4497835000"/>
    <n v="4497835000"/>
    <n v="3030321792"/>
    <n v="0"/>
    <n v="3030321792"/>
    <n v="1467513208"/>
    <n v="0"/>
    <x v="3"/>
    <x v="0"/>
  </r>
  <r>
    <s v="4221422010 Peralatan Luar Sinyal Elektrik BMN"/>
    <n v="217840000"/>
    <n v="217840000"/>
    <n v="8607111"/>
    <n v="0"/>
    <n v="8607111"/>
    <n v="209232889"/>
    <n v="0"/>
    <x v="3"/>
    <x v="0"/>
  </r>
  <r>
    <s v="4221423010 Peralatan Dalam Sinyal Mekanik BMN"/>
    <n v="114945000"/>
    <n v="114945000"/>
    <n v="0"/>
    <n v="0"/>
    <n v="0"/>
    <n v="114945000"/>
    <n v="0"/>
    <x v="3"/>
    <x v="0"/>
  </r>
  <r>
    <s v="4221424010 Peralatan Luar Sinyal Mekanik BMN"/>
    <n v="506359062"/>
    <n v="506359062"/>
    <n v="4778729"/>
    <n v="4687290"/>
    <n v="9466019"/>
    <n v="496893043"/>
    <n v="0"/>
    <x v="3"/>
    <x v="0"/>
  </r>
  <r>
    <s v="4221425010 Pengamanan Perlintasan Sebidang BMN"/>
    <n v="600349500"/>
    <n v="600349500"/>
    <n v="0"/>
    <n v="0"/>
    <n v="0"/>
    <n v="600349500"/>
    <n v="0"/>
    <x v="3"/>
    <x v="0"/>
  </r>
  <r>
    <s v="4221426010 Pesawat Telepon BMN"/>
    <n v="409266000"/>
    <n v="409266000"/>
    <n v="283749760"/>
    <n v="0"/>
    <n v="283749760"/>
    <n v="125516240"/>
    <n v="0"/>
    <x v="3"/>
    <x v="0"/>
  </r>
  <r>
    <s v="4221427010 Transmisi Komunikasi BMN"/>
    <n v="2412432000"/>
    <n v="2412432000"/>
    <n v="499522624"/>
    <n v="0"/>
    <n v="499522624"/>
    <n v="1912909376"/>
    <n v="0"/>
    <x v="3"/>
    <x v="0"/>
  </r>
  <r>
    <s v="4221428010 Peralatan Pendukung Sintel BMN"/>
    <n v="832500000"/>
    <n v="832500000"/>
    <n v="250134752"/>
    <n v="93294133"/>
    <n v="343428885"/>
    <n v="489071115"/>
    <n v="0"/>
    <x v="3"/>
    <x v="0"/>
  </r>
  <r>
    <s v="4221428011 Bangunan Sintel BMN"/>
    <n v="265033500"/>
    <n v="265033500"/>
    <n v="0"/>
    <n v="0"/>
    <n v="0"/>
    <n v="265033500"/>
    <n v="0"/>
    <x v="3"/>
    <x v="0"/>
  </r>
  <r>
    <s v="4221428012 Sistem Proteksi Sintel BMN"/>
    <n v="443635113"/>
    <n v="443635113"/>
    <n v="0"/>
    <n v="49555233"/>
    <n v="49555233"/>
    <n v="394079880"/>
    <n v="0"/>
    <x v="3"/>
    <x v="0"/>
  </r>
  <r>
    <s v="4221428014 Catu Daya Sintel BMN"/>
    <n v="1906218580"/>
    <n v="1906218580"/>
    <n v="688318140"/>
    <n v="0"/>
    <n v="688318140"/>
    <n v="1217900440"/>
    <n v="0"/>
    <x v="3"/>
    <x v="0"/>
  </r>
  <r>
    <s v="4222422110 Peralatan Pendukung Sintel KAI"/>
    <n v="177000000"/>
    <n v="177000000"/>
    <n v="0"/>
    <n v="0"/>
    <n v="0"/>
    <n v="177000000"/>
    <n v="0"/>
    <x v="3"/>
    <x v="2"/>
  </r>
  <r>
    <s v="4222423110 Bangunan Sintel KAI"/>
    <n v="225000000"/>
    <n v="225000000"/>
    <n v="0"/>
    <n v="0"/>
    <n v="0"/>
    <n v="225000000"/>
    <n v="0"/>
    <x v="3"/>
    <x v="2"/>
  </r>
  <r>
    <s v="4222470010 Alat Kerja Sintel KAI"/>
    <n v="394079880"/>
    <n v="394079880"/>
    <n v="0"/>
    <n v="0"/>
    <n v="0"/>
    <n v="394079880"/>
    <n v="0"/>
    <x v="3"/>
    <x v="2"/>
  </r>
  <r>
    <s v="4222600000 Peralatan Khusus Prasarana KAI"/>
    <n v="352500000"/>
    <n v="352500000"/>
    <n v="0"/>
    <n v="0"/>
    <n v="0"/>
    <n v="352500000"/>
    <n v="0"/>
    <x v="3"/>
    <x v="3"/>
  </r>
  <r>
    <s v="4222800000 Beban BBM Mekanik Prasarana"/>
    <n v="59437500"/>
    <n v="59437500"/>
    <n v="15775000"/>
    <n v="0"/>
    <n v="15775000"/>
    <n v="43662500"/>
    <n v="0"/>
    <x v="3"/>
    <x v="8"/>
  </r>
  <r>
    <s v="4232130000 LAT Beban Umum Pengoperasian Prasarana (IO)"/>
    <n v="565000000"/>
    <n v="565000000"/>
    <n v="0"/>
    <n v="325092882"/>
    <n v="325092882"/>
    <n v="239907118"/>
    <n v="0"/>
    <x v="3"/>
    <x v="5"/>
  </r>
  <r>
    <s v="4233100000 Rapat&amp;Akomodasi Beban Umum Perawatan Prasarana KAI"/>
    <n v="28350000"/>
    <n v="28350000"/>
    <n v="0"/>
    <n v="18812609"/>
    <n v="18812609"/>
    <n v="9537391"/>
    <n v="0"/>
    <x v="3"/>
    <x v="1"/>
  </r>
  <r>
    <s v="4233150010 Kerumahtanggaan Beban Umum Perawatan Prasarana KAI"/>
    <n v="75700000"/>
    <n v="75700000"/>
    <n v="25113500"/>
    <n v="21300000"/>
    <n v="46413500"/>
    <n v="29286500"/>
    <n v="0"/>
    <x v="3"/>
    <x v="1"/>
  </r>
  <r>
    <s v="4233151710 Kerumahtanggaan UMDT Beban Umum Perawatan Pras KAI"/>
    <n v="24750000"/>
    <n v="24750000"/>
    <n v="0"/>
    <n v="8082500"/>
    <n v="8082500"/>
    <n v="16667500"/>
    <n v="0"/>
    <x v="3"/>
    <x v="1"/>
  </r>
  <r>
    <s v="4233160010 Inventaris Beban Umum Perawatan Prasarana KAI"/>
    <n v="82403000"/>
    <n v="82403000"/>
    <n v="0"/>
    <n v="44456500"/>
    <n v="44456500"/>
    <n v="37946500"/>
    <n v="0"/>
    <x v="3"/>
    <x v="1"/>
  </r>
  <r>
    <s v="4233200000 Perjalanan Dinas BebanUmum Perawatan Prasarana KAI"/>
    <n v="53353000"/>
    <n v="53353000"/>
    <n v="0"/>
    <n v="31812000"/>
    <n v="31812000"/>
    <n v="21541000"/>
    <n v="0"/>
    <x v="3"/>
    <x v="1"/>
  </r>
  <r>
    <s v="4233400000 ATK Beban Umum Perawatan Prasarana KAI"/>
    <n v="8000000"/>
    <n v="8000000"/>
    <n v="0"/>
    <n v="7199500"/>
    <n v="7199500"/>
    <n v="800500"/>
    <n v="0"/>
    <x v="3"/>
    <x v="1"/>
  </r>
  <r>
    <s v="4242000000 Beban Penyusutan AT Bangunan Kantor"/>
    <n v="0"/>
    <n v="0"/>
    <n v="0"/>
    <n v="38633479"/>
    <n v="38633479"/>
    <n v="-38633479"/>
    <n v="0"/>
    <x v="3"/>
    <x v="6"/>
  </r>
  <r>
    <s v="4272100010 Gaji &amp;Tunjangan PegawaiPerawatan Prasarana Unit JJ"/>
    <n v="9949094083"/>
    <n v="9949094083"/>
    <n v="0"/>
    <n v="1449349467"/>
    <n v="1449349467"/>
    <n v="8499744616"/>
    <n v="0"/>
    <x v="3"/>
    <x v="6"/>
  </r>
  <r>
    <s v="4272200010 Iuran Pensiun Pegawai Perawatan Prasarana Unit JJ/"/>
    <n v="386565402"/>
    <n v="386565402"/>
    <n v="0"/>
    <n v="64014112"/>
    <n v="64014112"/>
    <n v="322551290"/>
    <n v="0"/>
    <x v="3"/>
    <x v="6"/>
  </r>
  <r>
    <s v="4272400000 Lembur dan Perangsang Peg PrwtnPrsrna unit JJ/Sntl"/>
    <n v="9769849891"/>
    <n v="9769849891"/>
    <n v="0"/>
    <n v="738995660"/>
    <n v="738995660"/>
    <n v="9030854231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129978953"/>
    <n v="129978953"/>
    <n v="1278533050"/>
    <n v="0"/>
    <x v="3"/>
    <x v="6"/>
  </r>
  <r>
    <s v="4273200010 Iuran Pensiun Pegawai Renwas JJ/Sintel LAA"/>
    <n v="38319389"/>
    <n v="38319389"/>
    <n v="0"/>
    <n v="4312708"/>
    <n v="4312708"/>
    <n v="34006681"/>
    <n v="0"/>
    <x v="3"/>
    <x v="6"/>
  </r>
  <r>
    <s v="4273400000 Lembur dan Perangsang Pegawai Renwas JJ/Sintel LAA"/>
    <n v="1330317539"/>
    <n v="1330317539"/>
    <n v="0"/>
    <n v="117253150"/>
    <n v="117253150"/>
    <n v="1213064389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18275000"/>
    <n v="18275000"/>
    <n v="-18275000"/>
    <n v="0"/>
    <x v="3"/>
    <x v="6"/>
  </r>
  <r>
    <s v="22022000 Sintelis"/>
    <n v="37196254852"/>
    <n v="37196254852"/>
    <n v="4806321408"/>
    <n v="3165105176"/>
    <n v="7971426584"/>
    <n v="29224828268"/>
    <n v="0"/>
    <x v="3"/>
    <x v="7"/>
  </r>
  <r>
    <s v="1182000000 Persediaan Prasarana Perkeretaapian dan Umum"/>
    <n v="5691755500"/>
    <n v="5691755500"/>
    <n v="531491000"/>
    <n v="0"/>
    <n v="531491000"/>
    <n v="5160264500"/>
    <n v="0"/>
    <x v="4"/>
    <x v="0"/>
  </r>
  <r>
    <s v="4221422010 Peralatan Luar Sinyal Elektrik BMN"/>
    <n v="874758000"/>
    <n v="874758000"/>
    <n v="418866400"/>
    <n v="0"/>
    <n v="418866400"/>
    <n v="455891600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249837500"/>
    <n v="249837500"/>
    <n v="106240051"/>
    <n v="0"/>
    <n v="106240051"/>
    <n v="143597449"/>
    <n v="0"/>
    <x v="4"/>
    <x v="0"/>
  </r>
  <r>
    <s v="4221426010 Pesawat Telepon BMN"/>
    <n v="435218500"/>
    <n v="435218500"/>
    <n v="37086200"/>
    <n v="0"/>
    <n v="37086200"/>
    <n v="398132300"/>
    <n v="0"/>
    <x v="4"/>
    <x v="0"/>
  </r>
  <r>
    <s v="4221427010 Transmisi Komunikasi BMN"/>
    <n v="196881500"/>
    <n v="196881500"/>
    <n v="0"/>
    <n v="10224916"/>
    <n v="10224916"/>
    <n v="186656584"/>
    <n v="0"/>
    <x v="4"/>
    <x v="0"/>
  </r>
  <r>
    <s v="4221428010 Peralatan Pendukung Sintel BMN"/>
    <n v="1155703000"/>
    <n v="1155703000"/>
    <n v="376820336"/>
    <n v="17820000"/>
    <n v="394640336"/>
    <n v="761062664"/>
    <n v="0"/>
    <x v="4"/>
    <x v="0"/>
  </r>
  <r>
    <s v="4221428011 Bangunan Sintel BMN"/>
    <n v="231680000"/>
    <n v="231680000"/>
    <n v="0"/>
    <n v="0"/>
    <n v="0"/>
    <n v="231680000"/>
    <n v="0"/>
    <x v="4"/>
    <x v="0"/>
  </r>
  <r>
    <s v="4221428012 Sistem Proteksi Sintel BMN"/>
    <n v="498478000"/>
    <n v="498478000"/>
    <n v="0"/>
    <n v="0"/>
    <n v="0"/>
    <n v="498478000"/>
    <n v="0"/>
    <x v="4"/>
    <x v="0"/>
  </r>
  <r>
    <s v="4221428013 Tanda Semboyan Marka Sintel BMN"/>
    <n v="158995000"/>
    <n v="158995000"/>
    <n v="3857000"/>
    <n v="0"/>
    <n v="3857000"/>
    <n v="155138000"/>
    <n v="0"/>
    <x v="4"/>
    <x v="0"/>
  </r>
  <r>
    <s v="4221428014 Catu Daya Sintel BMN"/>
    <n v="1213930000"/>
    <n v="1213930000"/>
    <n v="0"/>
    <n v="0"/>
    <n v="0"/>
    <n v="1213930000"/>
    <n v="0"/>
    <x v="4"/>
    <x v="0"/>
  </r>
  <r>
    <s v="4222423110 Bangunan Sintel KAI"/>
    <n v="250000000"/>
    <n v="250000000"/>
    <n v="28227453"/>
    <n v="0"/>
    <n v="28227453"/>
    <n v="221772547"/>
    <n v="0"/>
    <x v="4"/>
    <x v="2"/>
  </r>
  <r>
    <s v="4222424010 Peralatan Luar Sinyal Elektrik KAI"/>
    <n v="39449000"/>
    <n v="39449000"/>
    <n v="0"/>
    <n v="0"/>
    <n v="0"/>
    <n v="39449000"/>
    <n v="0"/>
    <x v="4"/>
    <x v="2"/>
  </r>
  <r>
    <s v="4222470010 Alat Kerja Sintel KAI"/>
    <n v="433971000"/>
    <n v="433971000"/>
    <n v="0"/>
    <n v="0"/>
    <n v="0"/>
    <n v="433971000"/>
    <n v="0"/>
    <x v="4"/>
    <x v="2"/>
  </r>
  <r>
    <s v="4222600000 Peralatan Khusus Prasarana KAI"/>
    <n v="125000000"/>
    <n v="125000000"/>
    <n v="0"/>
    <n v="0"/>
    <n v="0"/>
    <n v="125000000"/>
    <n v="0"/>
    <x v="4"/>
    <x v="3"/>
  </r>
  <r>
    <s v="4222800000 Beban BBM Mekanik Prasarana"/>
    <n v="45045000"/>
    <n v="45045000"/>
    <n v="11205000"/>
    <n v="0"/>
    <n v="11205000"/>
    <n v="33840000"/>
    <n v="0"/>
    <x v="4"/>
    <x v="8"/>
  </r>
  <r>
    <s v="4231140000 Komunikasi Radio &amp; Telekomunikasi"/>
    <n v="33075000"/>
    <n v="33075000"/>
    <n v="0"/>
    <n v="0"/>
    <n v="0"/>
    <n v="33075000"/>
    <n v="0"/>
    <x v="4"/>
    <x v="5"/>
  </r>
  <r>
    <s v="4232130000 LAT Beban Umum Pengoperasian Prasarana (IO)"/>
    <n v="592250000"/>
    <n v="592250000"/>
    <n v="0"/>
    <n v="346245306"/>
    <n v="346245306"/>
    <n v="246004694"/>
    <n v="0"/>
    <x v="4"/>
    <x v="5"/>
  </r>
  <r>
    <s v="4233100000 Rapat&amp;Akomodasi Beban Umum Perawatan Prasarana KAI"/>
    <n v="45000000"/>
    <n v="45000000"/>
    <n v="10000000"/>
    <n v="5000000"/>
    <n v="15000000"/>
    <n v="30000000"/>
    <n v="0"/>
    <x v="4"/>
    <x v="1"/>
  </r>
  <r>
    <s v="4233150010 Kerumahtanggaan Beban Umum Perawatan Prasarana KAI"/>
    <n v="136250000"/>
    <n v="136250000"/>
    <n v="78481609"/>
    <n v="47571235"/>
    <n v="126052844"/>
    <n v="10197156"/>
    <n v="0"/>
    <x v="4"/>
    <x v="1"/>
  </r>
  <r>
    <s v="4233151710 Kerumahtanggaan UMDT Beban Umum Perawatan Pras KAI"/>
    <n v="21750000"/>
    <n v="21750000"/>
    <n v="0"/>
    <n v="7211500"/>
    <n v="7211500"/>
    <n v="14538500"/>
    <n v="0"/>
    <x v="4"/>
    <x v="1"/>
  </r>
  <r>
    <s v="4233160010 Inventaris Beban Umum Perawatan Prasarana KAI"/>
    <n v="146550000"/>
    <n v="146550000"/>
    <n v="55181319"/>
    <n v="0"/>
    <n v="55181319"/>
    <n v="91368681"/>
    <n v="0"/>
    <x v="4"/>
    <x v="1"/>
  </r>
  <r>
    <s v="4233180010 Beban Umum Pengiriman Prasarana KAI"/>
    <n v="5000000"/>
    <n v="5000000"/>
    <n v="0"/>
    <n v="3000000"/>
    <n v="3000000"/>
    <n v="2000000"/>
    <n v="0"/>
    <x v="4"/>
    <x v="1"/>
  </r>
  <r>
    <s v="4233200000 Perjalanan Dinas BebanUmum Perawatan Prasarana KAI"/>
    <n v="54100500"/>
    <n v="54100500"/>
    <n v="0"/>
    <n v="26827000"/>
    <n v="26827000"/>
    <n v="27273500"/>
    <n v="0"/>
    <x v="4"/>
    <x v="1"/>
  </r>
  <r>
    <s v="4233400000 ATK Beban Umum Perawatan Prasarana KAI"/>
    <n v="12000000"/>
    <n v="12000000"/>
    <n v="6889220"/>
    <n v="0"/>
    <n v="6889220"/>
    <n v="5110780"/>
    <n v="0"/>
    <x v="4"/>
    <x v="1"/>
  </r>
  <r>
    <s v="4272100010 Gaji &amp;Tunjangan PegawaiPerawatan Prasarana Unit JJ"/>
    <n v="7504723378"/>
    <n v="7504723378"/>
    <n v="0"/>
    <n v="1068280190"/>
    <n v="1068280190"/>
    <n v="6436443188"/>
    <n v="0"/>
    <x v="4"/>
    <x v="6"/>
  </r>
  <r>
    <s v="4272200010 Iuran Pensiun Pegawai Perawatan Prasarana Unit JJ/"/>
    <n v="226336070"/>
    <n v="226336070"/>
    <n v="0"/>
    <n v="37653988"/>
    <n v="37653988"/>
    <n v="188682082"/>
    <n v="0"/>
    <x v="4"/>
    <x v="6"/>
  </r>
  <r>
    <s v="4272400000 Lembur dan Perangsang Peg PrwtnPrsrna unit JJ/Sntl"/>
    <n v="7328638500"/>
    <n v="7328638500"/>
    <n v="0"/>
    <n v="507515000"/>
    <n v="507515000"/>
    <n v="6821123500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133425611"/>
    <n v="133425611"/>
    <n v="1152593722"/>
    <n v="0"/>
    <x v="4"/>
    <x v="6"/>
  </r>
  <r>
    <s v="4273200010 Iuran Pensiun Pegawai Renwas JJ/Sintel LAA"/>
    <n v="36818740"/>
    <n v="36818740"/>
    <n v="0"/>
    <n v="6120465"/>
    <n v="6120465"/>
    <n v="30698275"/>
    <n v="0"/>
    <x v="4"/>
    <x v="6"/>
  </r>
  <r>
    <s v="4273400000 Lembur dan Perangsang Pegawai Renwas JJ/Sintel LAA"/>
    <n v="1371419909"/>
    <n v="1371419909"/>
    <n v="0"/>
    <n v="124015714"/>
    <n v="124015714"/>
    <n v="1247404195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30446840487"/>
    <n v="30446840487"/>
    <n v="1664345588"/>
    <n v="2340910925"/>
    <n v="4005256513"/>
    <n v="26441583974"/>
    <n v="0"/>
    <x v="4"/>
    <x v="7"/>
  </r>
  <r>
    <s v="1182000000 Persediaan Prasarana Perkeretaapian dan Umum"/>
    <n v="3658728280"/>
    <n v="3658728280"/>
    <n v="0"/>
    <n v="0"/>
    <n v="0"/>
    <n v="365872828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1515061000"/>
    <n v="1515061000"/>
    <n v="455634691"/>
    <n v="0"/>
    <n v="455634691"/>
    <n v="1059426309"/>
    <n v="0"/>
    <x v="5"/>
    <x v="0"/>
  </r>
  <r>
    <s v="4221423010 Peralatan Dalam Sinyal Mekanik BMN"/>
    <n v="225000000"/>
    <n v="225000000"/>
    <n v="0"/>
    <n v="0"/>
    <n v="0"/>
    <n v="225000000"/>
    <n v="0"/>
    <x v="5"/>
    <x v="0"/>
  </r>
  <r>
    <s v="4221424010 Peralatan Luar Sinyal Mekanik BMN"/>
    <n v="227500000"/>
    <n v="227500000"/>
    <n v="0"/>
    <n v="0"/>
    <n v="0"/>
    <n v="227500000"/>
    <n v="0"/>
    <x v="5"/>
    <x v="0"/>
  </r>
  <r>
    <s v="4221425010 Pengamanan Perlintasan Sebidang BMN"/>
    <n v="234500000"/>
    <n v="234500000"/>
    <n v="49635000"/>
    <n v="0"/>
    <n v="49635000"/>
    <n v="184865000"/>
    <n v="0"/>
    <x v="5"/>
    <x v="0"/>
  </r>
  <r>
    <s v="4221426010 Pesawat Telepon BMN"/>
    <n v="200000000"/>
    <n v="200000000"/>
    <n v="0"/>
    <n v="0"/>
    <n v="0"/>
    <n v="200000000"/>
    <n v="0"/>
    <x v="5"/>
    <x v="0"/>
  </r>
  <r>
    <s v="4221427010 Transmisi Komunikasi BMN"/>
    <n v="304500000"/>
    <n v="304500000"/>
    <n v="59274000"/>
    <n v="6600000"/>
    <n v="65874000"/>
    <n v="238626000"/>
    <n v="0"/>
    <x v="5"/>
    <x v="0"/>
  </r>
  <r>
    <s v="4221428010 Peralatan Pendukung Sintel BMN"/>
    <n v="931325000"/>
    <n v="931325000"/>
    <n v="151082296"/>
    <n v="19967500"/>
    <n v="171049796"/>
    <n v="760275204"/>
    <n v="0"/>
    <x v="5"/>
    <x v="0"/>
  </r>
  <r>
    <s v="4221428011 Bangunan Sintel BMN"/>
    <n v="140500000"/>
    <n v="140500000"/>
    <n v="0"/>
    <n v="0"/>
    <n v="0"/>
    <n v="140500000"/>
    <n v="0"/>
    <x v="5"/>
    <x v="0"/>
  </r>
  <r>
    <s v="4221428012 Sistem Proteksi Sintel BMN"/>
    <n v="475000000"/>
    <n v="475000000"/>
    <n v="0"/>
    <n v="0"/>
    <n v="0"/>
    <n v="475000000"/>
    <n v="0"/>
    <x v="5"/>
    <x v="0"/>
  </r>
  <r>
    <s v="4221428013 Tanda Semboyan Marka Sintel BMN"/>
    <n v="25000000"/>
    <n v="25000000"/>
    <n v="0"/>
    <n v="0"/>
    <n v="0"/>
    <n v="25000000"/>
    <n v="0"/>
    <x v="5"/>
    <x v="0"/>
  </r>
  <r>
    <s v="4221428014 Catu Daya Sintel BMN"/>
    <n v="745637500"/>
    <n v="745637500"/>
    <n v="530930000"/>
    <n v="66765000"/>
    <n v="597695000"/>
    <n v="147942500"/>
    <n v="0"/>
    <x v="5"/>
    <x v="0"/>
  </r>
  <r>
    <s v="4222422110 Peralatan Pendukung Sintel KAI"/>
    <n v="20000000"/>
    <n v="20000000"/>
    <n v="0"/>
    <n v="0"/>
    <n v="0"/>
    <n v="20000000"/>
    <n v="0"/>
    <x v="5"/>
    <x v="2"/>
  </r>
  <r>
    <s v="4222424010 Peralatan Luar Sinyal Elektrik KAI"/>
    <n v="50000000"/>
    <n v="50000000"/>
    <n v="0"/>
    <n v="0"/>
    <n v="0"/>
    <n v="50000000"/>
    <n v="0"/>
    <x v="5"/>
    <x v="2"/>
  </r>
  <r>
    <s v="4222470010 Alat Kerja Sintel KAI"/>
    <n v="254500000"/>
    <n v="254500000"/>
    <n v="0"/>
    <n v="0"/>
    <n v="0"/>
    <n v="254500000"/>
    <n v="0"/>
    <x v="5"/>
    <x v="2"/>
  </r>
  <r>
    <s v="4222600000 Peralatan Khusus Prasarana KAI"/>
    <n v="75000000"/>
    <n v="75000000"/>
    <n v="46460160"/>
    <n v="0"/>
    <n v="46460160"/>
    <n v="28539840"/>
    <n v="0"/>
    <x v="5"/>
    <x v="3"/>
  </r>
  <r>
    <s v="4222800000 Beban BBM Mekanik Prasarana"/>
    <n v="160050000"/>
    <n v="160050000"/>
    <n v="71775000"/>
    <n v="0"/>
    <n v="71775000"/>
    <n v="88275000"/>
    <n v="0"/>
    <x v="5"/>
    <x v="8"/>
  </r>
  <r>
    <s v="4232130000 LAT Beban Umum Pengoperasian Prasarana (IO)"/>
    <n v="642500000"/>
    <n v="642500000"/>
    <n v="0"/>
    <n v="394857596"/>
    <n v="394857596"/>
    <n v="247642404"/>
    <n v="0"/>
    <x v="5"/>
    <x v="5"/>
  </r>
  <r>
    <s v="4233100000 Rapat&amp;Akomodasi Beban Umum Perawatan Prasarana KAI"/>
    <n v="69718811"/>
    <n v="69718811"/>
    <n v="6100000"/>
    <n v="29718811"/>
    <n v="35818811"/>
    <n v="33900000"/>
    <n v="0"/>
    <x v="5"/>
    <x v="1"/>
  </r>
  <r>
    <s v="4233150010 Kerumahtanggaan Beban Umum Perawatan Prasarana KAI"/>
    <n v="128511500"/>
    <n v="128511500"/>
    <n v="45159000"/>
    <n v="29029500"/>
    <n v="74188500"/>
    <n v="54323000"/>
    <n v="0"/>
    <x v="5"/>
    <x v="1"/>
  </r>
  <r>
    <s v="4233151710 Kerumahtanggaan UMDT Beban Umum Perawatan Pras KAI"/>
    <n v="8750000"/>
    <n v="8750000"/>
    <n v="0"/>
    <n v="8750000"/>
    <n v="8750000"/>
    <n v="0"/>
    <n v="0"/>
    <x v="5"/>
    <x v="1"/>
  </r>
  <r>
    <s v="4233160010 Inventaris Beban Umum Perawatan Prasarana KAI"/>
    <n v="112500000"/>
    <n v="112500000"/>
    <n v="31647500"/>
    <n v="0"/>
    <n v="31647500"/>
    <n v="80852500"/>
    <n v="0"/>
    <x v="5"/>
    <x v="1"/>
  </r>
  <r>
    <s v="4233180010 Beban Umum Pengiriman Prasarana KAI"/>
    <n v="41250000"/>
    <n v="41250000"/>
    <n v="0"/>
    <n v="0"/>
    <n v="0"/>
    <n v="41250000"/>
    <n v="0"/>
    <x v="5"/>
    <x v="1"/>
  </r>
  <r>
    <s v="4233200000 Perjalanan Dinas BebanUmum Perawatan Prasarana KAI"/>
    <n v="63000000"/>
    <n v="63000000"/>
    <n v="0"/>
    <n v="42053250"/>
    <n v="42053250"/>
    <n v="20946750"/>
    <n v="0"/>
    <x v="5"/>
    <x v="1"/>
  </r>
  <r>
    <s v="4233300000 LAT Beban Umum Perawatan Prasarana KAI"/>
    <n v="4500000"/>
    <n v="4500000"/>
    <n v="2490000"/>
    <n v="942930"/>
    <n v="3432930"/>
    <n v="1067070"/>
    <n v="0"/>
    <x v="5"/>
    <x v="1"/>
  </r>
  <r>
    <s v="4233400000 ATK Beban Umum Perawatan Prasarana KAI"/>
    <n v="12500000"/>
    <n v="12500000"/>
    <n v="12495950"/>
    <n v="0"/>
    <n v="12495950"/>
    <n v="4050"/>
    <n v="0"/>
    <x v="5"/>
    <x v="1"/>
  </r>
  <r>
    <s v="4272100010 Gaji &amp;Tunjangan PegawaiPerawatan Prasarana Unit JJ"/>
    <n v="9823162126"/>
    <n v="9823162126"/>
    <n v="0"/>
    <n v="1412923038"/>
    <n v="1412923038"/>
    <n v="8410239088"/>
    <n v="0"/>
    <x v="5"/>
    <x v="6"/>
  </r>
  <r>
    <s v="4272200010 Iuran Pensiun Pegawai Perawatan Prasarana Unit JJ/"/>
    <n v="253256971"/>
    <n v="253256971"/>
    <n v="0"/>
    <n v="40195286"/>
    <n v="40195286"/>
    <n v="213061685"/>
    <n v="0"/>
    <x v="5"/>
    <x v="6"/>
  </r>
  <r>
    <s v="4272400000 Lembur dan Perangsang Peg PrwtnPrsrna unit JJ/Sntl"/>
    <n v="9245675372"/>
    <n v="9245675372"/>
    <n v="0"/>
    <n v="721505544"/>
    <n v="721505544"/>
    <n v="8524169828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148855099"/>
    <n v="148855099"/>
    <n v="562806970"/>
    <n v="0"/>
    <x v="5"/>
    <x v="6"/>
  </r>
  <r>
    <s v="4273200010 Iuran Pensiun Pegawai Renwas JJ/Sintel LAA"/>
    <n v="24702462"/>
    <n v="24702462"/>
    <n v="0"/>
    <n v="6364926"/>
    <n v="6364926"/>
    <n v="18337536"/>
    <n v="0"/>
    <x v="5"/>
    <x v="6"/>
  </r>
  <r>
    <s v="4273400000 Lembur dan Perangsang Pegawai Renwas JJ/Sintel LAA"/>
    <n v="825165933"/>
    <n v="825165933"/>
    <n v="0"/>
    <n v="113780405"/>
    <n v="113780405"/>
    <n v="711385528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31456490899"/>
    <n v="31456490899"/>
    <n v="1462683597"/>
    <n v="3042308885"/>
    <n v="4504992482"/>
    <n v="26951498417"/>
    <n v="0"/>
    <x v="5"/>
    <x v="7"/>
  </r>
  <r>
    <s v="1182000000 Persediaan Prasarana Perkeretaapian dan Umum"/>
    <n v="6132303000"/>
    <n v="6132303000"/>
    <n v="2745365730"/>
    <n v="0"/>
    <n v="2745365730"/>
    <n v="3386937270"/>
    <n v="0"/>
    <x v="6"/>
    <x v="0"/>
  </r>
  <r>
    <s v="4221422010 Peralatan Luar Sinyal Elektrik BMN"/>
    <n v="563153000"/>
    <n v="563153000"/>
    <n v="0"/>
    <n v="0"/>
    <n v="0"/>
    <n v="563153000"/>
    <n v="0"/>
    <x v="6"/>
    <x v="0"/>
  </r>
  <r>
    <s v="4221423010 Peralatan Dalam Sinyal Mekanik BMN"/>
    <n v="50000000"/>
    <n v="50000000"/>
    <n v="0"/>
    <n v="0"/>
    <n v="0"/>
    <n v="50000000"/>
    <n v="0"/>
    <x v="6"/>
    <x v="0"/>
  </r>
  <r>
    <s v="4221424010 Peralatan Luar Sinyal Mekanik BMN"/>
    <n v="247500000"/>
    <n v="247500000"/>
    <n v="29117120"/>
    <n v="0"/>
    <n v="29117120"/>
    <n v="218382880"/>
    <n v="0"/>
    <x v="6"/>
    <x v="0"/>
  </r>
  <r>
    <s v="4221425010 Pengamanan Perlintasan Sebidang BMN"/>
    <n v="100000000"/>
    <n v="100000000"/>
    <n v="0"/>
    <n v="0"/>
    <n v="0"/>
    <n v="100000000"/>
    <n v="0"/>
    <x v="6"/>
    <x v="0"/>
  </r>
  <r>
    <s v="4221427010 Transmisi Komunikasi BMN"/>
    <n v="655195500"/>
    <n v="655195500"/>
    <n v="26946000"/>
    <n v="100383550"/>
    <n v="127329550"/>
    <n v="527865950"/>
    <n v="0"/>
    <x v="6"/>
    <x v="0"/>
  </r>
  <r>
    <s v="4221428010 Peralatan Pendukung Sintel BMN"/>
    <n v="690000000"/>
    <n v="690000000"/>
    <n v="127050500"/>
    <n v="157861000"/>
    <n v="284911500"/>
    <n v="405088500"/>
    <n v="0"/>
    <x v="6"/>
    <x v="0"/>
  </r>
  <r>
    <s v="4221428011 Bangunan Sintel BMN"/>
    <n v="175000000"/>
    <n v="175000000"/>
    <n v="0"/>
    <n v="0"/>
    <n v="0"/>
    <n v="175000000"/>
    <n v="0"/>
    <x v="6"/>
    <x v="0"/>
  </r>
  <r>
    <s v="4221428012 Sistem Proteksi Sintel BMN"/>
    <n v="248500000"/>
    <n v="248500000"/>
    <n v="0"/>
    <n v="0"/>
    <n v="0"/>
    <n v="248500000"/>
    <n v="0"/>
    <x v="6"/>
    <x v="0"/>
  </r>
  <r>
    <s v="4221428013 Tanda Semboyan Marka Sintel BMN"/>
    <n v="50000000"/>
    <n v="50000000"/>
    <n v="6718000"/>
    <n v="0"/>
    <n v="6718000"/>
    <n v="43282000"/>
    <n v="0"/>
    <x v="6"/>
    <x v="0"/>
  </r>
  <r>
    <s v="4221428014 Catu Daya Sintel BMN"/>
    <n v="1132032500"/>
    <n v="1132032500"/>
    <n v="0"/>
    <n v="0"/>
    <n v="0"/>
    <n v="1132032500"/>
    <n v="0"/>
    <x v="6"/>
    <x v="0"/>
  </r>
  <r>
    <s v="4222424010 Peralatan Luar Sinyal Elektrik KAI"/>
    <n v="15000000"/>
    <n v="15000000"/>
    <n v="0"/>
    <n v="0"/>
    <n v="0"/>
    <n v="15000000"/>
    <n v="0"/>
    <x v="6"/>
    <x v="2"/>
  </r>
  <r>
    <s v="4222470010 Alat Kerja Sintel KAI"/>
    <n v="577500000"/>
    <n v="577500000"/>
    <n v="0"/>
    <n v="0"/>
    <n v="0"/>
    <n v="577500000"/>
    <n v="0"/>
    <x v="6"/>
    <x v="2"/>
  </r>
  <r>
    <s v="4222600000 Peralatan Khusus Prasarana KAI"/>
    <n v="520000000"/>
    <n v="520000000"/>
    <n v="0"/>
    <n v="0"/>
    <n v="0"/>
    <n v="520000000"/>
    <n v="0"/>
    <x v="6"/>
    <x v="3"/>
  </r>
  <r>
    <s v="4222800000 Beban BBM Mekanik Prasarana"/>
    <n v="125000000"/>
    <n v="125000000"/>
    <n v="32848750"/>
    <n v="0"/>
    <n v="32848750"/>
    <n v="92151250"/>
    <n v="0"/>
    <x v="6"/>
    <x v="8"/>
  </r>
  <r>
    <s v="4232130000 LAT Beban Umum Pengoperasian Prasarana (IO)"/>
    <n v="765894000"/>
    <n v="765894000"/>
    <n v="0"/>
    <n v="396859899"/>
    <n v="396859899"/>
    <n v="369034101"/>
    <n v="0"/>
    <x v="6"/>
    <x v="5"/>
  </r>
  <r>
    <s v="4233100000 Rapat&amp;Akomodasi Beban Umum Perawatan Prasarana KAI"/>
    <n v="36720850"/>
    <n v="36720850"/>
    <n v="15291000"/>
    <n v="4980000"/>
    <n v="20271000"/>
    <n v="16449850"/>
    <n v="0"/>
    <x v="6"/>
    <x v="1"/>
  </r>
  <r>
    <s v="4233150010 Kerumahtanggaan Beban Umum Perawatan Prasarana KAI"/>
    <n v="118079500"/>
    <n v="118079500"/>
    <n v="37411500"/>
    <n v="41200400"/>
    <n v="78611900"/>
    <n v="39467600"/>
    <n v="0"/>
    <x v="6"/>
    <x v="1"/>
  </r>
  <r>
    <s v="4233151710 Kerumahtanggaan UMDT Beban Umum Perawatan Pras KAI"/>
    <n v="24750000"/>
    <n v="24750000"/>
    <n v="0"/>
    <n v="8250000"/>
    <n v="8250000"/>
    <n v="16500000"/>
    <n v="0"/>
    <x v="6"/>
    <x v="1"/>
  </r>
  <r>
    <s v="4233160010 Inventaris Beban Umum Perawatan Prasarana KAI"/>
    <n v="243750000"/>
    <n v="243750000"/>
    <n v="63772935"/>
    <n v="24059500"/>
    <n v="87832435"/>
    <n v="155917565"/>
    <n v="0"/>
    <x v="6"/>
    <x v="1"/>
  </r>
  <r>
    <s v="4233200000 Perjalanan Dinas BebanUmum Perawatan Prasarana KAI"/>
    <n v="67428000"/>
    <n v="67428000"/>
    <n v="0"/>
    <n v="36000750"/>
    <n v="36000750"/>
    <n v="31427250"/>
    <n v="0"/>
    <x v="6"/>
    <x v="1"/>
  </r>
  <r>
    <s v="4233400000 ATK Beban Umum Perawatan Prasarana KAI"/>
    <n v="15000000"/>
    <n v="15000000"/>
    <n v="0"/>
    <n v="0"/>
    <n v="0"/>
    <n v="15000000"/>
    <n v="0"/>
    <x v="6"/>
    <x v="1"/>
  </r>
  <r>
    <s v="4272100010 Gaji &amp;Tunjangan PegawaiPerawatan Prasarana Unit JJ"/>
    <n v="9825956170"/>
    <n v="9825956170"/>
    <n v="0"/>
    <n v="1413862314"/>
    <n v="1413862314"/>
    <n v="8412093856"/>
    <n v="0"/>
    <x v="6"/>
    <x v="6"/>
  </r>
  <r>
    <s v="4272200010 Iuran Pensiun Pegawai Perawatan Prasarana Unit JJ/"/>
    <n v="469848578"/>
    <n v="469848578"/>
    <n v="0"/>
    <n v="81372528"/>
    <n v="81372528"/>
    <n v="388476050"/>
    <n v="0"/>
    <x v="6"/>
    <x v="6"/>
  </r>
  <r>
    <s v="4272400000 Lembur dan Perangsang Peg PrwtnPrsrna unit JJ/Sntl"/>
    <n v="9512105917"/>
    <n v="9512105917"/>
    <n v="0"/>
    <n v="721378720"/>
    <n v="721378720"/>
    <n v="8790727197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142576822"/>
    <n v="142576822"/>
    <n v="852365739"/>
    <n v="0"/>
    <x v="6"/>
    <x v="6"/>
  </r>
  <r>
    <s v="4273200010 Iuran Pensiun Pegawai Renwas JJ/Sintel LAA"/>
    <n v="33538359"/>
    <n v="33538359"/>
    <n v="0"/>
    <n v="6842991"/>
    <n v="6842991"/>
    <n v="26695368"/>
    <n v="0"/>
    <x v="6"/>
    <x v="6"/>
  </r>
  <r>
    <s v="4273400000 Lembur dan Perangsang Pegawai Renwas JJ/Sintel LAA"/>
    <n v="1099727334"/>
    <n v="1099727334"/>
    <n v="0"/>
    <n v="115590000"/>
    <n v="115590000"/>
    <n v="984137334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34543933670"/>
    <n v="34543933670"/>
    <n v="3084521535"/>
    <n v="3251218474"/>
    <n v="6335740009"/>
    <n v="28208193661"/>
    <n v="0"/>
    <x v="6"/>
    <x v="7"/>
  </r>
  <r>
    <s v="1182000000 Persediaan Prasarana Perkeretaapian dan Umum"/>
    <n v="2847534500"/>
    <n v="2847534500"/>
    <n v="718522000"/>
    <n v="0"/>
    <n v="718522000"/>
    <n v="2129012500"/>
    <n v="0"/>
    <x v="7"/>
    <x v="0"/>
  </r>
  <r>
    <s v="4221422010 Peralatan Luar Sinyal Elektrik BMN"/>
    <n v="770000000"/>
    <n v="770000000"/>
    <n v="500352807"/>
    <n v="0"/>
    <n v="500352807"/>
    <n v="269647193"/>
    <n v="0"/>
    <x v="7"/>
    <x v="0"/>
  </r>
  <r>
    <s v="4221423010 Peralatan Dalam Sinyal Mekanik BMN"/>
    <n v="179171000"/>
    <n v="179171000"/>
    <n v="0"/>
    <n v="0"/>
    <n v="0"/>
    <n v="179171000"/>
    <n v="0"/>
    <x v="7"/>
    <x v="0"/>
  </r>
  <r>
    <s v="4221424010 Peralatan Luar Sinyal Mekanik BMN"/>
    <n v="75000000"/>
    <n v="75000000"/>
    <n v="0"/>
    <n v="0"/>
    <n v="0"/>
    <n v="75000000"/>
    <n v="0"/>
    <x v="7"/>
    <x v="0"/>
  </r>
  <r>
    <s v="4221425010 Pengamanan Perlintasan Sebidang BMN"/>
    <n v="437500000"/>
    <n v="437500000"/>
    <n v="6817000"/>
    <n v="0"/>
    <n v="6817000"/>
    <n v="430683000"/>
    <n v="0"/>
    <x v="7"/>
    <x v="0"/>
  </r>
  <r>
    <s v="4221426010 Pesawat Telepon BMN"/>
    <n v="1634991000"/>
    <n v="1634991000"/>
    <n v="272260000"/>
    <n v="24650000"/>
    <n v="296910000"/>
    <n v="1338081000"/>
    <n v="0"/>
    <x v="7"/>
    <x v="0"/>
  </r>
  <r>
    <s v="4221427010 Transmisi Komunikasi BMN"/>
    <n v="245566500"/>
    <n v="245566500"/>
    <n v="98325000"/>
    <n v="0"/>
    <n v="98325000"/>
    <n v="147241500"/>
    <n v="0"/>
    <x v="7"/>
    <x v="0"/>
  </r>
  <r>
    <s v="4221428010 Peralatan Pendukung Sintel BMN"/>
    <n v="850000000"/>
    <n v="850000000"/>
    <n v="105930000"/>
    <n v="0"/>
    <n v="105930000"/>
    <n v="744070000"/>
    <n v="0"/>
    <x v="7"/>
    <x v="0"/>
  </r>
  <r>
    <s v="4221428011 Bangunan Sintel BMN"/>
    <n v="200000000"/>
    <n v="200000000"/>
    <n v="0"/>
    <n v="0"/>
    <n v="0"/>
    <n v="200000000"/>
    <n v="0"/>
    <x v="7"/>
    <x v="0"/>
  </r>
  <r>
    <s v="4221428012 Sistem Proteksi Sintel BMN"/>
    <n v="620000000"/>
    <n v="620000000"/>
    <n v="49633664"/>
    <n v="0"/>
    <n v="49633664"/>
    <n v="570366336"/>
    <n v="0"/>
    <x v="7"/>
    <x v="0"/>
  </r>
  <r>
    <s v="4221428013 Tanda Semboyan Marka Sintel BMN"/>
    <n v="75000000"/>
    <n v="75000000"/>
    <n v="0"/>
    <n v="0"/>
    <n v="0"/>
    <n v="75000000"/>
    <n v="0"/>
    <x v="7"/>
    <x v="0"/>
  </r>
  <r>
    <s v="4221428014 Catu Daya Sintel BMN"/>
    <n v="1334151500"/>
    <n v="1334151500"/>
    <n v="1190000000"/>
    <n v="0"/>
    <n v="1190000000"/>
    <n v="144151500"/>
    <n v="0"/>
    <x v="7"/>
    <x v="0"/>
  </r>
  <r>
    <s v="4221521010 Catu Daya LAA BMN"/>
    <n v="273768000"/>
    <n v="273768000"/>
    <n v="232560000"/>
    <n v="0"/>
    <n v="232560000"/>
    <n v="41208000"/>
    <n v="0"/>
    <x v="7"/>
    <x v="0"/>
  </r>
  <r>
    <s v="4221522010 Tranmisi Tenaga LAA BMN"/>
    <n v="2633662000"/>
    <n v="2633662000"/>
    <n v="1161600380"/>
    <n v="0"/>
    <n v="1161600380"/>
    <n v="1472061620"/>
    <n v="0"/>
    <x v="7"/>
    <x v="0"/>
  </r>
  <r>
    <s v="4221524010 Tanda Semboyan LAA BMN"/>
    <n v="575500000"/>
    <n v="575500000"/>
    <n v="316539281"/>
    <n v="0"/>
    <n v="316539281"/>
    <n v="258960719"/>
    <n v="0"/>
    <x v="7"/>
    <x v="0"/>
  </r>
  <r>
    <s v="4221526010 Sistim Proteksi LAA BMN"/>
    <n v="387500000"/>
    <n v="387500000"/>
    <n v="49450000"/>
    <n v="0"/>
    <n v="49450000"/>
    <n v="338050000"/>
    <n v="0"/>
    <x v="7"/>
    <x v="0"/>
  </r>
  <r>
    <s v="4221527010 Pendukung LAA BMN"/>
    <n v="1130000000"/>
    <n v="1130000000"/>
    <n v="6110000"/>
    <n v="0"/>
    <n v="6110000"/>
    <n v="1123890000"/>
    <n v="0"/>
    <x v="7"/>
    <x v="0"/>
  </r>
  <r>
    <s v="4222424010 Peralatan Luar Sinyal Elektrik KAI"/>
    <n v="125000000"/>
    <n v="125000000"/>
    <n v="0"/>
    <n v="0"/>
    <n v="0"/>
    <n v="125000000"/>
    <n v="0"/>
    <x v="7"/>
    <x v="2"/>
  </r>
  <r>
    <s v="4222470010 Alat Kerja Sintel KAI"/>
    <n v="375000000"/>
    <n v="375000000"/>
    <n v="0"/>
    <n v="36500000"/>
    <n v="36500000"/>
    <n v="338500000"/>
    <n v="0"/>
    <x v="7"/>
    <x v="2"/>
  </r>
  <r>
    <s v="4222528010 Alat Kerja pendukung perawatan KAI"/>
    <n v="621000000"/>
    <n v="621000000"/>
    <n v="0"/>
    <n v="0"/>
    <n v="0"/>
    <n v="621000000"/>
    <n v="0"/>
    <x v="7"/>
    <x v="2"/>
  </r>
  <r>
    <s v="4222600000 Peralatan Khusus Prasarana KAI"/>
    <n v="100000000"/>
    <n v="100000000"/>
    <n v="0"/>
    <n v="0"/>
    <n v="0"/>
    <n v="100000000"/>
    <n v="0"/>
    <x v="7"/>
    <x v="3"/>
  </r>
  <r>
    <s v="4222800000 Beban BBM Mekanik Prasarana"/>
    <n v="173189000"/>
    <n v="173189000"/>
    <n v="0"/>
    <n v="62100000"/>
    <n v="62100000"/>
    <n v="111089000"/>
    <n v="0"/>
    <x v="7"/>
    <x v="8"/>
  </r>
  <r>
    <s v="4232130000 LAT Beban Umum Pengoperasian Prasarana (IO)"/>
    <n v="546340018"/>
    <n v="546340018"/>
    <n v="0"/>
    <n v="320371955"/>
    <n v="320371955"/>
    <n v="225968063"/>
    <n v="0"/>
    <x v="7"/>
    <x v="5"/>
  </r>
  <r>
    <s v="4233100000 Rapat&amp;Akomodasi Beban Umum Perawatan Prasarana KAI"/>
    <n v="24334750"/>
    <n v="24334750"/>
    <n v="12000000"/>
    <n v="4128877"/>
    <n v="16128877"/>
    <n v="8205873"/>
    <n v="0"/>
    <x v="7"/>
    <x v="1"/>
  </r>
  <r>
    <s v="4233150010 Kerumahtanggaan Beban Umum Perawatan Prasarana KAI"/>
    <n v="97531500"/>
    <n v="97531500"/>
    <n v="21321000"/>
    <n v="69680733"/>
    <n v="91001733"/>
    <n v="6529767"/>
    <n v="0"/>
    <x v="7"/>
    <x v="1"/>
  </r>
  <r>
    <s v="4233151710 Kerumahtanggaan UMDT Beban Umum Perawatan Pras KAI"/>
    <n v="37950000"/>
    <n v="37950000"/>
    <n v="0"/>
    <n v="10250000"/>
    <n v="10250000"/>
    <n v="27700000"/>
    <n v="0"/>
    <x v="7"/>
    <x v="1"/>
  </r>
  <r>
    <s v="4233160010 Inventaris Beban Umum Perawatan Prasarana KAI"/>
    <n v="302334250"/>
    <n v="302334250"/>
    <n v="0"/>
    <n v="0"/>
    <n v="0"/>
    <n v="302334250"/>
    <n v="0"/>
    <x v="7"/>
    <x v="1"/>
  </r>
  <r>
    <s v="4233200000 Perjalanan Dinas BebanUmum Perawatan Prasarana KAI"/>
    <n v="79793750"/>
    <n v="79793750"/>
    <n v="0"/>
    <n v="56874750"/>
    <n v="56874750"/>
    <n v="22919000"/>
    <n v="0"/>
    <x v="7"/>
    <x v="1"/>
  </r>
  <r>
    <s v="4233300000 LAT Beban Umum Perawatan Prasarana KAI"/>
    <n v="13812750"/>
    <n v="13812750"/>
    <n v="0"/>
    <n v="13464055"/>
    <n v="13464055"/>
    <n v="348695"/>
    <n v="0"/>
    <x v="7"/>
    <x v="1"/>
  </r>
  <r>
    <s v="4233400000 ATK Beban Umum Perawatan Prasarana KAI"/>
    <n v="13675500"/>
    <n v="13675500"/>
    <n v="13582000"/>
    <n v="0"/>
    <n v="13582000"/>
    <n v="93500"/>
    <n v="0"/>
    <x v="7"/>
    <x v="1"/>
  </r>
  <r>
    <s v="4242000000 Beban Penyusutan AT Bangunan Kantor"/>
    <n v="0"/>
    <n v="0"/>
    <n v="0"/>
    <n v="9117949"/>
    <n v="9117949"/>
    <n v="-9117949"/>
    <n v="0"/>
    <x v="7"/>
    <x v="6"/>
  </r>
  <r>
    <s v="4272100010 Gaji &amp;Tunjangan PegawaiPerawatan Prasarana Unit JJ"/>
    <n v="12622618927"/>
    <n v="12622618927"/>
    <n v="0"/>
    <n v="1810485850"/>
    <n v="1810485850"/>
    <n v="10812133077"/>
    <n v="0"/>
    <x v="7"/>
    <x v="6"/>
  </r>
  <r>
    <s v="4272200010 Iuran Pensiun Pegawai Perawatan Prasarana Unit JJ/"/>
    <n v="195048292"/>
    <n v="195048292"/>
    <n v="0"/>
    <n v="30192218"/>
    <n v="30192218"/>
    <n v="164856074"/>
    <n v="0"/>
    <x v="7"/>
    <x v="6"/>
  </r>
  <r>
    <s v="4272400000 Lembur dan Perangsang Peg PrwtnPrsrna unit JJ/Sntl"/>
    <n v="12911717415"/>
    <n v="12911717415"/>
    <n v="0"/>
    <n v="967035070"/>
    <n v="967035070"/>
    <n v="11944682345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159842823"/>
    <n v="159842823"/>
    <n v="1100767832"/>
    <n v="0"/>
    <x v="7"/>
    <x v="6"/>
  </r>
  <r>
    <s v="4273200010 Iuran Pensiun Pegawai Renwas JJ/Sintel LAA"/>
    <n v="27455801"/>
    <n v="27455801"/>
    <n v="0"/>
    <n v="4454672"/>
    <n v="4454672"/>
    <n v="23001129"/>
    <n v="0"/>
    <x v="7"/>
    <x v="6"/>
  </r>
  <r>
    <s v="4273400000 Lembur dan Perangsang Pegawai Renwas JJ/Sintel LAA"/>
    <n v="1560328837"/>
    <n v="1560328837"/>
    <n v="0"/>
    <n v="145465312"/>
    <n v="145465312"/>
    <n v="1414863525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45434097707"/>
    <n v="45434097707"/>
    <n v="4755003132"/>
    <n v="3724614264"/>
    <n v="8479617396"/>
    <n v="36954480311"/>
    <n v="0"/>
    <x v="7"/>
    <x v="7"/>
  </r>
  <r>
    <s v="1182000000 Persediaan Prasarana Perkeretaapian dan Umum"/>
    <n v="1814036500"/>
    <n v="1814036500"/>
    <n v="1719475760"/>
    <n v="0"/>
    <n v="1719475760"/>
    <n v="94560740"/>
    <n v="0"/>
    <x v="8"/>
    <x v="0"/>
  </r>
  <r>
    <s v="4221422010 Peralatan Luar Sinyal Elektrik BMN"/>
    <n v="64425000"/>
    <n v="64425000"/>
    <n v="16650000"/>
    <n v="0"/>
    <n v="16650000"/>
    <n v="47775000"/>
    <n v="0"/>
    <x v="8"/>
    <x v="0"/>
  </r>
  <r>
    <s v="4221423010 Peralatan Dalam Sinyal Mekanik BMN"/>
    <n v="244387000"/>
    <n v="244387000"/>
    <n v="0"/>
    <n v="0"/>
    <n v="0"/>
    <n v="244387000"/>
    <n v="0"/>
    <x v="8"/>
    <x v="0"/>
  </r>
  <r>
    <s v="4221424010 Peralatan Luar Sinyal Mekanik BMN"/>
    <n v="249000000"/>
    <n v="249000000"/>
    <n v="0"/>
    <n v="0"/>
    <n v="0"/>
    <n v="249000000"/>
    <n v="0"/>
    <x v="8"/>
    <x v="0"/>
  </r>
  <r>
    <s v="4221425010 Pengamanan Perlintasan Sebidang BMN"/>
    <n v="149375000"/>
    <n v="149375000"/>
    <n v="0"/>
    <n v="0"/>
    <n v="0"/>
    <n v="149375000"/>
    <n v="0"/>
    <x v="8"/>
    <x v="0"/>
  </r>
  <r>
    <s v="4221426010 Pesawat Telepon BMN"/>
    <n v="96500000"/>
    <n v="96500000"/>
    <n v="0"/>
    <n v="0"/>
    <n v="0"/>
    <n v="96500000"/>
    <n v="0"/>
    <x v="8"/>
    <x v="0"/>
  </r>
  <r>
    <s v="4221427010 Transmisi Komunikasi BMN"/>
    <n v="611054000"/>
    <n v="611054000"/>
    <n v="93397015"/>
    <n v="0"/>
    <n v="93397015"/>
    <n v="517656985"/>
    <n v="0"/>
    <x v="8"/>
    <x v="0"/>
  </r>
  <r>
    <s v="4221428010 Peralatan Pendukung Sintel BMN"/>
    <n v="267150000"/>
    <n v="267150000"/>
    <n v="56773500"/>
    <n v="86559328"/>
    <n v="143332828"/>
    <n v="123817172"/>
    <n v="0"/>
    <x v="8"/>
    <x v="0"/>
  </r>
  <r>
    <s v="4221428011 Bangunan Sintel BMN"/>
    <n v="72500000"/>
    <n v="72500000"/>
    <n v="0"/>
    <n v="0"/>
    <n v="0"/>
    <n v="72500000"/>
    <n v="0"/>
    <x v="8"/>
    <x v="0"/>
  </r>
  <r>
    <s v="4221428012 Sistem Proteksi Sintel BMN"/>
    <n v="87000000"/>
    <n v="87000000"/>
    <n v="0"/>
    <n v="0"/>
    <n v="0"/>
    <n v="87000000"/>
    <n v="0"/>
    <x v="8"/>
    <x v="0"/>
  </r>
  <r>
    <s v="4221428013 Tanda Semboyan Marka Sintel BMN"/>
    <n v="24900000"/>
    <n v="24900000"/>
    <n v="0"/>
    <n v="0"/>
    <n v="0"/>
    <n v="24900000"/>
    <n v="0"/>
    <x v="8"/>
    <x v="0"/>
  </r>
  <r>
    <s v="4221428014 Catu Daya Sintel BMN"/>
    <n v="941200000"/>
    <n v="941200000"/>
    <n v="214388000"/>
    <n v="0"/>
    <n v="214388000"/>
    <n v="726812000"/>
    <n v="0"/>
    <x v="8"/>
    <x v="0"/>
  </r>
  <r>
    <s v="4222423110 Bangunan Sintel KAI"/>
    <n v="150000000"/>
    <n v="150000000"/>
    <n v="1944000"/>
    <n v="0"/>
    <n v="1944000"/>
    <n v="148056000"/>
    <n v="0"/>
    <x v="8"/>
    <x v="2"/>
  </r>
  <r>
    <s v="4222424010 Peralatan Luar Sinyal Elektrik KAI"/>
    <n v="7500000"/>
    <n v="7500000"/>
    <n v="0"/>
    <n v="0"/>
    <n v="0"/>
    <n v="7500000"/>
    <n v="0"/>
    <x v="8"/>
    <x v="2"/>
  </r>
  <r>
    <s v="4222470010 Alat Kerja Sintel KAI"/>
    <n v="231500000"/>
    <n v="231500000"/>
    <n v="0"/>
    <n v="0"/>
    <n v="0"/>
    <n v="231500000"/>
    <n v="0"/>
    <x v="8"/>
    <x v="2"/>
  </r>
  <r>
    <s v="4222600000 Peralatan Khusus Prasarana KAI"/>
    <n v="50000000"/>
    <n v="50000000"/>
    <n v="0"/>
    <n v="2159300"/>
    <n v="2159300"/>
    <n v="47840700"/>
    <n v="0"/>
    <x v="8"/>
    <x v="3"/>
  </r>
  <r>
    <s v="4222800000 Beban BBM Mekanik Prasarana"/>
    <n v="55655000"/>
    <n v="55655000"/>
    <n v="21262500"/>
    <n v="0"/>
    <n v="21262500"/>
    <n v="34392500"/>
    <n v="0"/>
    <x v="8"/>
    <x v="8"/>
  </r>
  <r>
    <s v="4232130000 LAT Beban Umum Pengoperasian Prasarana (IO)"/>
    <n v="577500000"/>
    <n v="577500000"/>
    <n v="0"/>
    <n v="284145595"/>
    <n v="284145595"/>
    <n v="293354405"/>
    <n v="0"/>
    <x v="8"/>
    <x v="5"/>
  </r>
  <r>
    <s v="4233100000 Rapat&amp;Akomodasi Beban Umum Perawatan Prasarana KAI"/>
    <n v="21538000"/>
    <n v="21538000"/>
    <n v="8289300"/>
    <n v="4974701"/>
    <n v="13264001"/>
    <n v="8273999"/>
    <n v="0"/>
    <x v="8"/>
    <x v="1"/>
  </r>
  <r>
    <s v="4233150010 Kerumahtanggaan Beban Umum Perawatan Prasarana KAI"/>
    <n v="27501500"/>
    <n v="27501500"/>
    <n v="6850000"/>
    <n v="7041000"/>
    <n v="13891000"/>
    <n v="13610500"/>
    <n v="0"/>
    <x v="8"/>
    <x v="1"/>
  </r>
  <r>
    <s v="4233151710 Kerumahtanggaan UMDT Beban Umum Perawatan Pras KAI"/>
    <n v="24000000"/>
    <n v="24000000"/>
    <n v="0"/>
    <n v="6750000"/>
    <n v="6750000"/>
    <n v="17250000"/>
    <n v="0"/>
    <x v="8"/>
    <x v="1"/>
  </r>
  <r>
    <s v="4233160010 Inventaris Beban Umum Perawatan Prasarana KAI"/>
    <n v="188600000"/>
    <n v="188600000"/>
    <n v="41375000"/>
    <n v="0"/>
    <n v="41375000"/>
    <n v="147225000"/>
    <n v="0"/>
    <x v="8"/>
    <x v="1"/>
  </r>
  <r>
    <s v="4233200000 Perjalanan Dinas BebanUmum Perawatan Prasarana KAI"/>
    <n v="57500000"/>
    <n v="57500000"/>
    <n v="0"/>
    <n v="27614500"/>
    <n v="27614500"/>
    <n v="29885500"/>
    <n v="0"/>
    <x v="8"/>
    <x v="1"/>
  </r>
  <r>
    <s v="4233400000 ATK Beban Umum Perawatan Prasarana KAI"/>
    <n v="10075000"/>
    <n v="10075000"/>
    <n v="9982500"/>
    <n v="0"/>
    <n v="9982500"/>
    <n v="92500"/>
    <n v="0"/>
    <x v="8"/>
    <x v="1"/>
  </r>
  <r>
    <s v="4272100010 Gaji &amp;Tunjangan PegawaiPerawatan Prasarana Unit JJ"/>
    <n v="7053792265"/>
    <n v="7053792265"/>
    <n v="0"/>
    <n v="970177778"/>
    <n v="970177778"/>
    <n v="6083614487"/>
    <n v="0"/>
    <x v="8"/>
    <x v="6"/>
  </r>
  <r>
    <s v="4272200010 Iuran Pensiun Pegawai Perawatan Prasarana Unit JJ/"/>
    <n v="250901909"/>
    <n v="250901909"/>
    <n v="0"/>
    <n v="41453410"/>
    <n v="41453410"/>
    <n v="209448499"/>
    <n v="0"/>
    <x v="8"/>
    <x v="6"/>
  </r>
  <r>
    <s v="4272400000 Lembur dan Perangsang Peg PrwtnPrsrna unit JJ/Sntl"/>
    <n v="7015042421"/>
    <n v="7015042421"/>
    <n v="0"/>
    <n v="547955102"/>
    <n v="547955102"/>
    <n v="6467087319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158536272"/>
    <n v="158536272"/>
    <n v="1072675794"/>
    <n v="0"/>
    <x v="8"/>
    <x v="6"/>
  </r>
  <r>
    <s v="4273200010 Iuran Pensiun Pegawai Renwas JJ/Sintel LAA"/>
    <n v="53436119"/>
    <n v="53436119"/>
    <n v="0"/>
    <n v="10655056"/>
    <n v="10655056"/>
    <n v="42781063"/>
    <n v="0"/>
    <x v="8"/>
    <x v="6"/>
  </r>
  <r>
    <s v="4273400000 Lembur dan Perangsang Pegawai Renwas JJ/Sintel LAA"/>
    <n v="1449712379"/>
    <n v="1449712379"/>
    <n v="0"/>
    <n v="120676002"/>
    <n v="120676002"/>
    <n v="1329036377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23118250460"/>
    <n v="23118250460"/>
    <n v="2190387575"/>
    <n v="2268698044"/>
    <n v="4459085619"/>
    <n v="18659164841"/>
    <n v="0"/>
    <x v="8"/>
    <x v="7"/>
  </r>
  <r>
    <s v="1182000000 Persediaan Prasarana Perkeretaapian dan Umum"/>
    <n v="13755471000"/>
    <n v="13755471000"/>
    <n v="13710265055"/>
    <n v="0"/>
    <n v="13710265055"/>
    <n v="45205945"/>
    <n v="0"/>
    <x v="9"/>
    <x v="0"/>
  </r>
  <r>
    <s v="4221422010 Peralatan Luar Sinyal Elektrik BMN"/>
    <n v="2948978000"/>
    <n v="2948978000"/>
    <n v="127300000"/>
    <n v="1572950"/>
    <n v="128872950"/>
    <n v="2820105050"/>
    <n v="0"/>
    <x v="9"/>
    <x v="0"/>
  </r>
  <r>
    <s v="4221423010 Peralatan Dalam Sinyal Mekanik BMN"/>
    <n v="223903500"/>
    <n v="223903500"/>
    <n v="0"/>
    <n v="0"/>
    <n v="0"/>
    <n v="223903500"/>
    <n v="0"/>
    <x v="9"/>
    <x v="0"/>
  </r>
  <r>
    <s v="4221424010 Peralatan Luar Sinyal Mekanik BMN"/>
    <n v="1880742000"/>
    <n v="1880742000"/>
    <n v="1360539871"/>
    <n v="0"/>
    <n v="1360539871"/>
    <n v="520202129"/>
    <n v="0"/>
    <x v="9"/>
    <x v="0"/>
  </r>
  <r>
    <s v="4221425010 Pengamanan Perlintasan Sebidang BMN"/>
    <n v="106528224"/>
    <n v="106528224"/>
    <n v="0"/>
    <n v="0"/>
    <n v="0"/>
    <n v="106528224"/>
    <n v="0"/>
    <x v="9"/>
    <x v="0"/>
  </r>
  <r>
    <s v="4221426010 Pesawat Telepon BMN"/>
    <n v="428000000"/>
    <n v="428000000"/>
    <n v="45066500"/>
    <n v="96774600"/>
    <n v="141841100"/>
    <n v="286158900"/>
    <n v="0"/>
    <x v="9"/>
    <x v="0"/>
  </r>
  <r>
    <s v="4221427010 Transmisi Komunikasi BMN"/>
    <n v="1395999500"/>
    <n v="1395999500"/>
    <n v="475012500"/>
    <n v="136757380"/>
    <n v="611769880"/>
    <n v="784229620"/>
    <n v="0"/>
    <x v="9"/>
    <x v="0"/>
  </r>
  <r>
    <s v="4221428010 Peralatan Pendukung Sintel BMN"/>
    <n v="830172000"/>
    <n v="830172000"/>
    <n v="370988700"/>
    <n v="191049288"/>
    <n v="562037988"/>
    <n v="268134012"/>
    <n v="0"/>
    <x v="9"/>
    <x v="0"/>
  </r>
  <r>
    <s v="4221428011 Bangunan Sintel BMN"/>
    <n v="163577500"/>
    <n v="163577500"/>
    <n v="0"/>
    <n v="0"/>
    <n v="0"/>
    <n v="163577500"/>
    <n v="0"/>
    <x v="9"/>
    <x v="0"/>
  </r>
  <r>
    <s v="4221428012 Sistem Proteksi Sintel BMN"/>
    <n v="415688000"/>
    <n v="415688000"/>
    <n v="0"/>
    <n v="0"/>
    <n v="0"/>
    <n v="415688000"/>
    <n v="0"/>
    <x v="9"/>
    <x v="0"/>
  </r>
  <r>
    <s v="4221428014 Catu Daya Sintel BMN"/>
    <n v="1039505000"/>
    <n v="1039505000"/>
    <n v="1025502800"/>
    <n v="0"/>
    <n v="1025502800"/>
    <n v="14002200"/>
    <n v="0"/>
    <x v="9"/>
    <x v="0"/>
  </r>
  <r>
    <s v="4222424010 Peralatan Luar Sinyal Elektrik KAI"/>
    <n v="300000000"/>
    <n v="300000000"/>
    <n v="0"/>
    <n v="0"/>
    <n v="0"/>
    <n v="300000000"/>
    <n v="0"/>
    <x v="9"/>
    <x v="2"/>
  </r>
  <r>
    <s v="4222470010 Alat Kerja Sintel KAI"/>
    <n v="500000000"/>
    <n v="500000000"/>
    <n v="0"/>
    <n v="0"/>
    <n v="0"/>
    <n v="500000000"/>
    <n v="0"/>
    <x v="9"/>
    <x v="2"/>
  </r>
  <r>
    <s v="4222600000 Peralatan Khusus Prasarana KAI"/>
    <n v="100000000"/>
    <n v="100000000"/>
    <n v="0"/>
    <n v="0"/>
    <n v="0"/>
    <n v="100000000"/>
    <n v="0"/>
    <x v="9"/>
    <x v="3"/>
  </r>
  <r>
    <s v="4222800000 Beban BBM Mekanik Prasarana"/>
    <n v="70775000"/>
    <n v="70775000"/>
    <n v="24082000"/>
    <n v="3970000"/>
    <n v="28052000"/>
    <n v="42723000"/>
    <n v="0"/>
    <x v="9"/>
    <x v="8"/>
  </r>
  <r>
    <s v="4232130000 LAT Beban Umum Pengoperasian Prasarana (IO)"/>
    <n v="880440000"/>
    <n v="880440000"/>
    <n v="581770"/>
    <n v="411555340"/>
    <n v="412137110"/>
    <n v="468302890"/>
    <n v="0"/>
    <x v="9"/>
    <x v="5"/>
  </r>
  <r>
    <s v="4233100000 Rapat&amp;Akomodasi Beban Umum Perawatan Prasarana KAI"/>
    <n v="77500000"/>
    <n v="77500000"/>
    <n v="5040000"/>
    <n v="8424500"/>
    <n v="13464500"/>
    <n v="64035500"/>
    <n v="0"/>
    <x v="9"/>
    <x v="1"/>
  </r>
  <r>
    <s v="4233150010 Kerumahtanggaan Beban Umum Perawatan Prasarana KAI"/>
    <n v="154250000"/>
    <n v="154250000"/>
    <n v="28577100"/>
    <n v="31874750"/>
    <n v="60451850"/>
    <n v="93798150"/>
    <n v="0"/>
    <x v="9"/>
    <x v="1"/>
  </r>
  <r>
    <s v="4233151710 Kerumahtanggaan UMDT Beban Umum Perawatan Pras KAI"/>
    <n v="27750000"/>
    <n v="27750000"/>
    <n v="0"/>
    <n v="9250000"/>
    <n v="9250000"/>
    <n v="18500000"/>
    <n v="0"/>
    <x v="9"/>
    <x v="1"/>
  </r>
  <r>
    <s v="4233160010 Inventaris Beban Umum Perawatan Prasarana KAI"/>
    <n v="286250000"/>
    <n v="286250000"/>
    <n v="3022770"/>
    <n v="0"/>
    <n v="3022770"/>
    <n v="283227230"/>
    <n v="0"/>
    <x v="9"/>
    <x v="1"/>
  </r>
  <r>
    <s v="4233200000 Perjalanan Dinas BebanUmum Perawatan Prasarana KAI"/>
    <n v="108000000"/>
    <n v="108000000"/>
    <n v="0"/>
    <n v="36811000"/>
    <n v="36811000"/>
    <n v="71189000"/>
    <n v="0"/>
    <x v="9"/>
    <x v="1"/>
  </r>
  <r>
    <s v="4233300000 LAT Beban Umum Perawatan Prasarana KAI"/>
    <n v="1500000"/>
    <n v="1500000"/>
    <n v="0"/>
    <n v="0"/>
    <n v="0"/>
    <n v="1500000"/>
    <n v="0"/>
    <x v="9"/>
    <x v="1"/>
  </r>
  <r>
    <s v="4233400000 ATK Beban Umum Perawatan Prasarana KAI"/>
    <n v="16379250"/>
    <n v="16379250"/>
    <n v="16379100"/>
    <n v="0"/>
    <n v="16379100"/>
    <n v="150"/>
    <n v="0"/>
    <x v="9"/>
    <x v="1"/>
  </r>
  <r>
    <s v="4272100010 Gaji &amp;Tunjangan PegawaiPerawatan Prasarana Unit JJ"/>
    <n v="10714916013"/>
    <n v="10714916013"/>
    <n v="0"/>
    <n v="1495183889"/>
    <n v="1495183889"/>
    <n v="9219732124"/>
    <n v="0"/>
    <x v="9"/>
    <x v="6"/>
  </r>
  <r>
    <s v="4272200010 Iuran Pensiun Pegawai Perawatan Prasarana Unit JJ/"/>
    <n v="275820432"/>
    <n v="275820432"/>
    <n v="0"/>
    <n v="45781098"/>
    <n v="45781098"/>
    <n v="230039334"/>
    <n v="0"/>
    <x v="9"/>
    <x v="6"/>
  </r>
  <r>
    <s v="4272400000 Lembur dan Perangsang Peg PrwtnPrsrna unit JJ/Sntl"/>
    <n v="10532164202"/>
    <n v="10532164202"/>
    <n v="0"/>
    <n v="811939078"/>
    <n v="811939078"/>
    <n v="9720225124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152705067"/>
    <n v="152705067"/>
    <n v="1138889578"/>
    <n v="0"/>
    <x v="9"/>
    <x v="6"/>
  </r>
  <r>
    <s v="4273200010 Iuran Pensiun Pegawai Renwas JJ/Sintel LAA"/>
    <n v="47410746"/>
    <n v="47410746"/>
    <n v="0"/>
    <n v="7793604"/>
    <n v="7793604"/>
    <n v="39617142"/>
    <n v="0"/>
    <x v="9"/>
    <x v="6"/>
  </r>
  <r>
    <s v="4273400000 Lembur dan Perangsang Pegawai Renwas JJ/Sintel LAA"/>
    <n v="1523018104"/>
    <n v="1523018104"/>
    <n v="0"/>
    <n v="130810462"/>
    <n v="130810462"/>
    <n v="1392207642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0160692946"/>
    <n v="50160692946"/>
    <n v="17192358166"/>
    <n v="3572253006"/>
    <n v="20764611172"/>
    <n v="29396081774"/>
    <n v="0"/>
    <x v="9"/>
    <x v="7"/>
  </r>
  <r>
    <s v="1182000000 Persediaan Prasarana Perkeretaapian dan Umum"/>
    <n v="1645662000"/>
    <n v="1645662000"/>
    <n v="0"/>
    <n v="0"/>
    <n v="0"/>
    <n v="1645662000"/>
    <n v="0"/>
    <x v="10"/>
    <x v="0"/>
  </r>
  <r>
    <s v="4221423010 Peralatan Dalam Sinyal Mekanik BMN"/>
    <n v="945931000"/>
    <n v="945931000"/>
    <n v="0"/>
    <n v="0"/>
    <n v="0"/>
    <n v="945931000"/>
    <n v="0"/>
    <x v="10"/>
    <x v="0"/>
  </r>
  <r>
    <s v="4221424010 Peralatan Luar Sinyal Mekanik BMN"/>
    <n v="1122403500"/>
    <n v="1122403500"/>
    <n v="156346139"/>
    <n v="95210204"/>
    <n v="251556343"/>
    <n v="870847157"/>
    <n v="0"/>
    <x v="10"/>
    <x v="0"/>
  </r>
  <r>
    <s v="4221425010 Pengamanan Perlintasan Sebidang BMN"/>
    <n v="74888500"/>
    <n v="74888500"/>
    <n v="0"/>
    <n v="0"/>
    <n v="0"/>
    <n v="74888500"/>
    <n v="0"/>
    <x v="10"/>
    <x v="0"/>
  </r>
  <r>
    <s v="4221426010 Pesawat Telepon BMN"/>
    <n v="16624000"/>
    <n v="16624000"/>
    <n v="16623760"/>
    <n v="0"/>
    <n v="16623760"/>
    <n v="240"/>
    <n v="0"/>
    <x v="10"/>
    <x v="0"/>
  </r>
  <r>
    <s v="4221427010 Transmisi Komunikasi BMN"/>
    <n v="522368500"/>
    <n v="522368500"/>
    <n v="130355541"/>
    <n v="24000000"/>
    <n v="154355541"/>
    <n v="368012959"/>
    <n v="0"/>
    <x v="10"/>
    <x v="0"/>
  </r>
  <r>
    <s v="4221428010 Peralatan Pendukung Sintel BMN"/>
    <n v="700000000"/>
    <n v="700000000"/>
    <n v="87004250"/>
    <n v="65008300"/>
    <n v="152012550"/>
    <n v="547987450"/>
    <n v="0"/>
    <x v="10"/>
    <x v="0"/>
  </r>
  <r>
    <s v="4221428011 Bangunan Sintel BMN"/>
    <n v="145275000"/>
    <n v="145275000"/>
    <n v="0"/>
    <n v="0"/>
    <n v="0"/>
    <n v="145275000"/>
    <n v="0"/>
    <x v="10"/>
    <x v="0"/>
  </r>
  <r>
    <s v="4221428012 Sistem Proteksi Sintel BMN"/>
    <n v="153214500"/>
    <n v="153214500"/>
    <n v="0"/>
    <n v="0"/>
    <n v="0"/>
    <n v="153214500"/>
    <n v="0"/>
    <x v="10"/>
    <x v="0"/>
  </r>
  <r>
    <s v="4221428014 Catu Daya Sintel BMN"/>
    <n v="235100000"/>
    <n v="235100000"/>
    <n v="0"/>
    <n v="3229600"/>
    <n v="3229600"/>
    <n v="231870400"/>
    <n v="0"/>
    <x v="10"/>
    <x v="0"/>
  </r>
  <r>
    <s v="4222470010 Alat Kerja Sintel KAI"/>
    <n v="100000000"/>
    <n v="100000000"/>
    <n v="0"/>
    <n v="0"/>
    <n v="0"/>
    <n v="100000000"/>
    <n v="0"/>
    <x v="10"/>
    <x v="2"/>
  </r>
  <r>
    <s v="4222600000 Peralatan Khusus Prasarana KAI"/>
    <n v="100000000"/>
    <n v="100000000"/>
    <n v="0"/>
    <n v="0"/>
    <n v="0"/>
    <n v="100000000"/>
    <n v="0"/>
    <x v="10"/>
    <x v="3"/>
  </r>
  <r>
    <s v="4222800000 Beban BBM Mekanik Prasarana"/>
    <n v="63030000"/>
    <n v="63030000"/>
    <n v="0"/>
    <n v="0"/>
    <n v="0"/>
    <n v="63030000"/>
    <n v="0"/>
    <x v="10"/>
    <x v="8"/>
  </r>
  <r>
    <s v="4232130000 LAT Beban Umum Pengoperasian Prasarana (IO)"/>
    <n v="90000000"/>
    <n v="90000000"/>
    <n v="1324642"/>
    <n v="69572062"/>
    <n v="70896704"/>
    <n v="19103296"/>
    <n v="0"/>
    <x v="10"/>
    <x v="5"/>
  </r>
  <r>
    <s v="4233100000 Rapat&amp;Akomodasi Beban Umum Perawatan Prasarana KAI"/>
    <n v="64000000"/>
    <n v="64000000"/>
    <n v="0"/>
    <n v="13487000"/>
    <n v="13487000"/>
    <n v="50513000"/>
    <n v="0"/>
    <x v="10"/>
    <x v="1"/>
  </r>
  <r>
    <s v="4233150010 Kerumahtanggaan Beban Umum Perawatan Prasarana KAI"/>
    <n v="300400000"/>
    <n v="300400000"/>
    <n v="112868462"/>
    <n v="21790000"/>
    <n v="134658462"/>
    <n v="165741538"/>
    <n v="0"/>
    <x v="10"/>
    <x v="1"/>
  </r>
  <r>
    <s v="4233151710 Kerumahtanggaan UMDT Beban Umum Perawatan Pras KAI"/>
    <n v="16500000"/>
    <n v="16500000"/>
    <n v="0"/>
    <n v="5500000"/>
    <n v="5500000"/>
    <n v="11000000"/>
    <n v="0"/>
    <x v="10"/>
    <x v="1"/>
  </r>
  <r>
    <s v="4233160010 Inventaris Beban Umum Perawatan Prasarana KAI"/>
    <n v="35000000"/>
    <n v="35000000"/>
    <n v="0"/>
    <n v="4415000"/>
    <n v="4415000"/>
    <n v="30585000"/>
    <n v="0"/>
    <x v="10"/>
    <x v="1"/>
  </r>
  <r>
    <s v="4233200000 Perjalanan Dinas BebanUmum Perawatan Prasarana KAI"/>
    <n v="42675000"/>
    <n v="42675000"/>
    <n v="0"/>
    <n v="32935000"/>
    <n v="32935000"/>
    <n v="9740000"/>
    <n v="0"/>
    <x v="10"/>
    <x v="1"/>
  </r>
  <r>
    <s v="4233400000 ATK Beban Umum Perawatan Prasarana KAI"/>
    <n v="9000000"/>
    <n v="9000000"/>
    <n v="7478015"/>
    <n v="0"/>
    <n v="7478015"/>
    <n v="1521985"/>
    <n v="0"/>
    <x v="10"/>
    <x v="1"/>
  </r>
  <r>
    <s v="4242000000 Beban Penyusutan AT Bangunan Kantor"/>
    <n v="0"/>
    <n v="0"/>
    <n v="0"/>
    <n v="11707168"/>
    <n v="11707168"/>
    <n v="-11707168"/>
    <n v="0"/>
    <x v="10"/>
    <x v="6"/>
  </r>
  <r>
    <s v="4272100010 Gaji &amp;Tunjangan PegawaiPerawatan Prasarana Unit JJ"/>
    <n v="4539806918"/>
    <n v="4539806918"/>
    <n v="0"/>
    <n v="663094298"/>
    <n v="663094298"/>
    <n v="3876712620"/>
    <n v="0"/>
    <x v="10"/>
    <x v="6"/>
  </r>
  <r>
    <s v="4272200010 Iuran Pensiun Pegawai Perawatan Prasarana Unit JJ/"/>
    <n v="83054569"/>
    <n v="83054569"/>
    <n v="0"/>
    <n v="13674416"/>
    <n v="13674416"/>
    <n v="69380153"/>
    <n v="0"/>
    <x v="10"/>
    <x v="6"/>
  </r>
  <r>
    <s v="4272400000 Lembur dan Perangsang Peg PrwtnPrsrna unit JJ/Sntl"/>
    <n v="4669639602"/>
    <n v="4669639602"/>
    <n v="0"/>
    <n v="343680000"/>
    <n v="343680000"/>
    <n v="4325959602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93615240"/>
    <n v="93615240"/>
    <n v="701498193"/>
    <n v="0"/>
    <x v="10"/>
    <x v="6"/>
  </r>
  <r>
    <s v="4273200010 Iuran Pensiun Pegawai Renwas JJ/Sintel LAA"/>
    <n v="37493935"/>
    <n v="37493935"/>
    <n v="0"/>
    <n v="3939794"/>
    <n v="3939794"/>
    <n v="33554141"/>
    <n v="0"/>
    <x v="10"/>
    <x v="6"/>
  </r>
  <r>
    <s v="4273400000 Lembur dan Perangsang Pegawai Renwas JJ/Sintel LAA"/>
    <n v="960233849"/>
    <n v="960233849"/>
    <n v="0"/>
    <n v="87860000"/>
    <n v="87860000"/>
    <n v="872373849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17495468591"/>
    <n v="17495468591"/>
    <n v="512000809"/>
    <n v="1552718082"/>
    <n v="2064718891"/>
    <n v="15430749700"/>
    <n v="0"/>
    <x v="10"/>
    <x v="7"/>
  </r>
  <r>
    <s v="1182000000 Persediaan Prasarana Perkeretaapian dan Umum"/>
    <n v="1717513500"/>
    <n v="1717513500"/>
    <n v="0"/>
    <n v="0"/>
    <n v="0"/>
    <n v="17175135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233686000"/>
    <n v="233686000"/>
    <n v="0"/>
    <n v="0"/>
    <n v="0"/>
    <n v="233686000"/>
    <n v="0"/>
    <x v="11"/>
    <x v="0"/>
  </r>
  <r>
    <s v="4221424010 Peralatan Luar Sinyal Mekanik BMN"/>
    <n v="445284000"/>
    <n v="445284000"/>
    <n v="398086520"/>
    <n v="0"/>
    <n v="398086520"/>
    <n v="47197480"/>
    <n v="0"/>
    <x v="11"/>
    <x v="0"/>
  </r>
  <r>
    <s v="4221425010 Pengamanan Perlintasan Sebidang BMN"/>
    <n v="78606000"/>
    <n v="78606000"/>
    <n v="49855940"/>
    <n v="0"/>
    <n v="49855940"/>
    <n v="28750060"/>
    <n v="0"/>
    <x v="11"/>
    <x v="0"/>
  </r>
  <r>
    <s v="4221426010 Pesawat Telepon BMN"/>
    <n v="225000000"/>
    <n v="225000000"/>
    <n v="0"/>
    <n v="0"/>
    <n v="0"/>
    <n v="225000000"/>
    <n v="0"/>
    <x v="11"/>
    <x v="0"/>
  </r>
  <r>
    <s v="4221427010 Transmisi Komunikasi BMN"/>
    <n v="250000000"/>
    <n v="250000000"/>
    <n v="0"/>
    <n v="0"/>
    <n v="0"/>
    <n v="250000000"/>
    <n v="0"/>
    <x v="11"/>
    <x v="0"/>
  </r>
  <r>
    <s v="4221428010 Peralatan Pendukung Sintel BMN"/>
    <n v="345000000"/>
    <n v="345000000"/>
    <n v="120740700"/>
    <n v="0"/>
    <n v="120740700"/>
    <n v="224259300"/>
    <n v="0"/>
    <x v="11"/>
    <x v="0"/>
  </r>
  <r>
    <s v="4221428011 Bangunan Sintel BMN"/>
    <n v="99350000"/>
    <n v="99350000"/>
    <n v="91627175"/>
    <n v="0"/>
    <n v="91627175"/>
    <n v="7722825"/>
    <n v="0"/>
    <x v="11"/>
    <x v="0"/>
  </r>
  <r>
    <s v="4221428012 Sistem Proteksi Sintel BMN"/>
    <n v="227565500"/>
    <n v="227565500"/>
    <n v="0"/>
    <n v="0"/>
    <n v="0"/>
    <n v="227565500"/>
    <n v="0"/>
    <x v="11"/>
    <x v="0"/>
  </r>
  <r>
    <s v="4221428013 Tanda Semboyan Marka Sintel BMN"/>
    <n v="25000000"/>
    <n v="25000000"/>
    <n v="0"/>
    <n v="0"/>
    <n v="0"/>
    <n v="25000000"/>
    <n v="0"/>
    <x v="11"/>
    <x v="0"/>
  </r>
  <r>
    <s v="4221428014 Catu Daya Sintel BMN"/>
    <n v="721780000"/>
    <n v="721780000"/>
    <n v="0"/>
    <n v="0"/>
    <n v="0"/>
    <n v="721780000"/>
    <n v="0"/>
    <x v="11"/>
    <x v="0"/>
  </r>
  <r>
    <s v="4222422110 Peralatan Pendukung Sintel KAI"/>
    <n v="250000000"/>
    <n v="250000000"/>
    <n v="0"/>
    <n v="0"/>
    <n v="0"/>
    <n v="250000000"/>
    <n v="0"/>
    <x v="11"/>
    <x v="2"/>
  </r>
  <r>
    <s v="4222470010 Alat Kerja Sintel KAI"/>
    <n v="125000000"/>
    <n v="125000000"/>
    <n v="0"/>
    <n v="0"/>
    <n v="0"/>
    <n v="125000000"/>
    <n v="0"/>
    <x v="11"/>
    <x v="2"/>
  </r>
  <r>
    <s v="4222600000 Peralatan Khusus Prasarana KAI"/>
    <n v="125000000"/>
    <n v="125000000"/>
    <n v="0"/>
    <n v="0"/>
    <n v="0"/>
    <n v="125000000"/>
    <n v="0"/>
    <x v="11"/>
    <x v="3"/>
  </r>
  <r>
    <s v="4222800000 Beban BBM Mekanik Prasarana"/>
    <n v="158400000"/>
    <n v="158400000"/>
    <n v="37804500"/>
    <n v="0"/>
    <n v="37804500"/>
    <n v="120595500"/>
    <n v="0"/>
    <x v="11"/>
    <x v="8"/>
  </r>
  <r>
    <s v="4232130000 LAT Beban Umum Pengoperasian Prasarana (IO)"/>
    <n v="637500000"/>
    <n v="637500000"/>
    <n v="9500000"/>
    <n v="218151545"/>
    <n v="227651545"/>
    <n v="409848455"/>
    <n v="0"/>
    <x v="11"/>
    <x v="5"/>
  </r>
  <r>
    <s v="4233100000 Rapat&amp;Akomodasi Beban Umum Perawatan Prasarana KAI"/>
    <n v="48400000"/>
    <n v="48400000"/>
    <n v="0"/>
    <n v="0"/>
    <n v="0"/>
    <n v="48400000"/>
    <n v="0"/>
    <x v="11"/>
    <x v="1"/>
  </r>
  <r>
    <s v="4233150010 Kerumahtanggaan Beban Umum Perawatan Prasarana KAI"/>
    <n v="170907750"/>
    <n v="170907750"/>
    <n v="98217450"/>
    <n v="67914000"/>
    <n v="166131450"/>
    <n v="4776300"/>
    <n v="0"/>
    <x v="11"/>
    <x v="1"/>
  </r>
  <r>
    <s v="4233151710 Kerumahtanggaan UMDT Beban Umum Perawatan Pras KAI"/>
    <n v="26250000"/>
    <n v="26250000"/>
    <n v="0"/>
    <n v="8250000"/>
    <n v="8250000"/>
    <n v="18000000"/>
    <n v="0"/>
    <x v="11"/>
    <x v="1"/>
  </r>
  <r>
    <s v="4233160010 Inventaris Beban Umum Perawatan Prasarana KAI"/>
    <n v="96500000"/>
    <n v="96500000"/>
    <n v="0"/>
    <n v="0"/>
    <n v="0"/>
    <n v="96500000"/>
    <n v="0"/>
    <x v="11"/>
    <x v="1"/>
  </r>
  <r>
    <s v="4233200000 Perjalanan Dinas BebanUmum Perawatan Prasarana KAI"/>
    <n v="117000000"/>
    <n v="117000000"/>
    <n v="0"/>
    <n v="20651000"/>
    <n v="20651000"/>
    <n v="96349000"/>
    <n v="0"/>
    <x v="11"/>
    <x v="1"/>
  </r>
  <r>
    <s v="4233300000 LAT Beban Umum Perawatan Prasarana KAI"/>
    <n v="1500000"/>
    <n v="1500000"/>
    <n v="0"/>
    <n v="315000"/>
    <n v="315000"/>
    <n v="1185000"/>
    <n v="0"/>
    <x v="11"/>
    <x v="1"/>
  </r>
  <r>
    <s v="4233400000 ATK Beban Umum Perawatan Prasarana KAI"/>
    <n v="10000000"/>
    <n v="10000000"/>
    <n v="0"/>
    <n v="0"/>
    <n v="0"/>
    <n v="10000000"/>
    <n v="0"/>
    <x v="11"/>
    <x v="1"/>
  </r>
  <r>
    <s v="4241000000 Beban Penyusutan AT Prasarana Perkeretaapian"/>
    <n v="0"/>
    <n v="0"/>
    <n v="0"/>
    <n v="50070591"/>
    <n v="50070591"/>
    <n v="-50070591"/>
    <n v="0"/>
    <x v="11"/>
    <x v="6"/>
  </r>
  <r>
    <s v="4272100010 Gaji &amp;Tunjangan PegawaiPerawatan Prasarana Unit JJ"/>
    <n v="8641345711"/>
    <n v="8641345711"/>
    <n v="0"/>
    <n v="1210395223"/>
    <n v="1210395223"/>
    <n v="7430950488"/>
    <n v="0"/>
    <x v="11"/>
    <x v="6"/>
  </r>
  <r>
    <s v="4272200010 Iuran Pensiun Pegawai Perawatan Prasarana Unit JJ/"/>
    <n v="50824079"/>
    <n v="50824079"/>
    <n v="0"/>
    <n v="8519344"/>
    <n v="8519344"/>
    <n v="42304735"/>
    <n v="0"/>
    <x v="11"/>
    <x v="6"/>
  </r>
  <r>
    <s v="4272400000 Lembur dan Perangsang Peg PrwtnPrsrna unit JJ/Sntl"/>
    <n v="9379568492"/>
    <n v="9379568492"/>
    <n v="0"/>
    <n v="664096070"/>
    <n v="664096070"/>
    <n v="8715472422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07759966"/>
    <n v="107759966"/>
    <n v="796729680"/>
    <n v="0"/>
    <x v="11"/>
    <x v="6"/>
  </r>
  <r>
    <s v="4273200010 Iuran Pensiun Pegawai Renwas JJ/Sintel LAA"/>
    <n v="22796596"/>
    <n v="22796596"/>
    <n v="0"/>
    <n v="3779387"/>
    <n v="3779387"/>
    <n v="19017209"/>
    <n v="0"/>
    <x v="11"/>
    <x v="6"/>
  </r>
  <r>
    <s v="4273400000 Lembur dan Perangsang Pegawai Renwas JJ/Sintel LAA"/>
    <n v="1105883447"/>
    <n v="1105883447"/>
    <n v="0"/>
    <n v="104355522"/>
    <n v="104355522"/>
    <n v="1001527925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26293508870"/>
    <n v="26293508870"/>
    <n v="805832285"/>
    <n v="2464257648"/>
    <n v="3270089933"/>
    <n v="23023418937"/>
    <n v="0"/>
    <x v="11"/>
    <x v="7"/>
  </r>
  <r>
    <s v="1182000000 Persediaan Prasarana Perkeretaapian dan Umum"/>
    <n v="1871950730"/>
    <n v="1871950730"/>
    <n v="128471830"/>
    <n v="0"/>
    <n v="128471830"/>
    <n v="1743478900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m/>
    <m/>
    <m/>
    <m/>
    <m/>
    <m/>
    <m/>
    <x v="12"/>
    <x v="0"/>
  </r>
  <r>
    <s v="4221425010 Pengamanan Perlintasan Sebidang BMN"/>
    <m/>
    <m/>
    <m/>
    <m/>
    <m/>
    <m/>
    <m/>
    <x v="12"/>
    <x v="0"/>
  </r>
  <r>
    <s v="4221427010 Transmisi Komunikasi BMN"/>
    <m/>
    <m/>
    <m/>
    <m/>
    <m/>
    <m/>
    <m/>
    <x v="12"/>
    <x v="0"/>
  </r>
  <r>
    <s v="4221428010 Peralatan Pendukung Sintel BMN"/>
    <m/>
    <m/>
    <m/>
    <m/>
    <m/>
    <m/>
    <m/>
    <x v="12"/>
    <x v="0"/>
  </r>
  <r>
    <s v="4221428014 Catu Daya Sintel BMN"/>
    <m/>
    <m/>
    <m/>
    <m/>
    <m/>
    <m/>
    <m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60000000"/>
    <n v="9000000"/>
    <n v="0"/>
    <n v="9000000"/>
    <n v="51000000"/>
    <n v="0"/>
    <x v="12"/>
    <x v="3"/>
  </r>
  <r>
    <s v="4222800000 Beban BBM Mekanik Prasarana"/>
    <n v="45150000"/>
    <n v="45150000"/>
    <n v="6119400"/>
    <n v="0"/>
    <n v="6119400"/>
    <n v="390306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372660000"/>
    <n v="372660000"/>
    <n v="1004400"/>
    <n v="5604650"/>
    <n v="6609050"/>
    <n v="366050950"/>
    <n v="0"/>
    <x v="12"/>
    <x v="1"/>
  </r>
  <r>
    <s v="4233150010 Kerumahtanggaan Beban Umum Perawatan Prasarana KAI"/>
    <m/>
    <m/>
    <m/>
    <m/>
    <m/>
    <m/>
    <m/>
    <x v="12"/>
    <x v="1"/>
  </r>
  <r>
    <s v="4233151710 Kerumahtanggaan UMDT Beban Umum Perawatan Pras KAI"/>
    <m/>
    <m/>
    <m/>
    <m/>
    <m/>
    <m/>
    <m/>
    <x v="12"/>
    <x v="1"/>
  </r>
  <r>
    <s v="4233160010 Inventaris Beban Umum Perawatan Prasarana KAI"/>
    <m/>
    <m/>
    <m/>
    <m/>
    <m/>
    <m/>
    <m/>
    <x v="12"/>
    <x v="1"/>
  </r>
  <r>
    <s v="4233200000 Perjalanan Dinas BebanUmum Perawatan Prasarana KAI"/>
    <m/>
    <m/>
    <m/>
    <m/>
    <m/>
    <m/>
    <m/>
    <x v="12"/>
    <x v="1"/>
  </r>
  <r>
    <s v="4233300000 LAT Beban Umum Perawatan Prasarana KAI"/>
    <m/>
    <m/>
    <m/>
    <m/>
    <m/>
    <m/>
    <m/>
    <x v="12"/>
    <x v="1"/>
  </r>
  <r>
    <s v="4233400000 ATK Beban Umum Perawatan Prasarana KAI"/>
    <m/>
    <m/>
    <m/>
    <m/>
    <m/>
    <m/>
    <m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349760730"/>
    <n v="144595630"/>
    <n v="5604650"/>
    <n v="150200280"/>
    <n v="2199560450"/>
    <n v="0"/>
    <x v="12"/>
    <x v="7"/>
  </r>
  <r>
    <s v="1182000000 Persediaan Prasarana Perkeretaapian dan Umum"/>
    <n v="6121242000"/>
    <n v="6121242000"/>
    <n v="4968662500"/>
    <n v="0"/>
    <n v="4968662500"/>
    <n v="1152579500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1778331214"/>
    <n v="1778331214"/>
    <n v="1778331214"/>
    <n v="0"/>
    <n v="1778331214"/>
    <n v="0"/>
    <n v="0"/>
    <x v="13"/>
    <x v="2"/>
  </r>
  <r>
    <s v="4222422110 Peralatan Pendukung Sintel KAI"/>
    <n v="2094950000"/>
    <n v="2094950000"/>
    <n v="844058238"/>
    <n v="96556000"/>
    <n v="940614238"/>
    <n v="1154335762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840000000"/>
    <n v="840000000"/>
    <n v="0"/>
    <n v="0"/>
    <n v="0"/>
    <n v="840000000"/>
    <n v="0"/>
    <x v="13"/>
    <x v="2"/>
  </r>
  <r>
    <s v="4222424010 Peralatan Luar Sinyal Elektrik KAI"/>
    <n v="246033000"/>
    <n v="246033000"/>
    <n v="7785500"/>
    <n v="0"/>
    <n v="7785500"/>
    <n v="238247500"/>
    <n v="0"/>
    <x v="13"/>
    <x v="2"/>
  </r>
  <r>
    <s v="4222424110 Sistem Proteksi Sintel KAI"/>
    <n v="312250000"/>
    <n v="312250000"/>
    <n v="0"/>
    <n v="0"/>
    <n v="0"/>
    <n v="312250000"/>
    <n v="0"/>
    <x v="13"/>
    <x v="2"/>
  </r>
  <r>
    <s v="4222425010 Peralatan Dalam Sinyal Mekanik KAI"/>
    <n v="350000000"/>
    <n v="350000000"/>
    <n v="0"/>
    <n v="0"/>
    <n v="0"/>
    <n v="35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372500000"/>
    <n v="372500000"/>
    <n v="32460000"/>
    <n v="0"/>
    <n v="32460000"/>
    <n v="340040000"/>
    <n v="0"/>
    <x v="13"/>
    <x v="2"/>
  </r>
  <r>
    <s v="4222426110 Catu Daya Sintel KAI"/>
    <n v="2397799000"/>
    <n v="2397799000"/>
    <n v="475370000"/>
    <n v="0"/>
    <n v="475370000"/>
    <n v="1922429000"/>
    <n v="0"/>
    <x v="13"/>
    <x v="2"/>
  </r>
  <r>
    <s v="4222427010 Pengamanan Perlintasan Sebidang KAI"/>
    <n v="1098750000"/>
    <n v="1098750000"/>
    <n v="0"/>
    <n v="0"/>
    <n v="0"/>
    <n v="1098750000"/>
    <n v="0"/>
    <x v="13"/>
    <x v="2"/>
  </r>
  <r>
    <s v="4222428010 Pesawat Telepon KAI"/>
    <n v="133125000"/>
    <n v="133125000"/>
    <n v="40800000"/>
    <n v="0"/>
    <n v="40800000"/>
    <n v="92325000"/>
    <n v="0"/>
    <x v="13"/>
    <x v="2"/>
  </r>
  <r>
    <s v="4222470010 Alat Kerja Sintel KAI"/>
    <n v="375000000"/>
    <n v="375000000"/>
    <n v="0"/>
    <n v="0"/>
    <n v="0"/>
    <n v="375000000"/>
    <n v="0"/>
    <x v="13"/>
    <x v="2"/>
  </r>
  <r>
    <s v="4222600000 Peralatan Khusus Prasarana KAI"/>
    <n v="50000000"/>
    <n v="50000000"/>
    <n v="12720000"/>
    <n v="0"/>
    <n v="12720000"/>
    <n v="37280000"/>
    <n v="0"/>
    <x v="13"/>
    <x v="3"/>
  </r>
  <r>
    <s v="4222800000 Beban BBM Mekanik Prasarana"/>
    <n v="508075000"/>
    <n v="508075000"/>
    <n v="45540000"/>
    <n v="82800000"/>
    <n v="128340000"/>
    <n v="379735000"/>
    <n v="0"/>
    <x v="13"/>
    <x v="8"/>
  </r>
  <r>
    <s v="4232130000 LAT Beban Umum Pengoperasian Prasarana (IO)"/>
    <n v="640000000"/>
    <n v="640000000"/>
    <n v="8404406"/>
    <n v="446630703"/>
    <n v="455035109"/>
    <n v="184964891"/>
    <n v="0"/>
    <x v="13"/>
    <x v="5"/>
  </r>
  <r>
    <s v="4233100000 Rapat&amp;Akomodasi Beban Umum Perawatan Prasarana KAI"/>
    <n v="222793250"/>
    <n v="222793250"/>
    <n v="11185000"/>
    <n v="11185000"/>
    <n v="22370000"/>
    <n v="200423250"/>
    <n v="0"/>
    <x v="13"/>
    <x v="1"/>
  </r>
  <r>
    <s v="4233150010 Kerumahtanggaan Beban Umum Perawatan Prasarana KAI"/>
    <n v="278081750"/>
    <n v="278081750"/>
    <n v="64467900"/>
    <n v="112473360"/>
    <n v="176941260"/>
    <n v="101140490"/>
    <n v="0"/>
    <x v="13"/>
    <x v="1"/>
  </r>
  <r>
    <s v="4233151710 Kerumahtanggaan UMDT Beban Umum Perawatan Pras KAI"/>
    <n v="23250000"/>
    <n v="23250000"/>
    <n v="0"/>
    <n v="7250000"/>
    <n v="7250000"/>
    <n v="16000000"/>
    <n v="0"/>
    <x v="13"/>
    <x v="1"/>
  </r>
  <r>
    <s v="4233160010 Inventaris Beban Umum Perawatan Prasarana KAI"/>
    <n v="163230750"/>
    <n v="163230750"/>
    <n v="1145000"/>
    <n v="11495000"/>
    <n v="12640000"/>
    <n v="150590750"/>
    <n v="0"/>
    <x v="13"/>
    <x v="1"/>
  </r>
  <r>
    <s v="4233200000 Perjalanan Dinas BebanUmum Perawatan Prasarana KAI"/>
    <n v="172144500"/>
    <n v="172144500"/>
    <n v="10333670"/>
    <n v="36107070"/>
    <n v="46440740"/>
    <n v="125703760"/>
    <n v="0"/>
    <x v="13"/>
    <x v="1"/>
  </r>
  <r>
    <s v="4233300000 LAT Beban Umum Perawatan Prasarana KAI"/>
    <n v="9045000"/>
    <n v="9045000"/>
    <n v="0"/>
    <n v="5248402"/>
    <n v="5248402"/>
    <n v="3796598"/>
    <n v="0"/>
    <x v="13"/>
    <x v="1"/>
  </r>
  <r>
    <s v="4233400000 ATK Beban Umum Perawatan Prasarana KAI"/>
    <n v="40435250"/>
    <n v="40435250"/>
    <n v="2058680"/>
    <n v="0"/>
    <n v="2058680"/>
    <n v="38376570"/>
    <n v="0"/>
    <x v="13"/>
    <x v="1"/>
  </r>
  <r>
    <s v="4241000000 Beban Penyusutan AT Prasarana Perkeretaapian"/>
    <n v="0"/>
    <n v="0"/>
    <n v="0"/>
    <n v="42409654"/>
    <n v="42409654"/>
    <n v="-42409654"/>
    <n v="0"/>
    <x v="13"/>
    <x v="6"/>
  </r>
  <r>
    <s v="4242000000 Beban Penyusutan AT Bangunan Kantor"/>
    <n v="0"/>
    <n v="0"/>
    <n v="0"/>
    <n v="30444931"/>
    <n v="30444931"/>
    <n v="-30444931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1811099261"/>
    <n v="1811099261"/>
    <n v="10353182636"/>
    <n v="0"/>
    <x v="13"/>
    <x v="6"/>
  </r>
  <r>
    <s v="4272200010 Iuran Pensiun Pegawai Perawatan Prasarana Unit JJ/"/>
    <n v="111508199"/>
    <n v="111508199"/>
    <n v="0"/>
    <n v="18414338"/>
    <n v="18414338"/>
    <n v="93093861"/>
    <n v="0"/>
    <x v="13"/>
    <x v="6"/>
  </r>
  <r>
    <s v="4272400000 Lembur dan Perangsang Peg PrwtnPrsrna unit JJ/Sntl"/>
    <n v="10801404197"/>
    <n v="10801404197"/>
    <n v="0"/>
    <n v="796429653"/>
    <n v="796429653"/>
    <n v="10004974544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135886124"/>
    <n v="135886124"/>
    <n v="1316799115"/>
    <n v="0"/>
    <x v="13"/>
    <x v="6"/>
  </r>
  <r>
    <s v="4273200010 Iuran Pensiun Pegawai Renwas JJ/Sintel LAA"/>
    <n v="35165398"/>
    <n v="35165398"/>
    <n v="0"/>
    <n v="3651448"/>
    <n v="3651448"/>
    <n v="31513950"/>
    <n v="0"/>
    <x v="13"/>
    <x v="6"/>
  </r>
  <r>
    <s v="4273400000 Lembur dan Perangsang Pegawai Renwas JJ/Sintel LAA"/>
    <n v="1698748501"/>
    <n v="1698748501"/>
    <n v="0"/>
    <n v="125914000"/>
    <n v="125914000"/>
    <n v="1572834501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68988538"/>
    <n v="68988538"/>
    <n v="-68988538"/>
    <n v="0"/>
    <x v="13"/>
    <x v="6"/>
  </r>
  <r>
    <s v="34022000 Sintelis Divre III Palembang"/>
    <n v="44562890151"/>
    <n v="44562890151"/>
    <n v="8303322108"/>
    <n v="3894736792"/>
    <n v="12198058900"/>
    <n v="32364831251"/>
    <n v="0"/>
    <x v="13"/>
    <x v="7"/>
  </r>
  <r>
    <s v="1182000000 Persediaan Prasarana Perkeretaapian dan Umum"/>
    <n v="2787349000"/>
    <n v="2787349000"/>
    <n v="2595236997"/>
    <n v="0"/>
    <n v="2595236997"/>
    <n v="192112003"/>
    <n v="0"/>
    <x v="14"/>
    <x v="0"/>
  </r>
  <r>
    <s v="4221422010 Peralatan Luar Sinyal Elektrik BMN"/>
    <n v="25000000"/>
    <n v="25000000"/>
    <n v="3328300"/>
    <n v="0"/>
    <n v="3328300"/>
    <n v="21671700"/>
    <n v="0"/>
    <x v="14"/>
    <x v="0"/>
  </r>
  <r>
    <s v="4221423010 Peralatan Dalam Sinyal Mekanik BMN"/>
    <n v="777087500"/>
    <n v="777087500"/>
    <n v="393820000"/>
    <n v="0"/>
    <n v="393820000"/>
    <n v="383267500"/>
    <n v="0"/>
    <x v="14"/>
    <x v="0"/>
  </r>
  <r>
    <s v="4221424010 Peralatan Luar Sinyal Mekanik BMN"/>
    <n v="2125000000"/>
    <n v="2125000000"/>
    <n v="527929479"/>
    <n v="79254316"/>
    <n v="607183795"/>
    <n v="1517816205"/>
    <n v="0"/>
    <x v="14"/>
    <x v="0"/>
  </r>
  <r>
    <s v="4221425010 Pengamanan Perlintasan Sebidang BMN"/>
    <n v="75000000"/>
    <n v="75000000"/>
    <n v="0"/>
    <n v="0"/>
    <n v="0"/>
    <n v="75000000"/>
    <n v="0"/>
    <x v="14"/>
    <x v="0"/>
  </r>
  <r>
    <s v="4221426010 Pesawat Telepon BMN"/>
    <n v="1360596500"/>
    <n v="1360596500"/>
    <n v="480170000"/>
    <n v="0"/>
    <n v="480170000"/>
    <n v="880426500"/>
    <n v="0"/>
    <x v="14"/>
    <x v="0"/>
  </r>
  <r>
    <s v="4221427010 Transmisi Komunikasi BMN"/>
    <n v="4897337500"/>
    <n v="4897337500"/>
    <n v="4881152179"/>
    <n v="0"/>
    <n v="4881152179"/>
    <n v="16185321"/>
    <n v="0"/>
    <x v="14"/>
    <x v="0"/>
  </r>
  <r>
    <s v="4221428010 Peralatan Pendukung Sintel BMN"/>
    <n v="1057349000"/>
    <n v="1057349000"/>
    <n v="74537440"/>
    <n v="87511800"/>
    <n v="162049240"/>
    <n v="895299760"/>
    <n v="0"/>
    <x v="14"/>
    <x v="0"/>
  </r>
  <r>
    <s v="4221428011 Bangunan Sintel BMN"/>
    <n v="725000000"/>
    <n v="725000000"/>
    <n v="0"/>
    <n v="0"/>
    <n v="0"/>
    <n v="725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457905500"/>
    <n v="457905500"/>
    <n v="0"/>
    <n v="0"/>
    <n v="0"/>
    <n v="457905500"/>
    <n v="0"/>
    <x v="14"/>
    <x v="0"/>
  </r>
  <r>
    <s v="4221429011 Beban Pemakaian Alat Kerja pendukung perawatan BMN"/>
    <n v="875000000"/>
    <n v="875000000"/>
    <n v="498500000"/>
    <n v="0"/>
    <n v="498500000"/>
    <n v="376500000"/>
    <n v="0"/>
    <x v="14"/>
    <x v="0"/>
  </r>
  <r>
    <s v="4222424010 Peralatan Luar Sinyal Elektrik KAI"/>
    <n v="150000000"/>
    <n v="150000000"/>
    <n v="0"/>
    <n v="0"/>
    <n v="0"/>
    <n v="150000000"/>
    <n v="0"/>
    <x v="14"/>
    <x v="2"/>
  </r>
  <r>
    <s v="4222600000 Peralatan Khusus Prasarana KAI"/>
    <n v="322500000"/>
    <n v="322500000"/>
    <n v="64735000"/>
    <n v="18435000"/>
    <n v="83170000"/>
    <n v="239330000"/>
    <n v="0"/>
    <x v="14"/>
    <x v="3"/>
  </r>
  <r>
    <s v="4222800000 Beban BBM Mekanik Prasarana"/>
    <n v="142986000"/>
    <n v="142986000"/>
    <n v="0"/>
    <n v="32200000"/>
    <n v="32200000"/>
    <n v="110786000"/>
    <n v="0"/>
    <x v="14"/>
    <x v="8"/>
  </r>
  <r>
    <s v="4232130000 LAT Beban Umum Pengoperasian Prasarana (IO)"/>
    <n v="384828750"/>
    <n v="384828750"/>
    <n v="343694"/>
    <n v="230704071"/>
    <n v="231047765"/>
    <n v="153780985"/>
    <n v="0"/>
    <x v="14"/>
    <x v="5"/>
  </r>
  <r>
    <s v="4233100000 Rapat&amp;Akomodasi Beban Umum Perawatan Prasarana KAI"/>
    <n v="162500000"/>
    <n v="162500000"/>
    <n v="0"/>
    <n v="12632800"/>
    <n v="12632800"/>
    <n v="149867200"/>
    <n v="0"/>
    <x v="14"/>
    <x v="1"/>
  </r>
  <r>
    <s v="4233150010 Kerumahtanggaan Beban Umum Perawatan Prasarana KAI"/>
    <n v="202625000"/>
    <n v="202625000"/>
    <n v="1000000"/>
    <n v="49382229"/>
    <n v="50382229"/>
    <n v="152242771"/>
    <n v="0"/>
    <x v="14"/>
    <x v="1"/>
  </r>
  <r>
    <s v="4233151710 Kerumahtanggaan UMDT Beban Umum Perawatan Pras KAI"/>
    <n v="23925000"/>
    <n v="23925000"/>
    <n v="0"/>
    <n v="6750000"/>
    <n v="6750000"/>
    <n v="17175000"/>
    <n v="0"/>
    <x v="14"/>
    <x v="1"/>
  </r>
  <r>
    <s v="4233160010 Inventaris Beban Umum Perawatan Prasarana KAI"/>
    <n v="131916250"/>
    <n v="131916250"/>
    <n v="0"/>
    <n v="0"/>
    <n v="0"/>
    <n v="131916250"/>
    <n v="0"/>
    <x v="14"/>
    <x v="1"/>
  </r>
  <r>
    <s v="4233200000 Perjalanan Dinas BebanUmum Perawatan Prasarana KAI"/>
    <n v="145947750"/>
    <n v="145947750"/>
    <n v="0"/>
    <n v="46241250"/>
    <n v="46241250"/>
    <n v="99706500"/>
    <n v="0"/>
    <x v="14"/>
    <x v="1"/>
  </r>
  <r>
    <s v="4233400000 ATK Beban Umum Perawatan Prasarana KAI"/>
    <n v="17072000"/>
    <n v="17072000"/>
    <n v="0"/>
    <n v="0"/>
    <n v="0"/>
    <n v="17072000"/>
    <n v="0"/>
    <x v="14"/>
    <x v="1"/>
  </r>
  <r>
    <s v="4242000000 Beban Penyusutan AT Bangunan Kantor"/>
    <n v="0"/>
    <n v="0"/>
    <n v="0"/>
    <n v="2796436"/>
    <n v="2796436"/>
    <n v="-2796436"/>
    <n v="0"/>
    <x v="14"/>
    <x v="6"/>
  </r>
  <r>
    <s v="4272100010 Gaji &amp;Tunjangan PegawaiPerawatan Prasarana Unit JJ"/>
    <n v="10688916866"/>
    <n v="10688916866"/>
    <n v="0"/>
    <n v="1591762003"/>
    <n v="1591762003"/>
    <n v="9097154863"/>
    <n v="0"/>
    <x v="14"/>
    <x v="6"/>
  </r>
  <r>
    <s v="4272200010 Iuran Pensiun Pegawai Perawatan Prasarana Unit JJ/"/>
    <n v="106116051"/>
    <n v="106116051"/>
    <n v="0"/>
    <n v="18102841"/>
    <n v="18102841"/>
    <n v="88013210"/>
    <n v="0"/>
    <x v="14"/>
    <x v="6"/>
  </r>
  <r>
    <s v="4272400000 Lembur dan Perangsang Peg PrwtnPrsrna unit JJ/Sntl"/>
    <n v="9218326343"/>
    <n v="9218326343"/>
    <n v="0"/>
    <n v="654899358"/>
    <n v="654899358"/>
    <n v="8563426985"/>
    <n v="0"/>
    <x v="14"/>
    <x v="6"/>
  </r>
  <r>
    <s v="4272500000 PakaianDinas PegPrwtn PrasaranaUnit JJ/sntl/BY Pra"/>
    <n v="58858990"/>
    <n v="58858990"/>
    <n v="0"/>
    <n v="0"/>
    <n v="0"/>
    <n v="58858990"/>
    <n v="0"/>
    <x v="14"/>
    <x v="6"/>
  </r>
  <r>
    <s v="4273100010 Gaji &amp;Tunjangan Pegawai Renwas JJ/Sintel LAA"/>
    <n v="1422805953"/>
    <n v="1422805953"/>
    <n v="0"/>
    <n v="179659734"/>
    <n v="179659734"/>
    <n v="1243146219"/>
    <n v="0"/>
    <x v="14"/>
    <x v="6"/>
  </r>
  <r>
    <s v="4273200010 Iuran Pensiun Pegawai Renwas JJ/Sintel LAA"/>
    <n v="13916758"/>
    <n v="13916758"/>
    <n v="0"/>
    <n v="2273980"/>
    <n v="2273980"/>
    <n v="11642778"/>
    <n v="0"/>
    <x v="14"/>
    <x v="6"/>
  </r>
  <r>
    <s v="4273400000 Lembur dan Perangsang Pegawai Renwas JJ/Sintel LAA"/>
    <n v="1559682761"/>
    <n v="1559682761"/>
    <n v="0"/>
    <n v="156987500"/>
    <n v="156987500"/>
    <n v="1402695261"/>
    <n v="0"/>
    <x v="14"/>
    <x v="6"/>
  </r>
  <r>
    <s v="4273500000 Pakaian Dinas Pegawai Renwas JJ/Sintel LAA"/>
    <n v="3850588"/>
    <n v="3850588"/>
    <n v="0"/>
    <n v="0"/>
    <n v="0"/>
    <n v="3850588"/>
    <n v="0"/>
    <x v="14"/>
    <x v="6"/>
  </r>
  <r>
    <s v="35022000 Sintelis Divre IV Tanjungkarang"/>
    <n v="39919400060"/>
    <n v="39919400060"/>
    <n v="9520753089"/>
    <n v="3169593318"/>
    <n v="12690346407"/>
    <n v="27229053653"/>
    <n v="0"/>
    <x v="14"/>
    <x v="7"/>
  </r>
  <r>
    <s v="4272400000  Lembur dan Perangsang Peg PrwtnPrsrna unit JJ/Sntl"/>
    <n v="8508980964"/>
    <n v="8508980964"/>
    <n v="0"/>
    <n v="9618513337"/>
    <n v="9618513337"/>
    <n v="-1109532373"/>
    <n v="0"/>
    <x v="14"/>
    <x v="6"/>
  </r>
  <r>
    <s v="4272500000  PakaianDinas PegPrwtn PrasaranaUnit JJ/sntl/BY Pra"/>
    <n v="50751039"/>
    <n v="50751039"/>
    <n v="0"/>
    <n v="57200000"/>
    <n v="57200000"/>
    <n v="-6448961"/>
    <n v="0"/>
    <x v="14"/>
    <x v="6"/>
  </r>
  <r>
    <s v="4273100010  Gaji &amp;Tunjangan Pegawai Renwas JJ/Sintel LAA"/>
    <n v="1562113506"/>
    <n v="1562113506"/>
    <n v="0"/>
    <n v="1320862945"/>
    <n v="1320862945"/>
    <n v="241250561"/>
    <n v="0"/>
    <x v="14"/>
    <x v="6"/>
  </r>
  <r>
    <s v="4273200010  Iuran Pensiun Pegawai Renwas JJ/Sintel LAA"/>
    <n v="28061928"/>
    <n v="28061928"/>
    <n v="0"/>
    <n v="22508556"/>
    <n v="22508556"/>
    <n v="5553372"/>
    <n v="0"/>
    <x v="14"/>
    <x v="6"/>
  </r>
  <r>
    <s v="4273400000  Lembur dan Perangsang Pegawai Renwas JJ/Sintel LAA"/>
    <n v="1341831826"/>
    <n v="1341831826"/>
    <n v="0"/>
    <n v="1614976281"/>
    <n v="1614976281"/>
    <n v="-273144455"/>
    <n v="0"/>
    <x v="14"/>
    <x v="6"/>
  </r>
  <r>
    <s v="4273500000  Pakaian Dinas Pegawai Renwas JJ/Sintel LAA"/>
    <n v="3657733"/>
    <n v="3657733"/>
    <n v="0"/>
    <n v="4950000"/>
    <n v="4950000"/>
    <n v="-1292267"/>
    <n v="0"/>
    <x v="14"/>
    <x v="6"/>
  </r>
  <r>
    <s v="35022000  Sintelis Divre IV Tanjungkarang"/>
    <n v="54831356680"/>
    <n v="54831356680"/>
    <n v="19959761"/>
    <n v="55526565365"/>
    <n v="55546525126"/>
    <n v="-715168446"/>
    <n v="0"/>
    <x v="14"/>
    <x v="7"/>
  </r>
  <r>
    <m/>
    <m/>
    <m/>
    <m/>
    <m/>
    <m/>
    <m/>
    <m/>
    <x v="15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4">
  <r>
    <s v="1182000000 Persediaan Prasarana Perkeretaapian dan Umum"/>
    <n v="108692034000"/>
    <n v="108692034000"/>
    <n v="26587789762"/>
    <n v="0"/>
    <n v="26587789762"/>
    <n v="82104244238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41172787000"/>
    <n v="41172787000"/>
    <n v="36000000000"/>
    <n v="0"/>
    <n v="36000000000"/>
    <n v="5172787000"/>
    <n v="0"/>
    <x v="0"/>
    <x v="0"/>
  </r>
  <r>
    <s v="4221422010 Peralatan Luar Sinyal Elektrik BMN"/>
    <n v="34187077000"/>
    <n v="34187077000"/>
    <n v="3132332000"/>
    <n v="0"/>
    <n v="3132332000"/>
    <n v="31054745000"/>
    <n v="0"/>
    <x v="0"/>
    <x v="0"/>
  </r>
  <r>
    <s v="4221425010 Pengamanan Perlintasan Sebidang BMN"/>
    <n v="17677615360"/>
    <n v="17677615360"/>
    <n v="17448621050"/>
    <n v="0"/>
    <n v="17448621050"/>
    <n v="228994310"/>
    <n v="0"/>
    <x v="0"/>
    <x v="0"/>
  </r>
  <r>
    <s v="4221426010 Pesawat Telepon BMN"/>
    <n v="959026500"/>
    <n v="959026500"/>
    <n v="0"/>
    <n v="0"/>
    <n v="0"/>
    <n v="959026500"/>
    <n v="0"/>
    <x v="0"/>
    <x v="0"/>
  </r>
  <r>
    <s v="4221427010 Transmisi Komunikasi BMN"/>
    <n v="64271431000"/>
    <n v="64271431000"/>
    <n v="61247356664"/>
    <n v="0"/>
    <n v="61247356664"/>
    <n v="3024074336"/>
    <n v="0"/>
    <x v="0"/>
    <x v="0"/>
  </r>
  <r>
    <s v="4221428010 Peralatan Pendukung Sintel BMN"/>
    <n v="394269250"/>
    <n v="394269250"/>
    <n v="0"/>
    <n v="0"/>
    <n v="0"/>
    <n v="394269250"/>
    <n v="0"/>
    <x v="0"/>
    <x v="0"/>
  </r>
  <r>
    <s v="4221429011 Beban Pemakaian Alat Kerja pendukung perawatan BMN"/>
    <n v="252697500"/>
    <n v="252697500"/>
    <n v="0"/>
    <n v="0"/>
    <n v="0"/>
    <n v="252697500"/>
    <n v="0"/>
    <x v="0"/>
    <x v="0"/>
  </r>
  <r>
    <s v="4221521010 Catu Daya LAA BMN"/>
    <n v="26462829544"/>
    <n v="26462829544"/>
    <n v="0"/>
    <n v="0"/>
    <n v="0"/>
    <n v="26462829544"/>
    <n v="0"/>
    <x v="0"/>
    <x v="0"/>
  </r>
  <r>
    <s v="4221522010 Tranmisi Tenaga LAA BMN"/>
    <n v="12064691636"/>
    <n v="12064691636"/>
    <n v="0"/>
    <n v="0"/>
    <n v="0"/>
    <n v="12064691636"/>
    <n v="0"/>
    <x v="0"/>
    <x v="0"/>
  </r>
  <r>
    <s v="4221570010 Alat Kerja LAA BMN"/>
    <n v="1175883000"/>
    <n v="1175883000"/>
    <n v="0"/>
    <n v="0"/>
    <n v="0"/>
    <n v="1175883000"/>
    <n v="0"/>
    <x v="0"/>
    <x v="0"/>
  </r>
  <r>
    <s v="4222521010 Catu Daya LAA KAI"/>
    <n v="1734605250"/>
    <n v="1734605250"/>
    <n v="0"/>
    <n v="0"/>
    <n v="0"/>
    <n v="1734605250"/>
    <n v="0"/>
    <x v="0"/>
    <x v="2"/>
  </r>
  <r>
    <s v="4222600000 Peralatan Khusus Prasarana KAI"/>
    <n v="250000000"/>
    <n v="250000000"/>
    <n v="0"/>
    <n v="0"/>
    <n v="0"/>
    <n v="250000000"/>
    <n v="0"/>
    <x v="0"/>
    <x v="3"/>
  </r>
  <r>
    <s v="4231110000 Rapat&amp;Akomodasi BbnUmum Prwtn Prasarana Pemerintah"/>
    <n v="125000000"/>
    <n v="125000000"/>
    <n v="20986164"/>
    <n v="0"/>
    <n v="20986164"/>
    <n v="104013836"/>
    <n v="0"/>
    <x v="0"/>
    <x v="4"/>
  </r>
  <r>
    <s v="4231140000 Komunikasi Radio &amp; Telekomunikasi"/>
    <n v="1125000000"/>
    <n v="1125000000"/>
    <n v="0"/>
    <n v="901692058"/>
    <n v="901692058"/>
    <n v="223307942"/>
    <n v="0"/>
    <x v="0"/>
    <x v="5"/>
  </r>
  <r>
    <s v="4233100000 Rapat&amp;Akomodasi Beban Umum Perawatan Prasarana KAI"/>
    <n v="375000000"/>
    <n v="375000000"/>
    <n v="1948000"/>
    <n v="0"/>
    <n v="1948000"/>
    <n v="373052000"/>
    <n v="0"/>
    <x v="0"/>
    <x v="1"/>
  </r>
  <r>
    <s v="4233150010 Kerumahtanggaan Beban Umum Perawatan Prasarana KAI"/>
    <n v="185260000"/>
    <n v="185260000"/>
    <n v="24326714"/>
    <n v="28810450"/>
    <n v="53137164"/>
    <n v="132122836"/>
    <n v="0"/>
    <x v="0"/>
    <x v="1"/>
  </r>
  <r>
    <s v="4233151710 Kerumahtanggaan UMDT Beban Umum Perawatan Pras KAI"/>
    <n v="39000000"/>
    <n v="39000000"/>
    <n v="0"/>
    <n v="13000000"/>
    <n v="13000000"/>
    <n v="26000000"/>
    <n v="0"/>
    <x v="0"/>
    <x v="1"/>
  </r>
  <r>
    <s v="4233160010 Inventaris Beban Umum Perawatan Prasarana KAI"/>
    <n v="125000000"/>
    <n v="125000000"/>
    <n v="0"/>
    <n v="0"/>
    <n v="0"/>
    <n v="125000000"/>
    <n v="0"/>
    <x v="0"/>
    <x v="1"/>
  </r>
  <r>
    <s v="4233180010 Beban Umum Pengiriman Prasarana KAI"/>
    <n v="200000000"/>
    <n v="200000000"/>
    <n v="56042500"/>
    <n v="49833500"/>
    <n v="105876000"/>
    <n v="94124000"/>
    <n v="0"/>
    <x v="0"/>
    <x v="1"/>
  </r>
  <r>
    <s v="4233200000 Perjalanan Dinas BebanUmum Perawatan Prasarana KAI"/>
    <n v="625000000"/>
    <n v="625000000"/>
    <n v="0"/>
    <n v="174031250"/>
    <n v="174031250"/>
    <n v="450968750"/>
    <n v="0"/>
    <x v="0"/>
    <x v="1"/>
  </r>
  <r>
    <s v="4233400000 ATK Beban Umum Perawatan Prasarana KAI"/>
    <n v="55000000"/>
    <n v="55000000"/>
    <n v="0"/>
    <n v="0"/>
    <n v="0"/>
    <n v="55000000"/>
    <n v="0"/>
    <x v="0"/>
    <x v="1"/>
  </r>
  <r>
    <s v="4272100010 Gaji &amp;Tunjangan PegawaiPerawatan Prasarana Unit JJ"/>
    <n v="3456614204"/>
    <n v="3456614204"/>
    <n v="0"/>
    <n v="413008253"/>
    <n v="413008253"/>
    <n v="3043605951"/>
    <n v="0"/>
    <x v="0"/>
    <x v="6"/>
  </r>
  <r>
    <s v="4272200010 Iuran Pensiun Pegawai Perawatan Prasarana Unit JJ/"/>
    <n v="52828623"/>
    <n v="52828623"/>
    <n v="0"/>
    <n v="6538778"/>
    <n v="6538778"/>
    <n v="46289845"/>
    <n v="0"/>
    <x v="0"/>
    <x v="6"/>
  </r>
  <r>
    <s v="4272400000 Lembur dan Perangsang Peg PrwtnPrsrna unit JJ/Sntl"/>
    <n v="4078270035"/>
    <n v="4078270035"/>
    <n v="0"/>
    <n v="308142214"/>
    <n v="308142214"/>
    <n v="3770127821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1120324189"/>
    <n v="1120324189"/>
    <n v="9827151066"/>
    <n v="0"/>
    <x v="0"/>
    <x v="6"/>
  </r>
  <r>
    <s v="4273200010 Iuran Pensiun Pegawai Renwas JJ/Sintel LAA"/>
    <n v="248090002"/>
    <n v="248090002"/>
    <n v="0"/>
    <n v="44762586"/>
    <n v="44762586"/>
    <n v="203327416"/>
    <n v="0"/>
    <x v="0"/>
    <x v="6"/>
  </r>
  <r>
    <s v="4273400000 Lembur dan Perangsang Pegawai Renwas JJ/Sintel LAA"/>
    <n v="13970066046"/>
    <n v="13970066046"/>
    <n v="0"/>
    <n v="1248726000"/>
    <n v="1248726000"/>
    <n v="12721340046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7500000"/>
    <n v="-7500000"/>
    <n v="7500000"/>
    <n v="0"/>
    <x v="0"/>
    <x v="6"/>
  </r>
  <r>
    <s v="5319000000 Pendidikan"/>
    <n v="250000000"/>
    <n v="250000000"/>
    <n v="9464000"/>
    <n v="0"/>
    <n v="9464000"/>
    <n v="240536000"/>
    <n v="0"/>
    <x v="0"/>
    <x v="1"/>
  </r>
  <r>
    <s v="5325480000 Teknologi Informasi"/>
    <n v="125000000"/>
    <n v="125000000"/>
    <n v="0"/>
    <n v="0"/>
    <n v="0"/>
    <n v="125000000"/>
    <n v="0"/>
    <x v="0"/>
    <x v="1"/>
  </r>
  <r>
    <s v="5400000000 Penyusutan AT Lainnya (Fasilitas Umum)"/>
    <n v="0"/>
    <n v="0"/>
    <n v="0"/>
    <n v="205407666"/>
    <n v="205407666"/>
    <n v="-205407666"/>
    <n v="0"/>
    <x v="0"/>
    <x v="6"/>
  </r>
  <r>
    <s v="10025000 Signalling, Telecomm &amp; Electricity"/>
    <n v="345318257422"/>
    <n v="345318257422"/>
    <n v="144528866854"/>
    <n v="4506776944"/>
    <n v="149035643798"/>
    <n v="196282613624"/>
    <n v="0"/>
    <x v="0"/>
    <x v="7"/>
  </r>
  <r>
    <s v="1182000000 Persediaan Prasarana Perkeretaapian dan Umum"/>
    <n v="17706636144"/>
    <n v="17706636144"/>
    <n v="13902367700"/>
    <n v="0"/>
    <n v="13902367700"/>
    <n v="3804268444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200000000"/>
    <n v="200000000"/>
    <n v="0"/>
    <n v="0"/>
    <n v="0"/>
    <n v="200000000"/>
    <n v="0"/>
    <x v="1"/>
    <x v="0"/>
  </r>
  <r>
    <s v="4221422010 Peralatan Luar Sinyal Elektrik BMN"/>
    <n v="1000000000"/>
    <n v="1000000000"/>
    <n v="0"/>
    <n v="0"/>
    <n v="0"/>
    <n v="1000000000"/>
    <n v="0"/>
    <x v="1"/>
    <x v="0"/>
  </r>
  <r>
    <s v="4221423010 Peralatan Dalam Sinyal Mekanik BMN"/>
    <n v="50000000"/>
    <n v="50000000"/>
    <n v="0"/>
    <n v="0"/>
    <n v="0"/>
    <n v="50000000"/>
    <n v="0"/>
    <x v="1"/>
    <x v="0"/>
  </r>
  <r>
    <s v="4221424010 Peralatan Luar Sinyal Mekanik BMN"/>
    <n v="200000000"/>
    <n v="200000000"/>
    <n v="0"/>
    <n v="0"/>
    <n v="0"/>
    <n v="200000000"/>
    <n v="0"/>
    <x v="1"/>
    <x v="0"/>
  </r>
  <r>
    <s v="4221425010 Pengamanan Perlintasan Sebidang BMN"/>
    <n v="650000000"/>
    <n v="650000000"/>
    <n v="0"/>
    <n v="0"/>
    <n v="0"/>
    <n v="650000000"/>
    <n v="0"/>
    <x v="1"/>
    <x v="0"/>
  </r>
  <r>
    <s v="4221427010 Transmisi Komunikasi BMN"/>
    <n v="3000000000"/>
    <n v="3000000000"/>
    <n v="2487092234"/>
    <n v="0"/>
    <n v="2487092234"/>
    <n v="512907766"/>
    <n v="0"/>
    <x v="1"/>
    <x v="0"/>
  </r>
  <r>
    <s v="4221428010 Peralatan Pendukung Sintel BMN"/>
    <n v="2130000000"/>
    <n v="2130000000"/>
    <n v="834283272"/>
    <n v="0"/>
    <n v="834283272"/>
    <n v="1295716728"/>
    <n v="0"/>
    <x v="1"/>
    <x v="0"/>
  </r>
  <r>
    <s v="4221428011 Bangunan Sintel BMN"/>
    <n v="500000000"/>
    <n v="500000000"/>
    <n v="0"/>
    <n v="0"/>
    <n v="0"/>
    <n v="500000000"/>
    <n v="0"/>
    <x v="1"/>
    <x v="0"/>
  </r>
  <r>
    <s v="4221428012 Sistem Proteksi Sintel BMN"/>
    <n v="1250000000"/>
    <n v="1250000000"/>
    <n v="0"/>
    <n v="0"/>
    <n v="0"/>
    <n v="1250000000"/>
    <n v="0"/>
    <x v="1"/>
    <x v="0"/>
  </r>
  <r>
    <s v="4221428013 Tanda Semboyan Marka Sintel BMN"/>
    <n v="125000000"/>
    <n v="125000000"/>
    <n v="0"/>
    <n v="0"/>
    <n v="0"/>
    <n v="125000000"/>
    <n v="0"/>
    <x v="1"/>
    <x v="0"/>
  </r>
  <r>
    <s v="4221428014 Catu Daya Sintel BMN"/>
    <n v="3425000000"/>
    <n v="3425000000"/>
    <n v="212238560"/>
    <n v="0"/>
    <n v="212238560"/>
    <n v="3212761440"/>
    <n v="0"/>
    <x v="1"/>
    <x v="0"/>
  </r>
  <r>
    <s v="4222422110 Peralatan Pendukung Sintel KAI"/>
    <n v="1310000000"/>
    <n v="1310000000"/>
    <n v="113020000"/>
    <n v="34500000"/>
    <n v="147520000"/>
    <n v="1162480000"/>
    <n v="0"/>
    <x v="1"/>
    <x v="2"/>
  </r>
  <r>
    <s v="4222423110 Bangunan Sintel KAI"/>
    <n v="375000000"/>
    <n v="375000000"/>
    <n v="0"/>
    <n v="0"/>
    <n v="0"/>
    <n v="375000000"/>
    <n v="0"/>
    <x v="1"/>
    <x v="2"/>
  </r>
  <r>
    <s v="4222428010 Pesawat Telepon KAI"/>
    <n v="488400000"/>
    <n v="488400000"/>
    <n v="0"/>
    <n v="0"/>
    <n v="0"/>
    <n v="488400000"/>
    <n v="0"/>
    <x v="1"/>
    <x v="2"/>
  </r>
  <r>
    <s v="4222470010 Alat Kerja Sintel KAI"/>
    <n v="1250000000"/>
    <n v="1250000000"/>
    <n v="0"/>
    <n v="0"/>
    <n v="0"/>
    <n v="1250000000"/>
    <n v="0"/>
    <x v="1"/>
    <x v="2"/>
  </r>
  <r>
    <s v="4222600000 Peralatan Khusus Prasarana KAI"/>
    <n v="200000000"/>
    <n v="200000000"/>
    <n v="0"/>
    <n v="0"/>
    <n v="0"/>
    <n v="200000000"/>
    <n v="0"/>
    <x v="1"/>
    <x v="3"/>
  </r>
  <r>
    <s v="4222800000 Beban BBM Mekanik Prasarana"/>
    <n v="90000000"/>
    <n v="90000000"/>
    <n v="0"/>
    <n v="0"/>
    <n v="0"/>
    <n v="90000000"/>
    <n v="0"/>
    <x v="1"/>
    <x v="8"/>
  </r>
  <r>
    <s v="4232130000 LAT Beban Umum Pengoperasian Prasarana (IO)"/>
    <n v="875000000"/>
    <n v="875000000"/>
    <n v="0"/>
    <n v="466659980"/>
    <n v="466659980"/>
    <n v="408340020"/>
    <n v="0"/>
    <x v="1"/>
    <x v="5"/>
  </r>
  <r>
    <s v="4233100000 Rapat&amp;Akomodasi Beban Umum Perawatan Prasarana KAI"/>
    <n v="256899832"/>
    <n v="256899832"/>
    <n v="7567000"/>
    <n v="27969350"/>
    <n v="35536350"/>
    <n v="221363482"/>
    <n v="0"/>
    <x v="1"/>
    <x v="1"/>
  </r>
  <r>
    <s v="4233150010 Kerumahtanggaan Beban Umum Perawatan Prasarana KAI"/>
    <n v="204937866"/>
    <n v="204937866"/>
    <n v="49275316"/>
    <n v="14993600"/>
    <n v="64268916"/>
    <n v="140668950"/>
    <n v="0"/>
    <x v="1"/>
    <x v="1"/>
  </r>
  <r>
    <s v="4233151710 Kerumahtanggaan UMDT Beban Umum Perawatan Pras KAI"/>
    <n v="83250000"/>
    <n v="83250000"/>
    <n v="0"/>
    <n v="15750000"/>
    <n v="15750000"/>
    <n v="67500000"/>
    <n v="0"/>
    <x v="1"/>
    <x v="1"/>
  </r>
  <r>
    <s v="4233160010 Inventaris Beban Umum Perawatan Prasarana KAI"/>
    <n v="336297413"/>
    <n v="336297413"/>
    <n v="0"/>
    <n v="0"/>
    <n v="0"/>
    <n v="336297413"/>
    <n v="0"/>
    <x v="1"/>
    <x v="1"/>
  </r>
  <r>
    <s v="4233180010 Beban Umum Pengiriman Prasarana KAI"/>
    <n v="5000000"/>
    <n v="5000000"/>
    <n v="0"/>
    <n v="0"/>
    <n v="0"/>
    <n v="5000000"/>
    <n v="0"/>
    <x v="1"/>
    <x v="1"/>
  </r>
  <r>
    <s v="4233200000 Perjalanan Dinas BebanUmum Perawatan Prasarana KAI"/>
    <n v="201492190"/>
    <n v="201492190"/>
    <n v="0"/>
    <n v="55122500"/>
    <n v="55122500"/>
    <n v="146369690"/>
    <n v="0"/>
    <x v="1"/>
    <x v="1"/>
  </r>
  <r>
    <s v="4233400000 ATK Beban Umum Perawatan Prasarana KAI"/>
    <n v="35341673"/>
    <n v="35341673"/>
    <n v="0"/>
    <n v="0"/>
    <n v="0"/>
    <n v="35341673"/>
    <n v="0"/>
    <x v="1"/>
    <x v="1"/>
  </r>
  <r>
    <s v="4242000000 Beban Penyusutan AT Bangunan Kantor"/>
    <n v="0"/>
    <n v="0"/>
    <n v="0"/>
    <n v="6318436"/>
    <n v="6318436"/>
    <n v="-6318436"/>
    <n v="0"/>
    <x v="1"/>
    <x v="6"/>
  </r>
  <r>
    <s v="4272100010 Gaji &amp;Tunjangan PegawaiPerawatan Prasarana Unit JJ"/>
    <n v="22931607229"/>
    <n v="22931607229"/>
    <n v="0"/>
    <n v="3273696856"/>
    <n v="3273696856"/>
    <n v="19657910373"/>
    <n v="0"/>
    <x v="1"/>
    <x v="6"/>
  </r>
  <r>
    <s v="4272200010 Iuran Pensiun Pegawai Perawatan Prasarana Unit JJ/"/>
    <n v="604955157"/>
    <n v="604955157"/>
    <n v="0"/>
    <n v="87915397"/>
    <n v="87915397"/>
    <n v="517039760"/>
    <n v="0"/>
    <x v="1"/>
    <x v="6"/>
  </r>
  <r>
    <s v="4272400000 Lembur dan Perangsang Peg PrwtnPrsrna unit JJ/Sntl"/>
    <n v="20967421530"/>
    <n v="20967421530"/>
    <n v="0"/>
    <n v="1613036038"/>
    <n v="1613036038"/>
    <n v="19354385492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258896079"/>
    <n v="258896079"/>
    <n v="1390530506"/>
    <n v="0"/>
    <x v="1"/>
    <x v="6"/>
  </r>
  <r>
    <s v="4273200010 Iuran Pensiun Pegawai Renwas JJ/Sintel LAA"/>
    <n v="53660123"/>
    <n v="53660123"/>
    <n v="0"/>
    <n v="10936488"/>
    <n v="10936488"/>
    <n v="42723635"/>
    <n v="0"/>
    <x v="1"/>
    <x v="6"/>
  </r>
  <r>
    <s v="4273400000 Lembur dan Perangsang Pegawai Renwas JJ/Sintel LAA"/>
    <n v="1937118528"/>
    <n v="1937118528"/>
    <n v="0"/>
    <n v="205194521"/>
    <n v="205194521"/>
    <n v="1731924007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84251784955"/>
    <n v="84251784955"/>
    <n v="17605844082"/>
    <n v="6071405261"/>
    <n v="23677249343"/>
    <n v="60574535612"/>
    <n v="0"/>
    <x v="1"/>
    <x v="7"/>
  </r>
  <r>
    <s v="1182000000 Persediaan Prasarana Perkeretaapian dan Umum"/>
    <n v="2022054000"/>
    <n v="2022054000"/>
    <n v="1229711000"/>
    <n v="0"/>
    <n v="1229711000"/>
    <n v="792343000"/>
    <n v="0"/>
    <x v="2"/>
    <x v="0"/>
  </r>
  <r>
    <s v="4123110010 Gaji &amp;Tunjangan Pegawai Operasi Sarana"/>
    <n v="0"/>
    <n v="0"/>
    <n v="0"/>
    <n v="-1450000"/>
    <n v="-1450000"/>
    <n v="1450000"/>
    <n v="0"/>
    <x v="2"/>
    <x v="6"/>
  </r>
  <r>
    <s v="4221521010 Catu Daya LAA BMN"/>
    <n v="828635000"/>
    <n v="828635000"/>
    <n v="53100000"/>
    <n v="58598600"/>
    <n v="111698600"/>
    <n v="716936400"/>
    <n v="0"/>
    <x v="2"/>
    <x v="0"/>
  </r>
  <r>
    <s v="4221522010 Tranmisi Tenaga LAA BMN"/>
    <n v="23866781388"/>
    <n v="23866781388"/>
    <n v="22699357069"/>
    <n v="270535984"/>
    <n v="22969893053"/>
    <n v="896888335"/>
    <n v="0"/>
    <x v="2"/>
    <x v="0"/>
  </r>
  <r>
    <s v="4221523010 Pengendalian Catu Daya LAA BMN"/>
    <n v="144110500"/>
    <n v="144110500"/>
    <n v="0"/>
    <n v="0"/>
    <n v="0"/>
    <n v="144110500"/>
    <n v="0"/>
    <x v="2"/>
    <x v="0"/>
  </r>
  <r>
    <s v="4221524010 Tanda Semboyan LAA BMN"/>
    <n v="296500000"/>
    <n v="296500000"/>
    <n v="0"/>
    <n v="0"/>
    <n v="0"/>
    <n v="296500000"/>
    <n v="0"/>
    <x v="2"/>
    <x v="0"/>
  </r>
  <r>
    <s v="4221525010 Bangunan LAA BMN"/>
    <n v="605382500"/>
    <n v="605382500"/>
    <n v="104534440"/>
    <n v="0"/>
    <n v="104534440"/>
    <n v="500848060"/>
    <n v="0"/>
    <x v="2"/>
    <x v="0"/>
  </r>
  <r>
    <s v="4221526010 Sistim Proteksi LAA BMN"/>
    <n v="396500562"/>
    <n v="396500562"/>
    <n v="396500562"/>
    <n v="0"/>
    <n v="396500562"/>
    <n v="0"/>
    <n v="0"/>
    <x v="2"/>
    <x v="0"/>
  </r>
  <r>
    <s v="4221527010 Pendukung LAA BMN"/>
    <n v="1398260000"/>
    <n v="1398260000"/>
    <n v="722440785"/>
    <n v="127902843"/>
    <n v="850343628"/>
    <n v="547916372"/>
    <n v="0"/>
    <x v="2"/>
    <x v="0"/>
  </r>
  <r>
    <s v="4222521010 Catu Daya LAA KAI"/>
    <n v="115793500"/>
    <n v="115793500"/>
    <n v="0"/>
    <n v="0"/>
    <n v="0"/>
    <n v="115793500"/>
    <n v="0"/>
    <x v="2"/>
    <x v="2"/>
  </r>
  <r>
    <s v="4222522010 Tranmisi Tenaga LAA KAI"/>
    <n v="2926668275"/>
    <n v="180831882"/>
    <n v="0"/>
    <n v="0"/>
    <n v="0"/>
    <n v="180831882"/>
    <n v="2745836393"/>
    <x v="2"/>
    <x v="2"/>
  </r>
  <r>
    <s v="4222525010 Bangunan LAA KAI"/>
    <n v="200000000"/>
    <n v="200000000"/>
    <n v="45150000"/>
    <n v="7366373"/>
    <n v="52516373"/>
    <n v="147483627"/>
    <n v="0"/>
    <x v="2"/>
    <x v="2"/>
  </r>
  <r>
    <s v="4222526010 Sistim Proteksi LAA KAI"/>
    <n v="144577500"/>
    <n v="144577500"/>
    <n v="0"/>
    <n v="0"/>
    <n v="0"/>
    <n v="144577500"/>
    <n v="0"/>
    <x v="2"/>
    <x v="2"/>
  </r>
  <r>
    <s v="4222527010 Pendukung LAA KAI"/>
    <n v="180000000"/>
    <n v="180000000"/>
    <n v="0"/>
    <n v="0"/>
    <n v="0"/>
    <n v="180000000"/>
    <n v="0"/>
    <x v="2"/>
    <x v="2"/>
  </r>
  <r>
    <s v="4222528010 Alat Kerja pendukung perawatan KAI"/>
    <n v="855247000"/>
    <n v="855247000"/>
    <n v="63755600"/>
    <n v="0"/>
    <n v="63755600"/>
    <n v="791491400"/>
    <n v="0"/>
    <x v="2"/>
    <x v="2"/>
  </r>
  <r>
    <s v="4222600000 Peralatan Khusus Prasarana KAI"/>
    <n v="100000000"/>
    <n v="100000000"/>
    <n v="0"/>
    <n v="24488000"/>
    <n v="24488000"/>
    <n v="75512000"/>
    <n v="0"/>
    <x v="2"/>
    <x v="3"/>
  </r>
  <r>
    <s v="4233100000 Rapat&amp;Akomodasi Beban Umum Perawatan Prasarana KAI"/>
    <n v="21194933"/>
    <n v="21194933"/>
    <n v="10047000"/>
    <n v="2008000"/>
    <n v="12055000"/>
    <n v="9139933"/>
    <n v="0"/>
    <x v="2"/>
    <x v="1"/>
  </r>
  <r>
    <s v="4233150010 Kerumahtanggaan Beban Umum Perawatan Prasarana KAI"/>
    <n v="54400000"/>
    <n v="54400000"/>
    <n v="19700000"/>
    <n v="27200000"/>
    <n v="46900000"/>
    <n v="7500000"/>
    <n v="0"/>
    <x v="2"/>
    <x v="1"/>
  </r>
  <r>
    <s v="4233151710 Kerumahtanggaan UMDT Beban Umum Perawatan Pras KAI"/>
    <n v="34454000"/>
    <n v="34454000"/>
    <n v="0"/>
    <n v="11500000"/>
    <n v="11500000"/>
    <n v="22954000"/>
    <n v="0"/>
    <x v="2"/>
    <x v="1"/>
  </r>
  <r>
    <s v="4233200000 Perjalanan Dinas BebanUmum Perawatan Prasarana KAI"/>
    <n v="111048250"/>
    <n v="111048250"/>
    <n v="0"/>
    <n v="77114000"/>
    <n v="77114000"/>
    <n v="33934250"/>
    <n v="0"/>
    <x v="2"/>
    <x v="1"/>
  </r>
  <r>
    <s v="4241000000 Beban Penyusutan AT Prasarana Perkeretaapian"/>
    <n v="0"/>
    <n v="0"/>
    <n v="0"/>
    <n v="60232409"/>
    <n v="60232409"/>
    <n v="-60232409"/>
    <n v="0"/>
    <x v="2"/>
    <x v="6"/>
  </r>
  <r>
    <s v="4242000000 Beban Penyusutan AT Bangunan Kantor"/>
    <n v="0"/>
    <n v="0"/>
    <n v="0"/>
    <n v="4113715"/>
    <n v="4113715"/>
    <n v="-4113715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2331721923"/>
    <n v="2331721923"/>
    <n v="13891922930"/>
    <n v="0"/>
    <x v="2"/>
    <x v="6"/>
  </r>
  <r>
    <s v="4272200010 Iuran Pensiun Pegawai Perawatan Prasarana Unit JJ/"/>
    <n v="201591062"/>
    <n v="201591062"/>
    <n v="0"/>
    <n v="32984926"/>
    <n v="32984926"/>
    <n v="168606136"/>
    <n v="0"/>
    <x v="2"/>
    <x v="6"/>
  </r>
  <r>
    <s v="4272400000 Lembur dan Perangsang Peg PrwtnPrsrna unit JJ/Sntl"/>
    <n v="14498179948"/>
    <n v="14498179948"/>
    <n v="0"/>
    <n v="1150516481"/>
    <n v="1150516481"/>
    <n v="1334766346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195522638"/>
    <n v="195522638"/>
    <n v="1768950358"/>
    <n v="0"/>
    <x v="2"/>
    <x v="6"/>
  </r>
  <r>
    <s v="4273200010 Iuran Pensiun Pegawai Renwas JJ/Sintel LAA"/>
    <n v="40912616"/>
    <n v="40912616"/>
    <n v="0"/>
    <n v="6685068"/>
    <n v="6685068"/>
    <n v="34227548"/>
    <n v="0"/>
    <x v="2"/>
    <x v="6"/>
  </r>
  <r>
    <s v="4273400000 Lembur dan Perangsang Pegawai Renwas JJ/Sintel LAA"/>
    <n v="1928660874"/>
    <n v="1928660874"/>
    <n v="0"/>
    <n v="172772106"/>
    <n v="172772106"/>
    <n v="1755888768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69242132443"/>
    <n v="66496296050"/>
    <n v="25344296456"/>
    <n v="4560304437"/>
    <n v="29904600893"/>
    <n v="36591695157"/>
    <n v="2745836393"/>
    <x v="2"/>
    <x v="7"/>
  </r>
  <r>
    <s v="1182000000 Persediaan Prasarana Perkeretaapian dan Umum"/>
    <n v="4497835000"/>
    <n v="4497835000"/>
    <n v="3030321792"/>
    <n v="0"/>
    <n v="3030321792"/>
    <n v="1467513208"/>
    <n v="0"/>
    <x v="3"/>
    <x v="0"/>
  </r>
  <r>
    <s v="4221422010 Peralatan Luar Sinyal Elektrik BMN"/>
    <n v="217840000"/>
    <n v="217840000"/>
    <n v="8607111"/>
    <n v="0"/>
    <n v="8607111"/>
    <n v="209232889"/>
    <n v="0"/>
    <x v="3"/>
    <x v="0"/>
  </r>
  <r>
    <s v="4221423010 Peralatan Dalam Sinyal Mekanik BMN"/>
    <n v="114945000"/>
    <n v="114945000"/>
    <n v="0"/>
    <n v="0"/>
    <n v="0"/>
    <n v="114945000"/>
    <n v="0"/>
    <x v="3"/>
    <x v="0"/>
  </r>
  <r>
    <s v="4221424010 Peralatan Luar Sinyal Mekanik BMN"/>
    <n v="506359062"/>
    <n v="506359062"/>
    <n v="4778729"/>
    <n v="4687290"/>
    <n v="9466019"/>
    <n v="496893043"/>
    <n v="0"/>
    <x v="3"/>
    <x v="0"/>
  </r>
  <r>
    <s v="4221425010 Pengamanan Perlintasan Sebidang BMN"/>
    <n v="600349500"/>
    <n v="600349500"/>
    <n v="0"/>
    <n v="0"/>
    <n v="0"/>
    <n v="600349500"/>
    <n v="0"/>
    <x v="3"/>
    <x v="0"/>
  </r>
  <r>
    <s v="4221426010 Pesawat Telepon BMN"/>
    <n v="409266000"/>
    <n v="409266000"/>
    <n v="283749760"/>
    <n v="0"/>
    <n v="283749760"/>
    <n v="125516240"/>
    <n v="0"/>
    <x v="3"/>
    <x v="0"/>
  </r>
  <r>
    <s v="4221427010 Transmisi Komunikasi BMN"/>
    <n v="2412432000"/>
    <n v="2412432000"/>
    <n v="499522624"/>
    <n v="0"/>
    <n v="499522624"/>
    <n v="1912909376"/>
    <n v="0"/>
    <x v="3"/>
    <x v="0"/>
  </r>
  <r>
    <s v="4221428010 Peralatan Pendukung Sintel BMN"/>
    <n v="832500000"/>
    <n v="832500000"/>
    <n v="250134752"/>
    <n v="93294133"/>
    <n v="343428885"/>
    <n v="489071115"/>
    <n v="0"/>
    <x v="3"/>
    <x v="0"/>
  </r>
  <r>
    <s v="4221428011 Bangunan Sintel BMN"/>
    <n v="265033500"/>
    <n v="265033500"/>
    <n v="0"/>
    <n v="0"/>
    <n v="0"/>
    <n v="265033500"/>
    <n v="0"/>
    <x v="3"/>
    <x v="0"/>
  </r>
  <r>
    <s v="4221428012 Sistem Proteksi Sintel BMN"/>
    <n v="443635113"/>
    <n v="443635113"/>
    <n v="0"/>
    <n v="49555233"/>
    <n v="49555233"/>
    <n v="394079880"/>
    <n v="0"/>
    <x v="3"/>
    <x v="0"/>
  </r>
  <r>
    <s v="4221428014 Catu Daya Sintel BMN"/>
    <n v="1906218580"/>
    <n v="1906218580"/>
    <n v="688318140"/>
    <n v="0"/>
    <n v="688318140"/>
    <n v="1217900440"/>
    <n v="0"/>
    <x v="3"/>
    <x v="0"/>
  </r>
  <r>
    <s v="4222422110 Peralatan Pendukung Sintel KAI"/>
    <n v="177000000"/>
    <n v="177000000"/>
    <n v="0"/>
    <n v="0"/>
    <n v="0"/>
    <n v="177000000"/>
    <n v="0"/>
    <x v="3"/>
    <x v="2"/>
  </r>
  <r>
    <s v="4222423110 Bangunan Sintel KAI"/>
    <n v="225000000"/>
    <n v="225000000"/>
    <n v="0"/>
    <n v="0"/>
    <n v="0"/>
    <n v="225000000"/>
    <n v="0"/>
    <x v="3"/>
    <x v="2"/>
  </r>
  <r>
    <s v="4222470010 Alat Kerja Sintel KAI"/>
    <n v="394079880"/>
    <n v="394079880"/>
    <n v="0"/>
    <n v="0"/>
    <n v="0"/>
    <n v="394079880"/>
    <n v="0"/>
    <x v="3"/>
    <x v="2"/>
  </r>
  <r>
    <s v="4222600000 Peralatan Khusus Prasarana KAI"/>
    <n v="352500000"/>
    <n v="352500000"/>
    <n v="0"/>
    <n v="0"/>
    <n v="0"/>
    <n v="352500000"/>
    <n v="0"/>
    <x v="3"/>
    <x v="3"/>
  </r>
  <r>
    <s v="4222800000 Beban BBM Mekanik Prasarana"/>
    <n v="59437500"/>
    <n v="59437500"/>
    <n v="15775000"/>
    <n v="0"/>
    <n v="15775000"/>
    <n v="43662500"/>
    <n v="0"/>
    <x v="3"/>
    <x v="8"/>
  </r>
  <r>
    <s v="4232130000 LAT Beban Umum Pengoperasian Prasarana (IO)"/>
    <n v="565000000"/>
    <n v="565000000"/>
    <n v="0"/>
    <n v="325092882"/>
    <n v="325092882"/>
    <n v="239907118"/>
    <n v="0"/>
    <x v="3"/>
    <x v="5"/>
  </r>
  <r>
    <s v="4233100000 Rapat&amp;Akomodasi Beban Umum Perawatan Prasarana KAI"/>
    <n v="28350000"/>
    <n v="28350000"/>
    <n v="0"/>
    <n v="18812609"/>
    <n v="18812609"/>
    <n v="9537391"/>
    <n v="0"/>
    <x v="3"/>
    <x v="1"/>
  </r>
  <r>
    <s v="4233150010 Kerumahtanggaan Beban Umum Perawatan Prasarana KAI"/>
    <n v="75700000"/>
    <n v="75700000"/>
    <n v="25113500"/>
    <n v="21300000"/>
    <n v="46413500"/>
    <n v="29286500"/>
    <n v="0"/>
    <x v="3"/>
    <x v="1"/>
  </r>
  <r>
    <s v="4233151710 Kerumahtanggaan UMDT Beban Umum Perawatan Pras KAI"/>
    <n v="24750000"/>
    <n v="24750000"/>
    <n v="0"/>
    <n v="8082500"/>
    <n v="8082500"/>
    <n v="16667500"/>
    <n v="0"/>
    <x v="3"/>
    <x v="1"/>
  </r>
  <r>
    <s v="4233160010 Inventaris Beban Umum Perawatan Prasarana KAI"/>
    <n v="82403000"/>
    <n v="82403000"/>
    <n v="0"/>
    <n v="44456500"/>
    <n v="44456500"/>
    <n v="37946500"/>
    <n v="0"/>
    <x v="3"/>
    <x v="1"/>
  </r>
  <r>
    <s v="4233200000 Perjalanan Dinas BebanUmum Perawatan Prasarana KAI"/>
    <n v="53353000"/>
    <n v="53353000"/>
    <n v="0"/>
    <n v="31812000"/>
    <n v="31812000"/>
    <n v="21541000"/>
    <n v="0"/>
    <x v="3"/>
    <x v="1"/>
  </r>
  <r>
    <s v="4233400000 ATK Beban Umum Perawatan Prasarana KAI"/>
    <n v="8000000"/>
    <n v="8000000"/>
    <n v="0"/>
    <n v="7199500"/>
    <n v="7199500"/>
    <n v="800500"/>
    <n v="0"/>
    <x v="3"/>
    <x v="1"/>
  </r>
  <r>
    <s v="4242000000 Beban Penyusutan AT Bangunan Kantor"/>
    <n v="0"/>
    <n v="0"/>
    <n v="0"/>
    <n v="38633479"/>
    <n v="38633479"/>
    <n v="-38633479"/>
    <n v="0"/>
    <x v="3"/>
    <x v="6"/>
  </r>
  <r>
    <s v="4272100010 Gaji &amp;Tunjangan PegawaiPerawatan Prasarana Unit JJ"/>
    <n v="9949094083"/>
    <n v="9949094083"/>
    <n v="0"/>
    <n v="1449349467"/>
    <n v="1449349467"/>
    <n v="8499744616"/>
    <n v="0"/>
    <x v="3"/>
    <x v="6"/>
  </r>
  <r>
    <s v="4272200010 Iuran Pensiun Pegawai Perawatan Prasarana Unit JJ/"/>
    <n v="386565402"/>
    <n v="386565402"/>
    <n v="0"/>
    <n v="64014112"/>
    <n v="64014112"/>
    <n v="322551290"/>
    <n v="0"/>
    <x v="3"/>
    <x v="6"/>
  </r>
  <r>
    <s v="4272400000 Lembur dan Perangsang Peg PrwtnPrsrna unit JJ/Sntl"/>
    <n v="9769849891"/>
    <n v="9769849891"/>
    <n v="0"/>
    <n v="738995660"/>
    <n v="738995660"/>
    <n v="9030854231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129978953"/>
    <n v="129978953"/>
    <n v="1278533050"/>
    <n v="0"/>
    <x v="3"/>
    <x v="6"/>
  </r>
  <r>
    <s v="4273200010 Iuran Pensiun Pegawai Renwas JJ/Sintel LAA"/>
    <n v="38319389"/>
    <n v="38319389"/>
    <n v="0"/>
    <n v="4312708"/>
    <n v="4312708"/>
    <n v="34006681"/>
    <n v="0"/>
    <x v="3"/>
    <x v="6"/>
  </r>
  <r>
    <s v="4273400000 Lembur dan Perangsang Pegawai Renwas JJ/Sintel LAA"/>
    <n v="1330317539"/>
    <n v="1330317539"/>
    <n v="0"/>
    <n v="117253150"/>
    <n v="117253150"/>
    <n v="1213064389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18275000"/>
    <n v="18275000"/>
    <n v="-18275000"/>
    <n v="0"/>
    <x v="3"/>
    <x v="6"/>
  </r>
  <r>
    <s v="22022000 Sintelis"/>
    <n v="37196254852"/>
    <n v="37196254852"/>
    <n v="4806321408"/>
    <n v="3165105176"/>
    <n v="7971426584"/>
    <n v="29224828268"/>
    <n v="0"/>
    <x v="3"/>
    <x v="7"/>
  </r>
  <r>
    <s v="1182000000 Persediaan Prasarana Perkeretaapian dan Umum"/>
    <n v="5691755500"/>
    <n v="5691755500"/>
    <n v="531491000"/>
    <n v="0"/>
    <n v="531491000"/>
    <n v="5160264500"/>
    <n v="0"/>
    <x v="4"/>
    <x v="0"/>
  </r>
  <r>
    <s v="4221422010 Peralatan Luar Sinyal Elektrik BMN"/>
    <n v="874758000"/>
    <n v="874758000"/>
    <n v="418866400"/>
    <n v="0"/>
    <n v="418866400"/>
    <n v="455891600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249837500"/>
    <n v="249837500"/>
    <n v="106240051"/>
    <n v="0"/>
    <n v="106240051"/>
    <n v="143597449"/>
    <n v="0"/>
    <x v="4"/>
    <x v="0"/>
  </r>
  <r>
    <s v="4221426010 Pesawat Telepon BMN"/>
    <n v="435218500"/>
    <n v="435218500"/>
    <n v="37086200"/>
    <n v="0"/>
    <n v="37086200"/>
    <n v="398132300"/>
    <n v="0"/>
    <x v="4"/>
    <x v="0"/>
  </r>
  <r>
    <s v="4221427010 Transmisi Komunikasi BMN"/>
    <n v="196881500"/>
    <n v="196881500"/>
    <n v="0"/>
    <n v="10224916"/>
    <n v="10224916"/>
    <n v="186656584"/>
    <n v="0"/>
    <x v="4"/>
    <x v="0"/>
  </r>
  <r>
    <s v="4221428010 Peralatan Pendukung Sintel BMN"/>
    <n v="1155703000"/>
    <n v="1155703000"/>
    <n v="376820336"/>
    <n v="17820000"/>
    <n v="394640336"/>
    <n v="761062664"/>
    <n v="0"/>
    <x v="4"/>
    <x v="0"/>
  </r>
  <r>
    <s v="4221428011 Bangunan Sintel BMN"/>
    <n v="231680000"/>
    <n v="231680000"/>
    <n v="0"/>
    <n v="0"/>
    <n v="0"/>
    <n v="231680000"/>
    <n v="0"/>
    <x v="4"/>
    <x v="0"/>
  </r>
  <r>
    <s v="4221428012 Sistem Proteksi Sintel BMN"/>
    <n v="498478000"/>
    <n v="498478000"/>
    <n v="0"/>
    <n v="0"/>
    <n v="0"/>
    <n v="498478000"/>
    <n v="0"/>
    <x v="4"/>
    <x v="0"/>
  </r>
  <r>
    <s v="4221428013 Tanda Semboyan Marka Sintel BMN"/>
    <n v="158995000"/>
    <n v="158995000"/>
    <n v="3857000"/>
    <n v="0"/>
    <n v="3857000"/>
    <n v="155138000"/>
    <n v="0"/>
    <x v="4"/>
    <x v="0"/>
  </r>
  <r>
    <s v="4221428014 Catu Daya Sintel BMN"/>
    <n v="1213930000"/>
    <n v="1213930000"/>
    <n v="0"/>
    <n v="0"/>
    <n v="0"/>
    <n v="1213930000"/>
    <n v="0"/>
    <x v="4"/>
    <x v="0"/>
  </r>
  <r>
    <s v="4222423110 Bangunan Sintel KAI"/>
    <n v="250000000"/>
    <n v="250000000"/>
    <n v="28227453"/>
    <n v="0"/>
    <n v="28227453"/>
    <n v="221772547"/>
    <n v="0"/>
    <x v="4"/>
    <x v="2"/>
  </r>
  <r>
    <s v="4222424010 Peralatan Luar Sinyal Elektrik KAI"/>
    <n v="39449000"/>
    <n v="39449000"/>
    <n v="0"/>
    <n v="0"/>
    <n v="0"/>
    <n v="39449000"/>
    <n v="0"/>
    <x v="4"/>
    <x v="2"/>
  </r>
  <r>
    <s v="4222470010 Alat Kerja Sintel KAI"/>
    <n v="433971000"/>
    <n v="433971000"/>
    <n v="0"/>
    <n v="0"/>
    <n v="0"/>
    <n v="433971000"/>
    <n v="0"/>
    <x v="4"/>
    <x v="2"/>
  </r>
  <r>
    <s v="4222600000 Peralatan Khusus Prasarana KAI"/>
    <n v="125000000"/>
    <n v="125000000"/>
    <n v="0"/>
    <n v="0"/>
    <n v="0"/>
    <n v="125000000"/>
    <n v="0"/>
    <x v="4"/>
    <x v="3"/>
  </r>
  <r>
    <s v="4222800000 Beban BBM Mekanik Prasarana"/>
    <n v="45045000"/>
    <n v="45045000"/>
    <n v="11205000"/>
    <n v="0"/>
    <n v="11205000"/>
    <n v="33840000"/>
    <n v="0"/>
    <x v="4"/>
    <x v="8"/>
  </r>
  <r>
    <s v="4231140000 Komunikasi Radio &amp; Telekomunikasi"/>
    <n v="33075000"/>
    <n v="33075000"/>
    <n v="0"/>
    <n v="0"/>
    <n v="0"/>
    <n v="33075000"/>
    <n v="0"/>
    <x v="4"/>
    <x v="5"/>
  </r>
  <r>
    <s v="4232130000 LAT Beban Umum Pengoperasian Prasarana (IO)"/>
    <n v="592250000"/>
    <n v="592250000"/>
    <n v="0"/>
    <n v="346245306"/>
    <n v="346245306"/>
    <n v="246004694"/>
    <n v="0"/>
    <x v="4"/>
    <x v="5"/>
  </r>
  <r>
    <s v="4233100000 Rapat&amp;Akomodasi Beban Umum Perawatan Prasarana KAI"/>
    <n v="45000000"/>
    <n v="45000000"/>
    <n v="10000000"/>
    <n v="5000000"/>
    <n v="15000000"/>
    <n v="30000000"/>
    <n v="0"/>
    <x v="4"/>
    <x v="1"/>
  </r>
  <r>
    <s v="4233150010 Kerumahtanggaan Beban Umum Perawatan Prasarana KAI"/>
    <n v="136250000"/>
    <n v="136250000"/>
    <n v="78481609"/>
    <n v="47571235"/>
    <n v="126052844"/>
    <n v="10197156"/>
    <n v="0"/>
    <x v="4"/>
    <x v="1"/>
  </r>
  <r>
    <s v="4233151710 Kerumahtanggaan UMDT Beban Umum Perawatan Pras KAI"/>
    <n v="21750000"/>
    <n v="21750000"/>
    <n v="0"/>
    <n v="7211500"/>
    <n v="7211500"/>
    <n v="14538500"/>
    <n v="0"/>
    <x v="4"/>
    <x v="1"/>
  </r>
  <r>
    <s v="4233160010 Inventaris Beban Umum Perawatan Prasarana KAI"/>
    <n v="146550000"/>
    <n v="146550000"/>
    <n v="55181319"/>
    <n v="0"/>
    <n v="55181319"/>
    <n v="91368681"/>
    <n v="0"/>
    <x v="4"/>
    <x v="1"/>
  </r>
  <r>
    <s v="4233180010 Beban Umum Pengiriman Prasarana KAI"/>
    <n v="5000000"/>
    <n v="5000000"/>
    <n v="0"/>
    <n v="3000000"/>
    <n v="3000000"/>
    <n v="2000000"/>
    <n v="0"/>
    <x v="4"/>
    <x v="1"/>
  </r>
  <r>
    <s v="4233200000 Perjalanan Dinas BebanUmum Perawatan Prasarana KAI"/>
    <n v="54100500"/>
    <n v="54100500"/>
    <n v="0"/>
    <n v="26827000"/>
    <n v="26827000"/>
    <n v="27273500"/>
    <n v="0"/>
    <x v="4"/>
    <x v="1"/>
  </r>
  <r>
    <s v="4233400000 ATK Beban Umum Perawatan Prasarana KAI"/>
    <n v="12000000"/>
    <n v="12000000"/>
    <n v="6889220"/>
    <n v="0"/>
    <n v="6889220"/>
    <n v="5110780"/>
    <n v="0"/>
    <x v="4"/>
    <x v="1"/>
  </r>
  <r>
    <s v="4272100010 Gaji &amp;Tunjangan PegawaiPerawatan Prasarana Unit JJ"/>
    <n v="7504723378"/>
    <n v="7504723378"/>
    <n v="0"/>
    <n v="1068280190"/>
    <n v="1068280190"/>
    <n v="6436443188"/>
    <n v="0"/>
    <x v="4"/>
    <x v="6"/>
  </r>
  <r>
    <s v="4272200010 Iuran Pensiun Pegawai Perawatan Prasarana Unit JJ/"/>
    <n v="226336070"/>
    <n v="226336070"/>
    <n v="0"/>
    <n v="37653988"/>
    <n v="37653988"/>
    <n v="188682082"/>
    <n v="0"/>
    <x v="4"/>
    <x v="6"/>
  </r>
  <r>
    <s v="4272400000 Lembur dan Perangsang Peg PrwtnPrsrna unit JJ/Sntl"/>
    <n v="7328638500"/>
    <n v="7328638500"/>
    <n v="0"/>
    <n v="507515000"/>
    <n v="507515000"/>
    <n v="6821123500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133425611"/>
    <n v="133425611"/>
    <n v="1152593722"/>
    <n v="0"/>
    <x v="4"/>
    <x v="6"/>
  </r>
  <r>
    <s v="4273200010 Iuran Pensiun Pegawai Renwas JJ/Sintel LAA"/>
    <n v="36818740"/>
    <n v="36818740"/>
    <n v="0"/>
    <n v="6120465"/>
    <n v="6120465"/>
    <n v="30698275"/>
    <n v="0"/>
    <x v="4"/>
    <x v="6"/>
  </r>
  <r>
    <s v="4273400000 Lembur dan Perangsang Pegawai Renwas JJ/Sintel LAA"/>
    <n v="1371419909"/>
    <n v="1371419909"/>
    <n v="0"/>
    <n v="124015714"/>
    <n v="124015714"/>
    <n v="1247404195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30446840487"/>
    <n v="30446840487"/>
    <n v="1664345588"/>
    <n v="2340910925"/>
    <n v="4005256513"/>
    <n v="26441583974"/>
    <n v="0"/>
    <x v="4"/>
    <x v="7"/>
  </r>
  <r>
    <s v="1182000000 Persediaan Prasarana Perkeretaapian dan Umum"/>
    <n v="3658728280"/>
    <n v="3658728280"/>
    <n v="0"/>
    <n v="0"/>
    <n v="0"/>
    <n v="365872828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1515061000"/>
    <n v="1515061000"/>
    <n v="455634691"/>
    <n v="0"/>
    <n v="455634691"/>
    <n v="1059426309"/>
    <n v="0"/>
    <x v="5"/>
    <x v="0"/>
  </r>
  <r>
    <s v="4221423010 Peralatan Dalam Sinyal Mekanik BMN"/>
    <n v="225000000"/>
    <n v="225000000"/>
    <n v="0"/>
    <n v="0"/>
    <n v="0"/>
    <n v="225000000"/>
    <n v="0"/>
    <x v="5"/>
    <x v="0"/>
  </r>
  <r>
    <s v="4221424010 Peralatan Luar Sinyal Mekanik BMN"/>
    <n v="227500000"/>
    <n v="227500000"/>
    <n v="0"/>
    <n v="0"/>
    <n v="0"/>
    <n v="227500000"/>
    <n v="0"/>
    <x v="5"/>
    <x v="0"/>
  </r>
  <r>
    <s v="4221425010 Pengamanan Perlintasan Sebidang BMN"/>
    <n v="234500000"/>
    <n v="234500000"/>
    <n v="49635000"/>
    <n v="0"/>
    <n v="49635000"/>
    <n v="184865000"/>
    <n v="0"/>
    <x v="5"/>
    <x v="0"/>
  </r>
  <r>
    <s v="4221426010 Pesawat Telepon BMN"/>
    <n v="200000000"/>
    <n v="200000000"/>
    <n v="0"/>
    <n v="0"/>
    <n v="0"/>
    <n v="200000000"/>
    <n v="0"/>
    <x v="5"/>
    <x v="0"/>
  </r>
  <r>
    <s v="4221427010 Transmisi Komunikasi BMN"/>
    <n v="304500000"/>
    <n v="304500000"/>
    <n v="59274000"/>
    <n v="6600000"/>
    <n v="65874000"/>
    <n v="238626000"/>
    <n v="0"/>
    <x v="5"/>
    <x v="0"/>
  </r>
  <r>
    <s v="4221428010 Peralatan Pendukung Sintel BMN"/>
    <n v="931325000"/>
    <n v="931325000"/>
    <n v="151082296"/>
    <n v="19967500"/>
    <n v="171049796"/>
    <n v="760275204"/>
    <n v="0"/>
    <x v="5"/>
    <x v="0"/>
  </r>
  <r>
    <s v="4221428011 Bangunan Sintel BMN"/>
    <n v="140500000"/>
    <n v="140500000"/>
    <n v="0"/>
    <n v="0"/>
    <n v="0"/>
    <n v="140500000"/>
    <n v="0"/>
    <x v="5"/>
    <x v="0"/>
  </r>
  <r>
    <s v="4221428012 Sistem Proteksi Sintel BMN"/>
    <n v="475000000"/>
    <n v="475000000"/>
    <n v="0"/>
    <n v="0"/>
    <n v="0"/>
    <n v="475000000"/>
    <n v="0"/>
    <x v="5"/>
    <x v="0"/>
  </r>
  <r>
    <s v="4221428013 Tanda Semboyan Marka Sintel BMN"/>
    <n v="25000000"/>
    <n v="25000000"/>
    <n v="0"/>
    <n v="0"/>
    <n v="0"/>
    <n v="25000000"/>
    <n v="0"/>
    <x v="5"/>
    <x v="0"/>
  </r>
  <r>
    <s v="4221428014 Catu Daya Sintel BMN"/>
    <n v="745637500"/>
    <n v="745637500"/>
    <n v="530930000"/>
    <n v="66765000"/>
    <n v="597695000"/>
    <n v="147942500"/>
    <n v="0"/>
    <x v="5"/>
    <x v="0"/>
  </r>
  <r>
    <s v="4222422110 Peralatan Pendukung Sintel KAI"/>
    <n v="20000000"/>
    <n v="20000000"/>
    <n v="0"/>
    <n v="0"/>
    <n v="0"/>
    <n v="20000000"/>
    <n v="0"/>
    <x v="5"/>
    <x v="2"/>
  </r>
  <r>
    <s v="4222424010 Peralatan Luar Sinyal Elektrik KAI"/>
    <n v="50000000"/>
    <n v="50000000"/>
    <n v="0"/>
    <n v="0"/>
    <n v="0"/>
    <n v="50000000"/>
    <n v="0"/>
    <x v="5"/>
    <x v="2"/>
  </r>
  <r>
    <s v="4222470010 Alat Kerja Sintel KAI"/>
    <n v="254500000"/>
    <n v="254500000"/>
    <n v="0"/>
    <n v="0"/>
    <n v="0"/>
    <n v="254500000"/>
    <n v="0"/>
    <x v="5"/>
    <x v="2"/>
  </r>
  <r>
    <s v="4222600000 Peralatan Khusus Prasarana KAI"/>
    <n v="75000000"/>
    <n v="75000000"/>
    <n v="46460160"/>
    <n v="0"/>
    <n v="46460160"/>
    <n v="28539840"/>
    <n v="0"/>
    <x v="5"/>
    <x v="3"/>
  </r>
  <r>
    <s v="4222800000 Beban BBM Mekanik Prasarana"/>
    <n v="160050000"/>
    <n v="160050000"/>
    <n v="71775000"/>
    <n v="0"/>
    <n v="71775000"/>
    <n v="88275000"/>
    <n v="0"/>
    <x v="5"/>
    <x v="8"/>
  </r>
  <r>
    <s v="4232130000 LAT Beban Umum Pengoperasian Prasarana (IO)"/>
    <n v="642500000"/>
    <n v="642500000"/>
    <n v="0"/>
    <n v="394857596"/>
    <n v="394857596"/>
    <n v="247642404"/>
    <n v="0"/>
    <x v="5"/>
    <x v="5"/>
  </r>
  <r>
    <s v="4233100000 Rapat&amp;Akomodasi Beban Umum Perawatan Prasarana KAI"/>
    <n v="69718811"/>
    <n v="69718811"/>
    <n v="6100000"/>
    <n v="29718811"/>
    <n v="35818811"/>
    <n v="33900000"/>
    <n v="0"/>
    <x v="5"/>
    <x v="1"/>
  </r>
  <r>
    <s v="4233150010 Kerumahtanggaan Beban Umum Perawatan Prasarana KAI"/>
    <n v="128511500"/>
    <n v="128511500"/>
    <n v="45159000"/>
    <n v="29029500"/>
    <n v="74188500"/>
    <n v="54323000"/>
    <n v="0"/>
    <x v="5"/>
    <x v="1"/>
  </r>
  <r>
    <s v="4233151710 Kerumahtanggaan UMDT Beban Umum Perawatan Pras KAI"/>
    <n v="8750000"/>
    <n v="8750000"/>
    <n v="0"/>
    <n v="8750000"/>
    <n v="8750000"/>
    <n v="0"/>
    <n v="0"/>
    <x v="5"/>
    <x v="1"/>
  </r>
  <r>
    <s v="4233160010 Inventaris Beban Umum Perawatan Prasarana KAI"/>
    <n v="112500000"/>
    <n v="112500000"/>
    <n v="31647500"/>
    <n v="0"/>
    <n v="31647500"/>
    <n v="80852500"/>
    <n v="0"/>
    <x v="5"/>
    <x v="1"/>
  </r>
  <r>
    <s v="4233180010 Beban Umum Pengiriman Prasarana KAI"/>
    <n v="41250000"/>
    <n v="41250000"/>
    <n v="0"/>
    <n v="0"/>
    <n v="0"/>
    <n v="41250000"/>
    <n v="0"/>
    <x v="5"/>
    <x v="1"/>
  </r>
  <r>
    <s v="4233200000 Perjalanan Dinas BebanUmum Perawatan Prasarana KAI"/>
    <n v="63000000"/>
    <n v="63000000"/>
    <n v="0"/>
    <n v="42053250"/>
    <n v="42053250"/>
    <n v="20946750"/>
    <n v="0"/>
    <x v="5"/>
    <x v="1"/>
  </r>
  <r>
    <s v="4233300000 LAT Beban Umum Perawatan Prasarana KAI"/>
    <n v="4500000"/>
    <n v="4500000"/>
    <n v="2490000"/>
    <n v="942930"/>
    <n v="3432930"/>
    <n v="1067070"/>
    <n v="0"/>
    <x v="5"/>
    <x v="1"/>
  </r>
  <r>
    <s v="4233400000 ATK Beban Umum Perawatan Prasarana KAI"/>
    <n v="12500000"/>
    <n v="12500000"/>
    <n v="12495950"/>
    <n v="0"/>
    <n v="12495950"/>
    <n v="4050"/>
    <n v="0"/>
    <x v="5"/>
    <x v="1"/>
  </r>
  <r>
    <s v="4272100010 Gaji &amp;Tunjangan PegawaiPerawatan Prasarana Unit JJ"/>
    <n v="9823162126"/>
    <n v="9823162126"/>
    <n v="0"/>
    <n v="1412923038"/>
    <n v="1412923038"/>
    <n v="8410239088"/>
    <n v="0"/>
    <x v="5"/>
    <x v="6"/>
  </r>
  <r>
    <s v="4272200010 Iuran Pensiun Pegawai Perawatan Prasarana Unit JJ/"/>
    <n v="253256971"/>
    <n v="253256971"/>
    <n v="0"/>
    <n v="40195286"/>
    <n v="40195286"/>
    <n v="213061685"/>
    <n v="0"/>
    <x v="5"/>
    <x v="6"/>
  </r>
  <r>
    <s v="4272400000 Lembur dan Perangsang Peg PrwtnPrsrna unit JJ/Sntl"/>
    <n v="9245675372"/>
    <n v="9245675372"/>
    <n v="0"/>
    <n v="721505544"/>
    <n v="721505544"/>
    <n v="8524169828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148855099"/>
    <n v="148855099"/>
    <n v="562806970"/>
    <n v="0"/>
    <x v="5"/>
    <x v="6"/>
  </r>
  <r>
    <s v="4273200010 Iuran Pensiun Pegawai Renwas JJ/Sintel LAA"/>
    <n v="24702462"/>
    <n v="24702462"/>
    <n v="0"/>
    <n v="6364926"/>
    <n v="6364926"/>
    <n v="18337536"/>
    <n v="0"/>
    <x v="5"/>
    <x v="6"/>
  </r>
  <r>
    <s v="4273400000 Lembur dan Perangsang Pegawai Renwas JJ/Sintel LAA"/>
    <n v="825165933"/>
    <n v="825165933"/>
    <n v="0"/>
    <n v="113780405"/>
    <n v="113780405"/>
    <n v="711385528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31456490899"/>
    <n v="31456490899"/>
    <n v="1462683597"/>
    <n v="3042308885"/>
    <n v="4504992482"/>
    <n v="26951498417"/>
    <n v="0"/>
    <x v="5"/>
    <x v="7"/>
  </r>
  <r>
    <s v="1182000000 Persediaan Prasarana Perkeretaapian dan Umum"/>
    <n v="6132303000"/>
    <n v="6132303000"/>
    <n v="2745365730"/>
    <n v="0"/>
    <n v="2745365730"/>
    <n v="3386937270"/>
    <n v="0"/>
    <x v="6"/>
    <x v="0"/>
  </r>
  <r>
    <s v="4221422010 Peralatan Luar Sinyal Elektrik BMN"/>
    <n v="563153000"/>
    <n v="563153000"/>
    <n v="0"/>
    <n v="0"/>
    <n v="0"/>
    <n v="563153000"/>
    <n v="0"/>
    <x v="6"/>
    <x v="0"/>
  </r>
  <r>
    <s v="4221423010 Peralatan Dalam Sinyal Mekanik BMN"/>
    <n v="50000000"/>
    <n v="50000000"/>
    <n v="0"/>
    <n v="0"/>
    <n v="0"/>
    <n v="50000000"/>
    <n v="0"/>
    <x v="6"/>
    <x v="0"/>
  </r>
  <r>
    <s v="4221424010 Peralatan Luar Sinyal Mekanik BMN"/>
    <n v="247500000"/>
    <n v="247500000"/>
    <n v="29117120"/>
    <n v="0"/>
    <n v="29117120"/>
    <n v="218382880"/>
    <n v="0"/>
    <x v="6"/>
    <x v="0"/>
  </r>
  <r>
    <s v="4221425010 Pengamanan Perlintasan Sebidang BMN"/>
    <n v="100000000"/>
    <n v="100000000"/>
    <n v="0"/>
    <n v="0"/>
    <n v="0"/>
    <n v="100000000"/>
    <n v="0"/>
    <x v="6"/>
    <x v="0"/>
  </r>
  <r>
    <s v="4221427010 Transmisi Komunikasi BMN"/>
    <n v="655195500"/>
    <n v="655195500"/>
    <n v="26946000"/>
    <n v="100383550"/>
    <n v="127329550"/>
    <n v="527865950"/>
    <n v="0"/>
    <x v="6"/>
    <x v="0"/>
  </r>
  <r>
    <s v="4221428010 Peralatan Pendukung Sintel BMN"/>
    <n v="690000000"/>
    <n v="690000000"/>
    <n v="127050500"/>
    <n v="157861000"/>
    <n v="284911500"/>
    <n v="405088500"/>
    <n v="0"/>
    <x v="6"/>
    <x v="0"/>
  </r>
  <r>
    <s v="4221428011 Bangunan Sintel BMN"/>
    <n v="175000000"/>
    <n v="175000000"/>
    <n v="0"/>
    <n v="0"/>
    <n v="0"/>
    <n v="175000000"/>
    <n v="0"/>
    <x v="6"/>
    <x v="0"/>
  </r>
  <r>
    <s v="4221428012 Sistem Proteksi Sintel BMN"/>
    <n v="248500000"/>
    <n v="248500000"/>
    <n v="0"/>
    <n v="0"/>
    <n v="0"/>
    <n v="248500000"/>
    <n v="0"/>
    <x v="6"/>
    <x v="0"/>
  </r>
  <r>
    <s v="4221428013 Tanda Semboyan Marka Sintel BMN"/>
    <n v="50000000"/>
    <n v="50000000"/>
    <n v="6718000"/>
    <n v="0"/>
    <n v="6718000"/>
    <n v="43282000"/>
    <n v="0"/>
    <x v="6"/>
    <x v="0"/>
  </r>
  <r>
    <s v="4221428014 Catu Daya Sintel BMN"/>
    <n v="1132032500"/>
    <n v="1132032500"/>
    <n v="0"/>
    <n v="0"/>
    <n v="0"/>
    <n v="1132032500"/>
    <n v="0"/>
    <x v="6"/>
    <x v="0"/>
  </r>
  <r>
    <s v="4222424010 Peralatan Luar Sinyal Elektrik KAI"/>
    <n v="15000000"/>
    <n v="15000000"/>
    <n v="0"/>
    <n v="0"/>
    <n v="0"/>
    <n v="15000000"/>
    <n v="0"/>
    <x v="6"/>
    <x v="2"/>
  </r>
  <r>
    <s v="4222470010 Alat Kerja Sintel KAI"/>
    <n v="577500000"/>
    <n v="577500000"/>
    <n v="0"/>
    <n v="0"/>
    <n v="0"/>
    <n v="577500000"/>
    <n v="0"/>
    <x v="6"/>
    <x v="2"/>
  </r>
  <r>
    <s v="4222600000 Peralatan Khusus Prasarana KAI"/>
    <n v="520000000"/>
    <n v="520000000"/>
    <n v="0"/>
    <n v="0"/>
    <n v="0"/>
    <n v="520000000"/>
    <n v="0"/>
    <x v="6"/>
    <x v="3"/>
  </r>
  <r>
    <s v="4222800000 Beban BBM Mekanik Prasarana"/>
    <n v="125000000"/>
    <n v="125000000"/>
    <n v="32848750"/>
    <n v="0"/>
    <n v="32848750"/>
    <n v="92151250"/>
    <n v="0"/>
    <x v="6"/>
    <x v="8"/>
  </r>
  <r>
    <s v="4232130000 LAT Beban Umum Pengoperasian Prasarana (IO)"/>
    <n v="765894000"/>
    <n v="765894000"/>
    <n v="0"/>
    <n v="396859899"/>
    <n v="396859899"/>
    <n v="369034101"/>
    <n v="0"/>
    <x v="6"/>
    <x v="5"/>
  </r>
  <r>
    <s v="4233100000 Rapat&amp;Akomodasi Beban Umum Perawatan Prasarana KAI"/>
    <n v="36720850"/>
    <n v="36720850"/>
    <n v="15291000"/>
    <n v="4980000"/>
    <n v="20271000"/>
    <n v="16449850"/>
    <n v="0"/>
    <x v="6"/>
    <x v="1"/>
  </r>
  <r>
    <s v="4233150010 Kerumahtanggaan Beban Umum Perawatan Prasarana KAI"/>
    <n v="118079500"/>
    <n v="118079500"/>
    <n v="37411500"/>
    <n v="41200400"/>
    <n v="78611900"/>
    <n v="39467600"/>
    <n v="0"/>
    <x v="6"/>
    <x v="1"/>
  </r>
  <r>
    <s v="4233151710 Kerumahtanggaan UMDT Beban Umum Perawatan Pras KAI"/>
    <n v="24750000"/>
    <n v="24750000"/>
    <n v="0"/>
    <n v="8250000"/>
    <n v="8250000"/>
    <n v="16500000"/>
    <n v="0"/>
    <x v="6"/>
    <x v="1"/>
  </r>
  <r>
    <s v="4233160010 Inventaris Beban Umum Perawatan Prasarana KAI"/>
    <n v="243750000"/>
    <n v="243750000"/>
    <n v="63772935"/>
    <n v="24059500"/>
    <n v="87832435"/>
    <n v="155917565"/>
    <n v="0"/>
    <x v="6"/>
    <x v="1"/>
  </r>
  <r>
    <s v="4233200000 Perjalanan Dinas BebanUmum Perawatan Prasarana KAI"/>
    <n v="67428000"/>
    <n v="67428000"/>
    <n v="0"/>
    <n v="36000750"/>
    <n v="36000750"/>
    <n v="31427250"/>
    <n v="0"/>
    <x v="6"/>
    <x v="1"/>
  </r>
  <r>
    <s v="4233400000 ATK Beban Umum Perawatan Prasarana KAI"/>
    <n v="15000000"/>
    <n v="15000000"/>
    <n v="0"/>
    <n v="0"/>
    <n v="0"/>
    <n v="15000000"/>
    <n v="0"/>
    <x v="6"/>
    <x v="1"/>
  </r>
  <r>
    <s v="4272100010 Gaji &amp;Tunjangan PegawaiPerawatan Prasarana Unit JJ"/>
    <n v="9825956170"/>
    <n v="9825956170"/>
    <n v="0"/>
    <n v="1413862314"/>
    <n v="1413862314"/>
    <n v="8412093856"/>
    <n v="0"/>
    <x v="6"/>
    <x v="6"/>
  </r>
  <r>
    <s v="4272200010 Iuran Pensiun Pegawai Perawatan Prasarana Unit JJ/"/>
    <n v="469848578"/>
    <n v="469848578"/>
    <n v="0"/>
    <n v="81372528"/>
    <n v="81372528"/>
    <n v="388476050"/>
    <n v="0"/>
    <x v="6"/>
    <x v="6"/>
  </r>
  <r>
    <s v="4272400000 Lembur dan Perangsang Peg PrwtnPrsrna unit JJ/Sntl"/>
    <n v="9512105917"/>
    <n v="9512105917"/>
    <n v="0"/>
    <n v="721378720"/>
    <n v="721378720"/>
    <n v="8790727197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142576822"/>
    <n v="142576822"/>
    <n v="852365739"/>
    <n v="0"/>
    <x v="6"/>
    <x v="6"/>
  </r>
  <r>
    <s v="4273200010 Iuran Pensiun Pegawai Renwas JJ/Sintel LAA"/>
    <n v="33538359"/>
    <n v="33538359"/>
    <n v="0"/>
    <n v="6842991"/>
    <n v="6842991"/>
    <n v="26695368"/>
    <n v="0"/>
    <x v="6"/>
    <x v="6"/>
  </r>
  <r>
    <s v="4273400000 Lembur dan Perangsang Pegawai Renwas JJ/Sintel LAA"/>
    <n v="1099727334"/>
    <n v="1099727334"/>
    <n v="0"/>
    <n v="115590000"/>
    <n v="115590000"/>
    <n v="984137334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34543933670"/>
    <n v="34543933670"/>
    <n v="3084521535"/>
    <n v="3251218474"/>
    <n v="6335740009"/>
    <n v="28208193661"/>
    <n v="0"/>
    <x v="6"/>
    <x v="7"/>
  </r>
  <r>
    <s v="1182000000 Persediaan Prasarana Perkeretaapian dan Umum"/>
    <n v="2847534500"/>
    <n v="2847534500"/>
    <n v="718522000"/>
    <n v="0"/>
    <n v="718522000"/>
    <n v="2129012500"/>
    <n v="0"/>
    <x v="7"/>
    <x v="0"/>
  </r>
  <r>
    <s v="4221422010 Peralatan Luar Sinyal Elektrik BMN"/>
    <n v="770000000"/>
    <n v="770000000"/>
    <n v="500352807"/>
    <n v="0"/>
    <n v="500352807"/>
    <n v="269647193"/>
    <n v="0"/>
    <x v="7"/>
    <x v="0"/>
  </r>
  <r>
    <s v="4221423010 Peralatan Dalam Sinyal Mekanik BMN"/>
    <n v="179171000"/>
    <n v="179171000"/>
    <n v="0"/>
    <n v="0"/>
    <n v="0"/>
    <n v="179171000"/>
    <n v="0"/>
    <x v="7"/>
    <x v="0"/>
  </r>
  <r>
    <s v="4221424010 Peralatan Luar Sinyal Mekanik BMN"/>
    <n v="75000000"/>
    <n v="75000000"/>
    <n v="0"/>
    <n v="0"/>
    <n v="0"/>
    <n v="75000000"/>
    <n v="0"/>
    <x v="7"/>
    <x v="0"/>
  </r>
  <r>
    <s v="4221425010 Pengamanan Perlintasan Sebidang BMN"/>
    <n v="437500000"/>
    <n v="437500000"/>
    <n v="6817000"/>
    <n v="0"/>
    <n v="6817000"/>
    <n v="430683000"/>
    <n v="0"/>
    <x v="7"/>
    <x v="0"/>
  </r>
  <r>
    <s v="4221426010 Pesawat Telepon BMN"/>
    <n v="1634991000"/>
    <n v="1634991000"/>
    <n v="272260000"/>
    <n v="24650000"/>
    <n v="296910000"/>
    <n v="1338081000"/>
    <n v="0"/>
    <x v="7"/>
    <x v="0"/>
  </r>
  <r>
    <s v="4221427010 Transmisi Komunikasi BMN"/>
    <n v="245566500"/>
    <n v="245566500"/>
    <n v="98325000"/>
    <n v="0"/>
    <n v="98325000"/>
    <n v="147241500"/>
    <n v="0"/>
    <x v="7"/>
    <x v="0"/>
  </r>
  <r>
    <s v="4221428010 Peralatan Pendukung Sintel BMN"/>
    <n v="850000000"/>
    <n v="850000000"/>
    <n v="105930000"/>
    <n v="0"/>
    <n v="105930000"/>
    <n v="744070000"/>
    <n v="0"/>
    <x v="7"/>
    <x v="0"/>
  </r>
  <r>
    <s v="4221428011 Bangunan Sintel BMN"/>
    <n v="200000000"/>
    <n v="200000000"/>
    <n v="0"/>
    <n v="0"/>
    <n v="0"/>
    <n v="200000000"/>
    <n v="0"/>
    <x v="7"/>
    <x v="0"/>
  </r>
  <r>
    <s v="4221428012 Sistem Proteksi Sintel BMN"/>
    <n v="620000000"/>
    <n v="620000000"/>
    <n v="49633664"/>
    <n v="0"/>
    <n v="49633664"/>
    <n v="570366336"/>
    <n v="0"/>
    <x v="7"/>
    <x v="0"/>
  </r>
  <r>
    <s v="4221428013 Tanda Semboyan Marka Sintel BMN"/>
    <n v="75000000"/>
    <n v="75000000"/>
    <n v="0"/>
    <n v="0"/>
    <n v="0"/>
    <n v="75000000"/>
    <n v="0"/>
    <x v="7"/>
    <x v="0"/>
  </r>
  <r>
    <s v="4221428014 Catu Daya Sintel BMN"/>
    <n v="1334151500"/>
    <n v="1334151500"/>
    <n v="1190000000"/>
    <n v="0"/>
    <n v="1190000000"/>
    <n v="144151500"/>
    <n v="0"/>
    <x v="7"/>
    <x v="0"/>
  </r>
  <r>
    <s v="4221521010 Catu Daya LAA BMN"/>
    <n v="273768000"/>
    <n v="273768000"/>
    <n v="232560000"/>
    <n v="0"/>
    <n v="232560000"/>
    <n v="41208000"/>
    <n v="0"/>
    <x v="7"/>
    <x v="0"/>
  </r>
  <r>
    <s v="4221522010 Tranmisi Tenaga LAA BMN"/>
    <n v="2633662000"/>
    <n v="2633662000"/>
    <n v="1161600380"/>
    <n v="0"/>
    <n v="1161600380"/>
    <n v="1472061620"/>
    <n v="0"/>
    <x v="7"/>
    <x v="0"/>
  </r>
  <r>
    <s v="4221524010 Tanda Semboyan LAA BMN"/>
    <n v="575500000"/>
    <n v="575500000"/>
    <n v="316539281"/>
    <n v="0"/>
    <n v="316539281"/>
    <n v="258960719"/>
    <n v="0"/>
    <x v="7"/>
    <x v="0"/>
  </r>
  <r>
    <s v="4221526010 Sistim Proteksi LAA BMN"/>
    <n v="387500000"/>
    <n v="387500000"/>
    <n v="49450000"/>
    <n v="0"/>
    <n v="49450000"/>
    <n v="338050000"/>
    <n v="0"/>
    <x v="7"/>
    <x v="0"/>
  </r>
  <r>
    <s v="4221527010 Pendukung LAA BMN"/>
    <n v="1130000000"/>
    <n v="1130000000"/>
    <n v="6110000"/>
    <n v="0"/>
    <n v="6110000"/>
    <n v="1123890000"/>
    <n v="0"/>
    <x v="7"/>
    <x v="0"/>
  </r>
  <r>
    <s v="4222424010 Peralatan Luar Sinyal Elektrik KAI"/>
    <n v="125000000"/>
    <n v="125000000"/>
    <n v="0"/>
    <n v="0"/>
    <n v="0"/>
    <n v="125000000"/>
    <n v="0"/>
    <x v="7"/>
    <x v="2"/>
  </r>
  <r>
    <s v="4222470010 Alat Kerja Sintel KAI"/>
    <n v="375000000"/>
    <n v="375000000"/>
    <n v="0"/>
    <n v="36500000"/>
    <n v="36500000"/>
    <n v="338500000"/>
    <n v="0"/>
    <x v="7"/>
    <x v="2"/>
  </r>
  <r>
    <s v="4222528010 Alat Kerja pendukung perawatan KAI"/>
    <n v="621000000"/>
    <n v="621000000"/>
    <n v="0"/>
    <n v="0"/>
    <n v="0"/>
    <n v="621000000"/>
    <n v="0"/>
    <x v="7"/>
    <x v="2"/>
  </r>
  <r>
    <s v="4222600000 Peralatan Khusus Prasarana KAI"/>
    <n v="100000000"/>
    <n v="100000000"/>
    <n v="0"/>
    <n v="0"/>
    <n v="0"/>
    <n v="100000000"/>
    <n v="0"/>
    <x v="7"/>
    <x v="3"/>
  </r>
  <r>
    <s v="4222800000 Beban BBM Mekanik Prasarana"/>
    <n v="173189000"/>
    <n v="173189000"/>
    <n v="0"/>
    <n v="62100000"/>
    <n v="62100000"/>
    <n v="111089000"/>
    <n v="0"/>
    <x v="7"/>
    <x v="8"/>
  </r>
  <r>
    <s v="4232130000 LAT Beban Umum Pengoperasian Prasarana (IO)"/>
    <n v="546340018"/>
    <n v="546340018"/>
    <n v="0"/>
    <n v="320371955"/>
    <n v="320371955"/>
    <n v="225968063"/>
    <n v="0"/>
    <x v="7"/>
    <x v="5"/>
  </r>
  <r>
    <s v="4233100000 Rapat&amp;Akomodasi Beban Umum Perawatan Prasarana KAI"/>
    <n v="24334750"/>
    <n v="24334750"/>
    <n v="12000000"/>
    <n v="4128877"/>
    <n v="16128877"/>
    <n v="8205873"/>
    <n v="0"/>
    <x v="7"/>
    <x v="1"/>
  </r>
  <r>
    <s v="4233150010 Kerumahtanggaan Beban Umum Perawatan Prasarana KAI"/>
    <n v="97531500"/>
    <n v="97531500"/>
    <n v="21321000"/>
    <n v="69680733"/>
    <n v="91001733"/>
    <n v="6529767"/>
    <n v="0"/>
    <x v="7"/>
    <x v="1"/>
  </r>
  <r>
    <s v="4233151710 Kerumahtanggaan UMDT Beban Umum Perawatan Pras KAI"/>
    <n v="37950000"/>
    <n v="37950000"/>
    <n v="0"/>
    <n v="10250000"/>
    <n v="10250000"/>
    <n v="27700000"/>
    <n v="0"/>
    <x v="7"/>
    <x v="1"/>
  </r>
  <r>
    <s v="4233160010 Inventaris Beban Umum Perawatan Prasarana KAI"/>
    <n v="302334250"/>
    <n v="302334250"/>
    <n v="0"/>
    <n v="0"/>
    <n v="0"/>
    <n v="302334250"/>
    <n v="0"/>
    <x v="7"/>
    <x v="1"/>
  </r>
  <r>
    <s v="4233200000 Perjalanan Dinas BebanUmum Perawatan Prasarana KAI"/>
    <n v="79793750"/>
    <n v="79793750"/>
    <n v="0"/>
    <n v="56874750"/>
    <n v="56874750"/>
    <n v="22919000"/>
    <n v="0"/>
    <x v="7"/>
    <x v="1"/>
  </r>
  <r>
    <s v="4233300000 LAT Beban Umum Perawatan Prasarana KAI"/>
    <n v="13812750"/>
    <n v="13812750"/>
    <n v="0"/>
    <n v="13464055"/>
    <n v="13464055"/>
    <n v="348695"/>
    <n v="0"/>
    <x v="7"/>
    <x v="1"/>
  </r>
  <r>
    <s v="4233400000 ATK Beban Umum Perawatan Prasarana KAI"/>
    <n v="13675500"/>
    <n v="13675500"/>
    <n v="13582000"/>
    <n v="0"/>
    <n v="13582000"/>
    <n v="93500"/>
    <n v="0"/>
    <x v="7"/>
    <x v="1"/>
  </r>
  <r>
    <s v="4242000000 Beban Penyusutan AT Bangunan Kantor"/>
    <n v="0"/>
    <n v="0"/>
    <n v="0"/>
    <n v="9117949"/>
    <n v="9117949"/>
    <n v="-9117949"/>
    <n v="0"/>
    <x v="7"/>
    <x v="6"/>
  </r>
  <r>
    <s v="4272100010 Gaji &amp;Tunjangan PegawaiPerawatan Prasarana Unit JJ"/>
    <n v="12622618927"/>
    <n v="12622618927"/>
    <n v="0"/>
    <n v="1810485850"/>
    <n v="1810485850"/>
    <n v="10812133077"/>
    <n v="0"/>
    <x v="7"/>
    <x v="6"/>
  </r>
  <r>
    <s v="4272200010 Iuran Pensiun Pegawai Perawatan Prasarana Unit JJ/"/>
    <n v="195048292"/>
    <n v="195048292"/>
    <n v="0"/>
    <n v="30192218"/>
    <n v="30192218"/>
    <n v="164856074"/>
    <n v="0"/>
    <x v="7"/>
    <x v="6"/>
  </r>
  <r>
    <s v="4272400000 Lembur dan Perangsang Peg PrwtnPrsrna unit JJ/Sntl"/>
    <n v="12911717415"/>
    <n v="12911717415"/>
    <n v="0"/>
    <n v="967035070"/>
    <n v="967035070"/>
    <n v="11944682345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159842823"/>
    <n v="159842823"/>
    <n v="1100767832"/>
    <n v="0"/>
    <x v="7"/>
    <x v="6"/>
  </r>
  <r>
    <s v="4273200010 Iuran Pensiun Pegawai Renwas JJ/Sintel LAA"/>
    <n v="27455801"/>
    <n v="27455801"/>
    <n v="0"/>
    <n v="4454672"/>
    <n v="4454672"/>
    <n v="23001129"/>
    <n v="0"/>
    <x v="7"/>
    <x v="6"/>
  </r>
  <r>
    <s v="4273400000 Lembur dan Perangsang Pegawai Renwas JJ/Sintel LAA"/>
    <n v="1560328837"/>
    <n v="1560328837"/>
    <n v="0"/>
    <n v="145465312"/>
    <n v="145465312"/>
    <n v="1414863525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45434097707"/>
    <n v="45434097707"/>
    <n v="4755003132"/>
    <n v="3724614264"/>
    <n v="8479617396"/>
    <n v="36954480311"/>
    <n v="0"/>
    <x v="7"/>
    <x v="7"/>
  </r>
  <r>
    <s v="1182000000 Persediaan Prasarana Perkeretaapian dan Umum"/>
    <n v="1814036500"/>
    <n v="1814036500"/>
    <n v="1719475760"/>
    <n v="0"/>
    <n v="1719475760"/>
    <n v="94560740"/>
    <n v="0"/>
    <x v="8"/>
    <x v="0"/>
  </r>
  <r>
    <s v="4221422010 Peralatan Luar Sinyal Elektrik BMN"/>
    <n v="64425000"/>
    <n v="64425000"/>
    <n v="16650000"/>
    <n v="0"/>
    <n v="16650000"/>
    <n v="47775000"/>
    <n v="0"/>
    <x v="8"/>
    <x v="0"/>
  </r>
  <r>
    <s v="4221423010 Peralatan Dalam Sinyal Mekanik BMN"/>
    <n v="244387000"/>
    <n v="244387000"/>
    <n v="0"/>
    <n v="0"/>
    <n v="0"/>
    <n v="244387000"/>
    <n v="0"/>
    <x v="8"/>
    <x v="0"/>
  </r>
  <r>
    <s v="4221424010 Peralatan Luar Sinyal Mekanik BMN"/>
    <n v="249000000"/>
    <n v="249000000"/>
    <n v="0"/>
    <n v="0"/>
    <n v="0"/>
    <n v="249000000"/>
    <n v="0"/>
    <x v="8"/>
    <x v="0"/>
  </r>
  <r>
    <s v="4221425010 Pengamanan Perlintasan Sebidang BMN"/>
    <n v="149375000"/>
    <n v="149375000"/>
    <n v="0"/>
    <n v="0"/>
    <n v="0"/>
    <n v="149375000"/>
    <n v="0"/>
    <x v="8"/>
    <x v="0"/>
  </r>
  <r>
    <s v="4221426010 Pesawat Telepon BMN"/>
    <n v="96500000"/>
    <n v="96500000"/>
    <n v="0"/>
    <n v="0"/>
    <n v="0"/>
    <n v="96500000"/>
    <n v="0"/>
    <x v="8"/>
    <x v="0"/>
  </r>
  <r>
    <s v="4221427010 Transmisi Komunikasi BMN"/>
    <n v="611054000"/>
    <n v="611054000"/>
    <n v="93397015"/>
    <n v="0"/>
    <n v="93397015"/>
    <n v="517656985"/>
    <n v="0"/>
    <x v="8"/>
    <x v="0"/>
  </r>
  <r>
    <s v="4221428010 Peralatan Pendukung Sintel BMN"/>
    <n v="267150000"/>
    <n v="267150000"/>
    <n v="56773500"/>
    <n v="86559328"/>
    <n v="143332828"/>
    <n v="123817172"/>
    <n v="0"/>
    <x v="8"/>
    <x v="0"/>
  </r>
  <r>
    <s v="4221428011 Bangunan Sintel BMN"/>
    <n v="72500000"/>
    <n v="72500000"/>
    <n v="0"/>
    <n v="0"/>
    <n v="0"/>
    <n v="72500000"/>
    <n v="0"/>
    <x v="8"/>
    <x v="0"/>
  </r>
  <r>
    <s v="4221428012 Sistem Proteksi Sintel BMN"/>
    <n v="87000000"/>
    <n v="87000000"/>
    <n v="0"/>
    <n v="0"/>
    <n v="0"/>
    <n v="87000000"/>
    <n v="0"/>
    <x v="8"/>
    <x v="0"/>
  </r>
  <r>
    <s v="4221428013 Tanda Semboyan Marka Sintel BMN"/>
    <n v="24900000"/>
    <n v="24900000"/>
    <n v="0"/>
    <n v="0"/>
    <n v="0"/>
    <n v="24900000"/>
    <n v="0"/>
    <x v="8"/>
    <x v="0"/>
  </r>
  <r>
    <s v="4221428014 Catu Daya Sintel BMN"/>
    <n v="941200000"/>
    <n v="941200000"/>
    <n v="214388000"/>
    <n v="0"/>
    <n v="214388000"/>
    <n v="726812000"/>
    <n v="0"/>
    <x v="8"/>
    <x v="0"/>
  </r>
  <r>
    <s v="4222423110 Bangunan Sintel KAI"/>
    <n v="150000000"/>
    <n v="150000000"/>
    <n v="1944000"/>
    <n v="0"/>
    <n v="1944000"/>
    <n v="148056000"/>
    <n v="0"/>
    <x v="8"/>
    <x v="2"/>
  </r>
  <r>
    <s v="4222424010 Peralatan Luar Sinyal Elektrik KAI"/>
    <n v="7500000"/>
    <n v="7500000"/>
    <n v="0"/>
    <n v="0"/>
    <n v="0"/>
    <n v="7500000"/>
    <n v="0"/>
    <x v="8"/>
    <x v="2"/>
  </r>
  <r>
    <s v="4222470010 Alat Kerja Sintel KAI"/>
    <n v="231500000"/>
    <n v="231500000"/>
    <n v="0"/>
    <n v="0"/>
    <n v="0"/>
    <n v="231500000"/>
    <n v="0"/>
    <x v="8"/>
    <x v="2"/>
  </r>
  <r>
    <s v="4222600000 Peralatan Khusus Prasarana KAI"/>
    <n v="50000000"/>
    <n v="50000000"/>
    <n v="0"/>
    <n v="2159300"/>
    <n v="2159300"/>
    <n v="47840700"/>
    <n v="0"/>
    <x v="8"/>
    <x v="3"/>
  </r>
  <r>
    <s v="4222800000 Beban BBM Mekanik Prasarana"/>
    <n v="55655000"/>
    <n v="55655000"/>
    <n v="21262500"/>
    <n v="0"/>
    <n v="21262500"/>
    <n v="34392500"/>
    <n v="0"/>
    <x v="8"/>
    <x v="8"/>
  </r>
  <r>
    <s v="4232130000 LAT Beban Umum Pengoperasian Prasarana (IO)"/>
    <n v="577500000"/>
    <n v="577500000"/>
    <n v="0"/>
    <n v="284145595"/>
    <n v="284145595"/>
    <n v="293354405"/>
    <n v="0"/>
    <x v="8"/>
    <x v="5"/>
  </r>
  <r>
    <s v="4233100000 Rapat&amp;Akomodasi Beban Umum Perawatan Prasarana KAI"/>
    <n v="21538000"/>
    <n v="21538000"/>
    <n v="8289300"/>
    <n v="4974701"/>
    <n v="13264001"/>
    <n v="8273999"/>
    <n v="0"/>
    <x v="8"/>
    <x v="1"/>
  </r>
  <r>
    <s v="4233150010 Kerumahtanggaan Beban Umum Perawatan Prasarana KAI"/>
    <n v="27501500"/>
    <n v="27501500"/>
    <n v="6850000"/>
    <n v="7041000"/>
    <n v="13891000"/>
    <n v="13610500"/>
    <n v="0"/>
    <x v="8"/>
    <x v="1"/>
  </r>
  <r>
    <s v="4233151710 Kerumahtanggaan UMDT Beban Umum Perawatan Pras KAI"/>
    <n v="24000000"/>
    <n v="24000000"/>
    <n v="0"/>
    <n v="6750000"/>
    <n v="6750000"/>
    <n v="17250000"/>
    <n v="0"/>
    <x v="8"/>
    <x v="1"/>
  </r>
  <r>
    <s v="4233160010 Inventaris Beban Umum Perawatan Prasarana KAI"/>
    <n v="188600000"/>
    <n v="188600000"/>
    <n v="41375000"/>
    <n v="0"/>
    <n v="41375000"/>
    <n v="147225000"/>
    <n v="0"/>
    <x v="8"/>
    <x v="1"/>
  </r>
  <r>
    <s v="4233200000 Perjalanan Dinas BebanUmum Perawatan Prasarana KAI"/>
    <n v="57500000"/>
    <n v="57500000"/>
    <n v="0"/>
    <n v="27614500"/>
    <n v="27614500"/>
    <n v="29885500"/>
    <n v="0"/>
    <x v="8"/>
    <x v="1"/>
  </r>
  <r>
    <s v="4233400000 ATK Beban Umum Perawatan Prasarana KAI"/>
    <n v="10075000"/>
    <n v="10075000"/>
    <n v="9982500"/>
    <n v="0"/>
    <n v="9982500"/>
    <n v="92500"/>
    <n v="0"/>
    <x v="8"/>
    <x v="1"/>
  </r>
  <r>
    <s v="4272100010 Gaji &amp;Tunjangan PegawaiPerawatan Prasarana Unit JJ"/>
    <n v="7053792265"/>
    <n v="7053792265"/>
    <n v="0"/>
    <n v="970177778"/>
    <n v="970177778"/>
    <n v="6083614487"/>
    <n v="0"/>
    <x v="8"/>
    <x v="6"/>
  </r>
  <r>
    <s v="4272200010 Iuran Pensiun Pegawai Perawatan Prasarana Unit JJ/"/>
    <n v="250901909"/>
    <n v="250901909"/>
    <n v="0"/>
    <n v="41453410"/>
    <n v="41453410"/>
    <n v="209448499"/>
    <n v="0"/>
    <x v="8"/>
    <x v="6"/>
  </r>
  <r>
    <s v="4272400000 Lembur dan Perangsang Peg PrwtnPrsrna unit JJ/Sntl"/>
    <n v="7015042421"/>
    <n v="7015042421"/>
    <n v="0"/>
    <n v="547955102"/>
    <n v="547955102"/>
    <n v="6467087319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158536272"/>
    <n v="158536272"/>
    <n v="1072675794"/>
    <n v="0"/>
    <x v="8"/>
    <x v="6"/>
  </r>
  <r>
    <s v="4273200010 Iuran Pensiun Pegawai Renwas JJ/Sintel LAA"/>
    <n v="53436119"/>
    <n v="53436119"/>
    <n v="0"/>
    <n v="10655056"/>
    <n v="10655056"/>
    <n v="42781063"/>
    <n v="0"/>
    <x v="8"/>
    <x v="6"/>
  </r>
  <r>
    <s v="4273400000 Lembur dan Perangsang Pegawai Renwas JJ/Sintel LAA"/>
    <n v="1449712379"/>
    <n v="1449712379"/>
    <n v="0"/>
    <n v="120676002"/>
    <n v="120676002"/>
    <n v="1329036377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23118250460"/>
    <n v="23118250460"/>
    <n v="2190387575"/>
    <n v="2268698044"/>
    <n v="4459085619"/>
    <n v="18659164841"/>
    <n v="0"/>
    <x v="8"/>
    <x v="7"/>
  </r>
  <r>
    <s v="1182000000 Persediaan Prasarana Perkeretaapian dan Umum"/>
    <n v="13755471000"/>
    <n v="13755471000"/>
    <n v="13710265055"/>
    <n v="0"/>
    <n v="13710265055"/>
    <n v="45205945"/>
    <n v="0"/>
    <x v="9"/>
    <x v="0"/>
  </r>
  <r>
    <s v="4221422010 Peralatan Luar Sinyal Elektrik BMN"/>
    <n v="2948978000"/>
    <n v="2948978000"/>
    <n v="127300000"/>
    <n v="1572950"/>
    <n v="128872950"/>
    <n v="2820105050"/>
    <n v="0"/>
    <x v="9"/>
    <x v="0"/>
  </r>
  <r>
    <s v="4221423010 Peralatan Dalam Sinyal Mekanik BMN"/>
    <n v="223903500"/>
    <n v="223903500"/>
    <n v="0"/>
    <n v="0"/>
    <n v="0"/>
    <n v="223903500"/>
    <n v="0"/>
    <x v="9"/>
    <x v="0"/>
  </r>
  <r>
    <s v="4221424010 Peralatan Luar Sinyal Mekanik BMN"/>
    <n v="1880742000"/>
    <n v="1880742000"/>
    <n v="1360539871"/>
    <n v="0"/>
    <n v="1360539871"/>
    <n v="520202129"/>
    <n v="0"/>
    <x v="9"/>
    <x v="0"/>
  </r>
  <r>
    <s v="4221425010 Pengamanan Perlintasan Sebidang BMN"/>
    <n v="106528224"/>
    <n v="106528224"/>
    <n v="0"/>
    <n v="0"/>
    <n v="0"/>
    <n v="106528224"/>
    <n v="0"/>
    <x v="9"/>
    <x v="0"/>
  </r>
  <r>
    <s v="4221426010 Pesawat Telepon BMN"/>
    <n v="428000000"/>
    <n v="428000000"/>
    <n v="45066500"/>
    <n v="96774600"/>
    <n v="141841100"/>
    <n v="286158900"/>
    <n v="0"/>
    <x v="9"/>
    <x v="0"/>
  </r>
  <r>
    <s v="4221427010 Transmisi Komunikasi BMN"/>
    <n v="1395999500"/>
    <n v="1395999500"/>
    <n v="475012500"/>
    <n v="136757380"/>
    <n v="611769880"/>
    <n v="784229620"/>
    <n v="0"/>
    <x v="9"/>
    <x v="0"/>
  </r>
  <r>
    <s v="4221428010 Peralatan Pendukung Sintel BMN"/>
    <n v="830172000"/>
    <n v="830172000"/>
    <n v="370988700"/>
    <n v="191049288"/>
    <n v="562037988"/>
    <n v="268134012"/>
    <n v="0"/>
    <x v="9"/>
    <x v="0"/>
  </r>
  <r>
    <s v="4221428011 Bangunan Sintel BMN"/>
    <n v="163577500"/>
    <n v="163577500"/>
    <n v="0"/>
    <n v="0"/>
    <n v="0"/>
    <n v="163577500"/>
    <n v="0"/>
    <x v="9"/>
    <x v="0"/>
  </r>
  <r>
    <s v="4221428012 Sistem Proteksi Sintel BMN"/>
    <n v="415688000"/>
    <n v="415688000"/>
    <n v="0"/>
    <n v="0"/>
    <n v="0"/>
    <n v="415688000"/>
    <n v="0"/>
    <x v="9"/>
    <x v="0"/>
  </r>
  <r>
    <s v="4221428014 Catu Daya Sintel BMN"/>
    <n v="1039505000"/>
    <n v="1039505000"/>
    <n v="1025502800"/>
    <n v="0"/>
    <n v="1025502800"/>
    <n v="14002200"/>
    <n v="0"/>
    <x v="9"/>
    <x v="0"/>
  </r>
  <r>
    <s v="4222424010 Peralatan Luar Sinyal Elektrik KAI"/>
    <n v="300000000"/>
    <n v="300000000"/>
    <n v="0"/>
    <n v="0"/>
    <n v="0"/>
    <n v="300000000"/>
    <n v="0"/>
    <x v="9"/>
    <x v="2"/>
  </r>
  <r>
    <s v="4222470010 Alat Kerja Sintel KAI"/>
    <n v="500000000"/>
    <n v="500000000"/>
    <n v="0"/>
    <n v="0"/>
    <n v="0"/>
    <n v="500000000"/>
    <n v="0"/>
    <x v="9"/>
    <x v="2"/>
  </r>
  <r>
    <s v="4222600000 Peralatan Khusus Prasarana KAI"/>
    <n v="100000000"/>
    <n v="100000000"/>
    <n v="0"/>
    <n v="0"/>
    <n v="0"/>
    <n v="100000000"/>
    <n v="0"/>
    <x v="9"/>
    <x v="3"/>
  </r>
  <r>
    <s v="4222800000 Beban BBM Mekanik Prasarana"/>
    <n v="70775000"/>
    <n v="70775000"/>
    <n v="24082000"/>
    <n v="3970000"/>
    <n v="28052000"/>
    <n v="42723000"/>
    <n v="0"/>
    <x v="9"/>
    <x v="8"/>
  </r>
  <r>
    <s v="4232130000 LAT Beban Umum Pengoperasian Prasarana (IO)"/>
    <n v="880440000"/>
    <n v="880440000"/>
    <n v="581770"/>
    <n v="411555340"/>
    <n v="412137110"/>
    <n v="468302890"/>
    <n v="0"/>
    <x v="9"/>
    <x v="5"/>
  </r>
  <r>
    <s v="4233100000 Rapat&amp;Akomodasi Beban Umum Perawatan Prasarana KAI"/>
    <n v="77500000"/>
    <n v="77500000"/>
    <n v="5040000"/>
    <n v="8424500"/>
    <n v="13464500"/>
    <n v="64035500"/>
    <n v="0"/>
    <x v="9"/>
    <x v="1"/>
  </r>
  <r>
    <s v="4233150010 Kerumahtanggaan Beban Umum Perawatan Prasarana KAI"/>
    <n v="154250000"/>
    <n v="154250000"/>
    <n v="28577100"/>
    <n v="31874750"/>
    <n v="60451850"/>
    <n v="93798150"/>
    <n v="0"/>
    <x v="9"/>
    <x v="1"/>
  </r>
  <r>
    <s v="4233151710 Kerumahtanggaan UMDT Beban Umum Perawatan Pras KAI"/>
    <n v="27750000"/>
    <n v="27750000"/>
    <n v="0"/>
    <n v="9250000"/>
    <n v="9250000"/>
    <n v="18500000"/>
    <n v="0"/>
    <x v="9"/>
    <x v="1"/>
  </r>
  <r>
    <s v="4233160010 Inventaris Beban Umum Perawatan Prasarana KAI"/>
    <n v="286250000"/>
    <n v="286250000"/>
    <n v="3022770"/>
    <n v="0"/>
    <n v="3022770"/>
    <n v="283227230"/>
    <n v="0"/>
    <x v="9"/>
    <x v="1"/>
  </r>
  <r>
    <s v="4233200000 Perjalanan Dinas BebanUmum Perawatan Prasarana KAI"/>
    <n v="108000000"/>
    <n v="108000000"/>
    <n v="0"/>
    <n v="36811000"/>
    <n v="36811000"/>
    <n v="71189000"/>
    <n v="0"/>
    <x v="9"/>
    <x v="1"/>
  </r>
  <r>
    <s v="4233300000 LAT Beban Umum Perawatan Prasarana KAI"/>
    <n v="1500000"/>
    <n v="1500000"/>
    <n v="0"/>
    <n v="0"/>
    <n v="0"/>
    <n v="1500000"/>
    <n v="0"/>
    <x v="9"/>
    <x v="1"/>
  </r>
  <r>
    <s v="4233400000 ATK Beban Umum Perawatan Prasarana KAI"/>
    <n v="16379250"/>
    <n v="16379250"/>
    <n v="16379100"/>
    <n v="0"/>
    <n v="16379100"/>
    <n v="150"/>
    <n v="0"/>
    <x v="9"/>
    <x v="1"/>
  </r>
  <r>
    <s v="4272100010 Gaji &amp;Tunjangan PegawaiPerawatan Prasarana Unit JJ"/>
    <n v="10714916013"/>
    <n v="10714916013"/>
    <n v="0"/>
    <n v="1495183889"/>
    <n v="1495183889"/>
    <n v="9219732124"/>
    <n v="0"/>
    <x v="9"/>
    <x v="6"/>
  </r>
  <r>
    <s v="4272200010 Iuran Pensiun Pegawai Perawatan Prasarana Unit JJ/"/>
    <n v="275820432"/>
    <n v="275820432"/>
    <n v="0"/>
    <n v="45781098"/>
    <n v="45781098"/>
    <n v="230039334"/>
    <n v="0"/>
    <x v="9"/>
    <x v="6"/>
  </r>
  <r>
    <s v="4272400000 Lembur dan Perangsang Peg PrwtnPrsrna unit JJ/Sntl"/>
    <n v="10532164202"/>
    <n v="10532164202"/>
    <n v="0"/>
    <n v="811939078"/>
    <n v="811939078"/>
    <n v="9720225124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152705067"/>
    <n v="152705067"/>
    <n v="1138889578"/>
    <n v="0"/>
    <x v="9"/>
    <x v="6"/>
  </r>
  <r>
    <s v="4273200010 Iuran Pensiun Pegawai Renwas JJ/Sintel LAA"/>
    <n v="47410746"/>
    <n v="47410746"/>
    <n v="0"/>
    <n v="7793604"/>
    <n v="7793604"/>
    <n v="39617142"/>
    <n v="0"/>
    <x v="9"/>
    <x v="6"/>
  </r>
  <r>
    <s v="4273400000 Lembur dan Perangsang Pegawai Renwas JJ/Sintel LAA"/>
    <n v="1523018104"/>
    <n v="1523018104"/>
    <n v="0"/>
    <n v="130810462"/>
    <n v="130810462"/>
    <n v="1392207642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0160692946"/>
    <n v="50160692946"/>
    <n v="17192358166"/>
    <n v="3572253006"/>
    <n v="20764611172"/>
    <n v="29396081774"/>
    <n v="0"/>
    <x v="9"/>
    <x v="7"/>
  </r>
  <r>
    <s v="1182000000 Persediaan Prasarana Perkeretaapian dan Umum"/>
    <n v="1645662000"/>
    <n v="1645662000"/>
    <n v="0"/>
    <n v="0"/>
    <n v="0"/>
    <n v="1645662000"/>
    <n v="0"/>
    <x v="10"/>
    <x v="0"/>
  </r>
  <r>
    <s v="4221423010 Peralatan Dalam Sinyal Mekanik BMN"/>
    <n v="945931000"/>
    <n v="945931000"/>
    <n v="0"/>
    <n v="0"/>
    <n v="0"/>
    <n v="945931000"/>
    <n v="0"/>
    <x v="10"/>
    <x v="0"/>
  </r>
  <r>
    <s v="4221424010 Peralatan Luar Sinyal Mekanik BMN"/>
    <n v="1122403500"/>
    <n v="1122403500"/>
    <n v="156346139"/>
    <n v="95210204"/>
    <n v="251556343"/>
    <n v="870847157"/>
    <n v="0"/>
    <x v="10"/>
    <x v="0"/>
  </r>
  <r>
    <s v="4221425010 Pengamanan Perlintasan Sebidang BMN"/>
    <n v="74888500"/>
    <n v="74888500"/>
    <n v="0"/>
    <n v="0"/>
    <n v="0"/>
    <n v="74888500"/>
    <n v="0"/>
    <x v="10"/>
    <x v="0"/>
  </r>
  <r>
    <s v="4221426010 Pesawat Telepon BMN"/>
    <n v="16624000"/>
    <n v="16624000"/>
    <n v="16623760"/>
    <n v="0"/>
    <n v="16623760"/>
    <n v="240"/>
    <n v="0"/>
    <x v="10"/>
    <x v="0"/>
  </r>
  <r>
    <s v="4221427010 Transmisi Komunikasi BMN"/>
    <n v="522368500"/>
    <n v="522368500"/>
    <n v="130355541"/>
    <n v="24000000"/>
    <n v="154355541"/>
    <n v="368012959"/>
    <n v="0"/>
    <x v="10"/>
    <x v="0"/>
  </r>
  <r>
    <s v="4221428010 Peralatan Pendukung Sintel BMN"/>
    <n v="700000000"/>
    <n v="700000000"/>
    <n v="87004250"/>
    <n v="65008300"/>
    <n v="152012550"/>
    <n v="547987450"/>
    <n v="0"/>
    <x v="10"/>
    <x v="0"/>
  </r>
  <r>
    <s v="4221428011 Bangunan Sintel BMN"/>
    <n v="145275000"/>
    <n v="145275000"/>
    <n v="0"/>
    <n v="0"/>
    <n v="0"/>
    <n v="145275000"/>
    <n v="0"/>
    <x v="10"/>
    <x v="0"/>
  </r>
  <r>
    <s v="4221428012 Sistem Proteksi Sintel BMN"/>
    <n v="153214500"/>
    <n v="153214500"/>
    <n v="0"/>
    <n v="0"/>
    <n v="0"/>
    <n v="153214500"/>
    <n v="0"/>
    <x v="10"/>
    <x v="0"/>
  </r>
  <r>
    <s v="4221428014 Catu Daya Sintel BMN"/>
    <n v="235100000"/>
    <n v="235100000"/>
    <n v="0"/>
    <n v="3229600"/>
    <n v="3229600"/>
    <n v="231870400"/>
    <n v="0"/>
    <x v="10"/>
    <x v="0"/>
  </r>
  <r>
    <s v="4222470010 Alat Kerja Sintel KAI"/>
    <n v="100000000"/>
    <n v="100000000"/>
    <n v="0"/>
    <n v="0"/>
    <n v="0"/>
    <n v="100000000"/>
    <n v="0"/>
    <x v="10"/>
    <x v="2"/>
  </r>
  <r>
    <s v="4222600000 Peralatan Khusus Prasarana KAI"/>
    <n v="100000000"/>
    <n v="100000000"/>
    <n v="0"/>
    <n v="0"/>
    <n v="0"/>
    <n v="100000000"/>
    <n v="0"/>
    <x v="10"/>
    <x v="3"/>
  </r>
  <r>
    <s v="4222800000 Beban BBM Mekanik Prasarana"/>
    <n v="63030000"/>
    <n v="63030000"/>
    <n v="0"/>
    <n v="0"/>
    <n v="0"/>
    <n v="63030000"/>
    <n v="0"/>
    <x v="10"/>
    <x v="8"/>
  </r>
  <r>
    <s v="4232130000 LAT Beban Umum Pengoperasian Prasarana (IO)"/>
    <n v="90000000"/>
    <n v="90000000"/>
    <n v="1324642"/>
    <n v="69572062"/>
    <n v="70896704"/>
    <n v="19103296"/>
    <n v="0"/>
    <x v="10"/>
    <x v="5"/>
  </r>
  <r>
    <s v="4233100000 Rapat&amp;Akomodasi Beban Umum Perawatan Prasarana KAI"/>
    <n v="64000000"/>
    <n v="64000000"/>
    <n v="0"/>
    <n v="13487000"/>
    <n v="13487000"/>
    <n v="50513000"/>
    <n v="0"/>
    <x v="10"/>
    <x v="1"/>
  </r>
  <r>
    <s v="4233150010 Kerumahtanggaan Beban Umum Perawatan Prasarana KAI"/>
    <n v="300400000"/>
    <n v="300400000"/>
    <n v="112868462"/>
    <n v="21790000"/>
    <n v="134658462"/>
    <n v="165741538"/>
    <n v="0"/>
    <x v="10"/>
    <x v="1"/>
  </r>
  <r>
    <s v="4233151710 Kerumahtanggaan UMDT Beban Umum Perawatan Pras KAI"/>
    <n v="16500000"/>
    <n v="16500000"/>
    <n v="0"/>
    <n v="5500000"/>
    <n v="5500000"/>
    <n v="11000000"/>
    <n v="0"/>
    <x v="10"/>
    <x v="1"/>
  </r>
  <r>
    <s v="4233160010 Inventaris Beban Umum Perawatan Prasarana KAI"/>
    <n v="35000000"/>
    <n v="35000000"/>
    <n v="0"/>
    <n v="4415000"/>
    <n v="4415000"/>
    <n v="30585000"/>
    <n v="0"/>
    <x v="10"/>
    <x v="1"/>
  </r>
  <r>
    <s v="4233200000 Perjalanan Dinas BebanUmum Perawatan Prasarana KAI"/>
    <n v="42675000"/>
    <n v="42675000"/>
    <n v="0"/>
    <n v="32935000"/>
    <n v="32935000"/>
    <n v="9740000"/>
    <n v="0"/>
    <x v="10"/>
    <x v="1"/>
  </r>
  <r>
    <s v="4233400000 ATK Beban Umum Perawatan Prasarana KAI"/>
    <n v="9000000"/>
    <n v="9000000"/>
    <n v="7478015"/>
    <n v="0"/>
    <n v="7478015"/>
    <n v="1521985"/>
    <n v="0"/>
    <x v="10"/>
    <x v="1"/>
  </r>
  <r>
    <s v="4242000000 Beban Penyusutan AT Bangunan Kantor"/>
    <n v="0"/>
    <n v="0"/>
    <n v="0"/>
    <n v="11707168"/>
    <n v="11707168"/>
    <n v="-11707168"/>
    <n v="0"/>
    <x v="10"/>
    <x v="6"/>
  </r>
  <r>
    <s v="4272100010 Gaji &amp;Tunjangan PegawaiPerawatan Prasarana Unit JJ"/>
    <n v="4539806918"/>
    <n v="4539806918"/>
    <n v="0"/>
    <n v="663094298"/>
    <n v="663094298"/>
    <n v="3876712620"/>
    <n v="0"/>
    <x v="10"/>
    <x v="6"/>
  </r>
  <r>
    <s v="4272200010 Iuran Pensiun Pegawai Perawatan Prasarana Unit JJ/"/>
    <n v="83054569"/>
    <n v="83054569"/>
    <n v="0"/>
    <n v="13674416"/>
    <n v="13674416"/>
    <n v="69380153"/>
    <n v="0"/>
    <x v="10"/>
    <x v="6"/>
  </r>
  <r>
    <s v="4272400000 Lembur dan Perangsang Peg PrwtnPrsrna unit JJ/Sntl"/>
    <n v="4669639602"/>
    <n v="4669639602"/>
    <n v="0"/>
    <n v="343680000"/>
    <n v="343680000"/>
    <n v="4325959602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93615240"/>
    <n v="93615240"/>
    <n v="701498193"/>
    <n v="0"/>
    <x v="10"/>
    <x v="6"/>
  </r>
  <r>
    <s v="4273200010 Iuran Pensiun Pegawai Renwas JJ/Sintel LAA"/>
    <n v="37493935"/>
    <n v="37493935"/>
    <n v="0"/>
    <n v="3939794"/>
    <n v="3939794"/>
    <n v="33554141"/>
    <n v="0"/>
    <x v="10"/>
    <x v="6"/>
  </r>
  <r>
    <s v="4273400000 Lembur dan Perangsang Pegawai Renwas JJ/Sintel LAA"/>
    <n v="960233849"/>
    <n v="960233849"/>
    <n v="0"/>
    <n v="87860000"/>
    <n v="87860000"/>
    <n v="872373849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17495468591"/>
    <n v="17495468591"/>
    <n v="512000809"/>
    <n v="1552718082"/>
    <n v="2064718891"/>
    <n v="15430749700"/>
    <n v="0"/>
    <x v="10"/>
    <x v="7"/>
  </r>
  <r>
    <s v="1182000000 Persediaan Prasarana Perkeretaapian dan Umum"/>
    <n v="1717513500"/>
    <n v="1717513500"/>
    <n v="0"/>
    <n v="0"/>
    <n v="0"/>
    <n v="17175135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233686000"/>
    <n v="233686000"/>
    <n v="0"/>
    <n v="0"/>
    <n v="0"/>
    <n v="233686000"/>
    <n v="0"/>
    <x v="11"/>
    <x v="0"/>
  </r>
  <r>
    <s v="4221424010 Peralatan Luar Sinyal Mekanik BMN"/>
    <n v="445284000"/>
    <n v="445284000"/>
    <n v="398086520"/>
    <n v="0"/>
    <n v="398086520"/>
    <n v="47197480"/>
    <n v="0"/>
    <x v="11"/>
    <x v="0"/>
  </r>
  <r>
    <s v="4221425010 Pengamanan Perlintasan Sebidang BMN"/>
    <n v="78606000"/>
    <n v="78606000"/>
    <n v="49855940"/>
    <n v="0"/>
    <n v="49855940"/>
    <n v="28750060"/>
    <n v="0"/>
    <x v="11"/>
    <x v="0"/>
  </r>
  <r>
    <s v="4221426010 Pesawat Telepon BMN"/>
    <n v="225000000"/>
    <n v="225000000"/>
    <n v="0"/>
    <n v="0"/>
    <n v="0"/>
    <n v="225000000"/>
    <n v="0"/>
    <x v="11"/>
    <x v="0"/>
  </r>
  <r>
    <s v="4221427010 Transmisi Komunikasi BMN"/>
    <n v="250000000"/>
    <n v="250000000"/>
    <n v="0"/>
    <n v="0"/>
    <n v="0"/>
    <n v="250000000"/>
    <n v="0"/>
    <x v="11"/>
    <x v="0"/>
  </r>
  <r>
    <s v="4221428010 Peralatan Pendukung Sintel BMN"/>
    <n v="345000000"/>
    <n v="345000000"/>
    <n v="120740700"/>
    <n v="0"/>
    <n v="120740700"/>
    <n v="224259300"/>
    <n v="0"/>
    <x v="11"/>
    <x v="0"/>
  </r>
  <r>
    <s v="4221428011 Bangunan Sintel BMN"/>
    <n v="99350000"/>
    <n v="99350000"/>
    <n v="91627175"/>
    <n v="0"/>
    <n v="91627175"/>
    <n v="7722825"/>
    <n v="0"/>
    <x v="11"/>
    <x v="0"/>
  </r>
  <r>
    <s v="4221428012 Sistem Proteksi Sintel BMN"/>
    <n v="227565500"/>
    <n v="227565500"/>
    <n v="0"/>
    <n v="0"/>
    <n v="0"/>
    <n v="227565500"/>
    <n v="0"/>
    <x v="11"/>
    <x v="0"/>
  </r>
  <r>
    <s v="4221428013 Tanda Semboyan Marka Sintel BMN"/>
    <n v="25000000"/>
    <n v="25000000"/>
    <n v="0"/>
    <n v="0"/>
    <n v="0"/>
    <n v="25000000"/>
    <n v="0"/>
    <x v="11"/>
    <x v="0"/>
  </r>
  <r>
    <s v="4221428014 Catu Daya Sintel BMN"/>
    <n v="721780000"/>
    <n v="721780000"/>
    <n v="0"/>
    <n v="0"/>
    <n v="0"/>
    <n v="721780000"/>
    <n v="0"/>
    <x v="11"/>
    <x v="0"/>
  </r>
  <r>
    <s v="4222422110 Peralatan Pendukung Sintel KAI"/>
    <n v="250000000"/>
    <n v="250000000"/>
    <n v="0"/>
    <n v="0"/>
    <n v="0"/>
    <n v="250000000"/>
    <n v="0"/>
    <x v="11"/>
    <x v="2"/>
  </r>
  <r>
    <s v="4222470010 Alat Kerja Sintel KAI"/>
    <n v="125000000"/>
    <n v="125000000"/>
    <n v="0"/>
    <n v="0"/>
    <n v="0"/>
    <n v="125000000"/>
    <n v="0"/>
    <x v="11"/>
    <x v="2"/>
  </r>
  <r>
    <s v="4222600000 Peralatan Khusus Prasarana KAI"/>
    <n v="125000000"/>
    <n v="125000000"/>
    <n v="0"/>
    <n v="0"/>
    <n v="0"/>
    <n v="125000000"/>
    <n v="0"/>
    <x v="11"/>
    <x v="3"/>
  </r>
  <r>
    <s v="4222800000 Beban BBM Mekanik Prasarana"/>
    <n v="158400000"/>
    <n v="158400000"/>
    <n v="37804500"/>
    <n v="0"/>
    <n v="37804500"/>
    <n v="120595500"/>
    <n v="0"/>
    <x v="11"/>
    <x v="8"/>
  </r>
  <r>
    <s v="4232130000 LAT Beban Umum Pengoperasian Prasarana (IO)"/>
    <n v="637500000"/>
    <n v="637500000"/>
    <n v="9500000"/>
    <n v="218151545"/>
    <n v="227651545"/>
    <n v="409848455"/>
    <n v="0"/>
    <x v="11"/>
    <x v="5"/>
  </r>
  <r>
    <s v="4233100000 Rapat&amp;Akomodasi Beban Umum Perawatan Prasarana KAI"/>
    <n v="48400000"/>
    <n v="48400000"/>
    <n v="0"/>
    <n v="0"/>
    <n v="0"/>
    <n v="48400000"/>
    <n v="0"/>
    <x v="11"/>
    <x v="1"/>
  </r>
  <r>
    <s v="4233150010 Kerumahtanggaan Beban Umum Perawatan Prasarana KAI"/>
    <n v="170907750"/>
    <n v="170907750"/>
    <n v="98217450"/>
    <n v="67914000"/>
    <n v="166131450"/>
    <n v="4776300"/>
    <n v="0"/>
    <x v="11"/>
    <x v="1"/>
  </r>
  <r>
    <s v="4233151710 Kerumahtanggaan UMDT Beban Umum Perawatan Pras KAI"/>
    <n v="26250000"/>
    <n v="26250000"/>
    <n v="0"/>
    <n v="8250000"/>
    <n v="8250000"/>
    <n v="18000000"/>
    <n v="0"/>
    <x v="11"/>
    <x v="1"/>
  </r>
  <r>
    <s v="4233160010 Inventaris Beban Umum Perawatan Prasarana KAI"/>
    <n v="96500000"/>
    <n v="96500000"/>
    <n v="0"/>
    <n v="0"/>
    <n v="0"/>
    <n v="96500000"/>
    <n v="0"/>
    <x v="11"/>
    <x v="1"/>
  </r>
  <r>
    <s v="4233200000 Perjalanan Dinas BebanUmum Perawatan Prasarana KAI"/>
    <n v="117000000"/>
    <n v="117000000"/>
    <n v="0"/>
    <n v="20651000"/>
    <n v="20651000"/>
    <n v="96349000"/>
    <n v="0"/>
    <x v="11"/>
    <x v="1"/>
  </r>
  <r>
    <s v="4233300000 LAT Beban Umum Perawatan Prasarana KAI"/>
    <n v="1500000"/>
    <n v="1500000"/>
    <n v="0"/>
    <n v="315000"/>
    <n v="315000"/>
    <n v="1185000"/>
    <n v="0"/>
    <x v="11"/>
    <x v="1"/>
  </r>
  <r>
    <s v="4233400000 ATK Beban Umum Perawatan Prasarana KAI"/>
    <n v="10000000"/>
    <n v="10000000"/>
    <n v="0"/>
    <n v="0"/>
    <n v="0"/>
    <n v="10000000"/>
    <n v="0"/>
    <x v="11"/>
    <x v="1"/>
  </r>
  <r>
    <s v="4241000000 Beban Penyusutan AT Prasarana Perkeretaapian"/>
    <n v="0"/>
    <n v="0"/>
    <n v="0"/>
    <n v="50070591"/>
    <n v="50070591"/>
    <n v="-50070591"/>
    <n v="0"/>
    <x v="11"/>
    <x v="6"/>
  </r>
  <r>
    <s v="4272100010 Gaji &amp;Tunjangan PegawaiPerawatan Prasarana Unit JJ"/>
    <n v="8641345711"/>
    <n v="8641345711"/>
    <n v="0"/>
    <n v="1210395223"/>
    <n v="1210395223"/>
    <n v="7430950488"/>
    <n v="0"/>
    <x v="11"/>
    <x v="6"/>
  </r>
  <r>
    <s v="4272200010 Iuran Pensiun Pegawai Perawatan Prasarana Unit JJ/"/>
    <n v="50824079"/>
    <n v="50824079"/>
    <n v="0"/>
    <n v="8519344"/>
    <n v="8519344"/>
    <n v="42304735"/>
    <n v="0"/>
    <x v="11"/>
    <x v="6"/>
  </r>
  <r>
    <s v="4272400000 Lembur dan Perangsang Peg PrwtnPrsrna unit JJ/Sntl"/>
    <n v="9379568492"/>
    <n v="9379568492"/>
    <n v="0"/>
    <n v="664096070"/>
    <n v="664096070"/>
    <n v="8715472422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07759966"/>
    <n v="107759966"/>
    <n v="796729680"/>
    <n v="0"/>
    <x v="11"/>
    <x v="6"/>
  </r>
  <r>
    <s v="4273200010 Iuran Pensiun Pegawai Renwas JJ/Sintel LAA"/>
    <n v="22796596"/>
    <n v="22796596"/>
    <n v="0"/>
    <n v="3779387"/>
    <n v="3779387"/>
    <n v="19017209"/>
    <n v="0"/>
    <x v="11"/>
    <x v="6"/>
  </r>
  <r>
    <s v="4273400000 Lembur dan Perangsang Pegawai Renwas JJ/Sintel LAA"/>
    <n v="1105883447"/>
    <n v="1105883447"/>
    <n v="0"/>
    <n v="104355522"/>
    <n v="104355522"/>
    <n v="1001527925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26293508870"/>
    <n v="26293508870"/>
    <n v="805832285"/>
    <n v="2464257648"/>
    <n v="3270089933"/>
    <n v="23023418937"/>
    <n v="0"/>
    <x v="11"/>
    <x v="7"/>
  </r>
  <r>
    <s v="1182000000 Persediaan Prasarana Perkeretaapian dan Umum"/>
    <n v="1871950730"/>
    <n v="1871950730"/>
    <n v="128471830"/>
    <n v="0"/>
    <n v="128471830"/>
    <n v="1743478900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m/>
    <m/>
    <m/>
    <m/>
    <m/>
    <m/>
    <m/>
    <x v="12"/>
    <x v="0"/>
  </r>
  <r>
    <s v="4221425010 Pengamanan Perlintasan Sebidang BMN"/>
    <m/>
    <m/>
    <m/>
    <m/>
    <m/>
    <m/>
    <m/>
    <x v="12"/>
    <x v="0"/>
  </r>
  <r>
    <s v="4221427010 Transmisi Komunikasi BMN"/>
    <m/>
    <m/>
    <m/>
    <m/>
    <m/>
    <m/>
    <m/>
    <x v="12"/>
    <x v="0"/>
  </r>
  <r>
    <s v="4221428010 Peralatan Pendukung Sintel BMN"/>
    <m/>
    <m/>
    <m/>
    <m/>
    <m/>
    <m/>
    <m/>
    <x v="12"/>
    <x v="0"/>
  </r>
  <r>
    <s v="4221428014 Catu Daya Sintel BMN"/>
    <m/>
    <m/>
    <m/>
    <m/>
    <m/>
    <m/>
    <m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60000000"/>
    <n v="9000000"/>
    <n v="0"/>
    <n v="9000000"/>
    <n v="51000000"/>
    <n v="0"/>
    <x v="12"/>
    <x v="3"/>
  </r>
  <r>
    <s v="4222800000 Beban BBM Mekanik Prasarana"/>
    <n v="45150000"/>
    <n v="45150000"/>
    <n v="6119400"/>
    <n v="0"/>
    <n v="6119400"/>
    <n v="390306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372660000"/>
    <n v="372660000"/>
    <n v="1004400"/>
    <n v="5604650"/>
    <n v="6609050"/>
    <n v="366050950"/>
    <n v="0"/>
    <x v="12"/>
    <x v="1"/>
  </r>
  <r>
    <s v="4233150010 Kerumahtanggaan Beban Umum Perawatan Prasarana KAI"/>
    <m/>
    <m/>
    <m/>
    <m/>
    <m/>
    <m/>
    <m/>
    <x v="12"/>
    <x v="1"/>
  </r>
  <r>
    <s v="4233151710 Kerumahtanggaan UMDT Beban Umum Perawatan Pras KAI"/>
    <m/>
    <m/>
    <m/>
    <m/>
    <m/>
    <m/>
    <m/>
    <x v="12"/>
    <x v="1"/>
  </r>
  <r>
    <s v="4233160010 Inventaris Beban Umum Perawatan Prasarana KAI"/>
    <m/>
    <m/>
    <m/>
    <m/>
    <m/>
    <m/>
    <m/>
    <x v="12"/>
    <x v="1"/>
  </r>
  <r>
    <s v="4233200000 Perjalanan Dinas BebanUmum Perawatan Prasarana KAI"/>
    <m/>
    <m/>
    <m/>
    <m/>
    <m/>
    <m/>
    <m/>
    <x v="12"/>
    <x v="1"/>
  </r>
  <r>
    <s v="4233300000 LAT Beban Umum Perawatan Prasarana KAI"/>
    <m/>
    <m/>
    <m/>
    <m/>
    <m/>
    <m/>
    <m/>
    <x v="12"/>
    <x v="1"/>
  </r>
  <r>
    <s v="4233400000 ATK Beban Umum Perawatan Prasarana KAI"/>
    <m/>
    <m/>
    <m/>
    <m/>
    <m/>
    <m/>
    <m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349760730"/>
    <n v="144595630"/>
    <n v="5604650"/>
    <n v="150200280"/>
    <n v="2199560450"/>
    <n v="0"/>
    <x v="12"/>
    <x v="7"/>
  </r>
  <r>
    <s v="1182000000 Persediaan Prasarana Perkeretaapian dan Umum"/>
    <n v="6121242000"/>
    <n v="6121242000"/>
    <n v="4968662500"/>
    <n v="0"/>
    <n v="4968662500"/>
    <n v="1152579500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1778331214"/>
    <n v="1778331214"/>
    <n v="1778331214"/>
    <n v="0"/>
    <n v="1778331214"/>
    <n v="0"/>
    <n v="0"/>
    <x v="13"/>
    <x v="2"/>
  </r>
  <r>
    <s v="4222422110 Peralatan Pendukung Sintel KAI"/>
    <n v="2094950000"/>
    <n v="2094950000"/>
    <n v="844058238"/>
    <n v="96556000"/>
    <n v="940614238"/>
    <n v="1154335762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840000000"/>
    <n v="840000000"/>
    <n v="0"/>
    <n v="0"/>
    <n v="0"/>
    <n v="840000000"/>
    <n v="0"/>
    <x v="13"/>
    <x v="2"/>
  </r>
  <r>
    <s v="4222424010 Peralatan Luar Sinyal Elektrik KAI"/>
    <n v="246033000"/>
    <n v="246033000"/>
    <n v="7785500"/>
    <n v="0"/>
    <n v="7785500"/>
    <n v="238247500"/>
    <n v="0"/>
    <x v="13"/>
    <x v="2"/>
  </r>
  <r>
    <s v="4222424110 Sistem Proteksi Sintel KAI"/>
    <n v="312250000"/>
    <n v="312250000"/>
    <n v="0"/>
    <n v="0"/>
    <n v="0"/>
    <n v="312250000"/>
    <n v="0"/>
    <x v="13"/>
    <x v="2"/>
  </r>
  <r>
    <s v="4222425010 Peralatan Dalam Sinyal Mekanik KAI"/>
    <n v="350000000"/>
    <n v="350000000"/>
    <n v="0"/>
    <n v="0"/>
    <n v="0"/>
    <n v="35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372500000"/>
    <n v="372500000"/>
    <n v="32460000"/>
    <n v="0"/>
    <n v="32460000"/>
    <n v="340040000"/>
    <n v="0"/>
    <x v="13"/>
    <x v="2"/>
  </r>
  <r>
    <s v="4222426110 Catu Daya Sintel KAI"/>
    <n v="2397799000"/>
    <n v="2397799000"/>
    <n v="475370000"/>
    <n v="0"/>
    <n v="475370000"/>
    <n v="1922429000"/>
    <n v="0"/>
    <x v="13"/>
    <x v="2"/>
  </r>
  <r>
    <s v="4222427010 Pengamanan Perlintasan Sebidang KAI"/>
    <n v="1098750000"/>
    <n v="1098750000"/>
    <n v="0"/>
    <n v="0"/>
    <n v="0"/>
    <n v="1098750000"/>
    <n v="0"/>
    <x v="13"/>
    <x v="2"/>
  </r>
  <r>
    <s v="4222428010 Pesawat Telepon KAI"/>
    <n v="133125000"/>
    <n v="133125000"/>
    <n v="40800000"/>
    <n v="0"/>
    <n v="40800000"/>
    <n v="92325000"/>
    <n v="0"/>
    <x v="13"/>
    <x v="2"/>
  </r>
  <r>
    <s v="4222470010 Alat Kerja Sintel KAI"/>
    <n v="375000000"/>
    <n v="375000000"/>
    <n v="0"/>
    <n v="0"/>
    <n v="0"/>
    <n v="375000000"/>
    <n v="0"/>
    <x v="13"/>
    <x v="2"/>
  </r>
  <r>
    <s v="4222600000 Peralatan Khusus Prasarana KAI"/>
    <n v="50000000"/>
    <n v="50000000"/>
    <n v="12720000"/>
    <n v="0"/>
    <n v="12720000"/>
    <n v="37280000"/>
    <n v="0"/>
    <x v="13"/>
    <x v="3"/>
  </r>
  <r>
    <s v="4222800000 Beban BBM Mekanik Prasarana"/>
    <n v="508075000"/>
    <n v="508075000"/>
    <n v="45540000"/>
    <n v="82800000"/>
    <n v="128340000"/>
    <n v="379735000"/>
    <n v="0"/>
    <x v="13"/>
    <x v="8"/>
  </r>
  <r>
    <s v="4232130000 LAT Beban Umum Pengoperasian Prasarana (IO)"/>
    <n v="640000000"/>
    <n v="640000000"/>
    <n v="8404406"/>
    <n v="446630703"/>
    <n v="455035109"/>
    <n v="184964891"/>
    <n v="0"/>
    <x v="13"/>
    <x v="5"/>
  </r>
  <r>
    <s v="4233100000 Rapat&amp;Akomodasi Beban Umum Perawatan Prasarana KAI"/>
    <n v="222793250"/>
    <n v="222793250"/>
    <n v="11185000"/>
    <n v="11185000"/>
    <n v="22370000"/>
    <n v="200423250"/>
    <n v="0"/>
    <x v="13"/>
    <x v="1"/>
  </r>
  <r>
    <s v="4233150010 Kerumahtanggaan Beban Umum Perawatan Prasarana KAI"/>
    <n v="278081750"/>
    <n v="278081750"/>
    <n v="64467900"/>
    <n v="112473360"/>
    <n v="176941260"/>
    <n v="101140490"/>
    <n v="0"/>
    <x v="13"/>
    <x v="1"/>
  </r>
  <r>
    <s v="4233151710 Kerumahtanggaan UMDT Beban Umum Perawatan Pras KAI"/>
    <n v="23250000"/>
    <n v="23250000"/>
    <n v="0"/>
    <n v="7250000"/>
    <n v="7250000"/>
    <n v="16000000"/>
    <n v="0"/>
    <x v="13"/>
    <x v="1"/>
  </r>
  <r>
    <s v="4233160010 Inventaris Beban Umum Perawatan Prasarana KAI"/>
    <n v="163230750"/>
    <n v="163230750"/>
    <n v="1145000"/>
    <n v="11495000"/>
    <n v="12640000"/>
    <n v="150590750"/>
    <n v="0"/>
    <x v="13"/>
    <x v="1"/>
  </r>
  <r>
    <s v="4233200000 Perjalanan Dinas BebanUmum Perawatan Prasarana KAI"/>
    <n v="172144500"/>
    <n v="172144500"/>
    <n v="10333670"/>
    <n v="36107070"/>
    <n v="46440740"/>
    <n v="125703760"/>
    <n v="0"/>
    <x v="13"/>
    <x v="1"/>
  </r>
  <r>
    <s v="4233300000 LAT Beban Umum Perawatan Prasarana KAI"/>
    <n v="9045000"/>
    <n v="9045000"/>
    <n v="0"/>
    <n v="5248402"/>
    <n v="5248402"/>
    <n v="3796598"/>
    <n v="0"/>
    <x v="13"/>
    <x v="1"/>
  </r>
  <r>
    <s v="4233400000 ATK Beban Umum Perawatan Prasarana KAI"/>
    <n v="40435250"/>
    <n v="40435250"/>
    <n v="2058680"/>
    <n v="0"/>
    <n v="2058680"/>
    <n v="38376570"/>
    <n v="0"/>
    <x v="13"/>
    <x v="1"/>
  </r>
  <r>
    <s v="4241000000 Beban Penyusutan AT Prasarana Perkeretaapian"/>
    <n v="0"/>
    <n v="0"/>
    <n v="0"/>
    <n v="42409654"/>
    <n v="42409654"/>
    <n v="-42409654"/>
    <n v="0"/>
    <x v="13"/>
    <x v="6"/>
  </r>
  <r>
    <s v="4242000000 Beban Penyusutan AT Bangunan Kantor"/>
    <n v="0"/>
    <n v="0"/>
    <n v="0"/>
    <n v="30444931"/>
    <n v="30444931"/>
    <n v="-30444931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1811099261"/>
    <n v="1811099261"/>
    <n v="10353182636"/>
    <n v="0"/>
    <x v="13"/>
    <x v="6"/>
  </r>
  <r>
    <s v="4272200010 Iuran Pensiun Pegawai Perawatan Prasarana Unit JJ/"/>
    <n v="111508199"/>
    <n v="111508199"/>
    <n v="0"/>
    <n v="18414338"/>
    <n v="18414338"/>
    <n v="93093861"/>
    <n v="0"/>
    <x v="13"/>
    <x v="6"/>
  </r>
  <r>
    <s v="4272400000 Lembur dan Perangsang Peg PrwtnPrsrna unit JJ/Sntl"/>
    <n v="10801404197"/>
    <n v="10801404197"/>
    <n v="0"/>
    <n v="796429653"/>
    <n v="796429653"/>
    <n v="10004974544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135886124"/>
    <n v="135886124"/>
    <n v="1316799115"/>
    <n v="0"/>
    <x v="13"/>
    <x v="6"/>
  </r>
  <r>
    <s v="4273200010 Iuran Pensiun Pegawai Renwas JJ/Sintel LAA"/>
    <n v="35165398"/>
    <n v="35165398"/>
    <n v="0"/>
    <n v="3651448"/>
    <n v="3651448"/>
    <n v="31513950"/>
    <n v="0"/>
    <x v="13"/>
    <x v="6"/>
  </r>
  <r>
    <s v="4273400000 Lembur dan Perangsang Pegawai Renwas JJ/Sintel LAA"/>
    <n v="1698748501"/>
    <n v="1698748501"/>
    <n v="0"/>
    <n v="125914000"/>
    <n v="125914000"/>
    <n v="1572834501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68988538"/>
    <n v="68988538"/>
    <n v="-68988538"/>
    <n v="0"/>
    <x v="13"/>
    <x v="6"/>
  </r>
  <r>
    <s v="34022000 Sintelis Divre III Palembang"/>
    <n v="44562890151"/>
    <n v="44562890151"/>
    <n v="8303322108"/>
    <n v="3894736792"/>
    <n v="12198058900"/>
    <n v="32364831251"/>
    <n v="0"/>
    <x v="13"/>
    <x v="7"/>
  </r>
  <r>
    <s v="1182000000 Persediaan Prasarana Perkeretaapian dan Umum"/>
    <n v="2787349000"/>
    <n v="2787349000"/>
    <n v="2595236997"/>
    <n v="0"/>
    <n v="2595236997"/>
    <n v="192112003"/>
    <n v="0"/>
    <x v="14"/>
    <x v="0"/>
  </r>
  <r>
    <s v="4221422010 Peralatan Luar Sinyal Elektrik BMN"/>
    <n v="25000000"/>
    <n v="25000000"/>
    <n v="3328300"/>
    <n v="0"/>
    <n v="3328300"/>
    <n v="21671700"/>
    <n v="0"/>
    <x v="14"/>
    <x v="0"/>
  </r>
  <r>
    <s v="4221423010 Peralatan Dalam Sinyal Mekanik BMN"/>
    <n v="777087500"/>
    <n v="777087500"/>
    <n v="393820000"/>
    <n v="0"/>
    <n v="393820000"/>
    <n v="383267500"/>
    <n v="0"/>
    <x v="14"/>
    <x v="0"/>
  </r>
  <r>
    <s v="4221424010 Peralatan Luar Sinyal Mekanik BMN"/>
    <n v="2125000000"/>
    <n v="2125000000"/>
    <n v="527929479"/>
    <n v="79254316"/>
    <n v="607183795"/>
    <n v="1517816205"/>
    <n v="0"/>
    <x v="14"/>
    <x v="0"/>
  </r>
  <r>
    <s v="4221425010 Pengamanan Perlintasan Sebidang BMN"/>
    <n v="75000000"/>
    <n v="75000000"/>
    <n v="0"/>
    <n v="0"/>
    <n v="0"/>
    <n v="75000000"/>
    <n v="0"/>
    <x v="14"/>
    <x v="0"/>
  </r>
  <r>
    <s v="4221426010 Pesawat Telepon BMN"/>
    <n v="1360596500"/>
    <n v="1360596500"/>
    <n v="480170000"/>
    <n v="0"/>
    <n v="480170000"/>
    <n v="880426500"/>
    <n v="0"/>
    <x v="14"/>
    <x v="0"/>
  </r>
  <r>
    <s v="4221427010 Transmisi Komunikasi BMN"/>
    <n v="4897337500"/>
    <n v="4897337500"/>
    <n v="4881152179"/>
    <n v="0"/>
    <n v="4881152179"/>
    <n v="16185321"/>
    <n v="0"/>
    <x v="14"/>
    <x v="0"/>
  </r>
  <r>
    <s v="4221428010 Peralatan Pendukung Sintel BMN"/>
    <n v="1057349000"/>
    <n v="1057349000"/>
    <n v="74537440"/>
    <n v="87511800"/>
    <n v="162049240"/>
    <n v="895299760"/>
    <n v="0"/>
    <x v="14"/>
    <x v="0"/>
  </r>
  <r>
    <s v="4221428011 Bangunan Sintel BMN"/>
    <n v="725000000"/>
    <n v="725000000"/>
    <n v="0"/>
    <n v="0"/>
    <n v="0"/>
    <n v="725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457905500"/>
    <n v="457905500"/>
    <n v="0"/>
    <n v="0"/>
    <n v="0"/>
    <n v="457905500"/>
    <n v="0"/>
    <x v="14"/>
    <x v="0"/>
  </r>
  <r>
    <s v="4221429011 Beban Pemakaian Alat Kerja pendukung perawatan BMN"/>
    <n v="875000000"/>
    <n v="875000000"/>
    <n v="498500000"/>
    <n v="0"/>
    <n v="498500000"/>
    <n v="376500000"/>
    <n v="0"/>
    <x v="14"/>
    <x v="0"/>
  </r>
  <r>
    <s v="4222424010 Peralatan Luar Sinyal Elektrik KAI"/>
    <n v="150000000"/>
    <n v="150000000"/>
    <n v="0"/>
    <n v="0"/>
    <n v="0"/>
    <n v="150000000"/>
    <n v="0"/>
    <x v="14"/>
    <x v="2"/>
  </r>
  <r>
    <s v="4222600000 Peralatan Khusus Prasarana KAI"/>
    <n v="322500000"/>
    <n v="322500000"/>
    <n v="64735000"/>
    <n v="18435000"/>
    <n v="83170000"/>
    <n v="239330000"/>
    <n v="0"/>
    <x v="14"/>
    <x v="3"/>
  </r>
  <r>
    <s v="4222800000 Beban BBM Mekanik Prasarana"/>
    <n v="142986000"/>
    <n v="142986000"/>
    <n v="0"/>
    <n v="32200000"/>
    <n v="32200000"/>
    <n v="110786000"/>
    <n v="0"/>
    <x v="14"/>
    <x v="8"/>
  </r>
  <r>
    <s v="4232130000 LAT Beban Umum Pengoperasian Prasarana (IO)"/>
    <n v="384828750"/>
    <n v="384828750"/>
    <n v="343694"/>
    <n v="230704071"/>
    <n v="231047765"/>
    <n v="153780985"/>
    <n v="0"/>
    <x v="14"/>
    <x v="5"/>
  </r>
  <r>
    <s v="4233100000 Rapat&amp;Akomodasi Beban Umum Perawatan Prasarana KAI"/>
    <n v="162500000"/>
    <n v="162500000"/>
    <n v="0"/>
    <n v="12632800"/>
    <n v="12632800"/>
    <n v="149867200"/>
    <n v="0"/>
    <x v="14"/>
    <x v="1"/>
  </r>
  <r>
    <s v="4233150010 Kerumahtanggaan Beban Umum Perawatan Prasarana KAI"/>
    <n v="202625000"/>
    <n v="202625000"/>
    <n v="1000000"/>
    <n v="49382229"/>
    <n v="50382229"/>
    <n v="152242771"/>
    <n v="0"/>
    <x v="14"/>
    <x v="1"/>
  </r>
  <r>
    <s v="4233151710 Kerumahtanggaan UMDT Beban Umum Perawatan Pras KAI"/>
    <n v="23925000"/>
    <n v="23925000"/>
    <n v="0"/>
    <n v="6750000"/>
    <n v="6750000"/>
    <n v="17175000"/>
    <n v="0"/>
    <x v="14"/>
    <x v="1"/>
  </r>
  <r>
    <s v="4233160010 Inventaris Beban Umum Perawatan Prasarana KAI"/>
    <n v="131916250"/>
    <n v="131916250"/>
    <n v="0"/>
    <n v="0"/>
    <n v="0"/>
    <n v="131916250"/>
    <n v="0"/>
    <x v="14"/>
    <x v="1"/>
  </r>
  <r>
    <s v="4233200000 Perjalanan Dinas BebanUmum Perawatan Prasarana KAI"/>
    <n v="145947750"/>
    <n v="145947750"/>
    <n v="0"/>
    <n v="46241250"/>
    <n v="46241250"/>
    <n v="99706500"/>
    <n v="0"/>
    <x v="14"/>
    <x v="1"/>
  </r>
  <r>
    <s v="4233400000 ATK Beban Umum Perawatan Prasarana KAI"/>
    <n v="17072000"/>
    <n v="17072000"/>
    <n v="0"/>
    <n v="0"/>
    <n v="0"/>
    <n v="17072000"/>
    <n v="0"/>
    <x v="14"/>
    <x v="1"/>
  </r>
  <r>
    <s v="4242000000 Beban Penyusutan AT Bangunan Kantor"/>
    <n v="0"/>
    <n v="0"/>
    <n v="0"/>
    <n v="2796436"/>
    <n v="2796436"/>
    <n v="-2796436"/>
    <n v="0"/>
    <x v="14"/>
    <x v="6"/>
  </r>
  <r>
    <s v="4272100010 Gaji &amp;Tunjangan PegawaiPerawatan Prasarana Unit JJ"/>
    <n v="10688916866"/>
    <n v="10688916866"/>
    <n v="0"/>
    <n v="1591762003"/>
    <n v="1591762003"/>
    <n v="9097154863"/>
    <n v="0"/>
    <x v="14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" cacheId="5" applyNumberFormats="0" applyBorderFormats="0" applyFontFormats="0" applyPatternFormats="0" applyAlignmentFormats="0" applyWidthHeightFormats="0" dataCaption="" updatedVersion="7" compact="0" compactData="0">
  <location ref="B2:I101" firstHeaderRow="1" firstDataRow="2" firstDataCol="2"/>
  <pivotFields count="10">
    <pivotField name="Funds Center/Commitment Item" compact="0" outline="0" multipleItemSelectionAllowed="1" showAll="0"/>
    <pivotField name="RKAP" dataField="1" compact="0" numFmtId="3" outline="0" multipleItemSelectionAllowed="1" showAll="0"/>
    <pivotField name="Release" dataField="1" compact="0" numFmtId="3" outline="0" multipleItemSelectionAllowed="1" showAll="0"/>
    <pivotField name="Comitment" compact="0" numFmtId="3" outline="0" multipleItemSelectionAllowed="1" showAll="0"/>
    <pivotField name="Actual" dataField="1" compact="0" numFmtId="3" outline="0" multipleItemSelectionAllowed="1" showAll="0"/>
    <pivotField name="Consumed" dataField="1" compact="0" numFmtId="3" outline="0" multipleItemSelectionAllowed="1" showAll="0"/>
    <pivotField name="Available" dataField="1" compact="0" numFmtId="3" outline="0" multipleItemSelectionAllowed="1" showAll="0"/>
    <pivotField name="NotRelease" dataField="1" compact="0" numFmtId="3" outline="0" multipleItemSelectionAllowed="1" showAll="0"/>
    <pivotField name="Daerah" axis="axisRow" compact="0" outline="0" multipleItemSelectionAllowed="1" showAll="0" sortType="ascending">
      <items count="16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t="default"/>
      </items>
    </pivotField>
    <pivotField name="Jenis" axis="axisRow" compact="0" outline="0" multipleItemSelectionAllowed="1" showAll="0" sortType="descending">
      <items count="11">
        <item h="1" x="7"/>
        <item x="2"/>
        <item x="0"/>
        <item x="3"/>
        <item x="9"/>
        <item x="5"/>
        <item x="1"/>
        <item x="4"/>
        <item x="8"/>
        <item h="1" x="6"/>
        <item t="default"/>
      </items>
    </pivotField>
  </pivotFields>
  <rowFields count="2">
    <field x="9"/>
    <field x="8"/>
  </rowFields>
  <rowItems count="98"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default">
      <x v="2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default">
      <x v="3"/>
    </i>
    <i>
      <x v="4"/>
      <x v="11"/>
    </i>
    <i r="1">
      <x v="12"/>
    </i>
    <i t="default">
      <x v="4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t="default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default">
      <x v="6"/>
    </i>
    <i>
      <x v="7"/>
      <x v="11"/>
    </i>
    <i r="1">
      <x v="14"/>
    </i>
    <i t="default">
      <x v="7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RKAP" fld="1" baseField="0"/>
    <dataField name="Release" fld="2" baseField="0"/>
    <dataField name="NotRelease" fld="7" baseField="0"/>
    <dataField name="Consumed" fld="5" baseField="0"/>
    <dataField name="Actual" fld="4" baseField="0"/>
    <dataField name="Available" fld="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02DD23-236D-431A-8711-7CB500C4AD6B}" name="PivotTable1" cacheId="0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A1:C108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8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m="1" x="16"/>
        <item t="default"/>
      </items>
    </pivotField>
    <pivotField axis="axisRow" showAll="0">
      <items count="12">
        <item h="1" x="6"/>
        <item x="8"/>
        <item x="4"/>
        <item x="1"/>
        <item x="5"/>
        <item x="9"/>
        <item x="3"/>
        <item x="0"/>
        <item x="2"/>
        <item h="1" x="7"/>
        <item x="10"/>
        <item t="default"/>
      </items>
    </pivotField>
  </pivotFields>
  <rowFields count="2">
    <field x="8"/>
    <field x="9"/>
  </rowFields>
  <rowItems count="107">
    <i>
      <x/>
    </i>
    <i r="1">
      <x v="3"/>
    </i>
    <i r="1">
      <x v="6"/>
    </i>
    <i r="1">
      <x v="7"/>
    </i>
    <i r="1">
      <x v="8"/>
    </i>
    <i>
      <x v="1"/>
    </i>
    <i r="1">
      <x v="1"/>
    </i>
    <i r="1">
      <x v="3"/>
    </i>
    <i r="1">
      <x v="4"/>
    </i>
    <i r="1">
      <x v="6"/>
    </i>
    <i r="1">
      <x v="7"/>
    </i>
    <i r="1">
      <x v="8"/>
    </i>
    <i>
      <x v="2"/>
    </i>
    <i r="1">
      <x v="1"/>
    </i>
    <i r="1">
      <x v="3"/>
    </i>
    <i r="1">
      <x v="4"/>
    </i>
    <i r="1">
      <x v="6"/>
    </i>
    <i r="1">
      <x v="7"/>
    </i>
    <i r="1">
      <x v="8"/>
    </i>
    <i>
      <x v="3"/>
    </i>
    <i r="1">
      <x v="1"/>
    </i>
    <i r="1">
      <x v="3"/>
    </i>
    <i r="1">
      <x v="4"/>
    </i>
    <i r="1">
      <x v="6"/>
    </i>
    <i r="1">
      <x v="7"/>
    </i>
    <i r="1">
      <x v="8"/>
    </i>
    <i>
      <x v="4"/>
    </i>
    <i r="1">
      <x v="1"/>
    </i>
    <i r="1">
      <x v="3"/>
    </i>
    <i r="1">
      <x v="4"/>
    </i>
    <i r="1">
      <x v="6"/>
    </i>
    <i r="1">
      <x v="7"/>
    </i>
    <i r="1">
      <x v="8"/>
    </i>
    <i>
      <x v="5"/>
    </i>
    <i r="1">
      <x v="1"/>
    </i>
    <i r="1">
      <x v="3"/>
    </i>
    <i r="1">
      <x v="4"/>
    </i>
    <i r="1">
      <x v="6"/>
    </i>
    <i r="1">
      <x v="7"/>
    </i>
    <i r="1">
      <x v="8"/>
    </i>
    <i>
      <x v="6"/>
    </i>
    <i r="1">
      <x v="1"/>
    </i>
    <i r="1">
      <x v="3"/>
    </i>
    <i r="1">
      <x v="4"/>
    </i>
    <i r="1">
      <x v="6"/>
    </i>
    <i r="1">
      <x v="7"/>
    </i>
    <i r="1">
      <x v="8"/>
    </i>
    <i>
      <x v="7"/>
    </i>
    <i r="1">
      <x v="1"/>
    </i>
    <i r="1">
      <x v="3"/>
    </i>
    <i r="1">
      <x v="4"/>
    </i>
    <i r="1">
      <x v="6"/>
    </i>
    <i r="1">
      <x v="7"/>
    </i>
    <i r="1">
      <x v="8"/>
    </i>
    <i>
      <x v="8"/>
    </i>
    <i r="1">
      <x v="1"/>
    </i>
    <i r="1">
      <x v="3"/>
    </i>
    <i r="1">
      <x v="4"/>
    </i>
    <i r="1">
      <x v="6"/>
    </i>
    <i r="1">
      <x v="7"/>
    </i>
    <i r="1">
      <x v="8"/>
    </i>
    <i>
      <x v="9"/>
    </i>
    <i r="1">
      <x v="1"/>
    </i>
    <i r="1">
      <x v="3"/>
    </i>
    <i r="1">
      <x v="4"/>
    </i>
    <i r="1">
      <x v="6"/>
    </i>
    <i r="1">
      <x v="7"/>
    </i>
    <i r="1">
      <x v="8"/>
    </i>
    <i>
      <x v="10"/>
    </i>
    <i r="1">
      <x v="1"/>
    </i>
    <i r="1">
      <x v="3"/>
    </i>
    <i r="1">
      <x v="4"/>
    </i>
    <i r="1">
      <x v="6"/>
    </i>
    <i r="1">
      <x v="7"/>
    </i>
    <i r="1">
      <x v="8"/>
    </i>
    <i>
      <x v="11"/>
    </i>
    <i r="1">
      <x v="1"/>
    </i>
    <i r="1">
      <x v="2"/>
    </i>
    <i r="1">
      <x v="3"/>
    </i>
    <i r="1">
      <x v="5"/>
    </i>
    <i r="1">
      <x v="6"/>
    </i>
    <i r="1">
      <x v="7"/>
    </i>
    <i>
      <x v="12"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>
      <x v="13"/>
    </i>
    <i r="1">
      <x v="1"/>
    </i>
    <i r="1">
      <x v="3"/>
    </i>
    <i r="1">
      <x v="4"/>
    </i>
    <i r="1">
      <x v="6"/>
    </i>
    <i r="1">
      <x v="7"/>
    </i>
    <i r="1">
      <x v="8"/>
    </i>
    <i>
      <x v="14"/>
    </i>
    <i r="1">
      <x v="2"/>
    </i>
    <i r="1">
      <x v="3"/>
    </i>
    <i r="1">
      <x v="4"/>
    </i>
    <i r="1">
      <x v="6"/>
    </i>
    <i r="1">
      <x v="7"/>
    </i>
    <i r="1">
      <x v="8"/>
    </i>
    <i>
      <x v="15"/>
    </i>
    <i r="1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nsumed" fld="5" baseField="0" baseItem="0"/>
    <dataField name="Sum of Actual" fld="4" baseField="0" baseItem="0"/>
  </dataFields>
  <formats count="78">
    <format dxfId="77">
      <pivotArea outline="0" collapsedLevelsAreSubtotals="1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">
      <pivotArea collapsedLevelsAreSubtotals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74">
      <pivotArea collapsedLevelsAreSubtotals="1" fieldPosition="0">
        <references count="1">
          <reference field="8" count="1">
            <x v="1"/>
          </reference>
        </references>
      </pivotArea>
    </format>
    <format dxfId="73">
      <pivotArea collapsedLevelsAreSubtotals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72">
      <pivotArea collapsedLevelsAreSubtotals="1" fieldPosition="0">
        <references count="1">
          <reference field="8" count="1">
            <x v="2"/>
          </reference>
        </references>
      </pivotArea>
    </format>
    <format dxfId="71">
      <pivotArea collapsedLevelsAreSubtotals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70">
      <pivotArea collapsedLevelsAreSubtotals="1" fieldPosition="0">
        <references count="1">
          <reference field="8" count="1">
            <x v="3"/>
          </reference>
        </references>
      </pivotArea>
    </format>
    <format dxfId="69">
      <pivotArea collapsedLevelsAreSubtotals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8">
      <pivotArea collapsedLevelsAreSubtotals="1" fieldPosition="0">
        <references count="1">
          <reference field="8" count="1">
            <x v="4"/>
          </reference>
        </references>
      </pivotArea>
    </format>
    <format dxfId="67">
      <pivotArea collapsedLevelsAreSubtotals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6">
      <pivotArea collapsedLevelsAreSubtotals="1" fieldPosition="0">
        <references count="1">
          <reference field="8" count="1">
            <x v="5"/>
          </reference>
        </references>
      </pivotArea>
    </format>
    <format dxfId="65">
      <pivotArea collapsedLevelsAreSubtotals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4">
      <pivotArea collapsedLevelsAreSubtotals="1" fieldPosition="0">
        <references count="1">
          <reference field="8" count="1">
            <x v="6"/>
          </reference>
        </references>
      </pivotArea>
    </format>
    <format dxfId="63">
      <pivotArea collapsedLevelsAreSubtotals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2">
      <pivotArea collapsedLevelsAreSubtotals="1" fieldPosition="0">
        <references count="1">
          <reference field="8" count="1">
            <x v="7"/>
          </reference>
        </references>
      </pivotArea>
    </format>
    <format dxfId="61">
      <pivotArea collapsedLevelsAreSubtotals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0">
      <pivotArea collapsedLevelsAreSubtotals="1" fieldPosition="0">
        <references count="1">
          <reference field="8" count="1">
            <x v="8"/>
          </reference>
        </references>
      </pivotArea>
    </format>
    <format dxfId="59">
      <pivotArea collapsedLevelsAreSubtotals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8">
      <pivotArea collapsedLevelsAreSubtotals="1" fieldPosition="0">
        <references count="1">
          <reference field="8" count="1">
            <x v="9"/>
          </reference>
        </references>
      </pivotArea>
    </format>
    <format dxfId="57">
      <pivotArea collapsedLevelsAreSubtotals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6">
      <pivotArea collapsedLevelsAreSubtotals="1" fieldPosition="0">
        <references count="1">
          <reference field="8" count="1">
            <x v="10"/>
          </reference>
        </references>
      </pivotArea>
    </format>
    <format dxfId="55">
      <pivotArea collapsedLevelsAreSubtotals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4">
      <pivotArea collapsedLevelsAreSubtotals="1" fieldPosition="0">
        <references count="1">
          <reference field="8" count="1">
            <x v="11"/>
          </reference>
        </references>
      </pivotArea>
    </format>
    <format dxfId="53">
      <pivotArea collapsedLevelsAreSubtotals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52">
      <pivotArea collapsedLevelsAreSubtotals="1" fieldPosition="0">
        <references count="1">
          <reference field="8" count="1">
            <x v="12"/>
          </reference>
        </references>
      </pivotArea>
    </format>
    <format dxfId="51">
      <pivotArea collapsedLevelsAreSubtotals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50">
      <pivotArea collapsedLevelsAreSubtotals="1" fieldPosition="0">
        <references count="1">
          <reference field="8" count="1">
            <x v="13"/>
          </reference>
        </references>
      </pivotArea>
    </format>
    <format dxfId="49">
      <pivotArea collapsedLevelsAreSubtotals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8">
      <pivotArea collapsedLevelsAreSubtotals="1" fieldPosition="0">
        <references count="1">
          <reference field="8" count="1">
            <x v="14"/>
          </reference>
        </references>
      </pivotArea>
    </format>
    <format dxfId="47">
      <pivotArea collapsedLevelsAreSubtotals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46">
      <pivotArea collapsedLevelsAreSubtotals="1" fieldPosition="0">
        <references count="1">
          <reference field="8" count="1">
            <x v="15"/>
          </reference>
        </references>
      </pivotArea>
    </format>
    <format dxfId="45">
      <pivotArea collapsedLevelsAreSubtotals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44">
      <pivotArea grandRow="1" outline="0" collapsedLevelsAreSubtotals="1" fieldPosition="0"/>
    </format>
    <format dxfId="43">
      <pivotArea dataOnly="0" labelOnly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42">
      <pivotArea dataOnly="0" labelOnly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1">
      <pivotArea dataOnly="0" labelOnly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40">
      <pivotArea dataOnly="0" labelOnly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9">
      <pivotArea dataOnly="0" labelOnly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8">
      <pivotArea dataOnly="0" labelOnly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7">
      <pivotArea dataOnly="0" labelOnly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6">
      <pivotArea dataOnly="0" labelOnly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5">
      <pivotArea dataOnly="0" labelOnly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4">
      <pivotArea dataOnly="0" labelOnly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3">
      <pivotArea dataOnly="0" labelOnly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32">
      <pivotArea dataOnly="0" labelOnly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31">
      <pivotArea dataOnly="0" labelOnly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30">
      <pivotArea dataOnly="0" labelOnly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29">
      <pivotArea dataOnly="0" labelOnly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1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27">
      <pivotArea dataOnly="0" labelOnly="1" fieldPosition="0">
        <references count="2">
          <reference field="8" count="1" selected="0">
            <x v="0"/>
          </reference>
          <reference field="9" count="1">
            <x v="0"/>
          </reference>
        </references>
      </pivotArea>
    </format>
    <format dxfId="26">
      <pivotArea collapsedLevelsAreSubtotals="1" fieldPosition="0">
        <references count="1">
          <reference field="8" count="1">
            <x v="0"/>
          </reference>
        </references>
      </pivotArea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outline="0" collapsedLevelsAreSubtotals="1" fieldPosition="0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8" type="button" dataOnly="0" labelOnly="1" outline="0" axis="axisRow" fieldPosition="0"/>
    </format>
    <format dxfId="19">
      <pivotArea dataOnly="0" labelOnly="1" fieldPosition="0">
        <references count="1">
          <reference field="8" count="0"/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16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5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4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3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2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1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0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8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7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6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5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4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2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1">
      <pivotArea dataOnly="0" labelOnly="1" fieldPosition="0">
        <references count="2">
          <reference field="8" count="1" selected="0">
            <x v="16"/>
          </reference>
          <reference field="9" count="1">
            <x v="7"/>
          </reference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544"/>
  <sheetViews>
    <sheetView showGridLines="0" tabSelected="1" workbookViewId="0">
      <pane ySplit="2" topLeftCell="A3" activePane="bottomLeft" state="frozen"/>
      <selection activeCell="B5" sqref="B5"/>
      <selection pane="bottomLeft" activeCell="A15" sqref="A15"/>
    </sheetView>
  </sheetViews>
  <sheetFormatPr defaultColWidth="12.59765625" defaultRowHeight="15.75" customHeight="1" x14ac:dyDescent="0.35"/>
  <cols>
    <col min="1" max="1" width="50" customWidth="1"/>
    <col min="2" max="8" width="12" customWidth="1"/>
    <col min="9" max="9" width="8.59765625" customWidth="1"/>
    <col min="10" max="10" width="18" customWidth="1"/>
  </cols>
  <sheetData>
    <row r="1" spans="1:10" x14ac:dyDescent="0.35">
      <c r="A1" s="101">
        <v>46082</v>
      </c>
      <c r="B1" s="97"/>
      <c r="C1" s="97"/>
      <c r="D1" s="97"/>
      <c r="E1" s="97"/>
      <c r="F1" s="97"/>
      <c r="G1" s="97"/>
      <c r="H1" s="98"/>
      <c r="I1" s="99"/>
      <c r="J1" s="99"/>
    </row>
    <row r="2" spans="1:10" x14ac:dyDescent="0.35">
      <c r="A2" s="87" t="s">
        <v>0</v>
      </c>
      <c r="B2" s="87" t="s">
        <v>1</v>
      </c>
      <c r="C2" s="87" t="s">
        <v>2</v>
      </c>
      <c r="D2" s="87" t="s">
        <v>3</v>
      </c>
      <c r="E2" s="87" t="s">
        <v>4</v>
      </c>
      <c r="F2" s="87" t="s">
        <v>5</v>
      </c>
      <c r="G2" s="87" t="s">
        <v>6</v>
      </c>
      <c r="H2" s="87" t="s">
        <v>7</v>
      </c>
      <c r="I2" s="88" t="s">
        <v>8</v>
      </c>
      <c r="J2" s="88" t="s">
        <v>134</v>
      </c>
    </row>
    <row r="3" spans="1:10" x14ac:dyDescent="0.35">
      <c r="A3" s="89" t="s">
        <v>178</v>
      </c>
      <c r="B3" s="90">
        <v>108692034000</v>
      </c>
      <c r="C3" s="90">
        <v>108692034000</v>
      </c>
      <c r="D3" s="90">
        <v>26587789762</v>
      </c>
      <c r="E3" s="91">
        <v>0</v>
      </c>
      <c r="F3" s="90">
        <v>26587789762</v>
      </c>
      <c r="G3" s="90">
        <v>82104244238</v>
      </c>
      <c r="H3" s="91">
        <v>0</v>
      </c>
      <c r="I3" s="92" t="s">
        <v>150</v>
      </c>
      <c r="J3" s="92" t="s">
        <v>10</v>
      </c>
    </row>
    <row r="4" spans="1:10" x14ac:dyDescent="0.35">
      <c r="A4" s="89" t="s">
        <v>179</v>
      </c>
      <c r="B4" s="91">
        <v>0</v>
      </c>
      <c r="C4" s="91">
        <v>0</v>
      </c>
      <c r="D4" s="91">
        <v>0</v>
      </c>
      <c r="E4" s="91">
        <v>0</v>
      </c>
      <c r="F4" s="91">
        <v>0</v>
      </c>
      <c r="G4" s="91">
        <v>0</v>
      </c>
      <c r="H4" s="91">
        <v>0</v>
      </c>
      <c r="I4" s="92" t="s">
        <v>150</v>
      </c>
      <c r="J4" s="92" t="s">
        <v>16</v>
      </c>
    </row>
    <row r="5" spans="1:10" x14ac:dyDescent="0.35">
      <c r="A5" s="89" t="s">
        <v>180</v>
      </c>
      <c r="B5" s="90">
        <v>41172787000</v>
      </c>
      <c r="C5" s="90">
        <v>41172787000</v>
      </c>
      <c r="D5" s="90">
        <v>36000000000</v>
      </c>
      <c r="E5" s="91">
        <v>0</v>
      </c>
      <c r="F5" s="90">
        <v>36000000000</v>
      </c>
      <c r="G5" s="90">
        <v>5172787000</v>
      </c>
      <c r="H5" s="91">
        <v>0</v>
      </c>
      <c r="I5" s="92" t="s">
        <v>150</v>
      </c>
      <c r="J5" s="92" t="s">
        <v>10</v>
      </c>
    </row>
    <row r="6" spans="1:10" x14ac:dyDescent="0.35">
      <c r="A6" s="89" t="s">
        <v>181</v>
      </c>
      <c r="B6" s="90">
        <v>34187077000</v>
      </c>
      <c r="C6" s="90">
        <v>34187077000</v>
      </c>
      <c r="D6" s="90">
        <v>3132332000</v>
      </c>
      <c r="E6" s="91">
        <v>0</v>
      </c>
      <c r="F6" s="90">
        <v>3132332000</v>
      </c>
      <c r="G6" s="90">
        <v>31054745000</v>
      </c>
      <c r="H6" s="91">
        <v>0</v>
      </c>
      <c r="I6" s="92" t="s">
        <v>150</v>
      </c>
      <c r="J6" s="92" t="s">
        <v>10</v>
      </c>
    </row>
    <row r="7" spans="1:10" x14ac:dyDescent="0.35">
      <c r="A7" s="89" t="s">
        <v>182</v>
      </c>
      <c r="B7" s="90">
        <v>17677615360</v>
      </c>
      <c r="C7" s="90">
        <v>17677615360</v>
      </c>
      <c r="D7" s="90">
        <v>17448621050</v>
      </c>
      <c r="E7" s="91">
        <v>0</v>
      </c>
      <c r="F7" s="90">
        <v>17448621050</v>
      </c>
      <c r="G7" s="90">
        <v>228994310</v>
      </c>
      <c r="H7" s="91">
        <v>0</v>
      </c>
      <c r="I7" s="92" t="s">
        <v>150</v>
      </c>
      <c r="J7" s="92" t="s">
        <v>10</v>
      </c>
    </row>
    <row r="8" spans="1:10" x14ac:dyDescent="0.35">
      <c r="A8" s="89" t="s">
        <v>183</v>
      </c>
      <c r="B8" s="90">
        <v>959026500</v>
      </c>
      <c r="C8" s="90">
        <v>959026500</v>
      </c>
      <c r="D8" s="91">
        <v>0</v>
      </c>
      <c r="E8" s="91">
        <v>0</v>
      </c>
      <c r="F8" s="91">
        <v>0</v>
      </c>
      <c r="G8" s="90">
        <v>959026500</v>
      </c>
      <c r="H8" s="91">
        <v>0</v>
      </c>
      <c r="I8" s="92" t="s">
        <v>150</v>
      </c>
      <c r="J8" s="92" t="s">
        <v>10</v>
      </c>
    </row>
    <row r="9" spans="1:10" x14ac:dyDescent="0.35">
      <c r="A9" s="89" t="s">
        <v>184</v>
      </c>
      <c r="B9" s="90">
        <v>64271431000</v>
      </c>
      <c r="C9" s="90">
        <v>64271431000</v>
      </c>
      <c r="D9" s="90">
        <v>61247356664</v>
      </c>
      <c r="E9" s="91">
        <v>0</v>
      </c>
      <c r="F9" s="90">
        <v>61247356664</v>
      </c>
      <c r="G9" s="90">
        <v>3024074336</v>
      </c>
      <c r="H9" s="91">
        <v>0</v>
      </c>
      <c r="I9" s="92" t="s">
        <v>150</v>
      </c>
      <c r="J9" s="92" t="s">
        <v>10</v>
      </c>
    </row>
    <row r="10" spans="1:10" x14ac:dyDescent="0.35">
      <c r="A10" s="89" t="s">
        <v>185</v>
      </c>
      <c r="B10" s="90">
        <v>394269250</v>
      </c>
      <c r="C10" s="90">
        <v>394269250</v>
      </c>
      <c r="D10" s="91">
        <v>0</v>
      </c>
      <c r="E10" s="91">
        <v>0</v>
      </c>
      <c r="F10" s="91">
        <v>0</v>
      </c>
      <c r="G10" s="90">
        <v>394269250</v>
      </c>
      <c r="H10" s="91">
        <v>0</v>
      </c>
      <c r="I10" s="92" t="s">
        <v>150</v>
      </c>
      <c r="J10" s="92" t="s">
        <v>10</v>
      </c>
    </row>
    <row r="11" spans="1:10" x14ac:dyDescent="0.35">
      <c r="A11" s="89" t="s">
        <v>186</v>
      </c>
      <c r="B11" s="90">
        <v>252697500</v>
      </c>
      <c r="C11" s="90">
        <v>252697500</v>
      </c>
      <c r="D11" s="91">
        <v>0</v>
      </c>
      <c r="E11" s="91">
        <v>0</v>
      </c>
      <c r="F11" s="91">
        <v>0</v>
      </c>
      <c r="G11" s="90">
        <v>252697500</v>
      </c>
      <c r="H11" s="91">
        <v>0</v>
      </c>
      <c r="I11" s="92" t="s">
        <v>150</v>
      </c>
      <c r="J11" s="92" t="s">
        <v>10</v>
      </c>
    </row>
    <row r="12" spans="1:10" x14ac:dyDescent="0.35">
      <c r="A12" s="89" t="s">
        <v>187</v>
      </c>
      <c r="B12" s="90">
        <v>26462829544</v>
      </c>
      <c r="C12" s="90">
        <v>26462829544</v>
      </c>
      <c r="D12" s="91">
        <v>0</v>
      </c>
      <c r="E12" s="91">
        <v>0</v>
      </c>
      <c r="F12" s="91">
        <v>0</v>
      </c>
      <c r="G12" s="90">
        <v>26462829544</v>
      </c>
      <c r="H12" s="91">
        <v>0</v>
      </c>
      <c r="I12" s="92" t="s">
        <v>150</v>
      </c>
      <c r="J12" s="92" t="s">
        <v>10</v>
      </c>
    </row>
    <row r="13" spans="1:10" x14ac:dyDescent="0.35">
      <c r="A13" s="89" t="s">
        <v>188</v>
      </c>
      <c r="B13" s="90">
        <v>12064691636</v>
      </c>
      <c r="C13" s="90">
        <v>12064691636</v>
      </c>
      <c r="D13" s="91">
        <v>0</v>
      </c>
      <c r="E13" s="91">
        <v>0</v>
      </c>
      <c r="F13" s="91">
        <v>0</v>
      </c>
      <c r="G13" s="90">
        <v>12064691636</v>
      </c>
      <c r="H13" s="91">
        <v>0</v>
      </c>
      <c r="I13" s="92" t="s">
        <v>150</v>
      </c>
      <c r="J13" s="92" t="s">
        <v>10</v>
      </c>
    </row>
    <row r="14" spans="1:10" x14ac:dyDescent="0.35">
      <c r="A14" s="89" t="s">
        <v>189</v>
      </c>
      <c r="B14" s="90">
        <v>1175883000</v>
      </c>
      <c r="C14" s="90">
        <v>1175883000</v>
      </c>
      <c r="D14" s="91">
        <v>0</v>
      </c>
      <c r="E14" s="91">
        <v>0</v>
      </c>
      <c r="F14" s="91">
        <v>0</v>
      </c>
      <c r="G14" s="90">
        <v>1175883000</v>
      </c>
      <c r="H14" s="91">
        <v>0</v>
      </c>
      <c r="I14" s="92" t="s">
        <v>150</v>
      </c>
      <c r="J14" s="92" t="s">
        <v>10</v>
      </c>
    </row>
    <row r="15" spans="1:10" x14ac:dyDescent="0.35">
      <c r="A15" s="89" t="s">
        <v>190</v>
      </c>
      <c r="B15" s="90">
        <v>1734605250</v>
      </c>
      <c r="C15" s="90">
        <v>1734605250</v>
      </c>
      <c r="D15" s="91">
        <v>0</v>
      </c>
      <c r="E15" s="91">
        <v>0</v>
      </c>
      <c r="F15" s="91">
        <v>0</v>
      </c>
      <c r="G15" s="90">
        <v>1734605250</v>
      </c>
      <c r="H15" s="91">
        <v>0</v>
      </c>
      <c r="I15" s="92" t="s">
        <v>150</v>
      </c>
      <c r="J15" s="92" t="s">
        <v>62</v>
      </c>
    </row>
    <row r="16" spans="1:10" x14ac:dyDescent="0.35">
      <c r="A16" s="89" t="s">
        <v>191</v>
      </c>
      <c r="B16" s="90">
        <v>250000000</v>
      </c>
      <c r="C16" s="90">
        <v>250000000</v>
      </c>
      <c r="D16" s="91">
        <v>0</v>
      </c>
      <c r="E16" s="91">
        <v>0</v>
      </c>
      <c r="F16" s="91">
        <v>0</v>
      </c>
      <c r="G16" s="90">
        <v>250000000</v>
      </c>
      <c r="H16" s="91">
        <v>0</v>
      </c>
      <c r="I16" s="92" t="s">
        <v>150</v>
      </c>
      <c r="J16" s="92" t="s">
        <v>31</v>
      </c>
    </row>
    <row r="17" spans="1:10" x14ac:dyDescent="0.35">
      <c r="A17" s="89" t="s">
        <v>192</v>
      </c>
      <c r="B17" s="90">
        <v>125000000</v>
      </c>
      <c r="C17" s="90">
        <v>125000000</v>
      </c>
      <c r="D17" s="90">
        <v>20986164</v>
      </c>
      <c r="E17" s="91">
        <v>0</v>
      </c>
      <c r="F17" s="90">
        <v>20986164</v>
      </c>
      <c r="G17" s="90">
        <v>104013836</v>
      </c>
      <c r="H17" s="91">
        <v>0</v>
      </c>
      <c r="I17" s="92" t="s">
        <v>150</v>
      </c>
      <c r="J17" s="92" t="s">
        <v>33</v>
      </c>
    </row>
    <row r="18" spans="1:10" x14ac:dyDescent="0.35">
      <c r="A18" s="89" t="s">
        <v>193</v>
      </c>
      <c r="B18" s="90">
        <v>1125000000</v>
      </c>
      <c r="C18" s="90">
        <v>1125000000</v>
      </c>
      <c r="D18" s="91">
        <v>0</v>
      </c>
      <c r="E18" s="90">
        <v>901692058</v>
      </c>
      <c r="F18" s="90">
        <v>901692058</v>
      </c>
      <c r="G18" s="90">
        <v>223307942</v>
      </c>
      <c r="H18" s="91">
        <v>0</v>
      </c>
      <c r="I18" s="92" t="s">
        <v>150</v>
      </c>
      <c r="J18" s="92" t="s">
        <v>35</v>
      </c>
    </row>
    <row r="19" spans="1:10" x14ac:dyDescent="0.35">
      <c r="A19" s="89" t="s">
        <v>194</v>
      </c>
      <c r="B19" s="90">
        <v>375000000</v>
      </c>
      <c r="C19" s="90">
        <v>375000000</v>
      </c>
      <c r="D19" s="90">
        <v>1948000</v>
      </c>
      <c r="E19" s="91">
        <v>0</v>
      </c>
      <c r="F19" s="90">
        <v>1948000</v>
      </c>
      <c r="G19" s="90">
        <v>373052000</v>
      </c>
      <c r="H19" s="91">
        <v>0</v>
      </c>
      <c r="I19" s="92" t="s">
        <v>150</v>
      </c>
      <c r="J19" s="92" t="s">
        <v>16</v>
      </c>
    </row>
    <row r="20" spans="1:10" x14ac:dyDescent="0.35">
      <c r="A20" s="89" t="s">
        <v>195</v>
      </c>
      <c r="B20" s="90">
        <v>185260000</v>
      </c>
      <c r="C20" s="90">
        <v>185260000</v>
      </c>
      <c r="D20" s="90">
        <v>24326714</v>
      </c>
      <c r="E20" s="90">
        <v>28810450</v>
      </c>
      <c r="F20" s="90">
        <v>53137164</v>
      </c>
      <c r="G20" s="90">
        <v>132122836</v>
      </c>
      <c r="H20" s="91">
        <v>0</v>
      </c>
      <c r="I20" s="92" t="s">
        <v>150</v>
      </c>
      <c r="J20" s="92" t="s">
        <v>16</v>
      </c>
    </row>
    <row r="21" spans="1:10" x14ac:dyDescent="0.35">
      <c r="A21" s="89" t="s">
        <v>196</v>
      </c>
      <c r="B21" s="90">
        <v>39000000</v>
      </c>
      <c r="C21" s="90">
        <v>39000000</v>
      </c>
      <c r="D21" s="91">
        <v>0</v>
      </c>
      <c r="E21" s="90">
        <v>13000000</v>
      </c>
      <c r="F21" s="90">
        <v>13000000</v>
      </c>
      <c r="G21" s="90">
        <v>26000000</v>
      </c>
      <c r="H21" s="91">
        <v>0</v>
      </c>
      <c r="I21" s="92" t="s">
        <v>150</v>
      </c>
      <c r="J21" s="92" t="s">
        <v>16</v>
      </c>
    </row>
    <row r="22" spans="1:10" x14ac:dyDescent="0.35">
      <c r="A22" s="89" t="s">
        <v>197</v>
      </c>
      <c r="B22" s="90">
        <v>125000000</v>
      </c>
      <c r="C22" s="90">
        <v>125000000</v>
      </c>
      <c r="D22" s="91">
        <v>0</v>
      </c>
      <c r="E22" s="91">
        <v>0</v>
      </c>
      <c r="F22" s="91">
        <v>0</v>
      </c>
      <c r="G22" s="90">
        <v>125000000</v>
      </c>
      <c r="H22" s="91">
        <v>0</v>
      </c>
      <c r="I22" s="92" t="s">
        <v>150</v>
      </c>
      <c r="J22" s="92" t="s">
        <v>16</v>
      </c>
    </row>
    <row r="23" spans="1:10" x14ac:dyDescent="0.35">
      <c r="A23" s="89" t="s">
        <v>198</v>
      </c>
      <c r="B23" s="90">
        <v>200000000</v>
      </c>
      <c r="C23" s="90">
        <v>200000000</v>
      </c>
      <c r="D23" s="90">
        <v>56042500</v>
      </c>
      <c r="E23" s="90">
        <v>49833500</v>
      </c>
      <c r="F23" s="90">
        <v>105876000</v>
      </c>
      <c r="G23" s="90">
        <v>94124000</v>
      </c>
      <c r="H23" s="91">
        <v>0</v>
      </c>
      <c r="I23" s="92" t="s">
        <v>150</v>
      </c>
      <c r="J23" s="92" t="s">
        <v>16</v>
      </c>
    </row>
    <row r="24" spans="1:10" x14ac:dyDescent="0.35">
      <c r="A24" s="89" t="s">
        <v>199</v>
      </c>
      <c r="B24" s="90">
        <v>625000000</v>
      </c>
      <c r="C24" s="90">
        <v>625000000</v>
      </c>
      <c r="D24" s="91">
        <v>0</v>
      </c>
      <c r="E24" s="90">
        <v>174031250</v>
      </c>
      <c r="F24" s="90">
        <v>174031250</v>
      </c>
      <c r="G24" s="90">
        <v>450968750</v>
      </c>
      <c r="H24" s="91">
        <v>0</v>
      </c>
      <c r="I24" s="92" t="s">
        <v>150</v>
      </c>
      <c r="J24" s="92" t="s">
        <v>16</v>
      </c>
    </row>
    <row r="25" spans="1:10" x14ac:dyDescent="0.35">
      <c r="A25" s="89" t="s">
        <v>200</v>
      </c>
      <c r="B25" s="90">
        <v>55000000</v>
      </c>
      <c r="C25" s="90">
        <v>55000000</v>
      </c>
      <c r="D25" s="91">
        <v>0</v>
      </c>
      <c r="E25" s="91">
        <v>0</v>
      </c>
      <c r="F25" s="91">
        <v>0</v>
      </c>
      <c r="G25" s="90">
        <v>55000000</v>
      </c>
      <c r="H25" s="91">
        <v>0</v>
      </c>
      <c r="I25" s="92" t="s">
        <v>150</v>
      </c>
      <c r="J25" s="92" t="s">
        <v>16</v>
      </c>
    </row>
    <row r="26" spans="1:10" x14ac:dyDescent="0.35">
      <c r="A26" s="89" t="s">
        <v>201</v>
      </c>
      <c r="B26" s="90">
        <v>3456614204</v>
      </c>
      <c r="C26" s="90">
        <v>3456614204</v>
      </c>
      <c r="D26" s="91">
        <v>0</v>
      </c>
      <c r="E26" s="90">
        <v>413008253</v>
      </c>
      <c r="F26" s="90">
        <v>413008253</v>
      </c>
      <c r="G26" s="90">
        <v>3043605951</v>
      </c>
      <c r="H26" s="91">
        <v>0</v>
      </c>
      <c r="I26" s="92" t="s">
        <v>150</v>
      </c>
      <c r="J26" s="92" t="s">
        <v>12</v>
      </c>
    </row>
    <row r="27" spans="1:10" x14ac:dyDescent="0.35">
      <c r="A27" s="89" t="s">
        <v>202</v>
      </c>
      <c r="B27" s="90">
        <v>52828623</v>
      </c>
      <c r="C27" s="90">
        <v>52828623</v>
      </c>
      <c r="D27" s="91">
        <v>0</v>
      </c>
      <c r="E27" s="90">
        <v>6538778</v>
      </c>
      <c r="F27" s="90">
        <v>6538778</v>
      </c>
      <c r="G27" s="90">
        <v>46289845</v>
      </c>
      <c r="H27" s="91">
        <v>0</v>
      </c>
      <c r="I27" s="92" t="s">
        <v>150</v>
      </c>
      <c r="J27" s="92" t="s">
        <v>12</v>
      </c>
    </row>
    <row r="28" spans="1:10" x14ac:dyDescent="0.35">
      <c r="A28" s="89" t="s">
        <v>203</v>
      </c>
      <c r="B28" s="90">
        <v>4078270035</v>
      </c>
      <c r="C28" s="90">
        <v>4078270035</v>
      </c>
      <c r="D28" s="91">
        <v>0</v>
      </c>
      <c r="E28" s="90">
        <v>308142214</v>
      </c>
      <c r="F28" s="90">
        <v>308142214</v>
      </c>
      <c r="G28" s="90">
        <v>3770127821</v>
      </c>
      <c r="H28" s="91">
        <v>0</v>
      </c>
      <c r="I28" s="92" t="s">
        <v>150</v>
      </c>
      <c r="J28" s="92" t="s">
        <v>12</v>
      </c>
    </row>
    <row r="29" spans="1:10" x14ac:dyDescent="0.35">
      <c r="A29" s="89" t="s">
        <v>286</v>
      </c>
      <c r="B29" s="90">
        <v>16502520</v>
      </c>
      <c r="C29" s="90">
        <v>16502520</v>
      </c>
      <c r="D29" s="91">
        <v>0</v>
      </c>
      <c r="E29" s="91">
        <v>0</v>
      </c>
      <c r="F29" s="91">
        <v>0</v>
      </c>
      <c r="G29" s="90">
        <v>16502520</v>
      </c>
      <c r="H29" s="91">
        <v>0</v>
      </c>
      <c r="I29" s="92" t="s">
        <v>150</v>
      </c>
      <c r="J29" s="92" t="s">
        <v>12</v>
      </c>
    </row>
    <row r="30" spans="1:10" x14ac:dyDescent="0.35">
      <c r="A30" s="89" t="s">
        <v>204</v>
      </c>
      <c r="B30" s="90">
        <v>10947475255</v>
      </c>
      <c r="C30" s="90">
        <v>10947475255</v>
      </c>
      <c r="D30" s="91">
        <v>0</v>
      </c>
      <c r="E30" s="90">
        <v>1120324189</v>
      </c>
      <c r="F30" s="90">
        <v>1120324189</v>
      </c>
      <c r="G30" s="90">
        <v>9827151066</v>
      </c>
      <c r="H30" s="91">
        <v>0</v>
      </c>
      <c r="I30" s="92" t="s">
        <v>150</v>
      </c>
      <c r="J30" s="92" t="s">
        <v>12</v>
      </c>
    </row>
    <row r="31" spans="1:10" x14ac:dyDescent="0.35">
      <c r="A31" s="89" t="s">
        <v>205</v>
      </c>
      <c r="B31" s="90">
        <v>248090002</v>
      </c>
      <c r="C31" s="90">
        <v>248090002</v>
      </c>
      <c r="D31" s="91">
        <v>0</v>
      </c>
      <c r="E31" s="90">
        <v>44762586</v>
      </c>
      <c r="F31" s="90">
        <v>44762586</v>
      </c>
      <c r="G31" s="90">
        <v>203327416</v>
      </c>
      <c r="H31" s="91">
        <v>0</v>
      </c>
      <c r="I31" s="92" t="s">
        <v>150</v>
      </c>
      <c r="J31" s="92" t="s">
        <v>12</v>
      </c>
    </row>
    <row r="32" spans="1:10" x14ac:dyDescent="0.35">
      <c r="A32" s="89" t="s">
        <v>206</v>
      </c>
      <c r="B32" s="90">
        <v>13970066046</v>
      </c>
      <c r="C32" s="90">
        <v>13970066046</v>
      </c>
      <c r="D32" s="91">
        <v>0</v>
      </c>
      <c r="E32" s="90">
        <v>1248726000</v>
      </c>
      <c r="F32" s="90">
        <v>1248726000</v>
      </c>
      <c r="G32" s="90">
        <v>12721340046</v>
      </c>
      <c r="H32" s="91">
        <v>0</v>
      </c>
      <c r="I32" s="92" t="s">
        <v>150</v>
      </c>
      <c r="J32" s="92" t="s">
        <v>12</v>
      </c>
    </row>
    <row r="33" spans="1:10" x14ac:dyDescent="0.35">
      <c r="A33" s="89" t="s">
        <v>287</v>
      </c>
      <c r="B33" s="90">
        <v>24203697</v>
      </c>
      <c r="C33" s="90">
        <v>24203697</v>
      </c>
      <c r="D33" s="91">
        <v>0</v>
      </c>
      <c r="E33" s="91">
        <v>0</v>
      </c>
      <c r="F33" s="91">
        <v>0</v>
      </c>
      <c r="G33" s="90">
        <v>24203697</v>
      </c>
      <c r="H33" s="91">
        <v>0</v>
      </c>
      <c r="I33" s="92" t="s">
        <v>150</v>
      </c>
      <c r="J33" s="92" t="s">
        <v>12</v>
      </c>
    </row>
    <row r="34" spans="1:10" x14ac:dyDescent="0.35">
      <c r="A34" s="89" t="s">
        <v>207</v>
      </c>
      <c r="B34" s="91">
        <v>0</v>
      </c>
      <c r="C34" s="91">
        <v>0</v>
      </c>
      <c r="D34" s="91">
        <v>0</v>
      </c>
      <c r="E34" s="90">
        <v>-7500000</v>
      </c>
      <c r="F34" s="90">
        <v>-7500000</v>
      </c>
      <c r="G34" s="90">
        <v>7500000</v>
      </c>
      <c r="H34" s="91">
        <v>0</v>
      </c>
      <c r="I34" s="92" t="s">
        <v>150</v>
      </c>
      <c r="J34" s="92" t="s">
        <v>12</v>
      </c>
    </row>
    <row r="35" spans="1:10" x14ac:dyDescent="0.35">
      <c r="A35" s="89" t="s">
        <v>208</v>
      </c>
      <c r="B35" s="90">
        <v>250000000</v>
      </c>
      <c r="C35" s="90">
        <v>250000000</v>
      </c>
      <c r="D35" s="90">
        <v>9464000</v>
      </c>
      <c r="E35" s="91">
        <v>0</v>
      </c>
      <c r="F35" s="90">
        <v>9464000</v>
      </c>
      <c r="G35" s="90">
        <v>240536000</v>
      </c>
      <c r="H35" s="91">
        <v>0</v>
      </c>
      <c r="I35" s="92" t="s">
        <v>150</v>
      </c>
      <c r="J35" s="92" t="s">
        <v>16</v>
      </c>
    </row>
    <row r="36" spans="1:10" x14ac:dyDescent="0.35">
      <c r="A36" s="89" t="s">
        <v>209</v>
      </c>
      <c r="B36" s="90">
        <v>125000000</v>
      </c>
      <c r="C36" s="90">
        <v>125000000</v>
      </c>
      <c r="D36" s="91">
        <v>0</v>
      </c>
      <c r="E36" s="91">
        <v>0</v>
      </c>
      <c r="F36" s="91">
        <v>0</v>
      </c>
      <c r="G36" s="90">
        <v>125000000</v>
      </c>
      <c r="H36" s="91">
        <v>0</v>
      </c>
      <c r="I36" s="92" t="s">
        <v>150</v>
      </c>
      <c r="J36" s="92" t="s">
        <v>16</v>
      </c>
    </row>
    <row r="37" spans="1:10" x14ac:dyDescent="0.35">
      <c r="A37" s="89" t="s">
        <v>288</v>
      </c>
      <c r="B37" s="91">
        <v>0</v>
      </c>
      <c r="C37" s="91">
        <v>0</v>
      </c>
      <c r="D37" s="91">
        <v>0</v>
      </c>
      <c r="E37" s="90">
        <v>205407666</v>
      </c>
      <c r="F37" s="90">
        <v>205407666</v>
      </c>
      <c r="G37" s="90">
        <v>-205407666</v>
      </c>
      <c r="H37" s="91">
        <v>0</v>
      </c>
      <c r="I37" s="92" t="s">
        <v>150</v>
      </c>
      <c r="J37" s="92" t="s">
        <v>12</v>
      </c>
    </row>
    <row r="38" spans="1:10" x14ac:dyDescent="0.35">
      <c r="A38" s="93" t="s">
        <v>210</v>
      </c>
      <c r="B38" s="94">
        <v>345318257422</v>
      </c>
      <c r="C38" s="94">
        <v>345318257422</v>
      </c>
      <c r="D38" s="94">
        <v>144528866854</v>
      </c>
      <c r="E38" s="94">
        <v>4506776944</v>
      </c>
      <c r="F38" s="94">
        <v>149035643798</v>
      </c>
      <c r="G38" s="94">
        <v>196282613624</v>
      </c>
      <c r="H38" s="95">
        <v>0</v>
      </c>
      <c r="I38" s="96" t="s">
        <v>150</v>
      </c>
      <c r="J38" s="96" t="e">
        <v>#N/A</v>
      </c>
    </row>
    <row r="39" spans="1:10" x14ac:dyDescent="0.35">
      <c r="A39" s="89" t="s">
        <v>178</v>
      </c>
      <c r="B39" s="90">
        <v>17706636144</v>
      </c>
      <c r="C39" s="90">
        <v>17706636144</v>
      </c>
      <c r="D39" s="90">
        <v>13902367700</v>
      </c>
      <c r="E39" s="91">
        <v>0</v>
      </c>
      <c r="F39" s="90">
        <v>13902367700</v>
      </c>
      <c r="G39" s="90">
        <v>3804268444</v>
      </c>
      <c r="H39" s="91">
        <v>0</v>
      </c>
      <c r="I39" s="92" t="s">
        <v>136</v>
      </c>
      <c r="J39" s="92" t="s">
        <v>10</v>
      </c>
    </row>
    <row r="40" spans="1:10" x14ac:dyDescent="0.35">
      <c r="A40" s="89" t="s">
        <v>289</v>
      </c>
      <c r="B40" s="90">
        <v>17002987</v>
      </c>
      <c r="C40" s="90">
        <v>17002987</v>
      </c>
      <c r="D40" s="91">
        <v>0</v>
      </c>
      <c r="E40" s="91">
        <v>0</v>
      </c>
      <c r="F40" s="91">
        <v>0</v>
      </c>
      <c r="G40" s="90">
        <v>17002987</v>
      </c>
      <c r="H40" s="91">
        <v>0</v>
      </c>
      <c r="I40" s="92" t="s">
        <v>136</v>
      </c>
      <c r="J40" s="92" t="s">
        <v>12</v>
      </c>
    </row>
    <row r="41" spans="1:10" x14ac:dyDescent="0.35">
      <c r="A41" s="89" t="s">
        <v>290</v>
      </c>
      <c r="B41" s="90">
        <v>32320895</v>
      </c>
      <c r="C41" s="90">
        <v>32320895</v>
      </c>
      <c r="D41" s="91">
        <v>0</v>
      </c>
      <c r="E41" s="91">
        <v>0</v>
      </c>
      <c r="F41" s="91">
        <v>0</v>
      </c>
      <c r="G41" s="90">
        <v>32320895</v>
      </c>
      <c r="H41" s="91">
        <v>0</v>
      </c>
      <c r="I41" s="92" t="s">
        <v>136</v>
      </c>
      <c r="J41" s="92" t="s">
        <v>12</v>
      </c>
    </row>
    <row r="42" spans="1:10" x14ac:dyDescent="0.35">
      <c r="A42" s="89" t="s">
        <v>291</v>
      </c>
      <c r="B42" s="90">
        <v>550084</v>
      </c>
      <c r="C42" s="90">
        <v>550084</v>
      </c>
      <c r="D42" s="91">
        <v>0</v>
      </c>
      <c r="E42" s="91">
        <v>0</v>
      </c>
      <c r="F42" s="91">
        <v>0</v>
      </c>
      <c r="G42" s="90">
        <v>550084</v>
      </c>
      <c r="H42" s="91">
        <v>0</v>
      </c>
      <c r="I42" s="92" t="s">
        <v>136</v>
      </c>
      <c r="J42" s="92" t="s">
        <v>12</v>
      </c>
    </row>
    <row r="43" spans="1:10" x14ac:dyDescent="0.35">
      <c r="A43" s="89" t="s">
        <v>180</v>
      </c>
      <c r="B43" s="90">
        <v>200000000</v>
      </c>
      <c r="C43" s="90">
        <v>200000000</v>
      </c>
      <c r="D43" s="91">
        <v>0</v>
      </c>
      <c r="E43" s="91">
        <v>0</v>
      </c>
      <c r="F43" s="91">
        <v>0</v>
      </c>
      <c r="G43" s="90">
        <v>200000000</v>
      </c>
      <c r="H43" s="91">
        <v>0</v>
      </c>
      <c r="I43" s="92" t="s">
        <v>136</v>
      </c>
      <c r="J43" s="92" t="s">
        <v>10</v>
      </c>
    </row>
    <row r="44" spans="1:10" x14ac:dyDescent="0.35">
      <c r="A44" s="89" t="s">
        <v>181</v>
      </c>
      <c r="B44" s="90">
        <v>1000000000</v>
      </c>
      <c r="C44" s="90">
        <v>1000000000</v>
      </c>
      <c r="D44" s="91">
        <v>0</v>
      </c>
      <c r="E44" s="91">
        <v>0</v>
      </c>
      <c r="F44" s="91">
        <v>0</v>
      </c>
      <c r="G44" s="90">
        <v>1000000000</v>
      </c>
      <c r="H44" s="91">
        <v>0</v>
      </c>
      <c r="I44" s="92" t="s">
        <v>136</v>
      </c>
      <c r="J44" s="92" t="s">
        <v>10</v>
      </c>
    </row>
    <row r="45" spans="1:10" x14ac:dyDescent="0.35">
      <c r="A45" s="89" t="s">
        <v>211</v>
      </c>
      <c r="B45" s="90">
        <v>50000000</v>
      </c>
      <c r="C45" s="90">
        <v>50000000</v>
      </c>
      <c r="D45" s="91">
        <v>0</v>
      </c>
      <c r="E45" s="91">
        <v>0</v>
      </c>
      <c r="F45" s="91">
        <v>0</v>
      </c>
      <c r="G45" s="90">
        <v>50000000</v>
      </c>
      <c r="H45" s="91">
        <v>0</v>
      </c>
      <c r="I45" s="92" t="s">
        <v>136</v>
      </c>
      <c r="J45" s="92" t="s">
        <v>10</v>
      </c>
    </row>
    <row r="46" spans="1:10" x14ac:dyDescent="0.35">
      <c r="A46" s="89" t="s">
        <v>212</v>
      </c>
      <c r="B46" s="90">
        <v>200000000</v>
      </c>
      <c r="C46" s="90">
        <v>200000000</v>
      </c>
      <c r="D46" s="91">
        <v>0</v>
      </c>
      <c r="E46" s="91">
        <v>0</v>
      </c>
      <c r="F46" s="91">
        <v>0</v>
      </c>
      <c r="G46" s="90">
        <v>200000000</v>
      </c>
      <c r="H46" s="91">
        <v>0</v>
      </c>
      <c r="I46" s="92" t="s">
        <v>136</v>
      </c>
      <c r="J46" s="92" t="s">
        <v>10</v>
      </c>
    </row>
    <row r="47" spans="1:10" x14ac:dyDescent="0.35">
      <c r="A47" s="89" t="s">
        <v>182</v>
      </c>
      <c r="B47" s="90">
        <v>650000000</v>
      </c>
      <c r="C47" s="90">
        <v>650000000</v>
      </c>
      <c r="D47" s="91">
        <v>0</v>
      </c>
      <c r="E47" s="91">
        <v>0</v>
      </c>
      <c r="F47" s="91">
        <v>0</v>
      </c>
      <c r="G47" s="90">
        <v>650000000</v>
      </c>
      <c r="H47" s="91">
        <v>0</v>
      </c>
      <c r="I47" s="92" t="s">
        <v>136</v>
      </c>
      <c r="J47" s="92" t="s">
        <v>10</v>
      </c>
    </row>
    <row r="48" spans="1:10" x14ac:dyDescent="0.35">
      <c r="A48" s="89" t="s">
        <v>184</v>
      </c>
      <c r="B48" s="90">
        <v>3000000000</v>
      </c>
      <c r="C48" s="90">
        <v>3000000000</v>
      </c>
      <c r="D48" s="90">
        <v>2487092234</v>
      </c>
      <c r="E48" s="91">
        <v>0</v>
      </c>
      <c r="F48" s="90">
        <v>2487092234</v>
      </c>
      <c r="G48" s="90">
        <v>512907766</v>
      </c>
      <c r="H48" s="91">
        <v>0</v>
      </c>
      <c r="I48" s="92" t="s">
        <v>136</v>
      </c>
      <c r="J48" s="92" t="s">
        <v>10</v>
      </c>
    </row>
    <row r="49" spans="1:10" x14ac:dyDescent="0.35">
      <c r="A49" s="89" t="s">
        <v>185</v>
      </c>
      <c r="B49" s="90">
        <v>2130000000</v>
      </c>
      <c r="C49" s="90">
        <v>2130000000</v>
      </c>
      <c r="D49" s="90">
        <v>834283272</v>
      </c>
      <c r="E49" s="91">
        <v>0</v>
      </c>
      <c r="F49" s="90">
        <v>834283272</v>
      </c>
      <c r="G49" s="90">
        <v>1295716728</v>
      </c>
      <c r="H49" s="91">
        <v>0</v>
      </c>
      <c r="I49" s="92" t="s">
        <v>136</v>
      </c>
      <c r="J49" s="92" t="s">
        <v>10</v>
      </c>
    </row>
    <row r="50" spans="1:10" x14ac:dyDescent="0.35">
      <c r="A50" s="89" t="s">
        <v>213</v>
      </c>
      <c r="B50" s="90">
        <v>500000000</v>
      </c>
      <c r="C50" s="90">
        <v>500000000</v>
      </c>
      <c r="D50" s="91">
        <v>0</v>
      </c>
      <c r="E50" s="91">
        <v>0</v>
      </c>
      <c r="F50" s="91">
        <v>0</v>
      </c>
      <c r="G50" s="90">
        <v>500000000</v>
      </c>
      <c r="H50" s="91">
        <v>0</v>
      </c>
      <c r="I50" s="92" t="s">
        <v>136</v>
      </c>
      <c r="J50" s="92" t="s">
        <v>10</v>
      </c>
    </row>
    <row r="51" spans="1:10" x14ac:dyDescent="0.35">
      <c r="A51" s="89" t="s">
        <v>214</v>
      </c>
      <c r="B51" s="90">
        <v>1250000000</v>
      </c>
      <c r="C51" s="90">
        <v>1250000000</v>
      </c>
      <c r="D51" s="91">
        <v>0</v>
      </c>
      <c r="E51" s="91">
        <v>0</v>
      </c>
      <c r="F51" s="91">
        <v>0</v>
      </c>
      <c r="G51" s="90">
        <v>1250000000</v>
      </c>
      <c r="H51" s="91">
        <v>0</v>
      </c>
      <c r="I51" s="92" t="s">
        <v>136</v>
      </c>
      <c r="J51" s="92" t="s">
        <v>10</v>
      </c>
    </row>
    <row r="52" spans="1:10" x14ac:dyDescent="0.35">
      <c r="A52" s="89" t="s">
        <v>215</v>
      </c>
      <c r="B52" s="90">
        <v>125000000</v>
      </c>
      <c r="C52" s="90">
        <v>125000000</v>
      </c>
      <c r="D52" s="91">
        <v>0</v>
      </c>
      <c r="E52" s="91">
        <v>0</v>
      </c>
      <c r="F52" s="91">
        <v>0</v>
      </c>
      <c r="G52" s="90">
        <v>125000000</v>
      </c>
      <c r="H52" s="91">
        <v>0</v>
      </c>
      <c r="I52" s="92" t="s">
        <v>136</v>
      </c>
      <c r="J52" s="92" t="s">
        <v>10</v>
      </c>
    </row>
    <row r="53" spans="1:10" x14ac:dyDescent="0.35">
      <c r="A53" s="89" t="s">
        <v>216</v>
      </c>
      <c r="B53" s="90">
        <v>3425000000</v>
      </c>
      <c r="C53" s="90">
        <v>3425000000</v>
      </c>
      <c r="D53" s="90">
        <v>212238560</v>
      </c>
      <c r="E53" s="91">
        <v>0</v>
      </c>
      <c r="F53" s="90">
        <v>212238560</v>
      </c>
      <c r="G53" s="90">
        <v>3212761440</v>
      </c>
      <c r="H53" s="91">
        <v>0</v>
      </c>
      <c r="I53" s="92" t="s">
        <v>136</v>
      </c>
      <c r="J53" s="92" t="s">
        <v>10</v>
      </c>
    </row>
    <row r="54" spans="1:10" x14ac:dyDescent="0.35">
      <c r="A54" s="89" t="s">
        <v>217</v>
      </c>
      <c r="B54" s="90">
        <v>1310000000</v>
      </c>
      <c r="C54" s="90">
        <v>1310000000</v>
      </c>
      <c r="D54" s="90">
        <v>113020000</v>
      </c>
      <c r="E54" s="90">
        <v>34500000</v>
      </c>
      <c r="F54" s="90">
        <v>147520000</v>
      </c>
      <c r="G54" s="90">
        <v>1162480000</v>
      </c>
      <c r="H54" s="91">
        <v>0</v>
      </c>
      <c r="I54" s="92" t="s">
        <v>136</v>
      </c>
      <c r="J54" s="92" t="s">
        <v>62</v>
      </c>
    </row>
    <row r="55" spans="1:10" x14ac:dyDescent="0.35">
      <c r="A55" s="89" t="s">
        <v>218</v>
      </c>
      <c r="B55" s="90">
        <v>375000000</v>
      </c>
      <c r="C55" s="90">
        <v>375000000</v>
      </c>
      <c r="D55" s="91">
        <v>0</v>
      </c>
      <c r="E55" s="91">
        <v>0</v>
      </c>
      <c r="F55" s="91">
        <v>0</v>
      </c>
      <c r="G55" s="90">
        <v>375000000</v>
      </c>
      <c r="H55" s="91">
        <v>0</v>
      </c>
      <c r="I55" s="92" t="s">
        <v>136</v>
      </c>
      <c r="J55" s="92" t="s">
        <v>62</v>
      </c>
    </row>
    <row r="56" spans="1:10" x14ac:dyDescent="0.35">
      <c r="A56" s="89" t="s">
        <v>219</v>
      </c>
      <c r="B56" s="90">
        <v>488400000</v>
      </c>
      <c r="C56" s="90">
        <v>488400000</v>
      </c>
      <c r="D56" s="91">
        <v>0</v>
      </c>
      <c r="E56" s="91">
        <v>0</v>
      </c>
      <c r="F56" s="91">
        <v>0</v>
      </c>
      <c r="G56" s="90">
        <v>488400000</v>
      </c>
      <c r="H56" s="91">
        <v>0</v>
      </c>
      <c r="I56" s="92" t="s">
        <v>136</v>
      </c>
      <c r="J56" s="92" t="s">
        <v>62</v>
      </c>
    </row>
    <row r="57" spans="1:10" x14ac:dyDescent="0.35">
      <c r="A57" s="89" t="s">
        <v>220</v>
      </c>
      <c r="B57" s="90">
        <v>1250000000</v>
      </c>
      <c r="C57" s="90">
        <v>1250000000</v>
      </c>
      <c r="D57" s="91">
        <v>0</v>
      </c>
      <c r="E57" s="91">
        <v>0</v>
      </c>
      <c r="F57" s="91">
        <v>0</v>
      </c>
      <c r="G57" s="90">
        <v>1250000000</v>
      </c>
      <c r="H57" s="91">
        <v>0</v>
      </c>
      <c r="I57" s="92" t="s">
        <v>136</v>
      </c>
      <c r="J57" s="92" t="s">
        <v>62</v>
      </c>
    </row>
    <row r="58" spans="1:10" x14ac:dyDescent="0.35">
      <c r="A58" s="89" t="s">
        <v>191</v>
      </c>
      <c r="B58" s="90">
        <v>200000000</v>
      </c>
      <c r="C58" s="90">
        <v>200000000</v>
      </c>
      <c r="D58" s="91">
        <v>0</v>
      </c>
      <c r="E58" s="91">
        <v>0</v>
      </c>
      <c r="F58" s="91">
        <v>0</v>
      </c>
      <c r="G58" s="90">
        <v>200000000</v>
      </c>
      <c r="H58" s="91">
        <v>0</v>
      </c>
      <c r="I58" s="92" t="s">
        <v>136</v>
      </c>
      <c r="J58" s="92" t="s">
        <v>31</v>
      </c>
    </row>
    <row r="59" spans="1:10" x14ac:dyDescent="0.35">
      <c r="A59" s="89" t="s">
        <v>221</v>
      </c>
      <c r="B59" s="90">
        <v>90000000</v>
      </c>
      <c r="C59" s="90">
        <v>90000000</v>
      </c>
      <c r="D59" s="91">
        <v>0</v>
      </c>
      <c r="E59" s="91">
        <v>0</v>
      </c>
      <c r="F59" s="91">
        <v>0</v>
      </c>
      <c r="G59" s="90">
        <v>90000000</v>
      </c>
      <c r="H59" s="91">
        <v>0</v>
      </c>
      <c r="I59" s="92" t="s">
        <v>136</v>
      </c>
      <c r="J59" s="92" t="s">
        <v>67</v>
      </c>
    </row>
    <row r="60" spans="1:10" x14ac:dyDescent="0.35">
      <c r="A60" s="89" t="s">
        <v>222</v>
      </c>
      <c r="B60" s="90">
        <v>875000000</v>
      </c>
      <c r="C60" s="90">
        <v>875000000</v>
      </c>
      <c r="D60" s="91">
        <v>0</v>
      </c>
      <c r="E60" s="90">
        <v>466659980</v>
      </c>
      <c r="F60" s="90">
        <v>466659980</v>
      </c>
      <c r="G60" s="90">
        <v>408340020</v>
      </c>
      <c r="H60" s="91">
        <v>0</v>
      </c>
      <c r="I60" s="92" t="s">
        <v>136</v>
      </c>
      <c r="J60" s="92" t="s">
        <v>35</v>
      </c>
    </row>
    <row r="61" spans="1:10" x14ac:dyDescent="0.35">
      <c r="A61" s="89" t="s">
        <v>194</v>
      </c>
      <c r="B61" s="90">
        <v>256899832</v>
      </c>
      <c r="C61" s="90">
        <v>256899832</v>
      </c>
      <c r="D61" s="90">
        <v>7567000</v>
      </c>
      <c r="E61" s="90">
        <v>27969350</v>
      </c>
      <c r="F61" s="90">
        <v>35536350</v>
      </c>
      <c r="G61" s="90">
        <v>221363482</v>
      </c>
      <c r="H61" s="91">
        <v>0</v>
      </c>
      <c r="I61" s="92" t="s">
        <v>136</v>
      </c>
      <c r="J61" s="92" t="s">
        <v>16</v>
      </c>
    </row>
    <row r="62" spans="1:10" x14ac:dyDescent="0.35">
      <c r="A62" s="89" t="s">
        <v>195</v>
      </c>
      <c r="B62" s="90">
        <v>204937866</v>
      </c>
      <c r="C62" s="90">
        <v>204937866</v>
      </c>
      <c r="D62" s="90">
        <v>49275316</v>
      </c>
      <c r="E62" s="90">
        <v>14993600</v>
      </c>
      <c r="F62" s="90">
        <v>64268916</v>
      </c>
      <c r="G62" s="90">
        <v>140668950</v>
      </c>
      <c r="H62" s="91">
        <v>0</v>
      </c>
      <c r="I62" s="92" t="s">
        <v>136</v>
      </c>
      <c r="J62" s="92" t="s">
        <v>16</v>
      </c>
    </row>
    <row r="63" spans="1:10" x14ac:dyDescent="0.35">
      <c r="A63" s="89" t="s">
        <v>196</v>
      </c>
      <c r="B63" s="90">
        <v>83250000</v>
      </c>
      <c r="C63" s="90">
        <v>83250000</v>
      </c>
      <c r="D63" s="91">
        <v>0</v>
      </c>
      <c r="E63" s="90">
        <v>15750000</v>
      </c>
      <c r="F63" s="90">
        <v>15750000</v>
      </c>
      <c r="G63" s="90">
        <v>67500000</v>
      </c>
      <c r="H63" s="91">
        <v>0</v>
      </c>
      <c r="I63" s="92" t="s">
        <v>136</v>
      </c>
      <c r="J63" s="92" t="s">
        <v>16</v>
      </c>
    </row>
    <row r="64" spans="1:10" x14ac:dyDescent="0.35">
      <c r="A64" s="89" t="s">
        <v>197</v>
      </c>
      <c r="B64" s="90">
        <v>336297413</v>
      </c>
      <c r="C64" s="90">
        <v>336297413</v>
      </c>
      <c r="D64" s="91">
        <v>0</v>
      </c>
      <c r="E64" s="91">
        <v>0</v>
      </c>
      <c r="F64" s="91">
        <v>0</v>
      </c>
      <c r="G64" s="90">
        <v>336297413</v>
      </c>
      <c r="H64" s="91">
        <v>0</v>
      </c>
      <c r="I64" s="92" t="s">
        <v>136</v>
      </c>
      <c r="J64" s="92" t="s">
        <v>16</v>
      </c>
    </row>
    <row r="65" spans="1:10" x14ac:dyDescent="0.35">
      <c r="A65" s="89" t="s">
        <v>198</v>
      </c>
      <c r="B65" s="90">
        <v>5000000</v>
      </c>
      <c r="C65" s="90">
        <v>5000000</v>
      </c>
      <c r="D65" s="91">
        <v>0</v>
      </c>
      <c r="E65" s="91">
        <v>0</v>
      </c>
      <c r="F65" s="91">
        <v>0</v>
      </c>
      <c r="G65" s="90">
        <v>5000000</v>
      </c>
      <c r="H65" s="91">
        <v>0</v>
      </c>
      <c r="I65" s="92" t="s">
        <v>136</v>
      </c>
      <c r="J65" s="92" t="s">
        <v>16</v>
      </c>
    </row>
    <row r="66" spans="1:10" x14ac:dyDescent="0.35">
      <c r="A66" s="89" t="s">
        <v>199</v>
      </c>
      <c r="B66" s="90">
        <v>201492190</v>
      </c>
      <c r="C66" s="90">
        <v>201492190</v>
      </c>
      <c r="D66" s="91">
        <v>0</v>
      </c>
      <c r="E66" s="90">
        <v>55122500</v>
      </c>
      <c r="F66" s="90">
        <v>55122500</v>
      </c>
      <c r="G66" s="90">
        <v>146369690</v>
      </c>
      <c r="H66" s="91">
        <v>0</v>
      </c>
      <c r="I66" s="92" t="s">
        <v>136</v>
      </c>
      <c r="J66" s="92" t="s">
        <v>16</v>
      </c>
    </row>
    <row r="67" spans="1:10" x14ac:dyDescent="0.35">
      <c r="A67" s="89" t="s">
        <v>200</v>
      </c>
      <c r="B67" s="90">
        <v>35341673</v>
      </c>
      <c r="C67" s="90">
        <v>35341673</v>
      </c>
      <c r="D67" s="91">
        <v>0</v>
      </c>
      <c r="E67" s="91">
        <v>0</v>
      </c>
      <c r="F67" s="91">
        <v>0</v>
      </c>
      <c r="G67" s="90">
        <v>35341673</v>
      </c>
      <c r="H67" s="91">
        <v>0</v>
      </c>
      <c r="I67" s="92" t="s">
        <v>136</v>
      </c>
      <c r="J67" s="92" t="s">
        <v>16</v>
      </c>
    </row>
    <row r="68" spans="1:10" x14ac:dyDescent="0.35">
      <c r="A68" s="89" t="s">
        <v>292</v>
      </c>
      <c r="B68" s="91">
        <v>0</v>
      </c>
      <c r="C68" s="91">
        <v>0</v>
      </c>
      <c r="D68" s="91">
        <v>0</v>
      </c>
      <c r="E68" s="90">
        <v>6318436</v>
      </c>
      <c r="F68" s="90">
        <v>6318436</v>
      </c>
      <c r="G68" s="90">
        <v>-6318436</v>
      </c>
      <c r="H68" s="91">
        <v>0</v>
      </c>
      <c r="I68" s="92" t="s">
        <v>136</v>
      </c>
      <c r="J68" s="92" t="s">
        <v>12</v>
      </c>
    </row>
    <row r="69" spans="1:10" x14ac:dyDescent="0.35">
      <c r="A69" s="89" t="s">
        <v>201</v>
      </c>
      <c r="B69" s="90">
        <v>22931607229</v>
      </c>
      <c r="C69" s="90">
        <v>22931607229</v>
      </c>
      <c r="D69" s="91">
        <v>0</v>
      </c>
      <c r="E69" s="90">
        <v>3273696856</v>
      </c>
      <c r="F69" s="90">
        <v>3273696856</v>
      </c>
      <c r="G69" s="90">
        <v>19657910373</v>
      </c>
      <c r="H69" s="91">
        <v>0</v>
      </c>
      <c r="I69" s="92" t="s">
        <v>136</v>
      </c>
      <c r="J69" s="92" t="s">
        <v>12</v>
      </c>
    </row>
    <row r="70" spans="1:10" x14ac:dyDescent="0.35">
      <c r="A70" s="89" t="s">
        <v>202</v>
      </c>
      <c r="B70" s="90">
        <v>604955157</v>
      </c>
      <c r="C70" s="90">
        <v>604955157</v>
      </c>
      <c r="D70" s="91">
        <v>0</v>
      </c>
      <c r="E70" s="90">
        <v>87915397</v>
      </c>
      <c r="F70" s="90">
        <v>87915397</v>
      </c>
      <c r="G70" s="90">
        <v>517039760</v>
      </c>
      <c r="H70" s="91">
        <v>0</v>
      </c>
      <c r="I70" s="92" t="s">
        <v>136</v>
      </c>
      <c r="J70" s="92" t="s">
        <v>12</v>
      </c>
    </row>
    <row r="71" spans="1:10" x14ac:dyDescent="0.35">
      <c r="A71" s="89" t="s">
        <v>203</v>
      </c>
      <c r="B71" s="90">
        <v>20967421530</v>
      </c>
      <c r="C71" s="90">
        <v>20967421530</v>
      </c>
      <c r="D71" s="91">
        <v>0</v>
      </c>
      <c r="E71" s="90">
        <v>1613036038</v>
      </c>
      <c r="F71" s="90">
        <v>1613036038</v>
      </c>
      <c r="G71" s="90">
        <v>19354385492</v>
      </c>
      <c r="H71" s="91">
        <v>0</v>
      </c>
      <c r="I71" s="92" t="s">
        <v>136</v>
      </c>
      <c r="J71" s="92" t="s">
        <v>12</v>
      </c>
    </row>
    <row r="72" spans="1:10" x14ac:dyDescent="0.35">
      <c r="A72" s="89" t="s">
        <v>286</v>
      </c>
      <c r="B72" s="90">
        <v>105616131</v>
      </c>
      <c r="C72" s="90">
        <v>105616131</v>
      </c>
      <c r="D72" s="91">
        <v>0</v>
      </c>
      <c r="E72" s="91">
        <v>0</v>
      </c>
      <c r="F72" s="91">
        <v>0</v>
      </c>
      <c r="G72" s="90">
        <v>105616131</v>
      </c>
      <c r="H72" s="91">
        <v>0</v>
      </c>
      <c r="I72" s="92" t="s">
        <v>136</v>
      </c>
      <c r="J72" s="92" t="s">
        <v>12</v>
      </c>
    </row>
    <row r="73" spans="1:10" x14ac:dyDescent="0.35">
      <c r="A73" s="89" t="s">
        <v>204</v>
      </c>
      <c r="B73" s="90">
        <v>1649426585</v>
      </c>
      <c r="C73" s="90">
        <v>1649426585</v>
      </c>
      <c r="D73" s="91">
        <v>0</v>
      </c>
      <c r="E73" s="90">
        <v>258896079</v>
      </c>
      <c r="F73" s="90">
        <v>258896079</v>
      </c>
      <c r="G73" s="90">
        <v>1390530506</v>
      </c>
      <c r="H73" s="91">
        <v>0</v>
      </c>
      <c r="I73" s="92" t="s">
        <v>136</v>
      </c>
      <c r="J73" s="92" t="s">
        <v>12</v>
      </c>
    </row>
    <row r="74" spans="1:10" x14ac:dyDescent="0.35">
      <c r="A74" s="89" t="s">
        <v>205</v>
      </c>
      <c r="B74" s="90">
        <v>53660123</v>
      </c>
      <c r="C74" s="90">
        <v>53660123</v>
      </c>
      <c r="D74" s="91">
        <v>0</v>
      </c>
      <c r="E74" s="90">
        <v>10936488</v>
      </c>
      <c r="F74" s="90">
        <v>10936488</v>
      </c>
      <c r="G74" s="90">
        <v>42723635</v>
      </c>
      <c r="H74" s="91">
        <v>0</v>
      </c>
      <c r="I74" s="92" t="s">
        <v>136</v>
      </c>
      <c r="J74" s="92" t="s">
        <v>12</v>
      </c>
    </row>
    <row r="75" spans="1:10" x14ac:dyDescent="0.35">
      <c r="A75" s="89" t="s">
        <v>206</v>
      </c>
      <c r="B75" s="90">
        <v>1937118528</v>
      </c>
      <c r="C75" s="90">
        <v>1937118528</v>
      </c>
      <c r="D75" s="91">
        <v>0</v>
      </c>
      <c r="E75" s="90">
        <v>205194521</v>
      </c>
      <c r="F75" s="90">
        <v>205194521</v>
      </c>
      <c r="G75" s="90">
        <v>1731924007</v>
      </c>
      <c r="H75" s="91">
        <v>0</v>
      </c>
      <c r="I75" s="92" t="s">
        <v>136</v>
      </c>
      <c r="J75" s="92" t="s">
        <v>12</v>
      </c>
    </row>
    <row r="76" spans="1:10" x14ac:dyDescent="0.35">
      <c r="A76" s="89" t="s">
        <v>287</v>
      </c>
      <c r="B76" s="90">
        <v>3850588</v>
      </c>
      <c r="C76" s="90">
        <v>3850588</v>
      </c>
      <c r="D76" s="91">
        <v>0</v>
      </c>
      <c r="E76" s="91">
        <v>0</v>
      </c>
      <c r="F76" s="91">
        <v>0</v>
      </c>
      <c r="G76" s="90">
        <v>3850588</v>
      </c>
      <c r="H76" s="91">
        <v>0</v>
      </c>
      <c r="I76" s="92" t="s">
        <v>136</v>
      </c>
      <c r="J76" s="92" t="s">
        <v>12</v>
      </c>
    </row>
    <row r="77" spans="1:10" x14ac:dyDescent="0.35">
      <c r="A77" s="89" t="s">
        <v>293</v>
      </c>
      <c r="B77" s="91">
        <v>0</v>
      </c>
      <c r="C77" s="91">
        <v>0</v>
      </c>
      <c r="D77" s="91">
        <v>0</v>
      </c>
      <c r="E77" s="90">
        <v>416016</v>
      </c>
      <c r="F77" s="90">
        <v>416016</v>
      </c>
      <c r="G77" s="90">
        <v>-416016</v>
      </c>
      <c r="H77" s="91">
        <v>0</v>
      </c>
      <c r="I77" s="92" t="s">
        <v>136</v>
      </c>
      <c r="J77" s="92" t="s">
        <v>12</v>
      </c>
    </row>
    <row r="78" spans="1:10" x14ac:dyDescent="0.35">
      <c r="A78" s="93" t="s">
        <v>223</v>
      </c>
      <c r="B78" s="94">
        <v>84251784955</v>
      </c>
      <c r="C78" s="94">
        <v>84251784955</v>
      </c>
      <c r="D78" s="94">
        <v>17605844082</v>
      </c>
      <c r="E78" s="94">
        <v>6071405261</v>
      </c>
      <c r="F78" s="94">
        <v>23677249343</v>
      </c>
      <c r="G78" s="94">
        <v>60574535612</v>
      </c>
      <c r="H78" s="95">
        <v>0</v>
      </c>
      <c r="I78" s="96" t="s">
        <v>136</v>
      </c>
      <c r="J78" s="96" t="e">
        <v>#N/A</v>
      </c>
    </row>
    <row r="79" spans="1:10" x14ac:dyDescent="0.35">
      <c r="A79" s="89" t="s">
        <v>178</v>
      </c>
      <c r="B79" s="90">
        <v>2022054000</v>
      </c>
      <c r="C79" s="90">
        <v>2022054000</v>
      </c>
      <c r="D79" s="90">
        <v>1229711000</v>
      </c>
      <c r="E79" s="91">
        <v>0</v>
      </c>
      <c r="F79" s="90">
        <v>1229711000</v>
      </c>
      <c r="G79" s="90">
        <v>792343000</v>
      </c>
      <c r="H79" s="91">
        <v>0</v>
      </c>
      <c r="I79" s="92" t="s">
        <v>135</v>
      </c>
      <c r="J79" s="92" t="s">
        <v>10</v>
      </c>
    </row>
    <row r="80" spans="1:10" x14ac:dyDescent="0.35">
      <c r="A80" s="89" t="s">
        <v>294</v>
      </c>
      <c r="B80" s="91">
        <v>0</v>
      </c>
      <c r="C80" s="91">
        <v>0</v>
      </c>
      <c r="D80" s="91">
        <v>0</v>
      </c>
      <c r="E80" s="90">
        <v>-1450000</v>
      </c>
      <c r="F80" s="90">
        <v>-1450000</v>
      </c>
      <c r="G80" s="90">
        <v>1450000</v>
      </c>
      <c r="H80" s="91">
        <v>0</v>
      </c>
      <c r="I80" s="92" t="s">
        <v>135</v>
      </c>
      <c r="J80" s="92" t="s">
        <v>12</v>
      </c>
    </row>
    <row r="81" spans="1:10" x14ac:dyDescent="0.35">
      <c r="A81" s="89" t="s">
        <v>187</v>
      </c>
      <c r="B81" s="90">
        <v>828635000</v>
      </c>
      <c r="C81" s="90">
        <v>828635000</v>
      </c>
      <c r="D81" s="90">
        <v>53100000</v>
      </c>
      <c r="E81" s="90">
        <v>58598600</v>
      </c>
      <c r="F81" s="90">
        <v>111698600</v>
      </c>
      <c r="G81" s="90">
        <v>716936400</v>
      </c>
      <c r="H81" s="91">
        <v>0</v>
      </c>
      <c r="I81" s="92" t="s">
        <v>135</v>
      </c>
      <c r="J81" s="92" t="s">
        <v>10</v>
      </c>
    </row>
    <row r="82" spans="1:10" x14ac:dyDescent="0.35">
      <c r="A82" s="89" t="s">
        <v>188</v>
      </c>
      <c r="B82" s="90">
        <v>23866781388</v>
      </c>
      <c r="C82" s="90">
        <v>23866781388</v>
      </c>
      <c r="D82" s="90">
        <v>22699357069</v>
      </c>
      <c r="E82" s="90">
        <v>270535984</v>
      </c>
      <c r="F82" s="90">
        <v>22969893053</v>
      </c>
      <c r="G82" s="90">
        <v>896888335</v>
      </c>
      <c r="H82" s="91">
        <v>0</v>
      </c>
      <c r="I82" s="92" t="s">
        <v>135</v>
      </c>
      <c r="J82" s="92" t="s">
        <v>10</v>
      </c>
    </row>
    <row r="83" spans="1:10" x14ac:dyDescent="0.35">
      <c r="A83" s="89" t="s">
        <v>224</v>
      </c>
      <c r="B83" s="90">
        <v>144110500</v>
      </c>
      <c r="C83" s="90">
        <v>144110500</v>
      </c>
      <c r="D83" s="91">
        <v>0</v>
      </c>
      <c r="E83" s="91">
        <v>0</v>
      </c>
      <c r="F83" s="91">
        <v>0</v>
      </c>
      <c r="G83" s="90">
        <v>144110500</v>
      </c>
      <c r="H83" s="91">
        <v>0</v>
      </c>
      <c r="I83" s="92" t="s">
        <v>135</v>
      </c>
      <c r="J83" s="92" t="s">
        <v>10</v>
      </c>
    </row>
    <row r="84" spans="1:10" x14ac:dyDescent="0.35">
      <c r="A84" s="89" t="s">
        <v>225</v>
      </c>
      <c r="B84" s="90">
        <v>296500000</v>
      </c>
      <c r="C84" s="90">
        <v>296500000</v>
      </c>
      <c r="D84" s="91">
        <v>0</v>
      </c>
      <c r="E84" s="91">
        <v>0</v>
      </c>
      <c r="F84" s="91">
        <v>0</v>
      </c>
      <c r="G84" s="90">
        <v>296500000</v>
      </c>
      <c r="H84" s="91">
        <v>0</v>
      </c>
      <c r="I84" s="92" t="s">
        <v>135</v>
      </c>
      <c r="J84" s="92" t="s">
        <v>10</v>
      </c>
    </row>
    <row r="85" spans="1:10" x14ac:dyDescent="0.35">
      <c r="A85" s="89" t="s">
        <v>226</v>
      </c>
      <c r="B85" s="90">
        <v>605382500</v>
      </c>
      <c r="C85" s="90">
        <v>605382500</v>
      </c>
      <c r="D85" s="90">
        <v>104534440</v>
      </c>
      <c r="E85" s="91">
        <v>0</v>
      </c>
      <c r="F85" s="90">
        <v>104534440</v>
      </c>
      <c r="G85" s="90">
        <v>500848060</v>
      </c>
      <c r="H85" s="91">
        <v>0</v>
      </c>
      <c r="I85" s="92" t="s">
        <v>135</v>
      </c>
      <c r="J85" s="92" t="s">
        <v>10</v>
      </c>
    </row>
    <row r="86" spans="1:10" x14ac:dyDescent="0.35">
      <c r="A86" s="89" t="s">
        <v>227</v>
      </c>
      <c r="B86" s="90">
        <v>396500562</v>
      </c>
      <c r="C86" s="90">
        <v>396500562</v>
      </c>
      <c r="D86" s="90">
        <v>396500562</v>
      </c>
      <c r="E86" s="91">
        <v>0</v>
      </c>
      <c r="F86" s="90">
        <v>396500562</v>
      </c>
      <c r="G86" s="91">
        <v>0</v>
      </c>
      <c r="H86" s="91">
        <v>0</v>
      </c>
      <c r="I86" s="92" t="s">
        <v>135</v>
      </c>
      <c r="J86" s="92" t="s">
        <v>10</v>
      </c>
    </row>
    <row r="87" spans="1:10" x14ac:dyDescent="0.35">
      <c r="A87" s="89" t="s">
        <v>228</v>
      </c>
      <c r="B87" s="90">
        <v>1398260000</v>
      </c>
      <c r="C87" s="90">
        <v>1398260000</v>
      </c>
      <c r="D87" s="90">
        <v>722440785</v>
      </c>
      <c r="E87" s="90">
        <v>127902843</v>
      </c>
      <c r="F87" s="90">
        <v>850343628</v>
      </c>
      <c r="G87" s="90">
        <v>547916372</v>
      </c>
      <c r="H87" s="91">
        <v>0</v>
      </c>
      <c r="I87" s="92" t="s">
        <v>135</v>
      </c>
      <c r="J87" s="92" t="s">
        <v>10</v>
      </c>
    </row>
    <row r="88" spans="1:10" x14ac:dyDescent="0.35">
      <c r="A88" s="89" t="s">
        <v>190</v>
      </c>
      <c r="B88" s="90">
        <v>115793500</v>
      </c>
      <c r="C88" s="90">
        <v>115793500</v>
      </c>
      <c r="D88" s="91">
        <v>0</v>
      </c>
      <c r="E88" s="91">
        <v>0</v>
      </c>
      <c r="F88" s="91">
        <v>0</v>
      </c>
      <c r="G88" s="90">
        <v>115793500</v>
      </c>
      <c r="H88" s="91">
        <v>0</v>
      </c>
      <c r="I88" s="92" t="s">
        <v>135</v>
      </c>
      <c r="J88" s="92" t="s">
        <v>62</v>
      </c>
    </row>
    <row r="89" spans="1:10" x14ac:dyDescent="0.35">
      <c r="A89" s="89" t="s">
        <v>229</v>
      </c>
      <c r="B89" s="90">
        <v>2926668275</v>
      </c>
      <c r="C89" s="90">
        <v>180831882</v>
      </c>
      <c r="D89" s="91">
        <v>0</v>
      </c>
      <c r="E89" s="91">
        <v>0</v>
      </c>
      <c r="F89" s="91">
        <v>0</v>
      </c>
      <c r="G89" s="90">
        <v>180831882</v>
      </c>
      <c r="H89" s="90">
        <v>2745836393</v>
      </c>
      <c r="I89" s="92" t="s">
        <v>135</v>
      </c>
      <c r="J89" s="92" t="s">
        <v>62</v>
      </c>
    </row>
    <row r="90" spans="1:10" x14ac:dyDescent="0.35">
      <c r="A90" s="89" t="s">
        <v>230</v>
      </c>
      <c r="B90" s="90">
        <v>200000000</v>
      </c>
      <c r="C90" s="90">
        <v>200000000</v>
      </c>
      <c r="D90" s="90">
        <v>45150000</v>
      </c>
      <c r="E90" s="90">
        <v>7366373</v>
      </c>
      <c r="F90" s="90">
        <v>52516373</v>
      </c>
      <c r="G90" s="90">
        <v>147483627</v>
      </c>
      <c r="H90" s="91">
        <v>0</v>
      </c>
      <c r="I90" s="92" t="s">
        <v>135</v>
      </c>
      <c r="J90" s="92" t="s">
        <v>62</v>
      </c>
    </row>
    <row r="91" spans="1:10" x14ac:dyDescent="0.35">
      <c r="A91" s="89" t="s">
        <v>231</v>
      </c>
      <c r="B91" s="90">
        <v>144577500</v>
      </c>
      <c r="C91" s="90">
        <v>144577500</v>
      </c>
      <c r="D91" s="91">
        <v>0</v>
      </c>
      <c r="E91" s="91">
        <v>0</v>
      </c>
      <c r="F91" s="91">
        <v>0</v>
      </c>
      <c r="G91" s="90">
        <v>144577500</v>
      </c>
      <c r="H91" s="91">
        <v>0</v>
      </c>
      <c r="I91" s="92" t="s">
        <v>135</v>
      </c>
      <c r="J91" s="92" t="s">
        <v>62</v>
      </c>
    </row>
    <row r="92" spans="1:10" x14ac:dyDescent="0.35">
      <c r="A92" s="89" t="s">
        <v>232</v>
      </c>
      <c r="B92" s="90">
        <v>180000000</v>
      </c>
      <c r="C92" s="90">
        <v>180000000</v>
      </c>
      <c r="D92" s="91">
        <v>0</v>
      </c>
      <c r="E92" s="91">
        <v>0</v>
      </c>
      <c r="F92" s="91">
        <v>0</v>
      </c>
      <c r="G92" s="90">
        <v>180000000</v>
      </c>
      <c r="H92" s="91">
        <v>0</v>
      </c>
      <c r="I92" s="92" t="s">
        <v>135</v>
      </c>
      <c r="J92" s="92" t="s">
        <v>62</v>
      </c>
    </row>
    <row r="93" spans="1:10" x14ac:dyDescent="0.35">
      <c r="A93" s="89" t="s">
        <v>233</v>
      </c>
      <c r="B93" s="90">
        <v>855247000</v>
      </c>
      <c r="C93" s="90">
        <v>855247000</v>
      </c>
      <c r="D93" s="90">
        <v>63755600</v>
      </c>
      <c r="E93" s="91">
        <v>0</v>
      </c>
      <c r="F93" s="90">
        <v>63755600</v>
      </c>
      <c r="G93" s="90">
        <v>791491400</v>
      </c>
      <c r="H93" s="91">
        <v>0</v>
      </c>
      <c r="I93" s="92" t="s">
        <v>135</v>
      </c>
      <c r="J93" s="92" t="s">
        <v>62</v>
      </c>
    </row>
    <row r="94" spans="1:10" x14ac:dyDescent="0.35">
      <c r="A94" s="89" t="s">
        <v>191</v>
      </c>
      <c r="B94" s="90">
        <v>100000000</v>
      </c>
      <c r="C94" s="90">
        <v>100000000</v>
      </c>
      <c r="D94" s="91">
        <v>0</v>
      </c>
      <c r="E94" s="90">
        <v>24488000</v>
      </c>
      <c r="F94" s="90">
        <v>24488000</v>
      </c>
      <c r="G94" s="90">
        <v>75512000</v>
      </c>
      <c r="H94" s="91">
        <v>0</v>
      </c>
      <c r="I94" s="92" t="s">
        <v>135</v>
      </c>
      <c r="J94" s="92" t="s">
        <v>31</v>
      </c>
    </row>
    <row r="95" spans="1:10" x14ac:dyDescent="0.35">
      <c r="A95" s="89" t="s">
        <v>194</v>
      </c>
      <c r="B95" s="90">
        <v>21194933</v>
      </c>
      <c r="C95" s="90">
        <v>21194933</v>
      </c>
      <c r="D95" s="90">
        <v>10047000</v>
      </c>
      <c r="E95" s="90">
        <v>2008000</v>
      </c>
      <c r="F95" s="90">
        <v>12055000</v>
      </c>
      <c r="G95" s="90">
        <v>9139933</v>
      </c>
      <c r="H95" s="91">
        <v>0</v>
      </c>
      <c r="I95" s="92" t="s">
        <v>135</v>
      </c>
      <c r="J95" s="92" t="s">
        <v>16</v>
      </c>
    </row>
    <row r="96" spans="1:10" x14ac:dyDescent="0.35">
      <c r="A96" s="89" t="s">
        <v>195</v>
      </c>
      <c r="B96" s="90">
        <v>54400000</v>
      </c>
      <c r="C96" s="90">
        <v>54400000</v>
      </c>
      <c r="D96" s="90">
        <v>19700000</v>
      </c>
      <c r="E96" s="90">
        <v>27200000</v>
      </c>
      <c r="F96" s="90">
        <v>46900000</v>
      </c>
      <c r="G96" s="90">
        <v>7500000</v>
      </c>
      <c r="H96" s="91">
        <v>0</v>
      </c>
      <c r="I96" s="92" t="s">
        <v>135</v>
      </c>
      <c r="J96" s="92" t="s">
        <v>16</v>
      </c>
    </row>
    <row r="97" spans="1:10" x14ac:dyDescent="0.35">
      <c r="A97" s="89" t="s">
        <v>196</v>
      </c>
      <c r="B97" s="90">
        <v>34454000</v>
      </c>
      <c r="C97" s="90">
        <v>34454000</v>
      </c>
      <c r="D97" s="91">
        <v>0</v>
      </c>
      <c r="E97" s="90">
        <v>11500000</v>
      </c>
      <c r="F97" s="90">
        <v>11500000</v>
      </c>
      <c r="G97" s="90">
        <v>22954000</v>
      </c>
      <c r="H97" s="91">
        <v>0</v>
      </c>
      <c r="I97" s="92" t="s">
        <v>135</v>
      </c>
      <c r="J97" s="92" t="s">
        <v>16</v>
      </c>
    </row>
    <row r="98" spans="1:10" x14ac:dyDescent="0.35">
      <c r="A98" s="89" t="s">
        <v>199</v>
      </c>
      <c r="B98" s="90">
        <v>111048250</v>
      </c>
      <c r="C98" s="90">
        <v>111048250</v>
      </c>
      <c r="D98" s="91">
        <v>0</v>
      </c>
      <c r="E98" s="90">
        <v>77114000</v>
      </c>
      <c r="F98" s="90">
        <v>77114000</v>
      </c>
      <c r="G98" s="90">
        <v>33934250</v>
      </c>
      <c r="H98" s="91">
        <v>0</v>
      </c>
      <c r="I98" s="92" t="s">
        <v>135</v>
      </c>
      <c r="J98" s="92" t="s">
        <v>16</v>
      </c>
    </row>
    <row r="99" spans="1:10" x14ac:dyDescent="0.35">
      <c r="A99" s="89" t="s">
        <v>295</v>
      </c>
      <c r="B99" s="91">
        <v>0</v>
      </c>
      <c r="C99" s="91">
        <v>0</v>
      </c>
      <c r="D99" s="91">
        <v>0</v>
      </c>
      <c r="E99" s="90">
        <v>60232409</v>
      </c>
      <c r="F99" s="90">
        <v>60232409</v>
      </c>
      <c r="G99" s="90">
        <v>-60232409</v>
      </c>
      <c r="H99" s="91">
        <v>0</v>
      </c>
      <c r="I99" s="92" t="s">
        <v>135</v>
      </c>
      <c r="J99" s="92" t="s">
        <v>12</v>
      </c>
    </row>
    <row r="100" spans="1:10" x14ac:dyDescent="0.35">
      <c r="A100" s="89" t="s">
        <v>292</v>
      </c>
      <c r="B100" s="91">
        <v>0</v>
      </c>
      <c r="C100" s="91">
        <v>0</v>
      </c>
      <c r="D100" s="91">
        <v>0</v>
      </c>
      <c r="E100" s="90">
        <v>4113715</v>
      </c>
      <c r="F100" s="90">
        <v>4113715</v>
      </c>
      <c r="G100" s="90">
        <v>-4113715</v>
      </c>
      <c r="H100" s="91">
        <v>0</v>
      </c>
      <c r="I100" s="92" t="s">
        <v>135</v>
      </c>
      <c r="J100" s="92" t="s">
        <v>12</v>
      </c>
    </row>
    <row r="101" spans="1:10" x14ac:dyDescent="0.35">
      <c r="A101" s="89" t="s">
        <v>269</v>
      </c>
      <c r="B101" s="91">
        <v>0</v>
      </c>
      <c r="C101" s="91">
        <v>0</v>
      </c>
      <c r="D101" s="91">
        <v>0</v>
      </c>
      <c r="E101" s="90">
        <v>491371</v>
      </c>
      <c r="F101" s="90">
        <v>491371</v>
      </c>
      <c r="G101" s="90">
        <v>-491371</v>
      </c>
      <c r="H101" s="91">
        <v>0</v>
      </c>
      <c r="I101" s="92" t="s">
        <v>135</v>
      </c>
      <c r="J101" s="92" t="s">
        <v>12</v>
      </c>
    </row>
    <row r="102" spans="1:10" x14ac:dyDescent="0.35">
      <c r="A102" s="89" t="s">
        <v>201</v>
      </c>
      <c r="B102" s="90">
        <v>16223644853</v>
      </c>
      <c r="C102" s="90">
        <v>16223644853</v>
      </c>
      <c r="D102" s="91">
        <v>0</v>
      </c>
      <c r="E102" s="90">
        <v>2331721923</v>
      </c>
      <c r="F102" s="90">
        <v>2331721923</v>
      </c>
      <c r="G102" s="90">
        <v>13891922930</v>
      </c>
      <c r="H102" s="91">
        <v>0</v>
      </c>
      <c r="I102" s="92" t="s">
        <v>135</v>
      </c>
      <c r="J102" s="92" t="s">
        <v>12</v>
      </c>
    </row>
    <row r="103" spans="1:10" x14ac:dyDescent="0.35">
      <c r="A103" s="89" t="s">
        <v>202</v>
      </c>
      <c r="B103" s="90">
        <v>201591062</v>
      </c>
      <c r="C103" s="90">
        <v>201591062</v>
      </c>
      <c r="D103" s="91">
        <v>0</v>
      </c>
      <c r="E103" s="90">
        <v>32984926</v>
      </c>
      <c r="F103" s="90">
        <v>32984926</v>
      </c>
      <c r="G103" s="90">
        <v>168606136</v>
      </c>
      <c r="H103" s="91">
        <v>0</v>
      </c>
      <c r="I103" s="92" t="s">
        <v>135</v>
      </c>
      <c r="J103" s="92" t="s">
        <v>12</v>
      </c>
    </row>
    <row r="104" spans="1:10" x14ac:dyDescent="0.35">
      <c r="A104" s="89" t="s">
        <v>203</v>
      </c>
      <c r="B104" s="90">
        <v>14498179948</v>
      </c>
      <c r="C104" s="90">
        <v>14498179948</v>
      </c>
      <c r="D104" s="91">
        <v>0</v>
      </c>
      <c r="E104" s="90">
        <v>1150516481</v>
      </c>
      <c r="F104" s="90">
        <v>1150516481</v>
      </c>
      <c r="G104" s="90">
        <v>13347663467</v>
      </c>
      <c r="H104" s="91">
        <v>0</v>
      </c>
      <c r="I104" s="92" t="s">
        <v>135</v>
      </c>
      <c r="J104" s="92" t="s">
        <v>12</v>
      </c>
    </row>
    <row r="105" spans="1:10" x14ac:dyDescent="0.35">
      <c r="A105" s="89" t="s">
        <v>286</v>
      </c>
      <c r="B105" s="90">
        <v>79212098</v>
      </c>
      <c r="C105" s="90">
        <v>79212098</v>
      </c>
      <c r="D105" s="91">
        <v>0</v>
      </c>
      <c r="E105" s="91">
        <v>0</v>
      </c>
      <c r="F105" s="91">
        <v>0</v>
      </c>
      <c r="G105" s="90">
        <v>79212098</v>
      </c>
      <c r="H105" s="91">
        <v>0</v>
      </c>
      <c r="I105" s="92" t="s">
        <v>135</v>
      </c>
      <c r="J105" s="92" t="s">
        <v>12</v>
      </c>
    </row>
    <row r="106" spans="1:10" x14ac:dyDescent="0.35">
      <c r="A106" s="89" t="s">
        <v>204</v>
      </c>
      <c r="B106" s="90">
        <v>1964472996</v>
      </c>
      <c r="C106" s="90">
        <v>1964472996</v>
      </c>
      <c r="D106" s="91">
        <v>0</v>
      </c>
      <c r="E106" s="90">
        <v>195522638</v>
      </c>
      <c r="F106" s="90">
        <v>195522638</v>
      </c>
      <c r="G106" s="90">
        <v>1768950358</v>
      </c>
      <c r="H106" s="91">
        <v>0</v>
      </c>
      <c r="I106" s="92" t="s">
        <v>135</v>
      </c>
      <c r="J106" s="92" t="s">
        <v>12</v>
      </c>
    </row>
    <row r="107" spans="1:10" x14ac:dyDescent="0.35">
      <c r="A107" s="89" t="s">
        <v>205</v>
      </c>
      <c r="B107" s="90">
        <v>40912616</v>
      </c>
      <c r="C107" s="90">
        <v>40912616</v>
      </c>
      <c r="D107" s="91">
        <v>0</v>
      </c>
      <c r="E107" s="90">
        <v>6685068</v>
      </c>
      <c r="F107" s="90">
        <v>6685068</v>
      </c>
      <c r="G107" s="90">
        <v>34227548</v>
      </c>
      <c r="H107" s="91">
        <v>0</v>
      </c>
      <c r="I107" s="92" t="s">
        <v>135</v>
      </c>
      <c r="J107" s="92" t="s">
        <v>12</v>
      </c>
    </row>
    <row r="108" spans="1:10" x14ac:dyDescent="0.35">
      <c r="A108" s="89" t="s">
        <v>206</v>
      </c>
      <c r="B108" s="90">
        <v>1928660874</v>
      </c>
      <c r="C108" s="90">
        <v>1928660874</v>
      </c>
      <c r="D108" s="91">
        <v>0</v>
      </c>
      <c r="E108" s="90">
        <v>172772106</v>
      </c>
      <c r="F108" s="90">
        <v>172772106</v>
      </c>
      <c r="G108" s="90">
        <v>1755888768</v>
      </c>
      <c r="H108" s="91">
        <v>0</v>
      </c>
      <c r="I108" s="92" t="s">
        <v>135</v>
      </c>
      <c r="J108" s="92" t="s">
        <v>12</v>
      </c>
    </row>
    <row r="109" spans="1:10" x14ac:dyDescent="0.35">
      <c r="A109" s="89" t="s">
        <v>287</v>
      </c>
      <c r="B109" s="90">
        <v>3850588</v>
      </c>
      <c r="C109" s="90">
        <v>3850588</v>
      </c>
      <c r="D109" s="91">
        <v>0</v>
      </c>
      <c r="E109" s="91">
        <v>0</v>
      </c>
      <c r="F109" s="91">
        <v>0</v>
      </c>
      <c r="G109" s="90">
        <v>3850588</v>
      </c>
      <c r="H109" s="91">
        <v>0</v>
      </c>
      <c r="I109" s="92" t="s">
        <v>135</v>
      </c>
      <c r="J109" s="92" t="s">
        <v>12</v>
      </c>
    </row>
    <row r="110" spans="1:10" x14ac:dyDescent="0.35">
      <c r="A110" s="93" t="s">
        <v>234</v>
      </c>
      <c r="B110" s="94">
        <v>69242132443</v>
      </c>
      <c r="C110" s="94">
        <v>66496296050</v>
      </c>
      <c r="D110" s="94">
        <v>25344296456</v>
      </c>
      <c r="E110" s="94">
        <v>4560304437</v>
      </c>
      <c r="F110" s="94">
        <v>29904600893</v>
      </c>
      <c r="G110" s="94">
        <v>36591695157</v>
      </c>
      <c r="H110" s="94">
        <v>2745836393</v>
      </c>
      <c r="I110" s="96" t="s">
        <v>135</v>
      </c>
      <c r="J110" s="96" t="e">
        <v>#N/A</v>
      </c>
    </row>
    <row r="111" spans="1:10" x14ac:dyDescent="0.35">
      <c r="A111" s="89" t="s">
        <v>178</v>
      </c>
      <c r="B111" s="90">
        <v>4497835000</v>
      </c>
      <c r="C111" s="90">
        <v>4497835000</v>
      </c>
      <c r="D111" s="90">
        <v>3030321792</v>
      </c>
      <c r="E111" s="91">
        <v>0</v>
      </c>
      <c r="F111" s="90">
        <v>3030321792</v>
      </c>
      <c r="G111" s="90">
        <v>1467513208</v>
      </c>
      <c r="H111" s="91">
        <v>0</v>
      </c>
      <c r="I111" s="92" t="s">
        <v>137</v>
      </c>
      <c r="J111" s="92" t="s">
        <v>10</v>
      </c>
    </row>
    <row r="112" spans="1:10" x14ac:dyDescent="0.35">
      <c r="A112" s="89" t="s">
        <v>181</v>
      </c>
      <c r="B112" s="90">
        <v>217840000</v>
      </c>
      <c r="C112" s="90">
        <v>217840000</v>
      </c>
      <c r="D112" s="90">
        <v>8607111</v>
      </c>
      <c r="E112" s="91">
        <v>0</v>
      </c>
      <c r="F112" s="90">
        <v>8607111</v>
      </c>
      <c r="G112" s="90">
        <v>209232889</v>
      </c>
      <c r="H112" s="91">
        <v>0</v>
      </c>
      <c r="I112" s="92" t="s">
        <v>137</v>
      </c>
      <c r="J112" s="92" t="s">
        <v>10</v>
      </c>
    </row>
    <row r="113" spans="1:10" x14ac:dyDescent="0.35">
      <c r="A113" s="89" t="s">
        <v>211</v>
      </c>
      <c r="B113" s="90">
        <v>114945000</v>
      </c>
      <c r="C113" s="90">
        <v>114945000</v>
      </c>
      <c r="D113" s="91">
        <v>0</v>
      </c>
      <c r="E113" s="91">
        <v>0</v>
      </c>
      <c r="F113" s="91">
        <v>0</v>
      </c>
      <c r="G113" s="90">
        <v>114945000</v>
      </c>
      <c r="H113" s="91">
        <v>0</v>
      </c>
      <c r="I113" s="92" t="s">
        <v>137</v>
      </c>
      <c r="J113" s="92" t="s">
        <v>10</v>
      </c>
    </row>
    <row r="114" spans="1:10" x14ac:dyDescent="0.35">
      <c r="A114" s="89" t="s">
        <v>212</v>
      </c>
      <c r="B114" s="90">
        <v>506359062</v>
      </c>
      <c r="C114" s="90">
        <v>506359062</v>
      </c>
      <c r="D114" s="90">
        <v>4778729</v>
      </c>
      <c r="E114" s="90">
        <v>4687290</v>
      </c>
      <c r="F114" s="90">
        <v>9466019</v>
      </c>
      <c r="G114" s="90">
        <v>496893043</v>
      </c>
      <c r="H114" s="91">
        <v>0</v>
      </c>
      <c r="I114" s="92" t="s">
        <v>137</v>
      </c>
      <c r="J114" s="92" t="s">
        <v>10</v>
      </c>
    </row>
    <row r="115" spans="1:10" x14ac:dyDescent="0.35">
      <c r="A115" s="89" t="s">
        <v>182</v>
      </c>
      <c r="B115" s="90">
        <v>600349500</v>
      </c>
      <c r="C115" s="90">
        <v>600349500</v>
      </c>
      <c r="D115" s="91">
        <v>0</v>
      </c>
      <c r="E115" s="91">
        <v>0</v>
      </c>
      <c r="F115" s="91">
        <v>0</v>
      </c>
      <c r="G115" s="90">
        <v>600349500</v>
      </c>
      <c r="H115" s="91">
        <v>0</v>
      </c>
      <c r="I115" s="92" t="s">
        <v>137</v>
      </c>
      <c r="J115" s="92" t="s">
        <v>10</v>
      </c>
    </row>
    <row r="116" spans="1:10" x14ac:dyDescent="0.35">
      <c r="A116" s="89" t="s">
        <v>183</v>
      </c>
      <c r="B116" s="90">
        <v>409266000</v>
      </c>
      <c r="C116" s="90">
        <v>409266000</v>
      </c>
      <c r="D116" s="90">
        <v>283749760</v>
      </c>
      <c r="E116" s="91">
        <v>0</v>
      </c>
      <c r="F116" s="90">
        <v>283749760</v>
      </c>
      <c r="G116" s="90">
        <v>125516240</v>
      </c>
      <c r="H116" s="91">
        <v>0</v>
      </c>
      <c r="I116" s="92" t="s">
        <v>137</v>
      </c>
      <c r="J116" s="92" t="s">
        <v>10</v>
      </c>
    </row>
    <row r="117" spans="1:10" x14ac:dyDescent="0.35">
      <c r="A117" s="89" t="s">
        <v>184</v>
      </c>
      <c r="B117" s="90">
        <v>2412432000</v>
      </c>
      <c r="C117" s="90">
        <v>2412432000</v>
      </c>
      <c r="D117" s="90">
        <v>499522624</v>
      </c>
      <c r="E117" s="91">
        <v>0</v>
      </c>
      <c r="F117" s="90">
        <v>499522624</v>
      </c>
      <c r="G117" s="90">
        <v>1912909376</v>
      </c>
      <c r="H117" s="91">
        <v>0</v>
      </c>
      <c r="I117" s="92" t="s">
        <v>137</v>
      </c>
      <c r="J117" s="92" t="s">
        <v>10</v>
      </c>
    </row>
    <row r="118" spans="1:10" x14ac:dyDescent="0.35">
      <c r="A118" s="89" t="s">
        <v>185</v>
      </c>
      <c r="B118" s="90">
        <v>832500000</v>
      </c>
      <c r="C118" s="90">
        <v>832500000</v>
      </c>
      <c r="D118" s="90">
        <v>250134752</v>
      </c>
      <c r="E118" s="90">
        <v>93294133</v>
      </c>
      <c r="F118" s="90">
        <v>343428885</v>
      </c>
      <c r="G118" s="90">
        <v>489071115</v>
      </c>
      <c r="H118" s="91">
        <v>0</v>
      </c>
      <c r="I118" s="92" t="s">
        <v>137</v>
      </c>
      <c r="J118" s="92" t="s">
        <v>10</v>
      </c>
    </row>
    <row r="119" spans="1:10" x14ac:dyDescent="0.35">
      <c r="A119" s="89" t="s">
        <v>213</v>
      </c>
      <c r="B119" s="90">
        <v>265033500</v>
      </c>
      <c r="C119" s="90">
        <v>265033500</v>
      </c>
      <c r="D119" s="91">
        <v>0</v>
      </c>
      <c r="E119" s="91">
        <v>0</v>
      </c>
      <c r="F119" s="91">
        <v>0</v>
      </c>
      <c r="G119" s="90">
        <v>265033500</v>
      </c>
      <c r="H119" s="91">
        <v>0</v>
      </c>
      <c r="I119" s="92" t="s">
        <v>137</v>
      </c>
      <c r="J119" s="92" t="s">
        <v>10</v>
      </c>
    </row>
    <row r="120" spans="1:10" x14ac:dyDescent="0.35">
      <c r="A120" s="89" t="s">
        <v>214</v>
      </c>
      <c r="B120" s="90">
        <v>443635113</v>
      </c>
      <c r="C120" s="90">
        <v>443635113</v>
      </c>
      <c r="D120" s="91">
        <v>0</v>
      </c>
      <c r="E120" s="90">
        <v>49555233</v>
      </c>
      <c r="F120" s="90">
        <v>49555233</v>
      </c>
      <c r="G120" s="90">
        <v>394079880</v>
      </c>
      <c r="H120" s="91">
        <v>0</v>
      </c>
      <c r="I120" s="92" t="s">
        <v>137</v>
      </c>
      <c r="J120" s="92" t="s">
        <v>10</v>
      </c>
    </row>
    <row r="121" spans="1:10" x14ac:dyDescent="0.35">
      <c r="A121" s="89" t="s">
        <v>216</v>
      </c>
      <c r="B121" s="90">
        <v>1906218580</v>
      </c>
      <c r="C121" s="90">
        <v>1906218580</v>
      </c>
      <c r="D121" s="90">
        <v>688318140</v>
      </c>
      <c r="E121" s="91">
        <v>0</v>
      </c>
      <c r="F121" s="90">
        <v>688318140</v>
      </c>
      <c r="G121" s="90">
        <v>1217900440</v>
      </c>
      <c r="H121" s="91">
        <v>0</v>
      </c>
      <c r="I121" s="92" t="s">
        <v>137</v>
      </c>
      <c r="J121" s="92" t="s">
        <v>10</v>
      </c>
    </row>
    <row r="122" spans="1:10" x14ac:dyDescent="0.35">
      <c r="A122" s="89" t="s">
        <v>217</v>
      </c>
      <c r="B122" s="90">
        <v>177000000</v>
      </c>
      <c r="C122" s="90">
        <v>177000000</v>
      </c>
      <c r="D122" s="91">
        <v>0</v>
      </c>
      <c r="E122" s="91">
        <v>0</v>
      </c>
      <c r="F122" s="91">
        <v>0</v>
      </c>
      <c r="G122" s="90">
        <v>177000000</v>
      </c>
      <c r="H122" s="91">
        <v>0</v>
      </c>
      <c r="I122" s="92" t="s">
        <v>137</v>
      </c>
      <c r="J122" s="92" t="s">
        <v>62</v>
      </c>
    </row>
    <row r="123" spans="1:10" x14ac:dyDescent="0.35">
      <c r="A123" s="89" t="s">
        <v>218</v>
      </c>
      <c r="B123" s="90">
        <v>225000000</v>
      </c>
      <c r="C123" s="90">
        <v>225000000</v>
      </c>
      <c r="D123" s="91">
        <v>0</v>
      </c>
      <c r="E123" s="91">
        <v>0</v>
      </c>
      <c r="F123" s="91">
        <v>0</v>
      </c>
      <c r="G123" s="90">
        <v>225000000</v>
      </c>
      <c r="H123" s="91">
        <v>0</v>
      </c>
      <c r="I123" s="92" t="s">
        <v>137</v>
      </c>
      <c r="J123" s="92" t="s">
        <v>62</v>
      </c>
    </row>
    <row r="124" spans="1:10" x14ac:dyDescent="0.35">
      <c r="A124" s="89" t="s">
        <v>220</v>
      </c>
      <c r="B124" s="90">
        <v>394079880</v>
      </c>
      <c r="C124" s="90">
        <v>394079880</v>
      </c>
      <c r="D124" s="91">
        <v>0</v>
      </c>
      <c r="E124" s="91">
        <v>0</v>
      </c>
      <c r="F124" s="91">
        <v>0</v>
      </c>
      <c r="G124" s="90">
        <v>394079880</v>
      </c>
      <c r="H124" s="91">
        <v>0</v>
      </c>
      <c r="I124" s="92" t="s">
        <v>137</v>
      </c>
      <c r="J124" s="92" t="s">
        <v>62</v>
      </c>
    </row>
    <row r="125" spans="1:10" x14ac:dyDescent="0.35">
      <c r="A125" s="89" t="s">
        <v>191</v>
      </c>
      <c r="B125" s="90">
        <v>352500000</v>
      </c>
      <c r="C125" s="90">
        <v>352500000</v>
      </c>
      <c r="D125" s="91">
        <v>0</v>
      </c>
      <c r="E125" s="91">
        <v>0</v>
      </c>
      <c r="F125" s="91">
        <v>0</v>
      </c>
      <c r="G125" s="90">
        <v>352500000</v>
      </c>
      <c r="H125" s="91">
        <v>0</v>
      </c>
      <c r="I125" s="92" t="s">
        <v>137</v>
      </c>
      <c r="J125" s="92" t="s">
        <v>31</v>
      </c>
    </row>
    <row r="126" spans="1:10" x14ac:dyDescent="0.35">
      <c r="A126" s="89" t="s">
        <v>221</v>
      </c>
      <c r="B126" s="90">
        <v>59437500</v>
      </c>
      <c r="C126" s="90">
        <v>59437500</v>
      </c>
      <c r="D126" s="90">
        <v>15775000</v>
      </c>
      <c r="E126" s="91">
        <v>0</v>
      </c>
      <c r="F126" s="90">
        <v>15775000</v>
      </c>
      <c r="G126" s="90">
        <v>43662500</v>
      </c>
      <c r="H126" s="91">
        <v>0</v>
      </c>
      <c r="I126" s="92" t="s">
        <v>137</v>
      </c>
      <c r="J126" s="92" t="s">
        <v>67</v>
      </c>
    </row>
    <row r="127" spans="1:10" x14ac:dyDescent="0.35">
      <c r="A127" s="89" t="s">
        <v>222</v>
      </c>
      <c r="B127" s="90">
        <v>565000000</v>
      </c>
      <c r="C127" s="90">
        <v>565000000</v>
      </c>
      <c r="D127" s="91">
        <v>0</v>
      </c>
      <c r="E127" s="90">
        <v>325092882</v>
      </c>
      <c r="F127" s="90">
        <v>325092882</v>
      </c>
      <c r="G127" s="90">
        <v>239907118</v>
      </c>
      <c r="H127" s="91">
        <v>0</v>
      </c>
      <c r="I127" s="92" t="s">
        <v>137</v>
      </c>
      <c r="J127" s="92" t="s">
        <v>35</v>
      </c>
    </row>
    <row r="128" spans="1:10" x14ac:dyDescent="0.35">
      <c r="A128" s="89" t="s">
        <v>194</v>
      </c>
      <c r="B128" s="90">
        <v>28350000</v>
      </c>
      <c r="C128" s="90">
        <v>28350000</v>
      </c>
      <c r="D128" s="91">
        <v>0</v>
      </c>
      <c r="E128" s="90">
        <v>18812609</v>
      </c>
      <c r="F128" s="90">
        <v>18812609</v>
      </c>
      <c r="G128" s="90">
        <v>9537391</v>
      </c>
      <c r="H128" s="91">
        <v>0</v>
      </c>
      <c r="I128" s="92" t="s">
        <v>137</v>
      </c>
      <c r="J128" s="92" t="s">
        <v>16</v>
      </c>
    </row>
    <row r="129" spans="1:10" x14ac:dyDescent="0.35">
      <c r="A129" s="89" t="s">
        <v>195</v>
      </c>
      <c r="B129" s="90">
        <v>75700000</v>
      </c>
      <c r="C129" s="90">
        <v>75700000</v>
      </c>
      <c r="D129" s="90">
        <v>25113500</v>
      </c>
      <c r="E129" s="90">
        <v>21300000</v>
      </c>
      <c r="F129" s="90">
        <v>46413500</v>
      </c>
      <c r="G129" s="90">
        <v>29286500</v>
      </c>
      <c r="H129" s="91">
        <v>0</v>
      </c>
      <c r="I129" s="92" t="s">
        <v>137</v>
      </c>
      <c r="J129" s="92" t="s">
        <v>16</v>
      </c>
    </row>
    <row r="130" spans="1:10" x14ac:dyDescent="0.35">
      <c r="A130" s="89" t="s">
        <v>196</v>
      </c>
      <c r="B130" s="90">
        <v>24750000</v>
      </c>
      <c r="C130" s="90">
        <v>24750000</v>
      </c>
      <c r="D130" s="91">
        <v>0</v>
      </c>
      <c r="E130" s="90">
        <v>8082500</v>
      </c>
      <c r="F130" s="90">
        <v>8082500</v>
      </c>
      <c r="G130" s="90">
        <v>16667500</v>
      </c>
      <c r="H130" s="91">
        <v>0</v>
      </c>
      <c r="I130" s="92" t="s">
        <v>137</v>
      </c>
      <c r="J130" s="92" t="s">
        <v>16</v>
      </c>
    </row>
    <row r="131" spans="1:10" x14ac:dyDescent="0.35">
      <c r="A131" s="89" t="s">
        <v>197</v>
      </c>
      <c r="B131" s="90">
        <v>82403000</v>
      </c>
      <c r="C131" s="90">
        <v>82403000</v>
      </c>
      <c r="D131" s="91">
        <v>0</v>
      </c>
      <c r="E131" s="90">
        <v>44456500</v>
      </c>
      <c r="F131" s="90">
        <v>44456500</v>
      </c>
      <c r="G131" s="90">
        <v>37946500</v>
      </c>
      <c r="H131" s="91">
        <v>0</v>
      </c>
      <c r="I131" s="92" t="s">
        <v>137</v>
      </c>
      <c r="J131" s="92" t="s">
        <v>16</v>
      </c>
    </row>
    <row r="132" spans="1:10" x14ac:dyDescent="0.35">
      <c r="A132" s="89" t="s">
        <v>199</v>
      </c>
      <c r="B132" s="90">
        <v>53353000</v>
      </c>
      <c r="C132" s="90">
        <v>53353000</v>
      </c>
      <c r="D132" s="91">
        <v>0</v>
      </c>
      <c r="E132" s="90">
        <v>31812000</v>
      </c>
      <c r="F132" s="90">
        <v>31812000</v>
      </c>
      <c r="G132" s="90">
        <v>21541000</v>
      </c>
      <c r="H132" s="91">
        <v>0</v>
      </c>
      <c r="I132" s="92" t="s">
        <v>137</v>
      </c>
      <c r="J132" s="92" t="s">
        <v>16</v>
      </c>
    </row>
    <row r="133" spans="1:10" x14ac:dyDescent="0.35">
      <c r="A133" s="89" t="s">
        <v>200</v>
      </c>
      <c r="B133" s="90">
        <v>8000000</v>
      </c>
      <c r="C133" s="90">
        <v>8000000</v>
      </c>
      <c r="D133" s="91">
        <v>0</v>
      </c>
      <c r="E133" s="90">
        <v>7199500</v>
      </c>
      <c r="F133" s="90">
        <v>7199500</v>
      </c>
      <c r="G133" s="90">
        <v>800500</v>
      </c>
      <c r="H133" s="91">
        <v>0</v>
      </c>
      <c r="I133" s="92" t="s">
        <v>137</v>
      </c>
      <c r="J133" s="92" t="s">
        <v>16</v>
      </c>
    </row>
    <row r="134" spans="1:10" x14ac:dyDescent="0.35">
      <c r="A134" s="89" t="s">
        <v>292</v>
      </c>
      <c r="B134" s="91">
        <v>0</v>
      </c>
      <c r="C134" s="91">
        <v>0</v>
      </c>
      <c r="D134" s="91">
        <v>0</v>
      </c>
      <c r="E134" s="90">
        <v>38633479</v>
      </c>
      <c r="F134" s="90">
        <v>38633479</v>
      </c>
      <c r="G134" s="90">
        <v>-38633479</v>
      </c>
      <c r="H134" s="91">
        <v>0</v>
      </c>
      <c r="I134" s="92" t="s">
        <v>137</v>
      </c>
      <c r="J134" s="92" t="s">
        <v>12</v>
      </c>
    </row>
    <row r="135" spans="1:10" x14ac:dyDescent="0.35">
      <c r="A135" s="89" t="s">
        <v>201</v>
      </c>
      <c r="B135" s="90">
        <v>9949094083</v>
      </c>
      <c r="C135" s="90">
        <v>9949094083</v>
      </c>
      <c r="D135" s="91">
        <v>0</v>
      </c>
      <c r="E135" s="90">
        <v>1449349467</v>
      </c>
      <c r="F135" s="90">
        <v>1449349467</v>
      </c>
      <c r="G135" s="90">
        <v>8499744616</v>
      </c>
      <c r="H135" s="91">
        <v>0</v>
      </c>
      <c r="I135" s="92" t="s">
        <v>137</v>
      </c>
      <c r="J135" s="92" t="s">
        <v>12</v>
      </c>
    </row>
    <row r="136" spans="1:10" x14ac:dyDescent="0.35">
      <c r="A136" s="89" t="s">
        <v>202</v>
      </c>
      <c r="B136" s="90">
        <v>386565402</v>
      </c>
      <c r="C136" s="90">
        <v>386565402</v>
      </c>
      <c r="D136" s="91">
        <v>0</v>
      </c>
      <c r="E136" s="90">
        <v>64014112</v>
      </c>
      <c r="F136" s="90">
        <v>64014112</v>
      </c>
      <c r="G136" s="90">
        <v>322551290</v>
      </c>
      <c r="H136" s="91">
        <v>0</v>
      </c>
      <c r="I136" s="92" t="s">
        <v>137</v>
      </c>
      <c r="J136" s="92" t="s">
        <v>12</v>
      </c>
    </row>
    <row r="137" spans="1:10" x14ac:dyDescent="0.35">
      <c r="A137" s="89" t="s">
        <v>203</v>
      </c>
      <c r="B137" s="90">
        <v>9769849891</v>
      </c>
      <c r="C137" s="90">
        <v>9769849891</v>
      </c>
      <c r="D137" s="91">
        <v>0</v>
      </c>
      <c r="E137" s="90">
        <v>738995660</v>
      </c>
      <c r="F137" s="90">
        <v>738995660</v>
      </c>
      <c r="G137" s="90">
        <v>9030854231</v>
      </c>
      <c r="H137" s="91">
        <v>0</v>
      </c>
      <c r="I137" s="92" t="s">
        <v>137</v>
      </c>
      <c r="J137" s="92" t="s">
        <v>12</v>
      </c>
    </row>
    <row r="138" spans="1:10" x14ac:dyDescent="0.35">
      <c r="A138" s="89" t="s">
        <v>286</v>
      </c>
      <c r="B138" s="90">
        <v>57758822</v>
      </c>
      <c r="C138" s="90">
        <v>57758822</v>
      </c>
      <c r="D138" s="91">
        <v>0</v>
      </c>
      <c r="E138" s="91">
        <v>0</v>
      </c>
      <c r="F138" s="91">
        <v>0</v>
      </c>
      <c r="G138" s="90">
        <v>57758822</v>
      </c>
      <c r="H138" s="91">
        <v>0</v>
      </c>
      <c r="I138" s="92" t="s">
        <v>137</v>
      </c>
      <c r="J138" s="92" t="s">
        <v>12</v>
      </c>
    </row>
    <row r="139" spans="1:10" x14ac:dyDescent="0.35">
      <c r="A139" s="89" t="s">
        <v>204</v>
      </c>
      <c r="B139" s="90">
        <v>1408512003</v>
      </c>
      <c r="C139" s="90">
        <v>1408512003</v>
      </c>
      <c r="D139" s="91">
        <v>0</v>
      </c>
      <c r="E139" s="90">
        <v>129978953</v>
      </c>
      <c r="F139" s="90">
        <v>129978953</v>
      </c>
      <c r="G139" s="90">
        <v>1278533050</v>
      </c>
      <c r="H139" s="91">
        <v>0</v>
      </c>
      <c r="I139" s="92" t="s">
        <v>137</v>
      </c>
      <c r="J139" s="92" t="s">
        <v>12</v>
      </c>
    </row>
    <row r="140" spans="1:10" x14ac:dyDescent="0.35">
      <c r="A140" s="89" t="s">
        <v>205</v>
      </c>
      <c r="B140" s="90">
        <v>38319389</v>
      </c>
      <c r="C140" s="90">
        <v>38319389</v>
      </c>
      <c r="D140" s="91">
        <v>0</v>
      </c>
      <c r="E140" s="90">
        <v>4312708</v>
      </c>
      <c r="F140" s="90">
        <v>4312708</v>
      </c>
      <c r="G140" s="90">
        <v>34006681</v>
      </c>
      <c r="H140" s="91">
        <v>0</v>
      </c>
      <c r="I140" s="92" t="s">
        <v>137</v>
      </c>
      <c r="J140" s="92" t="s">
        <v>12</v>
      </c>
    </row>
    <row r="141" spans="1:10" x14ac:dyDescent="0.35">
      <c r="A141" s="89" t="s">
        <v>206</v>
      </c>
      <c r="B141" s="90">
        <v>1330317539</v>
      </c>
      <c r="C141" s="90">
        <v>1330317539</v>
      </c>
      <c r="D141" s="91">
        <v>0</v>
      </c>
      <c r="E141" s="90">
        <v>117253150</v>
      </c>
      <c r="F141" s="90">
        <v>117253150</v>
      </c>
      <c r="G141" s="90">
        <v>1213064389</v>
      </c>
      <c r="H141" s="91">
        <v>0</v>
      </c>
      <c r="I141" s="92" t="s">
        <v>137</v>
      </c>
      <c r="J141" s="92" t="s">
        <v>12</v>
      </c>
    </row>
    <row r="142" spans="1:10" x14ac:dyDescent="0.35">
      <c r="A142" s="89" t="s">
        <v>287</v>
      </c>
      <c r="B142" s="90">
        <v>3850588</v>
      </c>
      <c r="C142" s="90">
        <v>3850588</v>
      </c>
      <c r="D142" s="91">
        <v>0</v>
      </c>
      <c r="E142" s="91">
        <v>0</v>
      </c>
      <c r="F142" s="91">
        <v>0</v>
      </c>
      <c r="G142" s="90">
        <v>3850588</v>
      </c>
      <c r="H142" s="91">
        <v>0</v>
      </c>
      <c r="I142" s="92" t="s">
        <v>137</v>
      </c>
      <c r="J142" s="92" t="s">
        <v>12</v>
      </c>
    </row>
    <row r="143" spans="1:10" x14ac:dyDescent="0.35">
      <c r="A143" s="89" t="s">
        <v>288</v>
      </c>
      <c r="B143" s="91">
        <v>0</v>
      </c>
      <c r="C143" s="91">
        <v>0</v>
      </c>
      <c r="D143" s="91">
        <v>0</v>
      </c>
      <c r="E143" s="90">
        <v>18275000</v>
      </c>
      <c r="F143" s="90">
        <v>18275000</v>
      </c>
      <c r="G143" s="90">
        <v>-18275000</v>
      </c>
      <c r="H143" s="91">
        <v>0</v>
      </c>
      <c r="I143" s="92" t="s">
        <v>137</v>
      </c>
      <c r="J143" s="92" t="s">
        <v>12</v>
      </c>
    </row>
    <row r="144" spans="1:10" x14ac:dyDescent="0.35">
      <c r="A144" s="93" t="s">
        <v>235</v>
      </c>
      <c r="B144" s="94">
        <v>37196254852</v>
      </c>
      <c r="C144" s="94">
        <v>37196254852</v>
      </c>
      <c r="D144" s="94">
        <v>4806321408</v>
      </c>
      <c r="E144" s="94">
        <v>3165105176</v>
      </c>
      <c r="F144" s="94">
        <v>7971426584</v>
      </c>
      <c r="G144" s="94">
        <v>29224828268</v>
      </c>
      <c r="H144" s="95">
        <v>0</v>
      </c>
      <c r="I144" s="96" t="s">
        <v>137</v>
      </c>
      <c r="J144" s="96" t="e">
        <v>#N/A</v>
      </c>
    </row>
    <row r="145" spans="1:10" x14ac:dyDescent="0.35">
      <c r="A145" s="89" t="s">
        <v>178</v>
      </c>
      <c r="B145" s="90">
        <v>5691755500</v>
      </c>
      <c r="C145" s="90">
        <v>5691755500</v>
      </c>
      <c r="D145" s="90">
        <v>531491000</v>
      </c>
      <c r="E145" s="91">
        <v>0</v>
      </c>
      <c r="F145" s="90">
        <v>531491000</v>
      </c>
      <c r="G145" s="90">
        <v>5160264500</v>
      </c>
      <c r="H145" s="91">
        <v>0</v>
      </c>
      <c r="I145" s="92" t="s">
        <v>138</v>
      </c>
      <c r="J145" s="92" t="s">
        <v>10</v>
      </c>
    </row>
    <row r="146" spans="1:10" x14ac:dyDescent="0.35">
      <c r="A146" s="89" t="s">
        <v>181</v>
      </c>
      <c r="B146" s="90">
        <v>874758000</v>
      </c>
      <c r="C146" s="90">
        <v>874758000</v>
      </c>
      <c r="D146" s="90">
        <v>418866400</v>
      </c>
      <c r="E146" s="91">
        <v>0</v>
      </c>
      <c r="F146" s="90">
        <v>418866400</v>
      </c>
      <c r="G146" s="90">
        <v>455891600</v>
      </c>
      <c r="H146" s="91">
        <v>0</v>
      </c>
      <c r="I146" s="92" t="s">
        <v>138</v>
      </c>
      <c r="J146" s="92" t="s">
        <v>10</v>
      </c>
    </row>
    <row r="147" spans="1:10" x14ac:dyDescent="0.35">
      <c r="A147" s="89" t="s">
        <v>212</v>
      </c>
      <c r="B147" s="91">
        <v>0</v>
      </c>
      <c r="C147" s="91">
        <v>0</v>
      </c>
      <c r="D147" s="91">
        <v>0</v>
      </c>
      <c r="E147" s="91">
        <v>0</v>
      </c>
      <c r="F147" s="91">
        <v>0</v>
      </c>
      <c r="G147" s="91">
        <v>0</v>
      </c>
      <c r="H147" s="91">
        <v>0</v>
      </c>
      <c r="I147" s="92" t="s">
        <v>138</v>
      </c>
      <c r="J147" s="92" t="s">
        <v>10</v>
      </c>
    </row>
    <row r="148" spans="1:10" x14ac:dyDescent="0.35">
      <c r="A148" s="89" t="s">
        <v>182</v>
      </c>
      <c r="B148" s="90">
        <v>249837500</v>
      </c>
      <c r="C148" s="90">
        <v>249837500</v>
      </c>
      <c r="D148" s="90">
        <v>106240051</v>
      </c>
      <c r="E148" s="91">
        <v>0</v>
      </c>
      <c r="F148" s="90">
        <v>106240051</v>
      </c>
      <c r="G148" s="90">
        <v>143597449</v>
      </c>
      <c r="H148" s="91">
        <v>0</v>
      </c>
      <c r="I148" s="92" t="s">
        <v>138</v>
      </c>
      <c r="J148" s="92" t="s">
        <v>10</v>
      </c>
    </row>
    <row r="149" spans="1:10" x14ac:dyDescent="0.35">
      <c r="A149" s="89" t="s">
        <v>183</v>
      </c>
      <c r="B149" s="90">
        <v>435218500</v>
      </c>
      <c r="C149" s="90">
        <v>435218500</v>
      </c>
      <c r="D149" s="90">
        <v>37086200</v>
      </c>
      <c r="E149" s="91">
        <v>0</v>
      </c>
      <c r="F149" s="90">
        <v>37086200</v>
      </c>
      <c r="G149" s="90">
        <v>398132300</v>
      </c>
      <c r="H149" s="91">
        <v>0</v>
      </c>
      <c r="I149" s="92" t="s">
        <v>138</v>
      </c>
      <c r="J149" s="92" t="s">
        <v>10</v>
      </c>
    </row>
    <row r="150" spans="1:10" x14ac:dyDescent="0.35">
      <c r="A150" s="89" t="s">
        <v>184</v>
      </c>
      <c r="B150" s="90">
        <v>196881500</v>
      </c>
      <c r="C150" s="90">
        <v>196881500</v>
      </c>
      <c r="D150" s="91">
        <v>0</v>
      </c>
      <c r="E150" s="90">
        <v>10224916</v>
      </c>
      <c r="F150" s="90">
        <v>10224916</v>
      </c>
      <c r="G150" s="90">
        <v>186656584</v>
      </c>
      <c r="H150" s="91">
        <v>0</v>
      </c>
      <c r="I150" s="92" t="s">
        <v>138</v>
      </c>
      <c r="J150" s="92" t="s">
        <v>10</v>
      </c>
    </row>
    <row r="151" spans="1:10" x14ac:dyDescent="0.35">
      <c r="A151" s="89" t="s">
        <v>185</v>
      </c>
      <c r="B151" s="90">
        <v>1155703000</v>
      </c>
      <c r="C151" s="90">
        <v>1155703000</v>
      </c>
      <c r="D151" s="90">
        <v>376820336</v>
      </c>
      <c r="E151" s="90">
        <v>17820000</v>
      </c>
      <c r="F151" s="90">
        <v>394640336</v>
      </c>
      <c r="G151" s="90">
        <v>761062664</v>
      </c>
      <c r="H151" s="91">
        <v>0</v>
      </c>
      <c r="I151" s="92" t="s">
        <v>138</v>
      </c>
      <c r="J151" s="92" t="s">
        <v>10</v>
      </c>
    </row>
    <row r="152" spans="1:10" x14ac:dyDescent="0.35">
      <c r="A152" s="89" t="s">
        <v>213</v>
      </c>
      <c r="B152" s="90">
        <v>231680000</v>
      </c>
      <c r="C152" s="90">
        <v>231680000</v>
      </c>
      <c r="D152" s="91">
        <v>0</v>
      </c>
      <c r="E152" s="91">
        <v>0</v>
      </c>
      <c r="F152" s="91">
        <v>0</v>
      </c>
      <c r="G152" s="90">
        <v>231680000</v>
      </c>
      <c r="H152" s="91">
        <v>0</v>
      </c>
      <c r="I152" s="92" t="s">
        <v>138</v>
      </c>
      <c r="J152" s="92" t="s">
        <v>10</v>
      </c>
    </row>
    <row r="153" spans="1:10" x14ac:dyDescent="0.35">
      <c r="A153" s="89" t="s">
        <v>214</v>
      </c>
      <c r="B153" s="90">
        <v>498478000</v>
      </c>
      <c r="C153" s="90">
        <v>498478000</v>
      </c>
      <c r="D153" s="91">
        <v>0</v>
      </c>
      <c r="E153" s="91">
        <v>0</v>
      </c>
      <c r="F153" s="91">
        <v>0</v>
      </c>
      <c r="G153" s="90">
        <v>498478000</v>
      </c>
      <c r="H153" s="91">
        <v>0</v>
      </c>
      <c r="I153" s="92" t="s">
        <v>138</v>
      </c>
      <c r="J153" s="92" t="s">
        <v>10</v>
      </c>
    </row>
    <row r="154" spans="1:10" x14ac:dyDescent="0.35">
      <c r="A154" s="89" t="s">
        <v>215</v>
      </c>
      <c r="B154" s="90">
        <v>158995000</v>
      </c>
      <c r="C154" s="90">
        <v>158995000</v>
      </c>
      <c r="D154" s="90">
        <v>3857000</v>
      </c>
      <c r="E154" s="91">
        <v>0</v>
      </c>
      <c r="F154" s="90">
        <v>3857000</v>
      </c>
      <c r="G154" s="90">
        <v>155138000</v>
      </c>
      <c r="H154" s="91">
        <v>0</v>
      </c>
      <c r="I154" s="92" t="s">
        <v>138</v>
      </c>
      <c r="J154" s="92" t="s">
        <v>10</v>
      </c>
    </row>
    <row r="155" spans="1:10" x14ac:dyDescent="0.35">
      <c r="A155" s="89" t="s">
        <v>216</v>
      </c>
      <c r="B155" s="90">
        <v>1213930000</v>
      </c>
      <c r="C155" s="90">
        <v>1213930000</v>
      </c>
      <c r="D155" s="91">
        <v>0</v>
      </c>
      <c r="E155" s="91">
        <v>0</v>
      </c>
      <c r="F155" s="91">
        <v>0</v>
      </c>
      <c r="G155" s="90">
        <v>1213930000</v>
      </c>
      <c r="H155" s="91">
        <v>0</v>
      </c>
      <c r="I155" s="92" t="s">
        <v>138</v>
      </c>
      <c r="J155" s="92" t="s">
        <v>10</v>
      </c>
    </row>
    <row r="156" spans="1:10" x14ac:dyDescent="0.35">
      <c r="A156" s="89" t="s">
        <v>218</v>
      </c>
      <c r="B156" s="90">
        <v>250000000</v>
      </c>
      <c r="C156" s="90">
        <v>250000000</v>
      </c>
      <c r="D156" s="90">
        <v>28227453</v>
      </c>
      <c r="E156" s="91">
        <v>0</v>
      </c>
      <c r="F156" s="90">
        <v>28227453</v>
      </c>
      <c r="G156" s="90">
        <v>221772547</v>
      </c>
      <c r="H156" s="91">
        <v>0</v>
      </c>
      <c r="I156" s="92" t="s">
        <v>138</v>
      </c>
      <c r="J156" s="92" t="s">
        <v>62</v>
      </c>
    </row>
    <row r="157" spans="1:10" x14ac:dyDescent="0.35">
      <c r="A157" s="89" t="s">
        <v>236</v>
      </c>
      <c r="B157" s="90">
        <v>39449000</v>
      </c>
      <c r="C157" s="90">
        <v>39449000</v>
      </c>
      <c r="D157" s="91">
        <v>0</v>
      </c>
      <c r="E157" s="91">
        <v>0</v>
      </c>
      <c r="F157" s="91">
        <v>0</v>
      </c>
      <c r="G157" s="90">
        <v>39449000</v>
      </c>
      <c r="H157" s="91">
        <v>0</v>
      </c>
      <c r="I157" s="92" t="s">
        <v>138</v>
      </c>
      <c r="J157" s="92" t="s">
        <v>62</v>
      </c>
    </row>
    <row r="158" spans="1:10" x14ac:dyDescent="0.35">
      <c r="A158" s="89" t="s">
        <v>220</v>
      </c>
      <c r="B158" s="90">
        <v>433971000</v>
      </c>
      <c r="C158" s="90">
        <v>433971000</v>
      </c>
      <c r="D158" s="91">
        <v>0</v>
      </c>
      <c r="E158" s="91">
        <v>0</v>
      </c>
      <c r="F158" s="91">
        <v>0</v>
      </c>
      <c r="G158" s="90">
        <v>433971000</v>
      </c>
      <c r="H158" s="91">
        <v>0</v>
      </c>
      <c r="I158" s="92" t="s">
        <v>138</v>
      </c>
      <c r="J158" s="92" t="s">
        <v>62</v>
      </c>
    </row>
    <row r="159" spans="1:10" x14ac:dyDescent="0.35">
      <c r="A159" s="89" t="s">
        <v>191</v>
      </c>
      <c r="B159" s="90">
        <v>125000000</v>
      </c>
      <c r="C159" s="90">
        <v>125000000</v>
      </c>
      <c r="D159" s="91">
        <v>0</v>
      </c>
      <c r="E159" s="91">
        <v>0</v>
      </c>
      <c r="F159" s="91">
        <v>0</v>
      </c>
      <c r="G159" s="90">
        <v>125000000</v>
      </c>
      <c r="H159" s="91">
        <v>0</v>
      </c>
      <c r="I159" s="92" t="s">
        <v>138</v>
      </c>
      <c r="J159" s="92" t="s">
        <v>31</v>
      </c>
    </row>
    <row r="160" spans="1:10" x14ac:dyDescent="0.35">
      <c r="A160" s="89" t="s">
        <v>221</v>
      </c>
      <c r="B160" s="90">
        <v>45045000</v>
      </c>
      <c r="C160" s="90">
        <v>45045000</v>
      </c>
      <c r="D160" s="90">
        <v>11205000</v>
      </c>
      <c r="E160" s="91">
        <v>0</v>
      </c>
      <c r="F160" s="90">
        <v>11205000</v>
      </c>
      <c r="G160" s="90">
        <v>33840000</v>
      </c>
      <c r="H160" s="91">
        <v>0</v>
      </c>
      <c r="I160" s="92" t="s">
        <v>138</v>
      </c>
      <c r="J160" s="92" t="s">
        <v>67</v>
      </c>
    </row>
    <row r="161" spans="1:10" x14ac:dyDescent="0.35">
      <c r="A161" s="89" t="s">
        <v>193</v>
      </c>
      <c r="B161" s="90">
        <v>33075000</v>
      </c>
      <c r="C161" s="90">
        <v>33075000</v>
      </c>
      <c r="D161" s="91">
        <v>0</v>
      </c>
      <c r="E161" s="91">
        <v>0</v>
      </c>
      <c r="F161" s="91">
        <v>0</v>
      </c>
      <c r="G161" s="90">
        <v>33075000</v>
      </c>
      <c r="H161" s="91">
        <v>0</v>
      </c>
      <c r="I161" s="92" t="s">
        <v>138</v>
      </c>
      <c r="J161" s="92" t="s">
        <v>35</v>
      </c>
    </row>
    <row r="162" spans="1:10" x14ac:dyDescent="0.35">
      <c r="A162" s="89" t="s">
        <v>222</v>
      </c>
      <c r="B162" s="90">
        <v>592250000</v>
      </c>
      <c r="C162" s="90">
        <v>592250000</v>
      </c>
      <c r="D162" s="91">
        <v>0</v>
      </c>
      <c r="E162" s="90">
        <v>346245306</v>
      </c>
      <c r="F162" s="90">
        <v>346245306</v>
      </c>
      <c r="G162" s="90">
        <v>246004694</v>
      </c>
      <c r="H162" s="91">
        <v>0</v>
      </c>
      <c r="I162" s="92" t="s">
        <v>138</v>
      </c>
      <c r="J162" s="92" t="s">
        <v>35</v>
      </c>
    </row>
    <row r="163" spans="1:10" x14ac:dyDescent="0.35">
      <c r="A163" s="89" t="s">
        <v>194</v>
      </c>
      <c r="B163" s="90">
        <v>45000000</v>
      </c>
      <c r="C163" s="90">
        <v>45000000</v>
      </c>
      <c r="D163" s="90">
        <v>10000000</v>
      </c>
      <c r="E163" s="90">
        <v>5000000</v>
      </c>
      <c r="F163" s="90">
        <v>15000000</v>
      </c>
      <c r="G163" s="90">
        <v>30000000</v>
      </c>
      <c r="H163" s="91">
        <v>0</v>
      </c>
      <c r="I163" s="92" t="s">
        <v>138</v>
      </c>
      <c r="J163" s="92" t="s">
        <v>16</v>
      </c>
    </row>
    <row r="164" spans="1:10" x14ac:dyDescent="0.35">
      <c r="A164" s="89" t="s">
        <v>195</v>
      </c>
      <c r="B164" s="90">
        <v>136250000</v>
      </c>
      <c r="C164" s="90">
        <v>136250000</v>
      </c>
      <c r="D164" s="90">
        <v>78481609</v>
      </c>
      <c r="E164" s="90">
        <v>47571235</v>
      </c>
      <c r="F164" s="90">
        <v>126052844</v>
      </c>
      <c r="G164" s="90">
        <v>10197156</v>
      </c>
      <c r="H164" s="91">
        <v>0</v>
      </c>
      <c r="I164" s="92" t="s">
        <v>138</v>
      </c>
      <c r="J164" s="92" t="s">
        <v>16</v>
      </c>
    </row>
    <row r="165" spans="1:10" x14ac:dyDescent="0.35">
      <c r="A165" s="89" t="s">
        <v>196</v>
      </c>
      <c r="B165" s="90">
        <v>21750000</v>
      </c>
      <c r="C165" s="90">
        <v>21750000</v>
      </c>
      <c r="D165" s="91">
        <v>0</v>
      </c>
      <c r="E165" s="90">
        <v>7211500</v>
      </c>
      <c r="F165" s="90">
        <v>7211500</v>
      </c>
      <c r="G165" s="90">
        <v>14538500</v>
      </c>
      <c r="H165" s="91">
        <v>0</v>
      </c>
      <c r="I165" s="92" t="s">
        <v>138</v>
      </c>
      <c r="J165" s="92" t="s">
        <v>16</v>
      </c>
    </row>
    <row r="166" spans="1:10" x14ac:dyDescent="0.35">
      <c r="A166" s="89" t="s">
        <v>197</v>
      </c>
      <c r="B166" s="90">
        <v>146550000</v>
      </c>
      <c r="C166" s="90">
        <v>146550000</v>
      </c>
      <c r="D166" s="90">
        <v>55181319</v>
      </c>
      <c r="E166" s="91">
        <v>0</v>
      </c>
      <c r="F166" s="90">
        <v>55181319</v>
      </c>
      <c r="G166" s="90">
        <v>91368681</v>
      </c>
      <c r="H166" s="91">
        <v>0</v>
      </c>
      <c r="I166" s="92" t="s">
        <v>138</v>
      </c>
      <c r="J166" s="92" t="s">
        <v>16</v>
      </c>
    </row>
    <row r="167" spans="1:10" x14ac:dyDescent="0.35">
      <c r="A167" s="89" t="s">
        <v>198</v>
      </c>
      <c r="B167" s="90">
        <v>5000000</v>
      </c>
      <c r="C167" s="90">
        <v>5000000</v>
      </c>
      <c r="D167" s="91">
        <v>0</v>
      </c>
      <c r="E167" s="90">
        <v>3000000</v>
      </c>
      <c r="F167" s="90">
        <v>3000000</v>
      </c>
      <c r="G167" s="90">
        <v>2000000</v>
      </c>
      <c r="H167" s="91">
        <v>0</v>
      </c>
      <c r="I167" s="92" t="s">
        <v>138</v>
      </c>
      <c r="J167" s="92" t="s">
        <v>16</v>
      </c>
    </row>
    <row r="168" spans="1:10" x14ac:dyDescent="0.35">
      <c r="A168" s="89" t="s">
        <v>199</v>
      </c>
      <c r="B168" s="90">
        <v>54100500</v>
      </c>
      <c r="C168" s="90">
        <v>54100500</v>
      </c>
      <c r="D168" s="91">
        <v>0</v>
      </c>
      <c r="E168" s="90">
        <v>26827000</v>
      </c>
      <c r="F168" s="90">
        <v>26827000</v>
      </c>
      <c r="G168" s="90">
        <v>27273500</v>
      </c>
      <c r="H168" s="91">
        <v>0</v>
      </c>
      <c r="I168" s="92" t="s">
        <v>138</v>
      </c>
      <c r="J168" s="92" t="s">
        <v>16</v>
      </c>
    </row>
    <row r="169" spans="1:10" x14ac:dyDescent="0.35">
      <c r="A169" s="89" t="s">
        <v>200</v>
      </c>
      <c r="B169" s="90">
        <v>12000000</v>
      </c>
      <c r="C169" s="90">
        <v>12000000</v>
      </c>
      <c r="D169" s="90">
        <v>6889220</v>
      </c>
      <c r="E169" s="91">
        <v>0</v>
      </c>
      <c r="F169" s="90">
        <v>6889220</v>
      </c>
      <c r="G169" s="90">
        <v>5110780</v>
      </c>
      <c r="H169" s="91">
        <v>0</v>
      </c>
      <c r="I169" s="92" t="s">
        <v>138</v>
      </c>
      <c r="J169" s="92" t="s">
        <v>16</v>
      </c>
    </row>
    <row r="170" spans="1:10" x14ac:dyDescent="0.35">
      <c r="A170" s="89" t="s">
        <v>201</v>
      </c>
      <c r="B170" s="90">
        <v>7504723378</v>
      </c>
      <c r="C170" s="90">
        <v>7504723378</v>
      </c>
      <c r="D170" s="91">
        <v>0</v>
      </c>
      <c r="E170" s="90">
        <v>1068280190</v>
      </c>
      <c r="F170" s="90">
        <v>1068280190</v>
      </c>
      <c r="G170" s="90">
        <v>6436443188</v>
      </c>
      <c r="H170" s="91">
        <v>0</v>
      </c>
      <c r="I170" s="92" t="s">
        <v>138</v>
      </c>
      <c r="J170" s="92" t="s">
        <v>12</v>
      </c>
    </row>
    <row r="171" spans="1:10" x14ac:dyDescent="0.35">
      <c r="A171" s="89" t="s">
        <v>202</v>
      </c>
      <c r="B171" s="90">
        <v>226336070</v>
      </c>
      <c r="C171" s="90">
        <v>226336070</v>
      </c>
      <c r="D171" s="91">
        <v>0</v>
      </c>
      <c r="E171" s="90">
        <v>37653988</v>
      </c>
      <c r="F171" s="90">
        <v>37653988</v>
      </c>
      <c r="G171" s="90">
        <v>188682082</v>
      </c>
      <c r="H171" s="91">
        <v>0</v>
      </c>
      <c r="I171" s="92" t="s">
        <v>138</v>
      </c>
      <c r="J171" s="92" t="s">
        <v>12</v>
      </c>
    </row>
    <row r="172" spans="1:10" x14ac:dyDescent="0.35">
      <c r="A172" s="89" t="s">
        <v>203</v>
      </c>
      <c r="B172" s="90">
        <v>7328638500</v>
      </c>
      <c r="C172" s="90">
        <v>7328638500</v>
      </c>
      <c r="D172" s="91">
        <v>0</v>
      </c>
      <c r="E172" s="90">
        <v>507515000</v>
      </c>
      <c r="F172" s="90">
        <v>507515000</v>
      </c>
      <c r="G172" s="90">
        <v>6821123500</v>
      </c>
      <c r="H172" s="91">
        <v>0</v>
      </c>
      <c r="I172" s="92" t="s">
        <v>138</v>
      </c>
      <c r="J172" s="92" t="s">
        <v>12</v>
      </c>
    </row>
    <row r="173" spans="1:10" x14ac:dyDescent="0.35">
      <c r="A173" s="89" t="s">
        <v>286</v>
      </c>
      <c r="B173" s="90">
        <v>42356469</v>
      </c>
      <c r="C173" s="90">
        <v>42356469</v>
      </c>
      <c r="D173" s="91">
        <v>0</v>
      </c>
      <c r="E173" s="91">
        <v>0</v>
      </c>
      <c r="F173" s="91">
        <v>0</v>
      </c>
      <c r="G173" s="90">
        <v>42356469</v>
      </c>
      <c r="H173" s="91">
        <v>0</v>
      </c>
      <c r="I173" s="92" t="s">
        <v>138</v>
      </c>
      <c r="J173" s="92" t="s">
        <v>12</v>
      </c>
    </row>
    <row r="174" spans="1:10" x14ac:dyDescent="0.35">
      <c r="A174" s="89" t="s">
        <v>204</v>
      </c>
      <c r="B174" s="90">
        <v>1286019333</v>
      </c>
      <c r="C174" s="90">
        <v>1286019333</v>
      </c>
      <c r="D174" s="91">
        <v>0</v>
      </c>
      <c r="E174" s="90">
        <v>133425611</v>
      </c>
      <c r="F174" s="90">
        <v>133425611</v>
      </c>
      <c r="G174" s="90">
        <v>1152593722</v>
      </c>
      <c r="H174" s="91">
        <v>0</v>
      </c>
      <c r="I174" s="92" t="s">
        <v>138</v>
      </c>
      <c r="J174" s="92" t="s">
        <v>12</v>
      </c>
    </row>
    <row r="175" spans="1:10" x14ac:dyDescent="0.35">
      <c r="A175" s="89" t="s">
        <v>205</v>
      </c>
      <c r="B175" s="90">
        <v>36818740</v>
      </c>
      <c r="C175" s="90">
        <v>36818740</v>
      </c>
      <c r="D175" s="91">
        <v>0</v>
      </c>
      <c r="E175" s="90">
        <v>6120465</v>
      </c>
      <c r="F175" s="90">
        <v>6120465</v>
      </c>
      <c r="G175" s="90">
        <v>30698275</v>
      </c>
      <c r="H175" s="91">
        <v>0</v>
      </c>
      <c r="I175" s="92" t="s">
        <v>138</v>
      </c>
      <c r="J175" s="92" t="s">
        <v>12</v>
      </c>
    </row>
    <row r="176" spans="1:10" x14ac:dyDescent="0.35">
      <c r="A176" s="89" t="s">
        <v>206</v>
      </c>
      <c r="B176" s="90">
        <v>1371419909</v>
      </c>
      <c r="C176" s="90">
        <v>1371419909</v>
      </c>
      <c r="D176" s="91">
        <v>0</v>
      </c>
      <c r="E176" s="90">
        <v>124015714</v>
      </c>
      <c r="F176" s="90">
        <v>124015714</v>
      </c>
      <c r="G176" s="90">
        <v>1247404195</v>
      </c>
      <c r="H176" s="91">
        <v>0</v>
      </c>
      <c r="I176" s="92" t="s">
        <v>138</v>
      </c>
      <c r="J176" s="92" t="s">
        <v>12</v>
      </c>
    </row>
    <row r="177" spans="1:10" x14ac:dyDescent="0.35">
      <c r="A177" s="89" t="s">
        <v>287</v>
      </c>
      <c r="B177" s="90">
        <v>3850588</v>
      </c>
      <c r="C177" s="90">
        <v>3850588</v>
      </c>
      <c r="D177" s="91">
        <v>0</v>
      </c>
      <c r="E177" s="91">
        <v>0</v>
      </c>
      <c r="F177" s="91">
        <v>0</v>
      </c>
      <c r="G177" s="90">
        <v>3850588</v>
      </c>
      <c r="H177" s="91">
        <v>0</v>
      </c>
      <c r="I177" s="92" t="s">
        <v>138</v>
      </c>
      <c r="J177" s="92" t="s">
        <v>12</v>
      </c>
    </row>
    <row r="178" spans="1:10" x14ac:dyDescent="0.35">
      <c r="A178" s="93" t="s">
        <v>237</v>
      </c>
      <c r="B178" s="94">
        <v>30446840487</v>
      </c>
      <c r="C178" s="94">
        <v>30446840487</v>
      </c>
      <c r="D178" s="94">
        <v>1664345588</v>
      </c>
      <c r="E178" s="94">
        <v>2340910925</v>
      </c>
      <c r="F178" s="94">
        <v>4005256513</v>
      </c>
      <c r="G178" s="94">
        <v>26441583974</v>
      </c>
      <c r="H178" s="95">
        <v>0</v>
      </c>
      <c r="I178" s="96" t="s">
        <v>138</v>
      </c>
      <c r="J178" s="96" t="e">
        <v>#N/A</v>
      </c>
    </row>
    <row r="179" spans="1:10" x14ac:dyDescent="0.35">
      <c r="A179" s="89" t="s">
        <v>178</v>
      </c>
      <c r="B179" s="90">
        <v>3658728280</v>
      </c>
      <c r="C179" s="90">
        <v>3658728280</v>
      </c>
      <c r="D179" s="91">
        <v>0</v>
      </c>
      <c r="E179" s="91">
        <v>0</v>
      </c>
      <c r="F179" s="91">
        <v>0</v>
      </c>
      <c r="G179" s="90">
        <v>3658728280</v>
      </c>
      <c r="H179" s="91">
        <v>0</v>
      </c>
      <c r="I179" s="92" t="s">
        <v>139</v>
      </c>
      <c r="J179" s="92" t="s">
        <v>10</v>
      </c>
    </row>
    <row r="180" spans="1:10" x14ac:dyDescent="0.35">
      <c r="A180" s="89" t="s">
        <v>289</v>
      </c>
      <c r="B180" s="90">
        <v>65407631</v>
      </c>
      <c r="C180" s="90">
        <v>65407631</v>
      </c>
      <c r="D180" s="91">
        <v>0</v>
      </c>
      <c r="E180" s="91">
        <v>0</v>
      </c>
      <c r="F180" s="91">
        <v>0</v>
      </c>
      <c r="G180" s="90">
        <v>65407631</v>
      </c>
      <c r="H180" s="91">
        <v>0</v>
      </c>
      <c r="I180" s="92" t="s">
        <v>139</v>
      </c>
      <c r="J180" s="92" t="s">
        <v>12</v>
      </c>
    </row>
    <row r="181" spans="1:10" x14ac:dyDescent="0.35">
      <c r="A181" s="89" t="s">
        <v>290</v>
      </c>
      <c r="B181" s="90">
        <v>125267590</v>
      </c>
      <c r="C181" s="90">
        <v>125267590</v>
      </c>
      <c r="D181" s="91">
        <v>0</v>
      </c>
      <c r="E181" s="91">
        <v>0</v>
      </c>
      <c r="F181" s="91">
        <v>0</v>
      </c>
      <c r="G181" s="90">
        <v>125267590</v>
      </c>
      <c r="H181" s="91">
        <v>0</v>
      </c>
      <c r="I181" s="92" t="s">
        <v>139</v>
      </c>
      <c r="J181" s="92" t="s">
        <v>12</v>
      </c>
    </row>
    <row r="182" spans="1:10" x14ac:dyDescent="0.35">
      <c r="A182" s="89" t="s">
        <v>291</v>
      </c>
      <c r="B182" s="90">
        <v>550084</v>
      </c>
      <c r="C182" s="90">
        <v>550084</v>
      </c>
      <c r="D182" s="91">
        <v>0</v>
      </c>
      <c r="E182" s="91">
        <v>0</v>
      </c>
      <c r="F182" s="91">
        <v>0</v>
      </c>
      <c r="G182" s="90">
        <v>550084</v>
      </c>
      <c r="H182" s="91">
        <v>0</v>
      </c>
      <c r="I182" s="92" t="s">
        <v>139</v>
      </c>
      <c r="J182" s="92" t="s">
        <v>12</v>
      </c>
    </row>
    <row r="183" spans="1:10" x14ac:dyDescent="0.35">
      <c r="A183" s="89" t="s">
        <v>181</v>
      </c>
      <c r="B183" s="90">
        <v>1515061000</v>
      </c>
      <c r="C183" s="90">
        <v>1515061000</v>
      </c>
      <c r="D183" s="90">
        <v>455634691</v>
      </c>
      <c r="E183" s="91">
        <v>0</v>
      </c>
      <c r="F183" s="90">
        <v>455634691</v>
      </c>
      <c r="G183" s="90">
        <v>1059426309</v>
      </c>
      <c r="H183" s="91">
        <v>0</v>
      </c>
      <c r="I183" s="92" t="s">
        <v>139</v>
      </c>
      <c r="J183" s="92" t="s">
        <v>10</v>
      </c>
    </row>
    <row r="184" spans="1:10" x14ac:dyDescent="0.35">
      <c r="A184" s="89" t="s">
        <v>211</v>
      </c>
      <c r="B184" s="90">
        <v>225000000</v>
      </c>
      <c r="C184" s="90">
        <v>225000000</v>
      </c>
      <c r="D184" s="91">
        <v>0</v>
      </c>
      <c r="E184" s="91">
        <v>0</v>
      </c>
      <c r="F184" s="91">
        <v>0</v>
      </c>
      <c r="G184" s="90">
        <v>225000000</v>
      </c>
      <c r="H184" s="91">
        <v>0</v>
      </c>
      <c r="I184" s="92" t="s">
        <v>139</v>
      </c>
      <c r="J184" s="92" t="s">
        <v>10</v>
      </c>
    </row>
    <row r="185" spans="1:10" x14ac:dyDescent="0.35">
      <c r="A185" s="89" t="s">
        <v>212</v>
      </c>
      <c r="B185" s="90">
        <v>227500000</v>
      </c>
      <c r="C185" s="90">
        <v>227500000</v>
      </c>
      <c r="D185" s="91">
        <v>0</v>
      </c>
      <c r="E185" s="91">
        <v>0</v>
      </c>
      <c r="F185" s="91">
        <v>0</v>
      </c>
      <c r="G185" s="90">
        <v>227500000</v>
      </c>
      <c r="H185" s="91">
        <v>0</v>
      </c>
      <c r="I185" s="92" t="s">
        <v>139</v>
      </c>
      <c r="J185" s="92" t="s">
        <v>10</v>
      </c>
    </row>
    <row r="186" spans="1:10" x14ac:dyDescent="0.35">
      <c r="A186" s="89" t="s">
        <v>182</v>
      </c>
      <c r="B186" s="90">
        <v>234500000</v>
      </c>
      <c r="C186" s="90">
        <v>234500000</v>
      </c>
      <c r="D186" s="90">
        <v>49635000</v>
      </c>
      <c r="E186" s="91">
        <v>0</v>
      </c>
      <c r="F186" s="90">
        <v>49635000</v>
      </c>
      <c r="G186" s="90">
        <v>184865000</v>
      </c>
      <c r="H186" s="91">
        <v>0</v>
      </c>
      <c r="I186" s="92" t="s">
        <v>139</v>
      </c>
      <c r="J186" s="92" t="s">
        <v>10</v>
      </c>
    </row>
    <row r="187" spans="1:10" x14ac:dyDescent="0.35">
      <c r="A187" s="89" t="s">
        <v>183</v>
      </c>
      <c r="B187" s="90">
        <v>200000000</v>
      </c>
      <c r="C187" s="90">
        <v>200000000</v>
      </c>
      <c r="D187" s="91">
        <v>0</v>
      </c>
      <c r="E187" s="91">
        <v>0</v>
      </c>
      <c r="F187" s="91">
        <v>0</v>
      </c>
      <c r="G187" s="90">
        <v>200000000</v>
      </c>
      <c r="H187" s="91">
        <v>0</v>
      </c>
      <c r="I187" s="92" t="s">
        <v>139</v>
      </c>
      <c r="J187" s="92" t="s">
        <v>10</v>
      </c>
    </row>
    <row r="188" spans="1:10" x14ac:dyDescent="0.35">
      <c r="A188" s="89" t="s">
        <v>184</v>
      </c>
      <c r="B188" s="90">
        <v>304500000</v>
      </c>
      <c r="C188" s="90">
        <v>304500000</v>
      </c>
      <c r="D188" s="90">
        <v>59274000</v>
      </c>
      <c r="E188" s="90">
        <v>6600000</v>
      </c>
      <c r="F188" s="90">
        <v>65874000</v>
      </c>
      <c r="G188" s="90">
        <v>238626000</v>
      </c>
      <c r="H188" s="91">
        <v>0</v>
      </c>
      <c r="I188" s="92" t="s">
        <v>139</v>
      </c>
      <c r="J188" s="92" t="s">
        <v>10</v>
      </c>
    </row>
    <row r="189" spans="1:10" x14ac:dyDescent="0.35">
      <c r="A189" s="89" t="s">
        <v>185</v>
      </c>
      <c r="B189" s="90">
        <v>931325000</v>
      </c>
      <c r="C189" s="90">
        <v>931325000</v>
      </c>
      <c r="D189" s="90">
        <v>151082296</v>
      </c>
      <c r="E189" s="90">
        <v>19967500</v>
      </c>
      <c r="F189" s="90">
        <v>171049796</v>
      </c>
      <c r="G189" s="90">
        <v>760275204</v>
      </c>
      <c r="H189" s="91">
        <v>0</v>
      </c>
      <c r="I189" s="92" t="s">
        <v>139</v>
      </c>
      <c r="J189" s="92" t="s">
        <v>10</v>
      </c>
    </row>
    <row r="190" spans="1:10" x14ac:dyDescent="0.35">
      <c r="A190" s="89" t="s">
        <v>213</v>
      </c>
      <c r="B190" s="90">
        <v>140500000</v>
      </c>
      <c r="C190" s="90">
        <v>140500000</v>
      </c>
      <c r="D190" s="91">
        <v>0</v>
      </c>
      <c r="E190" s="91">
        <v>0</v>
      </c>
      <c r="F190" s="91">
        <v>0</v>
      </c>
      <c r="G190" s="90">
        <v>140500000</v>
      </c>
      <c r="H190" s="91">
        <v>0</v>
      </c>
      <c r="I190" s="92" t="s">
        <v>139</v>
      </c>
      <c r="J190" s="92" t="s">
        <v>10</v>
      </c>
    </row>
    <row r="191" spans="1:10" x14ac:dyDescent="0.35">
      <c r="A191" s="89" t="s">
        <v>214</v>
      </c>
      <c r="B191" s="90">
        <v>475000000</v>
      </c>
      <c r="C191" s="90">
        <v>475000000</v>
      </c>
      <c r="D191" s="91">
        <v>0</v>
      </c>
      <c r="E191" s="91">
        <v>0</v>
      </c>
      <c r="F191" s="91">
        <v>0</v>
      </c>
      <c r="G191" s="90">
        <v>475000000</v>
      </c>
      <c r="H191" s="91">
        <v>0</v>
      </c>
      <c r="I191" s="92" t="s">
        <v>139</v>
      </c>
      <c r="J191" s="92" t="s">
        <v>10</v>
      </c>
    </row>
    <row r="192" spans="1:10" x14ac:dyDescent="0.35">
      <c r="A192" s="89" t="s">
        <v>215</v>
      </c>
      <c r="B192" s="90">
        <v>25000000</v>
      </c>
      <c r="C192" s="90">
        <v>25000000</v>
      </c>
      <c r="D192" s="91">
        <v>0</v>
      </c>
      <c r="E192" s="91">
        <v>0</v>
      </c>
      <c r="F192" s="91">
        <v>0</v>
      </c>
      <c r="G192" s="90">
        <v>25000000</v>
      </c>
      <c r="H192" s="91">
        <v>0</v>
      </c>
      <c r="I192" s="92" t="s">
        <v>139</v>
      </c>
      <c r="J192" s="92" t="s">
        <v>10</v>
      </c>
    </row>
    <row r="193" spans="1:10" x14ac:dyDescent="0.35">
      <c r="A193" s="89" t="s">
        <v>216</v>
      </c>
      <c r="B193" s="90">
        <v>745637500</v>
      </c>
      <c r="C193" s="90">
        <v>745637500</v>
      </c>
      <c r="D193" s="90">
        <v>530930000</v>
      </c>
      <c r="E193" s="90">
        <v>66765000</v>
      </c>
      <c r="F193" s="90">
        <v>597695000</v>
      </c>
      <c r="G193" s="90">
        <v>147942500</v>
      </c>
      <c r="H193" s="91">
        <v>0</v>
      </c>
      <c r="I193" s="92" t="s">
        <v>139</v>
      </c>
      <c r="J193" s="92" t="s">
        <v>10</v>
      </c>
    </row>
    <row r="194" spans="1:10" x14ac:dyDescent="0.35">
      <c r="A194" s="89" t="s">
        <v>217</v>
      </c>
      <c r="B194" s="90">
        <v>20000000</v>
      </c>
      <c r="C194" s="90">
        <v>20000000</v>
      </c>
      <c r="D194" s="91">
        <v>0</v>
      </c>
      <c r="E194" s="91">
        <v>0</v>
      </c>
      <c r="F194" s="91">
        <v>0</v>
      </c>
      <c r="G194" s="90">
        <v>20000000</v>
      </c>
      <c r="H194" s="91">
        <v>0</v>
      </c>
      <c r="I194" s="92" t="s">
        <v>139</v>
      </c>
      <c r="J194" s="92" t="s">
        <v>62</v>
      </c>
    </row>
    <row r="195" spans="1:10" x14ac:dyDescent="0.35">
      <c r="A195" s="89" t="s">
        <v>236</v>
      </c>
      <c r="B195" s="90">
        <v>50000000</v>
      </c>
      <c r="C195" s="90">
        <v>50000000</v>
      </c>
      <c r="D195" s="91">
        <v>0</v>
      </c>
      <c r="E195" s="91">
        <v>0</v>
      </c>
      <c r="F195" s="91">
        <v>0</v>
      </c>
      <c r="G195" s="90">
        <v>50000000</v>
      </c>
      <c r="H195" s="91">
        <v>0</v>
      </c>
      <c r="I195" s="92" t="s">
        <v>139</v>
      </c>
      <c r="J195" s="92" t="s">
        <v>62</v>
      </c>
    </row>
    <row r="196" spans="1:10" x14ac:dyDescent="0.35">
      <c r="A196" s="89" t="s">
        <v>220</v>
      </c>
      <c r="B196" s="90">
        <v>254500000</v>
      </c>
      <c r="C196" s="90">
        <v>254500000</v>
      </c>
      <c r="D196" s="91">
        <v>0</v>
      </c>
      <c r="E196" s="91">
        <v>0</v>
      </c>
      <c r="F196" s="91">
        <v>0</v>
      </c>
      <c r="G196" s="90">
        <v>254500000</v>
      </c>
      <c r="H196" s="91">
        <v>0</v>
      </c>
      <c r="I196" s="92" t="s">
        <v>139</v>
      </c>
      <c r="J196" s="92" t="s">
        <v>62</v>
      </c>
    </row>
    <row r="197" spans="1:10" x14ac:dyDescent="0.35">
      <c r="A197" s="89" t="s">
        <v>191</v>
      </c>
      <c r="B197" s="90">
        <v>75000000</v>
      </c>
      <c r="C197" s="90">
        <v>75000000</v>
      </c>
      <c r="D197" s="90">
        <v>46460160</v>
      </c>
      <c r="E197" s="91">
        <v>0</v>
      </c>
      <c r="F197" s="90">
        <v>46460160</v>
      </c>
      <c r="G197" s="90">
        <v>28539840</v>
      </c>
      <c r="H197" s="91">
        <v>0</v>
      </c>
      <c r="I197" s="92" t="s">
        <v>139</v>
      </c>
      <c r="J197" s="92" t="s">
        <v>31</v>
      </c>
    </row>
    <row r="198" spans="1:10" x14ac:dyDescent="0.35">
      <c r="A198" s="89" t="s">
        <v>221</v>
      </c>
      <c r="B198" s="90">
        <v>160050000</v>
      </c>
      <c r="C198" s="90">
        <v>160050000</v>
      </c>
      <c r="D198" s="90">
        <v>71775000</v>
      </c>
      <c r="E198" s="91">
        <v>0</v>
      </c>
      <c r="F198" s="90">
        <v>71775000</v>
      </c>
      <c r="G198" s="90">
        <v>88275000</v>
      </c>
      <c r="H198" s="91">
        <v>0</v>
      </c>
      <c r="I198" s="92" t="s">
        <v>139</v>
      </c>
      <c r="J198" s="92" t="s">
        <v>67</v>
      </c>
    </row>
    <row r="199" spans="1:10" x14ac:dyDescent="0.35">
      <c r="A199" s="89" t="s">
        <v>222</v>
      </c>
      <c r="B199" s="90">
        <v>642500000</v>
      </c>
      <c r="C199" s="90">
        <v>642500000</v>
      </c>
      <c r="D199" s="91">
        <v>0</v>
      </c>
      <c r="E199" s="90">
        <v>394857596</v>
      </c>
      <c r="F199" s="90">
        <v>394857596</v>
      </c>
      <c r="G199" s="90">
        <v>247642404</v>
      </c>
      <c r="H199" s="91">
        <v>0</v>
      </c>
      <c r="I199" s="92" t="s">
        <v>139</v>
      </c>
      <c r="J199" s="92" t="s">
        <v>35</v>
      </c>
    </row>
    <row r="200" spans="1:10" x14ac:dyDescent="0.35">
      <c r="A200" s="89" t="s">
        <v>194</v>
      </c>
      <c r="B200" s="90">
        <v>69718811</v>
      </c>
      <c r="C200" s="90">
        <v>69718811</v>
      </c>
      <c r="D200" s="90">
        <v>6100000</v>
      </c>
      <c r="E200" s="90">
        <v>29718811</v>
      </c>
      <c r="F200" s="90">
        <v>35818811</v>
      </c>
      <c r="G200" s="90">
        <v>33900000</v>
      </c>
      <c r="H200" s="91">
        <v>0</v>
      </c>
      <c r="I200" s="92" t="s">
        <v>139</v>
      </c>
      <c r="J200" s="92" t="s">
        <v>16</v>
      </c>
    </row>
    <row r="201" spans="1:10" x14ac:dyDescent="0.35">
      <c r="A201" s="89" t="s">
        <v>195</v>
      </c>
      <c r="B201" s="90">
        <v>128511500</v>
      </c>
      <c r="C201" s="90">
        <v>128511500</v>
      </c>
      <c r="D201" s="90">
        <v>45159000</v>
      </c>
      <c r="E201" s="90">
        <v>29029500</v>
      </c>
      <c r="F201" s="90">
        <v>74188500</v>
      </c>
      <c r="G201" s="90">
        <v>54323000</v>
      </c>
      <c r="H201" s="91">
        <v>0</v>
      </c>
      <c r="I201" s="92" t="s">
        <v>139</v>
      </c>
      <c r="J201" s="92" t="s">
        <v>16</v>
      </c>
    </row>
    <row r="202" spans="1:10" x14ac:dyDescent="0.35">
      <c r="A202" s="89" t="s">
        <v>196</v>
      </c>
      <c r="B202" s="90">
        <v>8750000</v>
      </c>
      <c r="C202" s="90">
        <v>8750000</v>
      </c>
      <c r="D202" s="91">
        <v>0</v>
      </c>
      <c r="E202" s="90">
        <v>8750000</v>
      </c>
      <c r="F202" s="90">
        <v>8750000</v>
      </c>
      <c r="G202" s="91">
        <v>0</v>
      </c>
      <c r="H202" s="91">
        <v>0</v>
      </c>
      <c r="I202" s="92" t="s">
        <v>139</v>
      </c>
      <c r="J202" s="92" t="s">
        <v>16</v>
      </c>
    </row>
    <row r="203" spans="1:10" x14ac:dyDescent="0.35">
      <c r="A203" s="89" t="s">
        <v>197</v>
      </c>
      <c r="B203" s="90">
        <v>112500000</v>
      </c>
      <c r="C203" s="90">
        <v>112500000</v>
      </c>
      <c r="D203" s="90">
        <v>31647500</v>
      </c>
      <c r="E203" s="91">
        <v>0</v>
      </c>
      <c r="F203" s="90">
        <v>31647500</v>
      </c>
      <c r="G203" s="90">
        <v>80852500</v>
      </c>
      <c r="H203" s="91">
        <v>0</v>
      </c>
      <c r="I203" s="92" t="s">
        <v>139</v>
      </c>
      <c r="J203" s="92" t="s">
        <v>16</v>
      </c>
    </row>
    <row r="204" spans="1:10" x14ac:dyDescent="0.35">
      <c r="A204" s="89" t="s">
        <v>198</v>
      </c>
      <c r="B204" s="90">
        <v>41250000</v>
      </c>
      <c r="C204" s="90">
        <v>41250000</v>
      </c>
      <c r="D204" s="91">
        <v>0</v>
      </c>
      <c r="E204" s="91">
        <v>0</v>
      </c>
      <c r="F204" s="91">
        <v>0</v>
      </c>
      <c r="G204" s="90">
        <v>41250000</v>
      </c>
      <c r="H204" s="91">
        <v>0</v>
      </c>
      <c r="I204" s="92" t="s">
        <v>139</v>
      </c>
      <c r="J204" s="92" t="s">
        <v>16</v>
      </c>
    </row>
    <row r="205" spans="1:10" x14ac:dyDescent="0.35">
      <c r="A205" s="89" t="s">
        <v>199</v>
      </c>
      <c r="B205" s="90">
        <v>63000000</v>
      </c>
      <c r="C205" s="90">
        <v>63000000</v>
      </c>
      <c r="D205" s="91">
        <v>0</v>
      </c>
      <c r="E205" s="90">
        <v>42053250</v>
      </c>
      <c r="F205" s="90">
        <v>42053250</v>
      </c>
      <c r="G205" s="90">
        <v>20946750</v>
      </c>
      <c r="H205" s="91">
        <v>0</v>
      </c>
      <c r="I205" s="92" t="s">
        <v>139</v>
      </c>
      <c r="J205" s="92" t="s">
        <v>16</v>
      </c>
    </row>
    <row r="206" spans="1:10" x14ac:dyDescent="0.35">
      <c r="A206" s="89" t="s">
        <v>238</v>
      </c>
      <c r="B206" s="90">
        <v>4500000</v>
      </c>
      <c r="C206" s="90">
        <v>4500000</v>
      </c>
      <c r="D206" s="90">
        <v>2490000</v>
      </c>
      <c r="E206" s="90">
        <v>942930</v>
      </c>
      <c r="F206" s="90">
        <v>3432930</v>
      </c>
      <c r="G206" s="90">
        <v>1067070</v>
      </c>
      <c r="H206" s="91">
        <v>0</v>
      </c>
      <c r="I206" s="92" t="s">
        <v>139</v>
      </c>
      <c r="J206" s="92" t="s">
        <v>16</v>
      </c>
    </row>
    <row r="207" spans="1:10" x14ac:dyDescent="0.35">
      <c r="A207" s="89" t="s">
        <v>200</v>
      </c>
      <c r="B207" s="90">
        <v>12500000</v>
      </c>
      <c r="C207" s="90">
        <v>12500000</v>
      </c>
      <c r="D207" s="90">
        <v>12495950</v>
      </c>
      <c r="E207" s="91">
        <v>0</v>
      </c>
      <c r="F207" s="90">
        <v>12495950</v>
      </c>
      <c r="G207" s="90">
        <v>4050</v>
      </c>
      <c r="H207" s="91">
        <v>0</v>
      </c>
      <c r="I207" s="92" t="s">
        <v>139</v>
      </c>
      <c r="J207" s="92" t="s">
        <v>16</v>
      </c>
    </row>
    <row r="208" spans="1:10" x14ac:dyDescent="0.35">
      <c r="A208" s="89" t="s">
        <v>201</v>
      </c>
      <c r="B208" s="90">
        <v>9823162126</v>
      </c>
      <c r="C208" s="90">
        <v>9823162126</v>
      </c>
      <c r="D208" s="91">
        <v>0</v>
      </c>
      <c r="E208" s="90">
        <v>1412923038</v>
      </c>
      <c r="F208" s="90">
        <v>1412923038</v>
      </c>
      <c r="G208" s="90">
        <v>8410239088</v>
      </c>
      <c r="H208" s="91">
        <v>0</v>
      </c>
      <c r="I208" s="92" t="s">
        <v>139</v>
      </c>
      <c r="J208" s="92" t="s">
        <v>12</v>
      </c>
    </row>
    <row r="209" spans="1:10" x14ac:dyDescent="0.35">
      <c r="A209" s="89" t="s">
        <v>202</v>
      </c>
      <c r="B209" s="90">
        <v>253256971</v>
      </c>
      <c r="C209" s="90">
        <v>253256971</v>
      </c>
      <c r="D209" s="91">
        <v>0</v>
      </c>
      <c r="E209" s="90">
        <v>40195286</v>
      </c>
      <c r="F209" s="90">
        <v>40195286</v>
      </c>
      <c r="G209" s="90">
        <v>213061685</v>
      </c>
      <c r="H209" s="91">
        <v>0</v>
      </c>
      <c r="I209" s="92" t="s">
        <v>139</v>
      </c>
      <c r="J209" s="92" t="s">
        <v>12</v>
      </c>
    </row>
    <row r="210" spans="1:10" x14ac:dyDescent="0.35">
      <c r="A210" s="89" t="s">
        <v>203</v>
      </c>
      <c r="B210" s="90">
        <v>9245675372</v>
      </c>
      <c r="C210" s="90">
        <v>9245675372</v>
      </c>
      <c r="D210" s="91">
        <v>0</v>
      </c>
      <c r="E210" s="90">
        <v>721505544</v>
      </c>
      <c r="F210" s="90">
        <v>721505544</v>
      </c>
      <c r="G210" s="90">
        <v>8524169828</v>
      </c>
      <c r="H210" s="91">
        <v>0</v>
      </c>
      <c r="I210" s="92" t="s">
        <v>139</v>
      </c>
      <c r="J210" s="92" t="s">
        <v>12</v>
      </c>
    </row>
    <row r="211" spans="1:10" x14ac:dyDescent="0.35">
      <c r="A211" s="89" t="s">
        <v>286</v>
      </c>
      <c r="B211" s="90">
        <v>53358150</v>
      </c>
      <c r="C211" s="90">
        <v>53358150</v>
      </c>
      <c r="D211" s="91">
        <v>0</v>
      </c>
      <c r="E211" s="91">
        <v>0</v>
      </c>
      <c r="F211" s="91">
        <v>0</v>
      </c>
      <c r="G211" s="90">
        <v>53358150</v>
      </c>
      <c r="H211" s="91">
        <v>0</v>
      </c>
      <c r="I211" s="92" t="s">
        <v>139</v>
      </c>
      <c r="J211" s="92" t="s">
        <v>12</v>
      </c>
    </row>
    <row r="212" spans="1:10" x14ac:dyDescent="0.35">
      <c r="A212" s="89" t="s">
        <v>204</v>
      </c>
      <c r="B212" s="90">
        <v>711662069</v>
      </c>
      <c r="C212" s="90">
        <v>711662069</v>
      </c>
      <c r="D212" s="91">
        <v>0</v>
      </c>
      <c r="E212" s="90">
        <v>148855099</v>
      </c>
      <c r="F212" s="90">
        <v>148855099</v>
      </c>
      <c r="G212" s="90">
        <v>562806970</v>
      </c>
      <c r="H212" s="91">
        <v>0</v>
      </c>
      <c r="I212" s="92" t="s">
        <v>139</v>
      </c>
      <c r="J212" s="92" t="s">
        <v>12</v>
      </c>
    </row>
    <row r="213" spans="1:10" x14ac:dyDescent="0.35">
      <c r="A213" s="89" t="s">
        <v>205</v>
      </c>
      <c r="B213" s="90">
        <v>24702462</v>
      </c>
      <c r="C213" s="90">
        <v>24702462</v>
      </c>
      <c r="D213" s="91">
        <v>0</v>
      </c>
      <c r="E213" s="90">
        <v>6364926</v>
      </c>
      <c r="F213" s="90">
        <v>6364926</v>
      </c>
      <c r="G213" s="90">
        <v>18337536</v>
      </c>
      <c r="H213" s="91">
        <v>0</v>
      </c>
      <c r="I213" s="92" t="s">
        <v>139</v>
      </c>
      <c r="J213" s="92" t="s">
        <v>12</v>
      </c>
    </row>
    <row r="214" spans="1:10" x14ac:dyDescent="0.35">
      <c r="A214" s="89" t="s">
        <v>206</v>
      </c>
      <c r="B214" s="90">
        <v>825165933</v>
      </c>
      <c r="C214" s="90">
        <v>825165933</v>
      </c>
      <c r="D214" s="91">
        <v>0</v>
      </c>
      <c r="E214" s="90">
        <v>113780405</v>
      </c>
      <c r="F214" s="90">
        <v>113780405</v>
      </c>
      <c r="G214" s="90">
        <v>711385528</v>
      </c>
      <c r="H214" s="91">
        <v>0</v>
      </c>
      <c r="I214" s="92" t="s">
        <v>139</v>
      </c>
      <c r="J214" s="92" t="s">
        <v>12</v>
      </c>
    </row>
    <row r="215" spans="1:10" x14ac:dyDescent="0.35">
      <c r="A215" s="89" t="s">
        <v>287</v>
      </c>
      <c r="B215" s="90">
        <v>2750420</v>
      </c>
      <c r="C215" s="90">
        <v>2750420</v>
      </c>
      <c r="D215" s="91">
        <v>0</v>
      </c>
      <c r="E215" s="91">
        <v>0</v>
      </c>
      <c r="F215" s="91">
        <v>0</v>
      </c>
      <c r="G215" s="90">
        <v>2750420</v>
      </c>
      <c r="H215" s="91">
        <v>0</v>
      </c>
      <c r="I215" s="92" t="s">
        <v>139</v>
      </c>
      <c r="J215" s="92" t="s">
        <v>12</v>
      </c>
    </row>
    <row r="216" spans="1:10" x14ac:dyDescent="0.35">
      <c r="A216" s="93" t="s">
        <v>239</v>
      </c>
      <c r="B216" s="94">
        <v>31456490899</v>
      </c>
      <c r="C216" s="94">
        <v>31456490899</v>
      </c>
      <c r="D216" s="94">
        <v>1462683597</v>
      </c>
      <c r="E216" s="94">
        <v>3042308885</v>
      </c>
      <c r="F216" s="94">
        <v>4504992482</v>
      </c>
      <c r="G216" s="94">
        <v>26951498417</v>
      </c>
      <c r="H216" s="95">
        <v>0</v>
      </c>
      <c r="I216" s="96" t="s">
        <v>139</v>
      </c>
      <c r="J216" s="96" t="e">
        <v>#N/A</v>
      </c>
    </row>
    <row r="217" spans="1:10" x14ac:dyDescent="0.35">
      <c r="A217" s="89" t="s">
        <v>178</v>
      </c>
      <c r="B217" s="90">
        <v>6132303000</v>
      </c>
      <c r="C217" s="90">
        <v>6132303000</v>
      </c>
      <c r="D217" s="90">
        <v>2745365730</v>
      </c>
      <c r="E217" s="91">
        <v>0</v>
      </c>
      <c r="F217" s="90">
        <v>2745365730</v>
      </c>
      <c r="G217" s="90">
        <v>3386937270</v>
      </c>
      <c r="H217" s="91">
        <v>0</v>
      </c>
      <c r="I217" s="92" t="s">
        <v>140</v>
      </c>
      <c r="J217" s="92" t="s">
        <v>10</v>
      </c>
    </row>
    <row r="218" spans="1:10" x14ac:dyDescent="0.35">
      <c r="A218" s="89" t="s">
        <v>181</v>
      </c>
      <c r="B218" s="90">
        <v>563153000</v>
      </c>
      <c r="C218" s="90">
        <v>563153000</v>
      </c>
      <c r="D218" s="91">
        <v>0</v>
      </c>
      <c r="E218" s="91">
        <v>0</v>
      </c>
      <c r="F218" s="91">
        <v>0</v>
      </c>
      <c r="G218" s="90">
        <v>563153000</v>
      </c>
      <c r="H218" s="91">
        <v>0</v>
      </c>
      <c r="I218" s="92" t="s">
        <v>140</v>
      </c>
      <c r="J218" s="92" t="s">
        <v>10</v>
      </c>
    </row>
    <row r="219" spans="1:10" x14ac:dyDescent="0.35">
      <c r="A219" s="89" t="s">
        <v>211</v>
      </c>
      <c r="B219" s="90">
        <v>50000000</v>
      </c>
      <c r="C219" s="90">
        <v>50000000</v>
      </c>
      <c r="D219" s="91">
        <v>0</v>
      </c>
      <c r="E219" s="91">
        <v>0</v>
      </c>
      <c r="F219" s="91">
        <v>0</v>
      </c>
      <c r="G219" s="90">
        <v>50000000</v>
      </c>
      <c r="H219" s="91">
        <v>0</v>
      </c>
      <c r="I219" s="92" t="s">
        <v>140</v>
      </c>
      <c r="J219" s="92" t="s">
        <v>10</v>
      </c>
    </row>
    <row r="220" spans="1:10" x14ac:dyDescent="0.35">
      <c r="A220" s="89" t="s">
        <v>212</v>
      </c>
      <c r="B220" s="90">
        <v>247500000</v>
      </c>
      <c r="C220" s="90">
        <v>247500000</v>
      </c>
      <c r="D220" s="90">
        <v>29117120</v>
      </c>
      <c r="E220" s="91">
        <v>0</v>
      </c>
      <c r="F220" s="90">
        <v>29117120</v>
      </c>
      <c r="G220" s="90">
        <v>218382880</v>
      </c>
      <c r="H220" s="91">
        <v>0</v>
      </c>
      <c r="I220" s="92" t="s">
        <v>140</v>
      </c>
      <c r="J220" s="92" t="s">
        <v>10</v>
      </c>
    </row>
    <row r="221" spans="1:10" x14ac:dyDescent="0.35">
      <c r="A221" s="89" t="s">
        <v>182</v>
      </c>
      <c r="B221" s="90">
        <v>100000000</v>
      </c>
      <c r="C221" s="90">
        <v>100000000</v>
      </c>
      <c r="D221" s="91">
        <v>0</v>
      </c>
      <c r="E221" s="91">
        <v>0</v>
      </c>
      <c r="F221" s="91">
        <v>0</v>
      </c>
      <c r="G221" s="90">
        <v>100000000</v>
      </c>
      <c r="H221" s="91">
        <v>0</v>
      </c>
      <c r="I221" s="92" t="s">
        <v>140</v>
      </c>
      <c r="J221" s="92" t="s">
        <v>10</v>
      </c>
    </row>
    <row r="222" spans="1:10" x14ac:dyDescent="0.35">
      <c r="A222" s="89" t="s">
        <v>184</v>
      </c>
      <c r="B222" s="90">
        <v>655195500</v>
      </c>
      <c r="C222" s="90">
        <v>655195500</v>
      </c>
      <c r="D222" s="90">
        <v>26946000</v>
      </c>
      <c r="E222" s="90">
        <v>100383550</v>
      </c>
      <c r="F222" s="90">
        <v>127329550</v>
      </c>
      <c r="G222" s="90">
        <v>527865950</v>
      </c>
      <c r="H222" s="91">
        <v>0</v>
      </c>
      <c r="I222" s="92" t="s">
        <v>140</v>
      </c>
      <c r="J222" s="92" t="s">
        <v>10</v>
      </c>
    </row>
    <row r="223" spans="1:10" x14ac:dyDescent="0.35">
      <c r="A223" s="89" t="s">
        <v>185</v>
      </c>
      <c r="B223" s="90">
        <v>690000000</v>
      </c>
      <c r="C223" s="90">
        <v>690000000</v>
      </c>
      <c r="D223" s="90">
        <v>127050500</v>
      </c>
      <c r="E223" s="90">
        <v>157861000</v>
      </c>
      <c r="F223" s="90">
        <v>284911500</v>
      </c>
      <c r="G223" s="90">
        <v>405088500</v>
      </c>
      <c r="H223" s="91">
        <v>0</v>
      </c>
      <c r="I223" s="92" t="s">
        <v>140</v>
      </c>
      <c r="J223" s="92" t="s">
        <v>10</v>
      </c>
    </row>
    <row r="224" spans="1:10" x14ac:dyDescent="0.35">
      <c r="A224" s="89" t="s">
        <v>213</v>
      </c>
      <c r="B224" s="90">
        <v>175000000</v>
      </c>
      <c r="C224" s="90">
        <v>175000000</v>
      </c>
      <c r="D224" s="91">
        <v>0</v>
      </c>
      <c r="E224" s="91">
        <v>0</v>
      </c>
      <c r="F224" s="91">
        <v>0</v>
      </c>
      <c r="G224" s="90">
        <v>175000000</v>
      </c>
      <c r="H224" s="91">
        <v>0</v>
      </c>
      <c r="I224" s="92" t="s">
        <v>140</v>
      </c>
      <c r="J224" s="92" t="s">
        <v>10</v>
      </c>
    </row>
    <row r="225" spans="1:10" x14ac:dyDescent="0.35">
      <c r="A225" s="89" t="s">
        <v>214</v>
      </c>
      <c r="B225" s="90">
        <v>248500000</v>
      </c>
      <c r="C225" s="90">
        <v>248500000</v>
      </c>
      <c r="D225" s="91">
        <v>0</v>
      </c>
      <c r="E225" s="91">
        <v>0</v>
      </c>
      <c r="F225" s="91">
        <v>0</v>
      </c>
      <c r="G225" s="90">
        <v>248500000</v>
      </c>
      <c r="H225" s="91">
        <v>0</v>
      </c>
      <c r="I225" s="92" t="s">
        <v>140</v>
      </c>
      <c r="J225" s="92" t="s">
        <v>10</v>
      </c>
    </row>
    <row r="226" spans="1:10" x14ac:dyDescent="0.35">
      <c r="A226" s="89" t="s">
        <v>215</v>
      </c>
      <c r="B226" s="90">
        <v>50000000</v>
      </c>
      <c r="C226" s="90">
        <v>50000000</v>
      </c>
      <c r="D226" s="90">
        <v>6718000</v>
      </c>
      <c r="E226" s="91">
        <v>0</v>
      </c>
      <c r="F226" s="90">
        <v>6718000</v>
      </c>
      <c r="G226" s="90">
        <v>43282000</v>
      </c>
      <c r="H226" s="91">
        <v>0</v>
      </c>
      <c r="I226" s="92" t="s">
        <v>140</v>
      </c>
      <c r="J226" s="92" t="s">
        <v>10</v>
      </c>
    </row>
    <row r="227" spans="1:10" x14ac:dyDescent="0.35">
      <c r="A227" s="89" t="s">
        <v>216</v>
      </c>
      <c r="B227" s="90">
        <v>1132032500</v>
      </c>
      <c r="C227" s="90">
        <v>1132032500</v>
      </c>
      <c r="D227" s="91">
        <v>0</v>
      </c>
      <c r="E227" s="91">
        <v>0</v>
      </c>
      <c r="F227" s="91">
        <v>0</v>
      </c>
      <c r="G227" s="90">
        <v>1132032500</v>
      </c>
      <c r="H227" s="91">
        <v>0</v>
      </c>
      <c r="I227" s="92" t="s">
        <v>140</v>
      </c>
      <c r="J227" s="92" t="s">
        <v>10</v>
      </c>
    </row>
    <row r="228" spans="1:10" x14ac:dyDescent="0.35">
      <c r="A228" s="89" t="s">
        <v>236</v>
      </c>
      <c r="B228" s="90">
        <v>15000000</v>
      </c>
      <c r="C228" s="90">
        <v>15000000</v>
      </c>
      <c r="D228" s="91">
        <v>0</v>
      </c>
      <c r="E228" s="91">
        <v>0</v>
      </c>
      <c r="F228" s="91">
        <v>0</v>
      </c>
      <c r="G228" s="90">
        <v>15000000</v>
      </c>
      <c r="H228" s="91">
        <v>0</v>
      </c>
      <c r="I228" s="92" t="s">
        <v>140</v>
      </c>
      <c r="J228" s="92" t="s">
        <v>62</v>
      </c>
    </row>
    <row r="229" spans="1:10" x14ac:dyDescent="0.35">
      <c r="A229" s="89" t="s">
        <v>220</v>
      </c>
      <c r="B229" s="90">
        <v>577500000</v>
      </c>
      <c r="C229" s="90">
        <v>577500000</v>
      </c>
      <c r="D229" s="91">
        <v>0</v>
      </c>
      <c r="E229" s="91">
        <v>0</v>
      </c>
      <c r="F229" s="91">
        <v>0</v>
      </c>
      <c r="G229" s="90">
        <v>577500000</v>
      </c>
      <c r="H229" s="91">
        <v>0</v>
      </c>
      <c r="I229" s="92" t="s">
        <v>140</v>
      </c>
      <c r="J229" s="92" t="s">
        <v>62</v>
      </c>
    </row>
    <row r="230" spans="1:10" x14ac:dyDescent="0.35">
      <c r="A230" s="89" t="s">
        <v>191</v>
      </c>
      <c r="B230" s="90">
        <v>520000000</v>
      </c>
      <c r="C230" s="90">
        <v>520000000</v>
      </c>
      <c r="D230" s="91">
        <v>0</v>
      </c>
      <c r="E230" s="91">
        <v>0</v>
      </c>
      <c r="F230" s="91">
        <v>0</v>
      </c>
      <c r="G230" s="90">
        <v>520000000</v>
      </c>
      <c r="H230" s="91">
        <v>0</v>
      </c>
      <c r="I230" s="92" t="s">
        <v>140</v>
      </c>
      <c r="J230" s="92" t="s">
        <v>31</v>
      </c>
    </row>
    <row r="231" spans="1:10" x14ac:dyDescent="0.35">
      <c r="A231" s="89" t="s">
        <v>221</v>
      </c>
      <c r="B231" s="90">
        <v>125000000</v>
      </c>
      <c r="C231" s="90">
        <v>125000000</v>
      </c>
      <c r="D231" s="90">
        <v>32848750</v>
      </c>
      <c r="E231" s="91">
        <v>0</v>
      </c>
      <c r="F231" s="90">
        <v>32848750</v>
      </c>
      <c r="G231" s="90">
        <v>92151250</v>
      </c>
      <c r="H231" s="91">
        <v>0</v>
      </c>
      <c r="I231" s="92" t="s">
        <v>140</v>
      </c>
      <c r="J231" s="92" t="s">
        <v>67</v>
      </c>
    </row>
    <row r="232" spans="1:10" x14ac:dyDescent="0.35">
      <c r="A232" s="89" t="s">
        <v>222</v>
      </c>
      <c r="B232" s="90">
        <v>765894000</v>
      </c>
      <c r="C232" s="90">
        <v>765894000</v>
      </c>
      <c r="D232" s="91">
        <v>0</v>
      </c>
      <c r="E232" s="90">
        <v>396859899</v>
      </c>
      <c r="F232" s="90">
        <v>396859899</v>
      </c>
      <c r="G232" s="90">
        <v>369034101</v>
      </c>
      <c r="H232" s="91">
        <v>0</v>
      </c>
      <c r="I232" s="92" t="s">
        <v>140</v>
      </c>
      <c r="J232" s="92" t="s">
        <v>35</v>
      </c>
    </row>
    <row r="233" spans="1:10" x14ac:dyDescent="0.35">
      <c r="A233" s="89" t="s">
        <v>194</v>
      </c>
      <c r="B233" s="90">
        <v>36720850</v>
      </c>
      <c r="C233" s="90">
        <v>36720850</v>
      </c>
      <c r="D233" s="90">
        <v>15291000</v>
      </c>
      <c r="E233" s="90">
        <v>4980000</v>
      </c>
      <c r="F233" s="90">
        <v>20271000</v>
      </c>
      <c r="G233" s="90">
        <v>16449850</v>
      </c>
      <c r="H233" s="91">
        <v>0</v>
      </c>
      <c r="I233" s="92" t="s">
        <v>140</v>
      </c>
      <c r="J233" s="92" t="s">
        <v>16</v>
      </c>
    </row>
    <row r="234" spans="1:10" x14ac:dyDescent="0.35">
      <c r="A234" s="89" t="s">
        <v>195</v>
      </c>
      <c r="B234" s="90">
        <v>118079500</v>
      </c>
      <c r="C234" s="90">
        <v>118079500</v>
      </c>
      <c r="D234" s="90">
        <v>37411500</v>
      </c>
      <c r="E234" s="90">
        <v>41200400</v>
      </c>
      <c r="F234" s="90">
        <v>78611900</v>
      </c>
      <c r="G234" s="90">
        <v>39467600</v>
      </c>
      <c r="H234" s="91">
        <v>0</v>
      </c>
      <c r="I234" s="92" t="s">
        <v>140</v>
      </c>
      <c r="J234" s="92" t="s">
        <v>16</v>
      </c>
    </row>
    <row r="235" spans="1:10" x14ac:dyDescent="0.35">
      <c r="A235" s="89" t="s">
        <v>196</v>
      </c>
      <c r="B235" s="90">
        <v>24750000</v>
      </c>
      <c r="C235" s="90">
        <v>24750000</v>
      </c>
      <c r="D235" s="91">
        <v>0</v>
      </c>
      <c r="E235" s="90">
        <v>8250000</v>
      </c>
      <c r="F235" s="90">
        <v>8250000</v>
      </c>
      <c r="G235" s="90">
        <v>16500000</v>
      </c>
      <c r="H235" s="91">
        <v>0</v>
      </c>
      <c r="I235" s="92" t="s">
        <v>140</v>
      </c>
      <c r="J235" s="92" t="s">
        <v>16</v>
      </c>
    </row>
    <row r="236" spans="1:10" x14ac:dyDescent="0.35">
      <c r="A236" s="89" t="s">
        <v>197</v>
      </c>
      <c r="B236" s="90">
        <v>243750000</v>
      </c>
      <c r="C236" s="90">
        <v>243750000</v>
      </c>
      <c r="D236" s="90">
        <v>63772935</v>
      </c>
      <c r="E236" s="90">
        <v>24059500</v>
      </c>
      <c r="F236" s="90">
        <v>87832435</v>
      </c>
      <c r="G236" s="90">
        <v>155917565</v>
      </c>
      <c r="H236" s="91">
        <v>0</v>
      </c>
      <c r="I236" s="92" t="s">
        <v>140</v>
      </c>
      <c r="J236" s="92" t="s">
        <v>16</v>
      </c>
    </row>
    <row r="237" spans="1:10" x14ac:dyDescent="0.35">
      <c r="A237" s="89" t="s">
        <v>199</v>
      </c>
      <c r="B237" s="90">
        <v>67428000</v>
      </c>
      <c r="C237" s="90">
        <v>67428000</v>
      </c>
      <c r="D237" s="91">
        <v>0</v>
      </c>
      <c r="E237" s="90">
        <v>36000750</v>
      </c>
      <c r="F237" s="90">
        <v>36000750</v>
      </c>
      <c r="G237" s="90">
        <v>31427250</v>
      </c>
      <c r="H237" s="91">
        <v>0</v>
      </c>
      <c r="I237" s="92" t="s">
        <v>140</v>
      </c>
      <c r="J237" s="92" t="s">
        <v>16</v>
      </c>
    </row>
    <row r="238" spans="1:10" x14ac:dyDescent="0.35">
      <c r="A238" s="89" t="s">
        <v>200</v>
      </c>
      <c r="B238" s="90">
        <v>15000000</v>
      </c>
      <c r="C238" s="90">
        <v>15000000</v>
      </c>
      <c r="D238" s="91">
        <v>0</v>
      </c>
      <c r="E238" s="91">
        <v>0</v>
      </c>
      <c r="F238" s="91">
        <v>0</v>
      </c>
      <c r="G238" s="90">
        <v>15000000</v>
      </c>
      <c r="H238" s="91">
        <v>0</v>
      </c>
      <c r="I238" s="92" t="s">
        <v>140</v>
      </c>
      <c r="J238" s="92" t="s">
        <v>16</v>
      </c>
    </row>
    <row r="239" spans="1:10" x14ac:dyDescent="0.35">
      <c r="A239" s="89" t="s">
        <v>201</v>
      </c>
      <c r="B239" s="90">
        <v>9825956170</v>
      </c>
      <c r="C239" s="90">
        <v>9825956170</v>
      </c>
      <c r="D239" s="91">
        <v>0</v>
      </c>
      <c r="E239" s="90">
        <v>1413862314</v>
      </c>
      <c r="F239" s="90">
        <v>1413862314</v>
      </c>
      <c r="G239" s="90">
        <v>8412093856</v>
      </c>
      <c r="H239" s="91">
        <v>0</v>
      </c>
      <c r="I239" s="92" t="s">
        <v>140</v>
      </c>
      <c r="J239" s="92" t="s">
        <v>12</v>
      </c>
    </row>
    <row r="240" spans="1:10" x14ac:dyDescent="0.35">
      <c r="A240" s="89" t="s">
        <v>202</v>
      </c>
      <c r="B240" s="90">
        <v>469848578</v>
      </c>
      <c r="C240" s="90">
        <v>469848578</v>
      </c>
      <c r="D240" s="91">
        <v>0</v>
      </c>
      <c r="E240" s="90">
        <v>81372528</v>
      </c>
      <c r="F240" s="90">
        <v>81372528</v>
      </c>
      <c r="G240" s="90">
        <v>388476050</v>
      </c>
      <c r="H240" s="91">
        <v>0</v>
      </c>
      <c r="I240" s="92" t="s">
        <v>140</v>
      </c>
      <c r="J240" s="92" t="s">
        <v>12</v>
      </c>
    </row>
    <row r="241" spans="1:10" x14ac:dyDescent="0.35">
      <c r="A241" s="89" t="s">
        <v>203</v>
      </c>
      <c r="B241" s="90">
        <v>9512105917</v>
      </c>
      <c r="C241" s="90">
        <v>9512105917</v>
      </c>
      <c r="D241" s="91">
        <v>0</v>
      </c>
      <c r="E241" s="90">
        <v>721378720</v>
      </c>
      <c r="F241" s="90">
        <v>721378720</v>
      </c>
      <c r="G241" s="90">
        <v>8790727197</v>
      </c>
      <c r="H241" s="91">
        <v>0</v>
      </c>
      <c r="I241" s="92" t="s">
        <v>140</v>
      </c>
      <c r="J241" s="92" t="s">
        <v>12</v>
      </c>
    </row>
    <row r="242" spans="1:10" x14ac:dyDescent="0.35">
      <c r="A242" s="89" t="s">
        <v>286</v>
      </c>
      <c r="B242" s="90">
        <v>52257981</v>
      </c>
      <c r="C242" s="90">
        <v>52257981</v>
      </c>
      <c r="D242" s="91">
        <v>0</v>
      </c>
      <c r="E242" s="91">
        <v>0</v>
      </c>
      <c r="F242" s="91">
        <v>0</v>
      </c>
      <c r="G242" s="90">
        <v>52257981</v>
      </c>
      <c r="H242" s="91">
        <v>0</v>
      </c>
      <c r="I242" s="92" t="s">
        <v>140</v>
      </c>
      <c r="J242" s="92" t="s">
        <v>12</v>
      </c>
    </row>
    <row r="243" spans="1:10" x14ac:dyDescent="0.35">
      <c r="A243" s="89" t="s">
        <v>204</v>
      </c>
      <c r="B243" s="90">
        <v>994942561</v>
      </c>
      <c r="C243" s="90">
        <v>994942561</v>
      </c>
      <c r="D243" s="91">
        <v>0</v>
      </c>
      <c r="E243" s="90">
        <v>142576822</v>
      </c>
      <c r="F243" s="90">
        <v>142576822</v>
      </c>
      <c r="G243" s="90">
        <v>852365739</v>
      </c>
      <c r="H243" s="91">
        <v>0</v>
      </c>
      <c r="I243" s="92" t="s">
        <v>140</v>
      </c>
      <c r="J243" s="92" t="s">
        <v>12</v>
      </c>
    </row>
    <row r="244" spans="1:10" x14ac:dyDescent="0.35">
      <c r="A244" s="89" t="s">
        <v>205</v>
      </c>
      <c r="B244" s="90">
        <v>33538359</v>
      </c>
      <c r="C244" s="90">
        <v>33538359</v>
      </c>
      <c r="D244" s="91">
        <v>0</v>
      </c>
      <c r="E244" s="90">
        <v>6842991</v>
      </c>
      <c r="F244" s="90">
        <v>6842991</v>
      </c>
      <c r="G244" s="90">
        <v>26695368</v>
      </c>
      <c r="H244" s="91">
        <v>0</v>
      </c>
      <c r="I244" s="92" t="s">
        <v>140</v>
      </c>
      <c r="J244" s="92" t="s">
        <v>12</v>
      </c>
    </row>
    <row r="245" spans="1:10" x14ac:dyDescent="0.35">
      <c r="A245" s="89" t="s">
        <v>206</v>
      </c>
      <c r="B245" s="90">
        <v>1099727334</v>
      </c>
      <c r="C245" s="90">
        <v>1099727334</v>
      </c>
      <c r="D245" s="91">
        <v>0</v>
      </c>
      <c r="E245" s="90">
        <v>115590000</v>
      </c>
      <c r="F245" s="90">
        <v>115590000</v>
      </c>
      <c r="G245" s="90">
        <v>984137334</v>
      </c>
      <c r="H245" s="91">
        <v>0</v>
      </c>
      <c r="I245" s="92" t="s">
        <v>140</v>
      </c>
      <c r="J245" s="92" t="s">
        <v>12</v>
      </c>
    </row>
    <row r="246" spans="1:10" x14ac:dyDescent="0.35">
      <c r="A246" s="89" t="s">
        <v>287</v>
      </c>
      <c r="B246" s="90">
        <v>2750420</v>
      </c>
      <c r="C246" s="90">
        <v>2750420</v>
      </c>
      <c r="D246" s="91">
        <v>0</v>
      </c>
      <c r="E246" s="91">
        <v>0</v>
      </c>
      <c r="F246" s="91">
        <v>0</v>
      </c>
      <c r="G246" s="90">
        <v>2750420</v>
      </c>
      <c r="H246" s="91">
        <v>0</v>
      </c>
      <c r="I246" s="92" t="s">
        <v>140</v>
      </c>
      <c r="J246" s="92" t="s">
        <v>12</v>
      </c>
    </row>
    <row r="247" spans="1:10" x14ac:dyDescent="0.35">
      <c r="A247" s="93" t="s">
        <v>240</v>
      </c>
      <c r="B247" s="94">
        <v>34543933670</v>
      </c>
      <c r="C247" s="94">
        <v>34543933670</v>
      </c>
      <c r="D247" s="94">
        <v>3084521535</v>
      </c>
      <c r="E247" s="94">
        <v>3251218474</v>
      </c>
      <c r="F247" s="94">
        <v>6335740009</v>
      </c>
      <c r="G247" s="94">
        <v>28208193661</v>
      </c>
      <c r="H247" s="95">
        <v>0</v>
      </c>
      <c r="I247" s="96" t="s">
        <v>140</v>
      </c>
      <c r="J247" s="96" t="e">
        <v>#N/A</v>
      </c>
    </row>
    <row r="248" spans="1:10" x14ac:dyDescent="0.35">
      <c r="A248" s="89" t="s">
        <v>178</v>
      </c>
      <c r="B248" s="90">
        <v>2847534500</v>
      </c>
      <c r="C248" s="90">
        <v>2847534500</v>
      </c>
      <c r="D248" s="90">
        <v>718522000</v>
      </c>
      <c r="E248" s="91">
        <v>0</v>
      </c>
      <c r="F248" s="90">
        <v>718522000</v>
      </c>
      <c r="G248" s="90">
        <v>2129012500</v>
      </c>
      <c r="H248" s="91">
        <v>0</v>
      </c>
      <c r="I248" s="92" t="s">
        <v>141</v>
      </c>
      <c r="J248" s="92" t="s">
        <v>10</v>
      </c>
    </row>
    <row r="249" spans="1:10" x14ac:dyDescent="0.35">
      <c r="A249" s="89" t="s">
        <v>181</v>
      </c>
      <c r="B249" s="90">
        <v>770000000</v>
      </c>
      <c r="C249" s="90">
        <v>770000000</v>
      </c>
      <c r="D249" s="90">
        <v>500352807</v>
      </c>
      <c r="E249" s="91">
        <v>0</v>
      </c>
      <c r="F249" s="90">
        <v>500352807</v>
      </c>
      <c r="G249" s="90">
        <v>269647193</v>
      </c>
      <c r="H249" s="91">
        <v>0</v>
      </c>
      <c r="I249" s="92" t="s">
        <v>141</v>
      </c>
      <c r="J249" s="92" t="s">
        <v>10</v>
      </c>
    </row>
    <row r="250" spans="1:10" x14ac:dyDescent="0.35">
      <c r="A250" s="89" t="s">
        <v>211</v>
      </c>
      <c r="B250" s="90">
        <v>179171000</v>
      </c>
      <c r="C250" s="90">
        <v>179171000</v>
      </c>
      <c r="D250" s="91">
        <v>0</v>
      </c>
      <c r="E250" s="91">
        <v>0</v>
      </c>
      <c r="F250" s="91">
        <v>0</v>
      </c>
      <c r="G250" s="90">
        <v>179171000</v>
      </c>
      <c r="H250" s="91">
        <v>0</v>
      </c>
      <c r="I250" s="92" t="s">
        <v>141</v>
      </c>
      <c r="J250" s="92" t="s">
        <v>10</v>
      </c>
    </row>
    <row r="251" spans="1:10" x14ac:dyDescent="0.35">
      <c r="A251" s="89" t="s">
        <v>212</v>
      </c>
      <c r="B251" s="90">
        <v>75000000</v>
      </c>
      <c r="C251" s="90">
        <v>75000000</v>
      </c>
      <c r="D251" s="91">
        <v>0</v>
      </c>
      <c r="E251" s="91">
        <v>0</v>
      </c>
      <c r="F251" s="91">
        <v>0</v>
      </c>
      <c r="G251" s="90">
        <v>75000000</v>
      </c>
      <c r="H251" s="91">
        <v>0</v>
      </c>
      <c r="I251" s="92" t="s">
        <v>141</v>
      </c>
      <c r="J251" s="92" t="s">
        <v>10</v>
      </c>
    </row>
    <row r="252" spans="1:10" x14ac:dyDescent="0.35">
      <c r="A252" s="89" t="s">
        <v>182</v>
      </c>
      <c r="B252" s="90">
        <v>437500000</v>
      </c>
      <c r="C252" s="90">
        <v>437500000</v>
      </c>
      <c r="D252" s="90">
        <v>6817000</v>
      </c>
      <c r="E252" s="91">
        <v>0</v>
      </c>
      <c r="F252" s="90">
        <v>6817000</v>
      </c>
      <c r="G252" s="90">
        <v>430683000</v>
      </c>
      <c r="H252" s="91">
        <v>0</v>
      </c>
      <c r="I252" s="92" t="s">
        <v>141</v>
      </c>
      <c r="J252" s="92" t="s">
        <v>10</v>
      </c>
    </row>
    <row r="253" spans="1:10" x14ac:dyDescent="0.35">
      <c r="A253" s="89" t="s">
        <v>183</v>
      </c>
      <c r="B253" s="90">
        <v>1634991000</v>
      </c>
      <c r="C253" s="90">
        <v>1634991000</v>
      </c>
      <c r="D253" s="90">
        <v>272260000</v>
      </c>
      <c r="E253" s="90">
        <v>24650000</v>
      </c>
      <c r="F253" s="90">
        <v>296910000</v>
      </c>
      <c r="G253" s="90">
        <v>1338081000</v>
      </c>
      <c r="H253" s="91">
        <v>0</v>
      </c>
      <c r="I253" s="92" t="s">
        <v>141</v>
      </c>
      <c r="J253" s="92" t="s">
        <v>10</v>
      </c>
    </row>
    <row r="254" spans="1:10" x14ac:dyDescent="0.35">
      <c r="A254" s="89" t="s">
        <v>184</v>
      </c>
      <c r="B254" s="90">
        <v>245566500</v>
      </c>
      <c r="C254" s="90">
        <v>245566500</v>
      </c>
      <c r="D254" s="90">
        <v>98325000</v>
      </c>
      <c r="E254" s="91">
        <v>0</v>
      </c>
      <c r="F254" s="90">
        <v>98325000</v>
      </c>
      <c r="G254" s="90">
        <v>147241500</v>
      </c>
      <c r="H254" s="91">
        <v>0</v>
      </c>
      <c r="I254" s="92" t="s">
        <v>141</v>
      </c>
      <c r="J254" s="92" t="s">
        <v>10</v>
      </c>
    </row>
    <row r="255" spans="1:10" x14ac:dyDescent="0.35">
      <c r="A255" s="89" t="s">
        <v>185</v>
      </c>
      <c r="B255" s="90">
        <v>850000000</v>
      </c>
      <c r="C255" s="90">
        <v>850000000</v>
      </c>
      <c r="D255" s="90">
        <v>105930000</v>
      </c>
      <c r="E255" s="91">
        <v>0</v>
      </c>
      <c r="F255" s="90">
        <v>105930000</v>
      </c>
      <c r="G255" s="90">
        <v>744070000</v>
      </c>
      <c r="H255" s="91">
        <v>0</v>
      </c>
      <c r="I255" s="92" t="s">
        <v>141</v>
      </c>
      <c r="J255" s="92" t="s">
        <v>10</v>
      </c>
    </row>
    <row r="256" spans="1:10" x14ac:dyDescent="0.35">
      <c r="A256" s="89" t="s">
        <v>213</v>
      </c>
      <c r="B256" s="90">
        <v>200000000</v>
      </c>
      <c r="C256" s="90">
        <v>200000000</v>
      </c>
      <c r="D256" s="91">
        <v>0</v>
      </c>
      <c r="E256" s="91">
        <v>0</v>
      </c>
      <c r="F256" s="91">
        <v>0</v>
      </c>
      <c r="G256" s="90">
        <v>200000000</v>
      </c>
      <c r="H256" s="91">
        <v>0</v>
      </c>
      <c r="I256" s="92" t="s">
        <v>141</v>
      </c>
      <c r="J256" s="92" t="s">
        <v>10</v>
      </c>
    </row>
    <row r="257" spans="1:10" x14ac:dyDescent="0.35">
      <c r="A257" s="89" t="s">
        <v>214</v>
      </c>
      <c r="B257" s="90">
        <v>620000000</v>
      </c>
      <c r="C257" s="90">
        <v>620000000</v>
      </c>
      <c r="D257" s="90">
        <v>49633664</v>
      </c>
      <c r="E257" s="91">
        <v>0</v>
      </c>
      <c r="F257" s="90">
        <v>49633664</v>
      </c>
      <c r="G257" s="90">
        <v>570366336</v>
      </c>
      <c r="H257" s="91">
        <v>0</v>
      </c>
      <c r="I257" s="92" t="s">
        <v>141</v>
      </c>
      <c r="J257" s="92" t="s">
        <v>10</v>
      </c>
    </row>
    <row r="258" spans="1:10" x14ac:dyDescent="0.35">
      <c r="A258" s="89" t="s">
        <v>215</v>
      </c>
      <c r="B258" s="90">
        <v>75000000</v>
      </c>
      <c r="C258" s="90">
        <v>75000000</v>
      </c>
      <c r="D258" s="91">
        <v>0</v>
      </c>
      <c r="E258" s="91">
        <v>0</v>
      </c>
      <c r="F258" s="91">
        <v>0</v>
      </c>
      <c r="G258" s="90">
        <v>75000000</v>
      </c>
      <c r="H258" s="91">
        <v>0</v>
      </c>
      <c r="I258" s="92" t="s">
        <v>141</v>
      </c>
      <c r="J258" s="92" t="s">
        <v>10</v>
      </c>
    </row>
    <row r="259" spans="1:10" x14ac:dyDescent="0.35">
      <c r="A259" s="89" t="s">
        <v>216</v>
      </c>
      <c r="B259" s="90">
        <v>1334151500</v>
      </c>
      <c r="C259" s="90">
        <v>1334151500</v>
      </c>
      <c r="D259" s="90">
        <v>1190000000</v>
      </c>
      <c r="E259" s="91">
        <v>0</v>
      </c>
      <c r="F259" s="90">
        <v>1190000000</v>
      </c>
      <c r="G259" s="90">
        <v>144151500</v>
      </c>
      <c r="H259" s="91">
        <v>0</v>
      </c>
      <c r="I259" s="92" t="s">
        <v>141</v>
      </c>
      <c r="J259" s="92" t="s">
        <v>10</v>
      </c>
    </row>
    <row r="260" spans="1:10" x14ac:dyDescent="0.35">
      <c r="A260" s="89" t="s">
        <v>187</v>
      </c>
      <c r="B260" s="90">
        <v>273768000</v>
      </c>
      <c r="C260" s="90">
        <v>273768000</v>
      </c>
      <c r="D260" s="90">
        <v>232560000</v>
      </c>
      <c r="E260" s="91">
        <v>0</v>
      </c>
      <c r="F260" s="90">
        <v>232560000</v>
      </c>
      <c r="G260" s="90">
        <v>41208000</v>
      </c>
      <c r="H260" s="91">
        <v>0</v>
      </c>
      <c r="I260" s="92" t="s">
        <v>141</v>
      </c>
      <c r="J260" s="92" t="s">
        <v>10</v>
      </c>
    </row>
    <row r="261" spans="1:10" x14ac:dyDescent="0.35">
      <c r="A261" s="89" t="s">
        <v>188</v>
      </c>
      <c r="B261" s="90">
        <v>2633662000</v>
      </c>
      <c r="C261" s="90">
        <v>2633662000</v>
      </c>
      <c r="D261" s="90">
        <v>1161600380</v>
      </c>
      <c r="E261" s="91">
        <v>0</v>
      </c>
      <c r="F261" s="90">
        <v>1161600380</v>
      </c>
      <c r="G261" s="90">
        <v>1472061620</v>
      </c>
      <c r="H261" s="91">
        <v>0</v>
      </c>
      <c r="I261" s="92" t="s">
        <v>141</v>
      </c>
      <c r="J261" s="92" t="s">
        <v>10</v>
      </c>
    </row>
    <row r="262" spans="1:10" x14ac:dyDescent="0.35">
      <c r="A262" s="89" t="s">
        <v>225</v>
      </c>
      <c r="B262" s="90">
        <v>575500000</v>
      </c>
      <c r="C262" s="90">
        <v>575500000</v>
      </c>
      <c r="D262" s="90">
        <v>316539281</v>
      </c>
      <c r="E262" s="91">
        <v>0</v>
      </c>
      <c r="F262" s="90">
        <v>316539281</v>
      </c>
      <c r="G262" s="90">
        <v>258960719</v>
      </c>
      <c r="H262" s="91">
        <v>0</v>
      </c>
      <c r="I262" s="92" t="s">
        <v>141</v>
      </c>
      <c r="J262" s="92" t="s">
        <v>10</v>
      </c>
    </row>
    <row r="263" spans="1:10" x14ac:dyDescent="0.35">
      <c r="A263" s="89" t="s">
        <v>227</v>
      </c>
      <c r="B263" s="90">
        <v>387500000</v>
      </c>
      <c r="C263" s="90">
        <v>387500000</v>
      </c>
      <c r="D263" s="90">
        <v>49450000</v>
      </c>
      <c r="E263" s="91">
        <v>0</v>
      </c>
      <c r="F263" s="90">
        <v>49450000</v>
      </c>
      <c r="G263" s="90">
        <v>338050000</v>
      </c>
      <c r="H263" s="91">
        <v>0</v>
      </c>
      <c r="I263" s="92" t="s">
        <v>141</v>
      </c>
      <c r="J263" s="92" t="s">
        <v>10</v>
      </c>
    </row>
    <row r="264" spans="1:10" x14ac:dyDescent="0.35">
      <c r="A264" s="89" t="s">
        <v>228</v>
      </c>
      <c r="B264" s="90">
        <v>1130000000</v>
      </c>
      <c r="C264" s="90">
        <v>1130000000</v>
      </c>
      <c r="D264" s="90">
        <v>6110000</v>
      </c>
      <c r="E264" s="91">
        <v>0</v>
      </c>
      <c r="F264" s="90">
        <v>6110000</v>
      </c>
      <c r="G264" s="90">
        <v>1123890000</v>
      </c>
      <c r="H264" s="91">
        <v>0</v>
      </c>
      <c r="I264" s="92" t="s">
        <v>141</v>
      </c>
      <c r="J264" s="92" t="s">
        <v>10</v>
      </c>
    </row>
    <row r="265" spans="1:10" x14ac:dyDescent="0.35">
      <c r="A265" s="89" t="s">
        <v>236</v>
      </c>
      <c r="B265" s="90">
        <v>125000000</v>
      </c>
      <c r="C265" s="90">
        <v>125000000</v>
      </c>
      <c r="D265" s="91">
        <v>0</v>
      </c>
      <c r="E265" s="91">
        <v>0</v>
      </c>
      <c r="F265" s="91">
        <v>0</v>
      </c>
      <c r="G265" s="90">
        <v>125000000</v>
      </c>
      <c r="H265" s="91">
        <v>0</v>
      </c>
      <c r="I265" s="92" t="s">
        <v>141</v>
      </c>
      <c r="J265" s="92" t="s">
        <v>62</v>
      </c>
    </row>
    <row r="266" spans="1:10" x14ac:dyDescent="0.35">
      <c r="A266" s="89" t="s">
        <v>220</v>
      </c>
      <c r="B266" s="90">
        <v>375000000</v>
      </c>
      <c r="C266" s="90">
        <v>375000000</v>
      </c>
      <c r="D266" s="91">
        <v>0</v>
      </c>
      <c r="E266" s="90">
        <v>36500000</v>
      </c>
      <c r="F266" s="90">
        <v>36500000</v>
      </c>
      <c r="G266" s="90">
        <v>338500000</v>
      </c>
      <c r="H266" s="91">
        <v>0</v>
      </c>
      <c r="I266" s="92" t="s">
        <v>141</v>
      </c>
      <c r="J266" s="92" t="s">
        <v>62</v>
      </c>
    </row>
    <row r="267" spans="1:10" x14ac:dyDescent="0.35">
      <c r="A267" s="89" t="s">
        <v>233</v>
      </c>
      <c r="B267" s="90">
        <v>621000000</v>
      </c>
      <c r="C267" s="90">
        <v>621000000</v>
      </c>
      <c r="D267" s="91">
        <v>0</v>
      </c>
      <c r="E267" s="91">
        <v>0</v>
      </c>
      <c r="F267" s="91">
        <v>0</v>
      </c>
      <c r="G267" s="90">
        <v>621000000</v>
      </c>
      <c r="H267" s="91">
        <v>0</v>
      </c>
      <c r="I267" s="92" t="s">
        <v>141</v>
      </c>
      <c r="J267" s="92" t="s">
        <v>62</v>
      </c>
    </row>
    <row r="268" spans="1:10" x14ac:dyDescent="0.35">
      <c r="A268" s="89" t="s">
        <v>191</v>
      </c>
      <c r="B268" s="90">
        <v>100000000</v>
      </c>
      <c r="C268" s="90">
        <v>100000000</v>
      </c>
      <c r="D268" s="91">
        <v>0</v>
      </c>
      <c r="E268" s="91">
        <v>0</v>
      </c>
      <c r="F268" s="91">
        <v>0</v>
      </c>
      <c r="G268" s="90">
        <v>100000000</v>
      </c>
      <c r="H268" s="91">
        <v>0</v>
      </c>
      <c r="I268" s="92" t="s">
        <v>141</v>
      </c>
      <c r="J268" s="92" t="s">
        <v>31</v>
      </c>
    </row>
    <row r="269" spans="1:10" x14ac:dyDescent="0.35">
      <c r="A269" s="89" t="s">
        <v>221</v>
      </c>
      <c r="B269" s="90">
        <v>173189000</v>
      </c>
      <c r="C269" s="90">
        <v>173189000</v>
      </c>
      <c r="D269" s="91">
        <v>0</v>
      </c>
      <c r="E269" s="90">
        <v>62100000</v>
      </c>
      <c r="F269" s="90">
        <v>62100000</v>
      </c>
      <c r="G269" s="90">
        <v>111089000</v>
      </c>
      <c r="H269" s="91">
        <v>0</v>
      </c>
      <c r="I269" s="92" t="s">
        <v>141</v>
      </c>
      <c r="J269" s="92" t="s">
        <v>67</v>
      </c>
    </row>
    <row r="270" spans="1:10" x14ac:dyDescent="0.35">
      <c r="A270" s="89" t="s">
        <v>222</v>
      </c>
      <c r="B270" s="90">
        <v>546340018</v>
      </c>
      <c r="C270" s="90">
        <v>546340018</v>
      </c>
      <c r="D270" s="91">
        <v>0</v>
      </c>
      <c r="E270" s="90">
        <v>320371955</v>
      </c>
      <c r="F270" s="90">
        <v>320371955</v>
      </c>
      <c r="G270" s="90">
        <v>225968063</v>
      </c>
      <c r="H270" s="91">
        <v>0</v>
      </c>
      <c r="I270" s="92" t="s">
        <v>141</v>
      </c>
      <c r="J270" s="92" t="s">
        <v>35</v>
      </c>
    </row>
    <row r="271" spans="1:10" x14ac:dyDescent="0.35">
      <c r="A271" s="89" t="s">
        <v>194</v>
      </c>
      <c r="B271" s="90">
        <v>24334750</v>
      </c>
      <c r="C271" s="90">
        <v>24334750</v>
      </c>
      <c r="D271" s="90">
        <v>12000000</v>
      </c>
      <c r="E271" s="90">
        <v>4128877</v>
      </c>
      <c r="F271" s="90">
        <v>16128877</v>
      </c>
      <c r="G271" s="90">
        <v>8205873</v>
      </c>
      <c r="H271" s="91">
        <v>0</v>
      </c>
      <c r="I271" s="92" t="s">
        <v>141</v>
      </c>
      <c r="J271" s="92" t="s">
        <v>16</v>
      </c>
    </row>
    <row r="272" spans="1:10" x14ac:dyDescent="0.35">
      <c r="A272" s="89" t="s">
        <v>195</v>
      </c>
      <c r="B272" s="90">
        <v>97531500</v>
      </c>
      <c r="C272" s="90">
        <v>97531500</v>
      </c>
      <c r="D272" s="90">
        <v>21321000</v>
      </c>
      <c r="E272" s="90">
        <v>69680733</v>
      </c>
      <c r="F272" s="90">
        <v>91001733</v>
      </c>
      <c r="G272" s="90">
        <v>6529767</v>
      </c>
      <c r="H272" s="91">
        <v>0</v>
      </c>
      <c r="I272" s="92" t="s">
        <v>141</v>
      </c>
      <c r="J272" s="92" t="s">
        <v>16</v>
      </c>
    </row>
    <row r="273" spans="1:10" x14ac:dyDescent="0.35">
      <c r="A273" s="89" t="s">
        <v>196</v>
      </c>
      <c r="B273" s="90">
        <v>37950000</v>
      </c>
      <c r="C273" s="90">
        <v>37950000</v>
      </c>
      <c r="D273" s="91">
        <v>0</v>
      </c>
      <c r="E273" s="90">
        <v>10250000</v>
      </c>
      <c r="F273" s="90">
        <v>10250000</v>
      </c>
      <c r="G273" s="90">
        <v>27700000</v>
      </c>
      <c r="H273" s="91">
        <v>0</v>
      </c>
      <c r="I273" s="92" t="s">
        <v>141</v>
      </c>
      <c r="J273" s="92" t="s">
        <v>16</v>
      </c>
    </row>
    <row r="274" spans="1:10" x14ac:dyDescent="0.35">
      <c r="A274" s="89" t="s">
        <v>197</v>
      </c>
      <c r="B274" s="90">
        <v>302334250</v>
      </c>
      <c r="C274" s="90">
        <v>302334250</v>
      </c>
      <c r="D274" s="91">
        <v>0</v>
      </c>
      <c r="E274" s="91">
        <v>0</v>
      </c>
      <c r="F274" s="91">
        <v>0</v>
      </c>
      <c r="G274" s="90">
        <v>302334250</v>
      </c>
      <c r="H274" s="91">
        <v>0</v>
      </c>
      <c r="I274" s="92" t="s">
        <v>141</v>
      </c>
      <c r="J274" s="92" t="s">
        <v>16</v>
      </c>
    </row>
    <row r="275" spans="1:10" x14ac:dyDescent="0.35">
      <c r="A275" s="89" t="s">
        <v>199</v>
      </c>
      <c r="B275" s="90">
        <v>79793750</v>
      </c>
      <c r="C275" s="90">
        <v>79793750</v>
      </c>
      <c r="D275" s="91">
        <v>0</v>
      </c>
      <c r="E275" s="90">
        <v>56874750</v>
      </c>
      <c r="F275" s="90">
        <v>56874750</v>
      </c>
      <c r="G275" s="90">
        <v>22919000</v>
      </c>
      <c r="H275" s="91">
        <v>0</v>
      </c>
      <c r="I275" s="92" t="s">
        <v>141</v>
      </c>
      <c r="J275" s="92" t="s">
        <v>16</v>
      </c>
    </row>
    <row r="276" spans="1:10" x14ac:dyDescent="0.35">
      <c r="A276" s="89" t="s">
        <v>238</v>
      </c>
      <c r="B276" s="90">
        <v>13812750</v>
      </c>
      <c r="C276" s="90">
        <v>13812750</v>
      </c>
      <c r="D276" s="91">
        <v>0</v>
      </c>
      <c r="E276" s="90">
        <v>13464055</v>
      </c>
      <c r="F276" s="90">
        <v>13464055</v>
      </c>
      <c r="G276" s="90">
        <v>348695</v>
      </c>
      <c r="H276" s="91">
        <v>0</v>
      </c>
      <c r="I276" s="92" t="s">
        <v>141</v>
      </c>
      <c r="J276" s="92" t="s">
        <v>16</v>
      </c>
    </row>
    <row r="277" spans="1:10" x14ac:dyDescent="0.35">
      <c r="A277" s="89" t="s">
        <v>200</v>
      </c>
      <c r="B277" s="90">
        <v>13675500</v>
      </c>
      <c r="C277" s="90">
        <v>13675500</v>
      </c>
      <c r="D277" s="90">
        <v>13582000</v>
      </c>
      <c r="E277" s="91">
        <v>0</v>
      </c>
      <c r="F277" s="90">
        <v>13582000</v>
      </c>
      <c r="G277" s="90">
        <v>93500</v>
      </c>
      <c r="H277" s="91">
        <v>0</v>
      </c>
      <c r="I277" s="92" t="s">
        <v>141</v>
      </c>
      <c r="J277" s="92" t="s">
        <v>16</v>
      </c>
    </row>
    <row r="278" spans="1:10" x14ac:dyDescent="0.35">
      <c r="A278" s="89" t="s">
        <v>292</v>
      </c>
      <c r="B278" s="91">
        <v>0</v>
      </c>
      <c r="C278" s="91">
        <v>0</v>
      </c>
      <c r="D278" s="91">
        <v>0</v>
      </c>
      <c r="E278" s="90">
        <v>9117949</v>
      </c>
      <c r="F278" s="90">
        <v>9117949</v>
      </c>
      <c r="G278" s="90">
        <v>-9117949</v>
      </c>
      <c r="H278" s="91">
        <v>0</v>
      </c>
      <c r="I278" s="92" t="s">
        <v>141</v>
      </c>
      <c r="J278" s="92" t="s">
        <v>12</v>
      </c>
    </row>
    <row r="279" spans="1:10" x14ac:dyDescent="0.35">
      <c r="A279" s="89" t="s">
        <v>201</v>
      </c>
      <c r="B279" s="90">
        <v>12622618927</v>
      </c>
      <c r="C279" s="90">
        <v>12622618927</v>
      </c>
      <c r="D279" s="91">
        <v>0</v>
      </c>
      <c r="E279" s="90">
        <v>1810485850</v>
      </c>
      <c r="F279" s="90">
        <v>1810485850</v>
      </c>
      <c r="G279" s="90">
        <v>10812133077</v>
      </c>
      <c r="H279" s="91">
        <v>0</v>
      </c>
      <c r="I279" s="92" t="s">
        <v>141</v>
      </c>
      <c r="J279" s="92" t="s">
        <v>12</v>
      </c>
    </row>
    <row r="280" spans="1:10" x14ac:dyDescent="0.35">
      <c r="A280" s="89" t="s">
        <v>202</v>
      </c>
      <c r="B280" s="90">
        <v>195048292</v>
      </c>
      <c r="C280" s="90">
        <v>195048292</v>
      </c>
      <c r="D280" s="91">
        <v>0</v>
      </c>
      <c r="E280" s="90">
        <v>30192218</v>
      </c>
      <c r="F280" s="90">
        <v>30192218</v>
      </c>
      <c r="G280" s="90">
        <v>164856074</v>
      </c>
      <c r="H280" s="91">
        <v>0</v>
      </c>
      <c r="I280" s="92" t="s">
        <v>141</v>
      </c>
      <c r="J280" s="92" t="s">
        <v>12</v>
      </c>
    </row>
    <row r="281" spans="1:10" x14ac:dyDescent="0.35">
      <c r="A281" s="89" t="s">
        <v>203</v>
      </c>
      <c r="B281" s="90">
        <v>12911717415</v>
      </c>
      <c r="C281" s="90">
        <v>12911717415</v>
      </c>
      <c r="D281" s="91">
        <v>0</v>
      </c>
      <c r="E281" s="90">
        <v>967035070</v>
      </c>
      <c r="F281" s="90">
        <v>967035070</v>
      </c>
      <c r="G281" s="90">
        <v>11944682345</v>
      </c>
      <c r="H281" s="91">
        <v>0</v>
      </c>
      <c r="I281" s="92" t="s">
        <v>141</v>
      </c>
      <c r="J281" s="92" t="s">
        <v>12</v>
      </c>
    </row>
    <row r="282" spans="1:10" x14ac:dyDescent="0.35">
      <c r="A282" s="89" t="s">
        <v>286</v>
      </c>
      <c r="B282" s="90">
        <v>74261342</v>
      </c>
      <c r="C282" s="90">
        <v>74261342</v>
      </c>
      <c r="D282" s="91">
        <v>0</v>
      </c>
      <c r="E282" s="91">
        <v>0</v>
      </c>
      <c r="F282" s="91">
        <v>0</v>
      </c>
      <c r="G282" s="90">
        <v>74261342</v>
      </c>
      <c r="H282" s="91">
        <v>0</v>
      </c>
      <c r="I282" s="92" t="s">
        <v>141</v>
      </c>
      <c r="J282" s="92" t="s">
        <v>12</v>
      </c>
    </row>
    <row r="283" spans="1:10" x14ac:dyDescent="0.35">
      <c r="A283" s="89" t="s">
        <v>204</v>
      </c>
      <c r="B283" s="90">
        <v>1260610655</v>
      </c>
      <c r="C283" s="90">
        <v>1260610655</v>
      </c>
      <c r="D283" s="91">
        <v>0</v>
      </c>
      <c r="E283" s="90">
        <v>159842823</v>
      </c>
      <c r="F283" s="90">
        <v>159842823</v>
      </c>
      <c r="G283" s="90">
        <v>1100767832</v>
      </c>
      <c r="H283" s="91">
        <v>0</v>
      </c>
      <c r="I283" s="92" t="s">
        <v>141</v>
      </c>
      <c r="J283" s="92" t="s">
        <v>12</v>
      </c>
    </row>
    <row r="284" spans="1:10" x14ac:dyDescent="0.35">
      <c r="A284" s="89" t="s">
        <v>205</v>
      </c>
      <c r="B284" s="90">
        <v>27455801</v>
      </c>
      <c r="C284" s="90">
        <v>27455801</v>
      </c>
      <c r="D284" s="91">
        <v>0</v>
      </c>
      <c r="E284" s="90">
        <v>4454672</v>
      </c>
      <c r="F284" s="90">
        <v>4454672</v>
      </c>
      <c r="G284" s="90">
        <v>23001129</v>
      </c>
      <c r="H284" s="91">
        <v>0</v>
      </c>
      <c r="I284" s="92" t="s">
        <v>141</v>
      </c>
      <c r="J284" s="92" t="s">
        <v>12</v>
      </c>
    </row>
    <row r="285" spans="1:10" x14ac:dyDescent="0.35">
      <c r="A285" s="89" t="s">
        <v>206</v>
      </c>
      <c r="B285" s="90">
        <v>1560328837</v>
      </c>
      <c r="C285" s="90">
        <v>1560328837</v>
      </c>
      <c r="D285" s="91">
        <v>0</v>
      </c>
      <c r="E285" s="90">
        <v>145465312</v>
      </c>
      <c r="F285" s="90">
        <v>145465312</v>
      </c>
      <c r="G285" s="90">
        <v>1414863525</v>
      </c>
      <c r="H285" s="91">
        <v>0</v>
      </c>
      <c r="I285" s="92" t="s">
        <v>141</v>
      </c>
      <c r="J285" s="92" t="s">
        <v>12</v>
      </c>
    </row>
    <row r="286" spans="1:10" x14ac:dyDescent="0.35">
      <c r="A286" s="89" t="s">
        <v>287</v>
      </c>
      <c r="B286" s="90">
        <v>2750420</v>
      </c>
      <c r="C286" s="90">
        <v>2750420</v>
      </c>
      <c r="D286" s="91">
        <v>0</v>
      </c>
      <c r="E286" s="91">
        <v>0</v>
      </c>
      <c r="F286" s="91">
        <v>0</v>
      </c>
      <c r="G286" s="90">
        <v>2750420</v>
      </c>
      <c r="H286" s="91">
        <v>0</v>
      </c>
      <c r="I286" s="92" t="s">
        <v>141</v>
      </c>
      <c r="J286" s="92" t="s">
        <v>12</v>
      </c>
    </row>
    <row r="287" spans="1:10" x14ac:dyDescent="0.35">
      <c r="A287" s="93" t="s">
        <v>241</v>
      </c>
      <c r="B287" s="94">
        <v>45434097707</v>
      </c>
      <c r="C287" s="94">
        <v>45434097707</v>
      </c>
      <c r="D287" s="94">
        <v>4755003132</v>
      </c>
      <c r="E287" s="94">
        <v>3724614264</v>
      </c>
      <c r="F287" s="94">
        <v>8479617396</v>
      </c>
      <c r="G287" s="94">
        <v>36954480311</v>
      </c>
      <c r="H287" s="95">
        <v>0</v>
      </c>
      <c r="I287" s="96" t="s">
        <v>141</v>
      </c>
      <c r="J287" s="96" t="e">
        <v>#N/A</v>
      </c>
    </row>
    <row r="288" spans="1:10" x14ac:dyDescent="0.35">
      <c r="A288" s="89" t="s">
        <v>178</v>
      </c>
      <c r="B288" s="90">
        <v>1814036500</v>
      </c>
      <c r="C288" s="90">
        <v>1814036500</v>
      </c>
      <c r="D288" s="90">
        <v>1719475760</v>
      </c>
      <c r="E288" s="91">
        <v>0</v>
      </c>
      <c r="F288" s="90">
        <v>1719475760</v>
      </c>
      <c r="G288" s="90">
        <v>94560740</v>
      </c>
      <c r="H288" s="91">
        <v>0</v>
      </c>
      <c r="I288" s="92" t="s">
        <v>142</v>
      </c>
      <c r="J288" s="92" t="s">
        <v>10</v>
      </c>
    </row>
    <row r="289" spans="1:10" x14ac:dyDescent="0.35">
      <c r="A289" s="89" t="s">
        <v>181</v>
      </c>
      <c r="B289" s="90">
        <v>64425000</v>
      </c>
      <c r="C289" s="90">
        <v>64425000</v>
      </c>
      <c r="D289" s="90">
        <v>16650000</v>
      </c>
      <c r="E289" s="91">
        <v>0</v>
      </c>
      <c r="F289" s="90">
        <v>16650000</v>
      </c>
      <c r="G289" s="90">
        <v>47775000</v>
      </c>
      <c r="H289" s="91">
        <v>0</v>
      </c>
      <c r="I289" s="92" t="s">
        <v>142</v>
      </c>
      <c r="J289" s="92" t="s">
        <v>10</v>
      </c>
    </row>
    <row r="290" spans="1:10" x14ac:dyDescent="0.35">
      <c r="A290" s="89" t="s">
        <v>211</v>
      </c>
      <c r="B290" s="90">
        <v>244387000</v>
      </c>
      <c r="C290" s="90">
        <v>244387000</v>
      </c>
      <c r="D290" s="91">
        <v>0</v>
      </c>
      <c r="E290" s="91">
        <v>0</v>
      </c>
      <c r="F290" s="91">
        <v>0</v>
      </c>
      <c r="G290" s="90">
        <v>244387000</v>
      </c>
      <c r="H290" s="91">
        <v>0</v>
      </c>
      <c r="I290" s="92" t="s">
        <v>142</v>
      </c>
      <c r="J290" s="92" t="s">
        <v>10</v>
      </c>
    </row>
    <row r="291" spans="1:10" x14ac:dyDescent="0.35">
      <c r="A291" s="89" t="s">
        <v>212</v>
      </c>
      <c r="B291" s="90">
        <v>249000000</v>
      </c>
      <c r="C291" s="90">
        <v>249000000</v>
      </c>
      <c r="D291" s="91">
        <v>0</v>
      </c>
      <c r="E291" s="91">
        <v>0</v>
      </c>
      <c r="F291" s="91">
        <v>0</v>
      </c>
      <c r="G291" s="90">
        <v>249000000</v>
      </c>
      <c r="H291" s="91">
        <v>0</v>
      </c>
      <c r="I291" s="92" t="s">
        <v>142</v>
      </c>
      <c r="J291" s="92" t="s">
        <v>10</v>
      </c>
    </row>
    <row r="292" spans="1:10" x14ac:dyDescent="0.35">
      <c r="A292" s="89" t="s">
        <v>182</v>
      </c>
      <c r="B292" s="90">
        <v>149375000</v>
      </c>
      <c r="C292" s="90">
        <v>149375000</v>
      </c>
      <c r="D292" s="91">
        <v>0</v>
      </c>
      <c r="E292" s="91">
        <v>0</v>
      </c>
      <c r="F292" s="91">
        <v>0</v>
      </c>
      <c r="G292" s="90">
        <v>149375000</v>
      </c>
      <c r="H292" s="91">
        <v>0</v>
      </c>
      <c r="I292" s="92" t="s">
        <v>142</v>
      </c>
      <c r="J292" s="92" t="s">
        <v>10</v>
      </c>
    </row>
    <row r="293" spans="1:10" x14ac:dyDescent="0.35">
      <c r="A293" s="89" t="s">
        <v>183</v>
      </c>
      <c r="B293" s="90">
        <v>96500000</v>
      </c>
      <c r="C293" s="90">
        <v>96500000</v>
      </c>
      <c r="D293" s="91">
        <v>0</v>
      </c>
      <c r="E293" s="91">
        <v>0</v>
      </c>
      <c r="F293" s="91">
        <v>0</v>
      </c>
      <c r="G293" s="90">
        <v>96500000</v>
      </c>
      <c r="H293" s="91">
        <v>0</v>
      </c>
      <c r="I293" s="92" t="s">
        <v>142</v>
      </c>
      <c r="J293" s="92" t="s">
        <v>10</v>
      </c>
    </row>
    <row r="294" spans="1:10" x14ac:dyDescent="0.35">
      <c r="A294" s="89" t="s">
        <v>184</v>
      </c>
      <c r="B294" s="90">
        <v>611054000</v>
      </c>
      <c r="C294" s="90">
        <v>611054000</v>
      </c>
      <c r="D294" s="90">
        <v>93397015</v>
      </c>
      <c r="E294" s="91">
        <v>0</v>
      </c>
      <c r="F294" s="90">
        <v>93397015</v>
      </c>
      <c r="G294" s="90">
        <v>517656985</v>
      </c>
      <c r="H294" s="91">
        <v>0</v>
      </c>
      <c r="I294" s="92" t="s">
        <v>142</v>
      </c>
      <c r="J294" s="92" t="s">
        <v>10</v>
      </c>
    </row>
    <row r="295" spans="1:10" x14ac:dyDescent="0.35">
      <c r="A295" s="89" t="s">
        <v>185</v>
      </c>
      <c r="B295" s="90">
        <v>267150000</v>
      </c>
      <c r="C295" s="90">
        <v>267150000</v>
      </c>
      <c r="D295" s="90">
        <v>56773500</v>
      </c>
      <c r="E295" s="90">
        <v>86559328</v>
      </c>
      <c r="F295" s="90">
        <v>143332828</v>
      </c>
      <c r="G295" s="90">
        <v>123817172</v>
      </c>
      <c r="H295" s="91">
        <v>0</v>
      </c>
      <c r="I295" s="92" t="s">
        <v>142</v>
      </c>
      <c r="J295" s="92" t="s">
        <v>10</v>
      </c>
    </row>
    <row r="296" spans="1:10" x14ac:dyDescent="0.35">
      <c r="A296" s="89" t="s">
        <v>213</v>
      </c>
      <c r="B296" s="90">
        <v>72500000</v>
      </c>
      <c r="C296" s="90">
        <v>72500000</v>
      </c>
      <c r="D296" s="91">
        <v>0</v>
      </c>
      <c r="E296" s="91">
        <v>0</v>
      </c>
      <c r="F296" s="91">
        <v>0</v>
      </c>
      <c r="G296" s="90">
        <v>72500000</v>
      </c>
      <c r="H296" s="91">
        <v>0</v>
      </c>
      <c r="I296" s="92" t="s">
        <v>142</v>
      </c>
      <c r="J296" s="92" t="s">
        <v>10</v>
      </c>
    </row>
    <row r="297" spans="1:10" x14ac:dyDescent="0.35">
      <c r="A297" s="89" t="s">
        <v>214</v>
      </c>
      <c r="B297" s="90">
        <v>87000000</v>
      </c>
      <c r="C297" s="90">
        <v>87000000</v>
      </c>
      <c r="D297" s="91">
        <v>0</v>
      </c>
      <c r="E297" s="91">
        <v>0</v>
      </c>
      <c r="F297" s="91">
        <v>0</v>
      </c>
      <c r="G297" s="90">
        <v>87000000</v>
      </c>
      <c r="H297" s="91">
        <v>0</v>
      </c>
      <c r="I297" s="92" t="s">
        <v>142</v>
      </c>
      <c r="J297" s="92" t="s">
        <v>10</v>
      </c>
    </row>
    <row r="298" spans="1:10" x14ac:dyDescent="0.35">
      <c r="A298" s="89" t="s">
        <v>215</v>
      </c>
      <c r="B298" s="90">
        <v>24900000</v>
      </c>
      <c r="C298" s="90">
        <v>24900000</v>
      </c>
      <c r="D298" s="91">
        <v>0</v>
      </c>
      <c r="E298" s="91">
        <v>0</v>
      </c>
      <c r="F298" s="91">
        <v>0</v>
      </c>
      <c r="G298" s="90">
        <v>24900000</v>
      </c>
      <c r="H298" s="91">
        <v>0</v>
      </c>
      <c r="I298" s="92" t="s">
        <v>142</v>
      </c>
      <c r="J298" s="92" t="s">
        <v>10</v>
      </c>
    </row>
    <row r="299" spans="1:10" x14ac:dyDescent="0.35">
      <c r="A299" s="89" t="s">
        <v>216</v>
      </c>
      <c r="B299" s="90">
        <v>941200000</v>
      </c>
      <c r="C299" s="90">
        <v>941200000</v>
      </c>
      <c r="D299" s="90">
        <v>214388000</v>
      </c>
      <c r="E299" s="91">
        <v>0</v>
      </c>
      <c r="F299" s="90">
        <v>214388000</v>
      </c>
      <c r="G299" s="90">
        <v>726812000</v>
      </c>
      <c r="H299" s="91">
        <v>0</v>
      </c>
      <c r="I299" s="92" t="s">
        <v>142</v>
      </c>
      <c r="J299" s="92" t="s">
        <v>10</v>
      </c>
    </row>
    <row r="300" spans="1:10" x14ac:dyDescent="0.35">
      <c r="A300" s="89" t="s">
        <v>218</v>
      </c>
      <c r="B300" s="90">
        <v>150000000</v>
      </c>
      <c r="C300" s="90">
        <v>150000000</v>
      </c>
      <c r="D300" s="90">
        <v>1944000</v>
      </c>
      <c r="E300" s="91">
        <v>0</v>
      </c>
      <c r="F300" s="90">
        <v>1944000</v>
      </c>
      <c r="G300" s="90">
        <v>148056000</v>
      </c>
      <c r="H300" s="91">
        <v>0</v>
      </c>
      <c r="I300" s="92" t="s">
        <v>142</v>
      </c>
      <c r="J300" s="92" t="s">
        <v>62</v>
      </c>
    </row>
    <row r="301" spans="1:10" x14ac:dyDescent="0.35">
      <c r="A301" s="89" t="s">
        <v>236</v>
      </c>
      <c r="B301" s="90">
        <v>7500000</v>
      </c>
      <c r="C301" s="90">
        <v>7500000</v>
      </c>
      <c r="D301" s="91">
        <v>0</v>
      </c>
      <c r="E301" s="91">
        <v>0</v>
      </c>
      <c r="F301" s="91">
        <v>0</v>
      </c>
      <c r="G301" s="90">
        <v>7500000</v>
      </c>
      <c r="H301" s="91">
        <v>0</v>
      </c>
      <c r="I301" s="92" t="s">
        <v>142</v>
      </c>
      <c r="J301" s="92" t="s">
        <v>62</v>
      </c>
    </row>
    <row r="302" spans="1:10" x14ac:dyDescent="0.35">
      <c r="A302" s="89" t="s">
        <v>220</v>
      </c>
      <c r="B302" s="90">
        <v>231500000</v>
      </c>
      <c r="C302" s="90">
        <v>231500000</v>
      </c>
      <c r="D302" s="91">
        <v>0</v>
      </c>
      <c r="E302" s="91">
        <v>0</v>
      </c>
      <c r="F302" s="91">
        <v>0</v>
      </c>
      <c r="G302" s="90">
        <v>231500000</v>
      </c>
      <c r="H302" s="91">
        <v>0</v>
      </c>
      <c r="I302" s="92" t="s">
        <v>142</v>
      </c>
      <c r="J302" s="92" t="s">
        <v>62</v>
      </c>
    </row>
    <row r="303" spans="1:10" x14ac:dyDescent="0.35">
      <c r="A303" s="89" t="s">
        <v>191</v>
      </c>
      <c r="B303" s="90">
        <v>50000000</v>
      </c>
      <c r="C303" s="90">
        <v>50000000</v>
      </c>
      <c r="D303" s="91">
        <v>0</v>
      </c>
      <c r="E303" s="90">
        <v>2159300</v>
      </c>
      <c r="F303" s="90">
        <v>2159300</v>
      </c>
      <c r="G303" s="90">
        <v>47840700</v>
      </c>
      <c r="H303" s="91">
        <v>0</v>
      </c>
      <c r="I303" s="92" t="s">
        <v>142</v>
      </c>
      <c r="J303" s="92" t="s">
        <v>31</v>
      </c>
    </row>
    <row r="304" spans="1:10" x14ac:dyDescent="0.35">
      <c r="A304" s="89" t="s">
        <v>221</v>
      </c>
      <c r="B304" s="90">
        <v>55655000</v>
      </c>
      <c r="C304" s="90">
        <v>55655000</v>
      </c>
      <c r="D304" s="90">
        <v>21262500</v>
      </c>
      <c r="E304" s="91">
        <v>0</v>
      </c>
      <c r="F304" s="90">
        <v>21262500</v>
      </c>
      <c r="G304" s="90">
        <v>34392500</v>
      </c>
      <c r="H304" s="91">
        <v>0</v>
      </c>
      <c r="I304" s="92" t="s">
        <v>142</v>
      </c>
      <c r="J304" s="92" t="s">
        <v>67</v>
      </c>
    </row>
    <row r="305" spans="1:10" x14ac:dyDescent="0.35">
      <c r="A305" s="89" t="s">
        <v>222</v>
      </c>
      <c r="B305" s="90">
        <v>577500000</v>
      </c>
      <c r="C305" s="90">
        <v>577500000</v>
      </c>
      <c r="D305" s="91">
        <v>0</v>
      </c>
      <c r="E305" s="90">
        <v>284145595</v>
      </c>
      <c r="F305" s="90">
        <v>284145595</v>
      </c>
      <c r="G305" s="90">
        <v>293354405</v>
      </c>
      <c r="H305" s="91">
        <v>0</v>
      </c>
      <c r="I305" s="92" t="s">
        <v>142</v>
      </c>
      <c r="J305" s="92" t="s">
        <v>35</v>
      </c>
    </row>
    <row r="306" spans="1:10" x14ac:dyDescent="0.35">
      <c r="A306" s="89" t="s">
        <v>194</v>
      </c>
      <c r="B306" s="90">
        <v>21538000</v>
      </c>
      <c r="C306" s="90">
        <v>21538000</v>
      </c>
      <c r="D306" s="90">
        <v>8289300</v>
      </c>
      <c r="E306" s="90">
        <v>4974701</v>
      </c>
      <c r="F306" s="90">
        <v>13264001</v>
      </c>
      <c r="G306" s="90">
        <v>8273999</v>
      </c>
      <c r="H306" s="91">
        <v>0</v>
      </c>
      <c r="I306" s="92" t="s">
        <v>142</v>
      </c>
      <c r="J306" s="92" t="s">
        <v>16</v>
      </c>
    </row>
    <row r="307" spans="1:10" x14ac:dyDescent="0.35">
      <c r="A307" s="89" t="s">
        <v>195</v>
      </c>
      <c r="B307" s="90">
        <v>27501500</v>
      </c>
      <c r="C307" s="90">
        <v>27501500</v>
      </c>
      <c r="D307" s="90">
        <v>6850000</v>
      </c>
      <c r="E307" s="90">
        <v>7041000</v>
      </c>
      <c r="F307" s="90">
        <v>13891000</v>
      </c>
      <c r="G307" s="90">
        <v>13610500</v>
      </c>
      <c r="H307" s="91">
        <v>0</v>
      </c>
      <c r="I307" s="92" t="s">
        <v>142</v>
      </c>
      <c r="J307" s="92" t="s">
        <v>16</v>
      </c>
    </row>
    <row r="308" spans="1:10" x14ac:dyDescent="0.35">
      <c r="A308" s="89" t="s">
        <v>196</v>
      </c>
      <c r="B308" s="90">
        <v>24000000</v>
      </c>
      <c r="C308" s="90">
        <v>24000000</v>
      </c>
      <c r="D308" s="91">
        <v>0</v>
      </c>
      <c r="E308" s="90">
        <v>6750000</v>
      </c>
      <c r="F308" s="90">
        <v>6750000</v>
      </c>
      <c r="G308" s="90">
        <v>17250000</v>
      </c>
      <c r="H308" s="91">
        <v>0</v>
      </c>
      <c r="I308" s="92" t="s">
        <v>142</v>
      </c>
      <c r="J308" s="92" t="s">
        <v>16</v>
      </c>
    </row>
    <row r="309" spans="1:10" x14ac:dyDescent="0.35">
      <c r="A309" s="89" t="s">
        <v>197</v>
      </c>
      <c r="B309" s="90">
        <v>188600000</v>
      </c>
      <c r="C309" s="90">
        <v>188600000</v>
      </c>
      <c r="D309" s="90">
        <v>41375000</v>
      </c>
      <c r="E309" s="91">
        <v>0</v>
      </c>
      <c r="F309" s="90">
        <v>41375000</v>
      </c>
      <c r="G309" s="90">
        <v>147225000</v>
      </c>
      <c r="H309" s="91">
        <v>0</v>
      </c>
      <c r="I309" s="92" t="s">
        <v>142</v>
      </c>
      <c r="J309" s="92" t="s">
        <v>16</v>
      </c>
    </row>
    <row r="310" spans="1:10" x14ac:dyDescent="0.35">
      <c r="A310" s="89" t="s">
        <v>199</v>
      </c>
      <c r="B310" s="90">
        <v>57500000</v>
      </c>
      <c r="C310" s="90">
        <v>57500000</v>
      </c>
      <c r="D310" s="91">
        <v>0</v>
      </c>
      <c r="E310" s="90">
        <v>27614500</v>
      </c>
      <c r="F310" s="90">
        <v>27614500</v>
      </c>
      <c r="G310" s="90">
        <v>29885500</v>
      </c>
      <c r="H310" s="91">
        <v>0</v>
      </c>
      <c r="I310" s="92" t="s">
        <v>142</v>
      </c>
      <c r="J310" s="92" t="s">
        <v>16</v>
      </c>
    </row>
    <row r="311" spans="1:10" x14ac:dyDescent="0.35">
      <c r="A311" s="89" t="s">
        <v>200</v>
      </c>
      <c r="B311" s="90">
        <v>10075000</v>
      </c>
      <c r="C311" s="90">
        <v>10075000</v>
      </c>
      <c r="D311" s="90">
        <v>9982500</v>
      </c>
      <c r="E311" s="91">
        <v>0</v>
      </c>
      <c r="F311" s="90">
        <v>9982500</v>
      </c>
      <c r="G311" s="90">
        <v>92500</v>
      </c>
      <c r="H311" s="91">
        <v>0</v>
      </c>
      <c r="I311" s="92" t="s">
        <v>142</v>
      </c>
      <c r="J311" s="92" t="s">
        <v>16</v>
      </c>
    </row>
    <row r="312" spans="1:10" x14ac:dyDescent="0.35">
      <c r="A312" s="89" t="s">
        <v>201</v>
      </c>
      <c r="B312" s="90">
        <v>7053792265</v>
      </c>
      <c r="C312" s="90">
        <v>7053792265</v>
      </c>
      <c r="D312" s="91">
        <v>0</v>
      </c>
      <c r="E312" s="90">
        <v>970177778</v>
      </c>
      <c r="F312" s="90">
        <v>970177778</v>
      </c>
      <c r="G312" s="90">
        <v>6083614487</v>
      </c>
      <c r="H312" s="91">
        <v>0</v>
      </c>
      <c r="I312" s="92" t="s">
        <v>142</v>
      </c>
      <c r="J312" s="92" t="s">
        <v>12</v>
      </c>
    </row>
    <row r="313" spans="1:10" x14ac:dyDescent="0.35">
      <c r="A313" s="89" t="s">
        <v>202</v>
      </c>
      <c r="B313" s="90">
        <v>250901909</v>
      </c>
      <c r="C313" s="90">
        <v>250901909</v>
      </c>
      <c r="D313" s="91">
        <v>0</v>
      </c>
      <c r="E313" s="90">
        <v>41453410</v>
      </c>
      <c r="F313" s="90">
        <v>41453410</v>
      </c>
      <c r="G313" s="90">
        <v>209448499</v>
      </c>
      <c r="H313" s="91">
        <v>0</v>
      </c>
      <c r="I313" s="92" t="s">
        <v>142</v>
      </c>
      <c r="J313" s="92" t="s">
        <v>12</v>
      </c>
    </row>
    <row r="314" spans="1:10" x14ac:dyDescent="0.35">
      <c r="A314" s="89" t="s">
        <v>203</v>
      </c>
      <c r="B314" s="90">
        <v>7015042421</v>
      </c>
      <c r="C314" s="90">
        <v>7015042421</v>
      </c>
      <c r="D314" s="91">
        <v>0</v>
      </c>
      <c r="E314" s="90">
        <v>547955102</v>
      </c>
      <c r="F314" s="90">
        <v>547955102</v>
      </c>
      <c r="G314" s="90">
        <v>6467087319</v>
      </c>
      <c r="H314" s="91">
        <v>0</v>
      </c>
      <c r="I314" s="92" t="s">
        <v>142</v>
      </c>
      <c r="J314" s="92" t="s">
        <v>12</v>
      </c>
    </row>
    <row r="315" spans="1:10" x14ac:dyDescent="0.35">
      <c r="A315" s="89" t="s">
        <v>286</v>
      </c>
      <c r="B315" s="90">
        <v>36855629</v>
      </c>
      <c r="C315" s="90">
        <v>36855629</v>
      </c>
      <c r="D315" s="91">
        <v>0</v>
      </c>
      <c r="E315" s="91">
        <v>0</v>
      </c>
      <c r="F315" s="91">
        <v>0</v>
      </c>
      <c r="G315" s="90">
        <v>36855629</v>
      </c>
      <c r="H315" s="91">
        <v>0</v>
      </c>
      <c r="I315" s="92" t="s">
        <v>142</v>
      </c>
      <c r="J315" s="92" t="s">
        <v>12</v>
      </c>
    </row>
    <row r="316" spans="1:10" x14ac:dyDescent="0.35">
      <c r="A316" s="89" t="s">
        <v>204</v>
      </c>
      <c r="B316" s="90">
        <v>1231212066</v>
      </c>
      <c r="C316" s="90">
        <v>1231212066</v>
      </c>
      <c r="D316" s="91">
        <v>0</v>
      </c>
      <c r="E316" s="90">
        <v>158536272</v>
      </c>
      <c r="F316" s="90">
        <v>158536272</v>
      </c>
      <c r="G316" s="90">
        <v>1072675794</v>
      </c>
      <c r="H316" s="91">
        <v>0</v>
      </c>
      <c r="I316" s="92" t="s">
        <v>142</v>
      </c>
      <c r="J316" s="92" t="s">
        <v>12</v>
      </c>
    </row>
    <row r="317" spans="1:10" x14ac:dyDescent="0.35">
      <c r="A317" s="89" t="s">
        <v>205</v>
      </c>
      <c r="B317" s="90">
        <v>53436119</v>
      </c>
      <c r="C317" s="90">
        <v>53436119</v>
      </c>
      <c r="D317" s="91">
        <v>0</v>
      </c>
      <c r="E317" s="90">
        <v>10655056</v>
      </c>
      <c r="F317" s="90">
        <v>10655056</v>
      </c>
      <c r="G317" s="90">
        <v>42781063</v>
      </c>
      <c r="H317" s="91">
        <v>0</v>
      </c>
      <c r="I317" s="92" t="s">
        <v>142</v>
      </c>
      <c r="J317" s="92" t="s">
        <v>12</v>
      </c>
    </row>
    <row r="318" spans="1:10" x14ac:dyDescent="0.35">
      <c r="A318" s="89" t="s">
        <v>206</v>
      </c>
      <c r="B318" s="90">
        <v>1449712379</v>
      </c>
      <c r="C318" s="90">
        <v>1449712379</v>
      </c>
      <c r="D318" s="91">
        <v>0</v>
      </c>
      <c r="E318" s="90">
        <v>120676002</v>
      </c>
      <c r="F318" s="90">
        <v>120676002</v>
      </c>
      <c r="G318" s="90">
        <v>1329036377</v>
      </c>
      <c r="H318" s="91">
        <v>0</v>
      </c>
      <c r="I318" s="92" t="s">
        <v>142</v>
      </c>
      <c r="J318" s="92" t="s">
        <v>12</v>
      </c>
    </row>
    <row r="319" spans="1:10" x14ac:dyDescent="0.35">
      <c r="A319" s="89" t="s">
        <v>287</v>
      </c>
      <c r="B319" s="90">
        <v>4400672</v>
      </c>
      <c r="C319" s="90">
        <v>4400672</v>
      </c>
      <c r="D319" s="91">
        <v>0</v>
      </c>
      <c r="E319" s="91">
        <v>0</v>
      </c>
      <c r="F319" s="91">
        <v>0</v>
      </c>
      <c r="G319" s="90">
        <v>4400672</v>
      </c>
      <c r="H319" s="91">
        <v>0</v>
      </c>
      <c r="I319" s="92" t="s">
        <v>142</v>
      </c>
      <c r="J319" s="92" t="s">
        <v>12</v>
      </c>
    </row>
    <row r="320" spans="1:10" x14ac:dyDescent="0.35">
      <c r="A320" s="93" t="s">
        <v>242</v>
      </c>
      <c r="B320" s="94">
        <v>23118250460</v>
      </c>
      <c r="C320" s="94">
        <v>23118250460</v>
      </c>
      <c r="D320" s="94">
        <v>2190387575</v>
      </c>
      <c r="E320" s="94">
        <v>2268698044</v>
      </c>
      <c r="F320" s="94">
        <v>4459085619</v>
      </c>
      <c r="G320" s="94">
        <v>18659164841</v>
      </c>
      <c r="H320" s="95">
        <v>0</v>
      </c>
      <c r="I320" s="96" t="s">
        <v>142</v>
      </c>
      <c r="J320" s="96" t="e">
        <v>#N/A</v>
      </c>
    </row>
    <row r="321" spans="1:10" x14ac:dyDescent="0.35">
      <c r="A321" s="89" t="s">
        <v>178</v>
      </c>
      <c r="B321" s="90">
        <v>13755471000</v>
      </c>
      <c r="C321" s="90">
        <v>13755471000</v>
      </c>
      <c r="D321" s="90">
        <v>13710265055</v>
      </c>
      <c r="E321" s="91">
        <v>0</v>
      </c>
      <c r="F321" s="90">
        <v>13710265055</v>
      </c>
      <c r="G321" s="90">
        <v>45205945</v>
      </c>
      <c r="H321" s="91">
        <v>0</v>
      </c>
      <c r="I321" s="92" t="s">
        <v>143</v>
      </c>
      <c r="J321" s="92" t="s">
        <v>10</v>
      </c>
    </row>
    <row r="322" spans="1:10" x14ac:dyDescent="0.35">
      <c r="A322" s="89" t="s">
        <v>181</v>
      </c>
      <c r="B322" s="90">
        <v>2948978000</v>
      </c>
      <c r="C322" s="90">
        <v>2948978000</v>
      </c>
      <c r="D322" s="90">
        <v>127300000</v>
      </c>
      <c r="E322" s="90">
        <v>1572950</v>
      </c>
      <c r="F322" s="90">
        <v>128872950</v>
      </c>
      <c r="G322" s="90">
        <v>2820105050</v>
      </c>
      <c r="H322" s="91">
        <v>0</v>
      </c>
      <c r="I322" s="92" t="s">
        <v>143</v>
      </c>
      <c r="J322" s="92" t="s">
        <v>10</v>
      </c>
    </row>
    <row r="323" spans="1:10" x14ac:dyDescent="0.35">
      <c r="A323" s="89" t="s">
        <v>211</v>
      </c>
      <c r="B323" s="90">
        <v>223903500</v>
      </c>
      <c r="C323" s="90">
        <v>223903500</v>
      </c>
      <c r="D323" s="91">
        <v>0</v>
      </c>
      <c r="E323" s="91">
        <v>0</v>
      </c>
      <c r="F323" s="91">
        <v>0</v>
      </c>
      <c r="G323" s="90">
        <v>223903500</v>
      </c>
      <c r="H323" s="91">
        <v>0</v>
      </c>
      <c r="I323" s="92" t="s">
        <v>143</v>
      </c>
      <c r="J323" s="92" t="s">
        <v>10</v>
      </c>
    </row>
    <row r="324" spans="1:10" x14ac:dyDescent="0.35">
      <c r="A324" s="89" t="s">
        <v>212</v>
      </c>
      <c r="B324" s="90">
        <v>1880742000</v>
      </c>
      <c r="C324" s="90">
        <v>1880742000</v>
      </c>
      <c r="D324" s="90">
        <v>1360539871</v>
      </c>
      <c r="E324" s="91">
        <v>0</v>
      </c>
      <c r="F324" s="90">
        <v>1360539871</v>
      </c>
      <c r="G324" s="90">
        <v>520202129</v>
      </c>
      <c r="H324" s="91">
        <v>0</v>
      </c>
      <c r="I324" s="92" t="s">
        <v>143</v>
      </c>
      <c r="J324" s="92" t="s">
        <v>10</v>
      </c>
    </row>
    <row r="325" spans="1:10" x14ac:dyDescent="0.35">
      <c r="A325" s="89" t="s">
        <v>182</v>
      </c>
      <c r="B325" s="90">
        <v>106528224</v>
      </c>
      <c r="C325" s="90">
        <v>106528224</v>
      </c>
      <c r="D325" s="91">
        <v>0</v>
      </c>
      <c r="E325" s="91">
        <v>0</v>
      </c>
      <c r="F325" s="91">
        <v>0</v>
      </c>
      <c r="G325" s="90">
        <v>106528224</v>
      </c>
      <c r="H325" s="91">
        <v>0</v>
      </c>
      <c r="I325" s="92" t="s">
        <v>143</v>
      </c>
      <c r="J325" s="92" t="s">
        <v>10</v>
      </c>
    </row>
    <row r="326" spans="1:10" x14ac:dyDescent="0.35">
      <c r="A326" s="89" t="s">
        <v>183</v>
      </c>
      <c r="B326" s="90">
        <v>428000000</v>
      </c>
      <c r="C326" s="90">
        <v>428000000</v>
      </c>
      <c r="D326" s="90">
        <v>45066500</v>
      </c>
      <c r="E326" s="90">
        <v>96774600</v>
      </c>
      <c r="F326" s="90">
        <v>141841100</v>
      </c>
      <c r="G326" s="90">
        <v>286158900</v>
      </c>
      <c r="H326" s="91">
        <v>0</v>
      </c>
      <c r="I326" s="92" t="s">
        <v>143</v>
      </c>
      <c r="J326" s="92" t="s">
        <v>10</v>
      </c>
    </row>
    <row r="327" spans="1:10" x14ac:dyDescent="0.35">
      <c r="A327" s="89" t="s">
        <v>184</v>
      </c>
      <c r="B327" s="90">
        <v>1395999500</v>
      </c>
      <c r="C327" s="90">
        <v>1395999500</v>
      </c>
      <c r="D327" s="90">
        <v>475012500</v>
      </c>
      <c r="E327" s="90">
        <v>136757380</v>
      </c>
      <c r="F327" s="90">
        <v>611769880</v>
      </c>
      <c r="G327" s="90">
        <v>784229620</v>
      </c>
      <c r="H327" s="91">
        <v>0</v>
      </c>
      <c r="I327" s="92" t="s">
        <v>143</v>
      </c>
      <c r="J327" s="92" t="s">
        <v>10</v>
      </c>
    </row>
    <row r="328" spans="1:10" x14ac:dyDescent="0.35">
      <c r="A328" s="89" t="s">
        <v>185</v>
      </c>
      <c r="B328" s="90">
        <v>830172000</v>
      </c>
      <c r="C328" s="90">
        <v>830172000</v>
      </c>
      <c r="D328" s="90">
        <v>370988700</v>
      </c>
      <c r="E328" s="90">
        <v>191049288</v>
      </c>
      <c r="F328" s="90">
        <v>562037988</v>
      </c>
      <c r="G328" s="90">
        <v>268134012</v>
      </c>
      <c r="H328" s="91">
        <v>0</v>
      </c>
      <c r="I328" s="92" t="s">
        <v>143</v>
      </c>
      <c r="J328" s="92" t="s">
        <v>10</v>
      </c>
    </row>
    <row r="329" spans="1:10" x14ac:dyDescent="0.35">
      <c r="A329" s="89" t="s">
        <v>213</v>
      </c>
      <c r="B329" s="90">
        <v>163577500</v>
      </c>
      <c r="C329" s="90">
        <v>163577500</v>
      </c>
      <c r="D329" s="91">
        <v>0</v>
      </c>
      <c r="E329" s="91">
        <v>0</v>
      </c>
      <c r="F329" s="91">
        <v>0</v>
      </c>
      <c r="G329" s="90">
        <v>163577500</v>
      </c>
      <c r="H329" s="91">
        <v>0</v>
      </c>
      <c r="I329" s="92" t="s">
        <v>143</v>
      </c>
      <c r="J329" s="92" t="s">
        <v>10</v>
      </c>
    </row>
    <row r="330" spans="1:10" x14ac:dyDescent="0.35">
      <c r="A330" s="89" t="s">
        <v>214</v>
      </c>
      <c r="B330" s="90">
        <v>415688000</v>
      </c>
      <c r="C330" s="90">
        <v>415688000</v>
      </c>
      <c r="D330" s="91">
        <v>0</v>
      </c>
      <c r="E330" s="91">
        <v>0</v>
      </c>
      <c r="F330" s="91">
        <v>0</v>
      </c>
      <c r="G330" s="90">
        <v>415688000</v>
      </c>
      <c r="H330" s="91">
        <v>0</v>
      </c>
      <c r="I330" s="92" t="s">
        <v>143</v>
      </c>
      <c r="J330" s="92" t="s">
        <v>10</v>
      </c>
    </row>
    <row r="331" spans="1:10" x14ac:dyDescent="0.35">
      <c r="A331" s="89" t="s">
        <v>216</v>
      </c>
      <c r="B331" s="90">
        <v>1039505000</v>
      </c>
      <c r="C331" s="90">
        <v>1039505000</v>
      </c>
      <c r="D331" s="90">
        <v>1025502800</v>
      </c>
      <c r="E331" s="91">
        <v>0</v>
      </c>
      <c r="F331" s="90">
        <v>1025502800</v>
      </c>
      <c r="G331" s="90">
        <v>14002200</v>
      </c>
      <c r="H331" s="91">
        <v>0</v>
      </c>
      <c r="I331" s="92" t="s">
        <v>143</v>
      </c>
      <c r="J331" s="92" t="s">
        <v>10</v>
      </c>
    </row>
    <row r="332" spans="1:10" x14ac:dyDescent="0.35">
      <c r="A332" s="89" t="s">
        <v>236</v>
      </c>
      <c r="B332" s="90">
        <v>300000000</v>
      </c>
      <c r="C332" s="90">
        <v>300000000</v>
      </c>
      <c r="D332" s="91">
        <v>0</v>
      </c>
      <c r="E332" s="91">
        <v>0</v>
      </c>
      <c r="F332" s="91">
        <v>0</v>
      </c>
      <c r="G332" s="90">
        <v>300000000</v>
      </c>
      <c r="H332" s="91">
        <v>0</v>
      </c>
      <c r="I332" s="92" t="s">
        <v>143</v>
      </c>
      <c r="J332" s="92" t="s">
        <v>62</v>
      </c>
    </row>
    <row r="333" spans="1:10" x14ac:dyDescent="0.35">
      <c r="A333" s="89" t="s">
        <v>220</v>
      </c>
      <c r="B333" s="90">
        <v>500000000</v>
      </c>
      <c r="C333" s="90">
        <v>500000000</v>
      </c>
      <c r="D333" s="91">
        <v>0</v>
      </c>
      <c r="E333" s="91">
        <v>0</v>
      </c>
      <c r="F333" s="91">
        <v>0</v>
      </c>
      <c r="G333" s="90">
        <v>500000000</v>
      </c>
      <c r="H333" s="91">
        <v>0</v>
      </c>
      <c r="I333" s="92" t="s">
        <v>143</v>
      </c>
      <c r="J333" s="92" t="s">
        <v>62</v>
      </c>
    </row>
    <row r="334" spans="1:10" x14ac:dyDescent="0.35">
      <c r="A334" s="89" t="s">
        <v>191</v>
      </c>
      <c r="B334" s="90">
        <v>100000000</v>
      </c>
      <c r="C334" s="90">
        <v>100000000</v>
      </c>
      <c r="D334" s="91">
        <v>0</v>
      </c>
      <c r="E334" s="91">
        <v>0</v>
      </c>
      <c r="F334" s="91">
        <v>0</v>
      </c>
      <c r="G334" s="90">
        <v>100000000</v>
      </c>
      <c r="H334" s="91">
        <v>0</v>
      </c>
      <c r="I334" s="92" t="s">
        <v>143</v>
      </c>
      <c r="J334" s="92" t="s">
        <v>31</v>
      </c>
    </row>
    <row r="335" spans="1:10" x14ac:dyDescent="0.35">
      <c r="A335" s="89" t="s">
        <v>221</v>
      </c>
      <c r="B335" s="90">
        <v>70775000</v>
      </c>
      <c r="C335" s="90">
        <v>70775000</v>
      </c>
      <c r="D335" s="90">
        <v>24082000</v>
      </c>
      <c r="E335" s="90">
        <v>3970000</v>
      </c>
      <c r="F335" s="90">
        <v>28052000</v>
      </c>
      <c r="G335" s="90">
        <v>42723000</v>
      </c>
      <c r="H335" s="91">
        <v>0</v>
      </c>
      <c r="I335" s="92" t="s">
        <v>143</v>
      </c>
      <c r="J335" s="92" t="s">
        <v>67</v>
      </c>
    </row>
    <row r="336" spans="1:10" x14ac:dyDescent="0.35">
      <c r="A336" s="89" t="s">
        <v>222</v>
      </c>
      <c r="B336" s="90">
        <v>880440000</v>
      </c>
      <c r="C336" s="90">
        <v>880440000</v>
      </c>
      <c r="D336" s="90">
        <v>581770</v>
      </c>
      <c r="E336" s="90">
        <v>411555340</v>
      </c>
      <c r="F336" s="90">
        <v>412137110</v>
      </c>
      <c r="G336" s="90">
        <v>468302890</v>
      </c>
      <c r="H336" s="91">
        <v>0</v>
      </c>
      <c r="I336" s="92" t="s">
        <v>143</v>
      </c>
      <c r="J336" s="92" t="s">
        <v>35</v>
      </c>
    </row>
    <row r="337" spans="1:10" x14ac:dyDescent="0.35">
      <c r="A337" s="89" t="s">
        <v>194</v>
      </c>
      <c r="B337" s="90">
        <v>77500000</v>
      </c>
      <c r="C337" s="90">
        <v>77500000</v>
      </c>
      <c r="D337" s="90">
        <v>5040000</v>
      </c>
      <c r="E337" s="90">
        <v>8424500</v>
      </c>
      <c r="F337" s="90">
        <v>13464500</v>
      </c>
      <c r="G337" s="90">
        <v>64035500</v>
      </c>
      <c r="H337" s="91">
        <v>0</v>
      </c>
      <c r="I337" s="92" t="s">
        <v>143</v>
      </c>
      <c r="J337" s="92" t="s">
        <v>16</v>
      </c>
    </row>
    <row r="338" spans="1:10" x14ac:dyDescent="0.35">
      <c r="A338" s="89" t="s">
        <v>195</v>
      </c>
      <c r="B338" s="90">
        <v>154250000</v>
      </c>
      <c r="C338" s="90">
        <v>154250000</v>
      </c>
      <c r="D338" s="90">
        <v>28577100</v>
      </c>
      <c r="E338" s="90">
        <v>31874750</v>
      </c>
      <c r="F338" s="90">
        <v>60451850</v>
      </c>
      <c r="G338" s="90">
        <v>93798150</v>
      </c>
      <c r="H338" s="91">
        <v>0</v>
      </c>
      <c r="I338" s="92" t="s">
        <v>143</v>
      </c>
      <c r="J338" s="92" t="s">
        <v>16</v>
      </c>
    </row>
    <row r="339" spans="1:10" x14ac:dyDescent="0.35">
      <c r="A339" s="89" t="s">
        <v>196</v>
      </c>
      <c r="B339" s="90">
        <v>27750000</v>
      </c>
      <c r="C339" s="90">
        <v>27750000</v>
      </c>
      <c r="D339" s="91">
        <v>0</v>
      </c>
      <c r="E339" s="90">
        <v>9250000</v>
      </c>
      <c r="F339" s="90">
        <v>9250000</v>
      </c>
      <c r="G339" s="90">
        <v>18500000</v>
      </c>
      <c r="H339" s="91">
        <v>0</v>
      </c>
      <c r="I339" s="92" t="s">
        <v>143</v>
      </c>
      <c r="J339" s="92" t="s">
        <v>16</v>
      </c>
    </row>
    <row r="340" spans="1:10" x14ac:dyDescent="0.35">
      <c r="A340" s="89" t="s">
        <v>197</v>
      </c>
      <c r="B340" s="90">
        <v>286250000</v>
      </c>
      <c r="C340" s="90">
        <v>286250000</v>
      </c>
      <c r="D340" s="90">
        <v>3022770</v>
      </c>
      <c r="E340" s="91">
        <v>0</v>
      </c>
      <c r="F340" s="90">
        <v>3022770</v>
      </c>
      <c r="G340" s="90">
        <v>283227230</v>
      </c>
      <c r="H340" s="91">
        <v>0</v>
      </c>
      <c r="I340" s="92" t="s">
        <v>143</v>
      </c>
      <c r="J340" s="92" t="s">
        <v>16</v>
      </c>
    </row>
    <row r="341" spans="1:10" x14ac:dyDescent="0.35">
      <c r="A341" s="89" t="s">
        <v>199</v>
      </c>
      <c r="B341" s="90">
        <v>108000000</v>
      </c>
      <c r="C341" s="90">
        <v>108000000</v>
      </c>
      <c r="D341" s="91">
        <v>0</v>
      </c>
      <c r="E341" s="90">
        <v>36811000</v>
      </c>
      <c r="F341" s="90">
        <v>36811000</v>
      </c>
      <c r="G341" s="90">
        <v>71189000</v>
      </c>
      <c r="H341" s="91">
        <v>0</v>
      </c>
      <c r="I341" s="92" t="s">
        <v>143</v>
      </c>
      <c r="J341" s="92" t="s">
        <v>16</v>
      </c>
    </row>
    <row r="342" spans="1:10" x14ac:dyDescent="0.35">
      <c r="A342" s="89" t="s">
        <v>238</v>
      </c>
      <c r="B342" s="90">
        <v>1500000</v>
      </c>
      <c r="C342" s="90">
        <v>1500000</v>
      </c>
      <c r="D342" s="91">
        <v>0</v>
      </c>
      <c r="E342" s="91">
        <v>0</v>
      </c>
      <c r="F342" s="91">
        <v>0</v>
      </c>
      <c r="G342" s="90">
        <v>1500000</v>
      </c>
      <c r="H342" s="91">
        <v>0</v>
      </c>
      <c r="I342" s="92" t="s">
        <v>143</v>
      </c>
      <c r="J342" s="92" t="s">
        <v>16</v>
      </c>
    </row>
    <row r="343" spans="1:10" x14ac:dyDescent="0.35">
      <c r="A343" s="89" t="s">
        <v>200</v>
      </c>
      <c r="B343" s="90">
        <v>16379250</v>
      </c>
      <c r="C343" s="90">
        <v>16379250</v>
      </c>
      <c r="D343" s="90">
        <v>16379100</v>
      </c>
      <c r="E343" s="91">
        <v>0</v>
      </c>
      <c r="F343" s="90">
        <v>16379100</v>
      </c>
      <c r="G343" s="91">
        <v>150</v>
      </c>
      <c r="H343" s="91">
        <v>0</v>
      </c>
      <c r="I343" s="92" t="s">
        <v>143</v>
      </c>
      <c r="J343" s="92" t="s">
        <v>16</v>
      </c>
    </row>
    <row r="344" spans="1:10" x14ac:dyDescent="0.35">
      <c r="A344" s="89" t="s">
        <v>201</v>
      </c>
      <c r="B344" s="90">
        <v>10714916013</v>
      </c>
      <c r="C344" s="90">
        <v>10714916013</v>
      </c>
      <c r="D344" s="91">
        <v>0</v>
      </c>
      <c r="E344" s="90">
        <v>1495183889</v>
      </c>
      <c r="F344" s="90">
        <v>1495183889</v>
      </c>
      <c r="G344" s="90">
        <v>9219732124</v>
      </c>
      <c r="H344" s="91">
        <v>0</v>
      </c>
      <c r="I344" s="92" t="s">
        <v>143</v>
      </c>
      <c r="J344" s="92" t="s">
        <v>12</v>
      </c>
    </row>
    <row r="345" spans="1:10" x14ac:dyDescent="0.35">
      <c r="A345" s="89" t="s">
        <v>202</v>
      </c>
      <c r="B345" s="90">
        <v>275820432</v>
      </c>
      <c r="C345" s="90">
        <v>275820432</v>
      </c>
      <c r="D345" s="91">
        <v>0</v>
      </c>
      <c r="E345" s="90">
        <v>45781098</v>
      </c>
      <c r="F345" s="90">
        <v>45781098</v>
      </c>
      <c r="G345" s="90">
        <v>230039334</v>
      </c>
      <c r="H345" s="91">
        <v>0</v>
      </c>
      <c r="I345" s="92" t="s">
        <v>143</v>
      </c>
      <c r="J345" s="92" t="s">
        <v>12</v>
      </c>
    </row>
    <row r="346" spans="1:10" x14ac:dyDescent="0.35">
      <c r="A346" s="89" t="s">
        <v>203</v>
      </c>
      <c r="B346" s="90">
        <v>10532164202</v>
      </c>
      <c r="C346" s="90">
        <v>10532164202</v>
      </c>
      <c r="D346" s="91">
        <v>0</v>
      </c>
      <c r="E346" s="90">
        <v>811939078</v>
      </c>
      <c r="F346" s="90">
        <v>811939078</v>
      </c>
      <c r="G346" s="90">
        <v>9720225124</v>
      </c>
      <c r="H346" s="91">
        <v>0</v>
      </c>
      <c r="I346" s="92" t="s">
        <v>143</v>
      </c>
      <c r="J346" s="92" t="s">
        <v>12</v>
      </c>
    </row>
    <row r="347" spans="1:10" x14ac:dyDescent="0.35">
      <c r="A347" s="89" t="s">
        <v>286</v>
      </c>
      <c r="B347" s="90">
        <v>59959158</v>
      </c>
      <c r="C347" s="90">
        <v>59959158</v>
      </c>
      <c r="D347" s="91">
        <v>0</v>
      </c>
      <c r="E347" s="91">
        <v>0</v>
      </c>
      <c r="F347" s="91">
        <v>0</v>
      </c>
      <c r="G347" s="90">
        <v>59959158</v>
      </c>
      <c r="H347" s="91">
        <v>0</v>
      </c>
      <c r="I347" s="92" t="s">
        <v>143</v>
      </c>
      <c r="J347" s="92" t="s">
        <v>12</v>
      </c>
    </row>
    <row r="348" spans="1:10" x14ac:dyDescent="0.35">
      <c r="A348" s="89" t="s">
        <v>204</v>
      </c>
      <c r="B348" s="90">
        <v>1291594645</v>
      </c>
      <c r="C348" s="90">
        <v>1291594645</v>
      </c>
      <c r="D348" s="91">
        <v>0</v>
      </c>
      <c r="E348" s="90">
        <v>152705067</v>
      </c>
      <c r="F348" s="90">
        <v>152705067</v>
      </c>
      <c r="G348" s="90">
        <v>1138889578</v>
      </c>
      <c r="H348" s="91">
        <v>0</v>
      </c>
      <c r="I348" s="92" t="s">
        <v>143</v>
      </c>
      <c r="J348" s="92" t="s">
        <v>12</v>
      </c>
    </row>
    <row r="349" spans="1:10" x14ac:dyDescent="0.35">
      <c r="A349" s="89" t="s">
        <v>205</v>
      </c>
      <c r="B349" s="90">
        <v>47410746</v>
      </c>
      <c r="C349" s="90">
        <v>47410746</v>
      </c>
      <c r="D349" s="91">
        <v>0</v>
      </c>
      <c r="E349" s="90">
        <v>7793604</v>
      </c>
      <c r="F349" s="90">
        <v>7793604</v>
      </c>
      <c r="G349" s="90">
        <v>39617142</v>
      </c>
      <c r="H349" s="91">
        <v>0</v>
      </c>
      <c r="I349" s="92" t="s">
        <v>143</v>
      </c>
      <c r="J349" s="92" t="s">
        <v>12</v>
      </c>
    </row>
    <row r="350" spans="1:10" x14ac:dyDescent="0.35">
      <c r="A350" s="89" t="s">
        <v>206</v>
      </c>
      <c r="B350" s="90">
        <v>1523018104</v>
      </c>
      <c r="C350" s="90">
        <v>1523018104</v>
      </c>
      <c r="D350" s="91">
        <v>0</v>
      </c>
      <c r="E350" s="90">
        <v>130810462</v>
      </c>
      <c r="F350" s="90">
        <v>130810462</v>
      </c>
      <c r="G350" s="90">
        <v>1392207642</v>
      </c>
      <c r="H350" s="91">
        <v>0</v>
      </c>
      <c r="I350" s="92" t="s">
        <v>143</v>
      </c>
      <c r="J350" s="92" t="s">
        <v>12</v>
      </c>
    </row>
    <row r="351" spans="1:10" x14ac:dyDescent="0.35">
      <c r="A351" s="89" t="s">
        <v>287</v>
      </c>
      <c r="B351" s="90">
        <v>4400672</v>
      </c>
      <c r="C351" s="90">
        <v>4400672</v>
      </c>
      <c r="D351" s="91">
        <v>0</v>
      </c>
      <c r="E351" s="91">
        <v>0</v>
      </c>
      <c r="F351" s="91">
        <v>0</v>
      </c>
      <c r="G351" s="90">
        <v>4400672</v>
      </c>
      <c r="H351" s="91">
        <v>0</v>
      </c>
      <c r="I351" s="92" t="s">
        <v>143</v>
      </c>
      <c r="J351" s="92" t="s">
        <v>12</v>
      </c>
    </row>
    <row r="352" spans="1:10" x14ac:dyDescent="0.35">
      <c r="A352" s="93" t="s">
        <v>243</v>
      </c>
      <c r="B352" s="94">
        <v>50160692946</v>
      </c>
      <c r="C352" s="94">
        <v>50160692946</v>
      </c>
      <c r="D352" s="94">
        <v>17192358166</v>
      </c>
      <c r="E352" s="94">
        <v>3572253006</v>
      </c>
      <c r="F352" s="94">
        <v>20764611172</v>
      </c>
      <c r="G352" s="94">
        <v>29396081774</v>
      </c>
      <c r="H352" s="95">
        <v>0</v>
      </c>
      <c r="I352" s="96" t="s">
        <v>143</v>
      </c>
      <c r="J352" s="96" t="e">
        <v>#N/A</v>
      </c>
    </row>
    <row r="353" spans="1:10" x14ac:dyDescent="0.35">
      <c r="A353" s="89" t="s">
        <v>178</v>
      </c>
      <c r="B353" s="90">
        <v>1645662000</v>
      </c>
      <c r="C353" s="90">
        <v>1645662000</v>
      </c>
      <c r="D353" s="91">
        <v>0</v>
      </c>
      <c r="E353" s="91">
        <v>0</v>
      </c>
      <c r="F353" s="91">
        <v>0</v>
      </c>
      <c r="G353" s="90">
        <v>1645662000</v>
      </c>
      <c r="H353" s="91">
        <v>0</v>
      </c>
      <c r="I353" s="92" t="s">
        <v>144</v>
      </c>
      <c r="J353" s="92" t="s">
        <v>10</v>
      </c>
    </row>
    <row r="354" spans="1:10" x14ac:dyDescent="0.35">
      <c r="A354" s="89" t="s">
        <v>211</v>
      </c>
      <c r="B354" s="90">
        <v>945931000</v>
      </c>
      <c r="C354" s="90">
        <v>945931000</v>
      </c>
      <c r="D354" s="91">
        <v>0</v>
      </c>
      <c r="E354" s="91">
        <v>0</v>
      </c>
      <c r="F354" s="91">
        <v>0</v>
      </c>
      <c r="G354" s="90">
        <v>945931000</v>
      </c>
      <c r="H354" s="91">
        <v>0</v>
      </c>
      <c r="I354" s="92" t="s">
        <v>144</v>
      </c>
      <c r="J354" s="92" t="s">
        <v>10</v>
      </c>
    </row>
    <row r="355" spans="1:10" x14ac:dyDescent="0.35">
      <c r="A355" s="89" t="s">
        <v>212</v>
      </c>
      <c r="B355" s="90">
        <v>1122403500</v>
      </c>
      <c r="C355" s="90">
        <v>1122403500</v>
      </c>
      <c r="D355" s="90">
        <v>156346139</v>
      </c>
      <c r="E355" s="90">
        <v>95210204</v>
      </c>
      <c r="F355" s="90">
        <v>251556343</v>
      </c>
      <c r="G355" s="90">
        <v>870847157</v>
      </c>
      <c r="H355" s="91">
        <v>0</v>
      </c>
      <c r="I355" s="92" t="s">
        <v>144</v>
      </c>
      <c r="J355" s="92" t="s">
        <v>10</v>
      </c>
    </row>
    <row r="356" spans="1:10" x14ac:dyDescent="0.35">
      <c r="A356" s="89" t="s">
        <v>182</v>
      </c>
      <c r="B356" s="90">
        <v>74888500</v>
      </c>
      <c r="C356" s="90">
        <v>74888500</v>
      </c>
      <c r="D356" s="91">
        <v>0</v>
      </c>
      <c r="E356" s="91">
        <v>0</v>
      </c>
      <c r="F356" s="91">
        <v>0</v>
      </c>
      <c r="G356" s="90">
        <v>74888500</v>
      </c>
      <c r="H356" s="91">
        <v>0</v>
      </c>
      <c r="I356" s="92" t="s">
        <v>144</v>
      </c>
      <c r="J356" s="92" t="s">
        <v>10</v>
      </c>
    </row>
    <row r="357" spans="1:10" x14ac:dyDescent="0.35">
      <c r="A357" s="89" t="s">
        <v>183</v>
      </c>
      <c r="B357" s="90">
        <v>16624000</v>
      </c>
      <c r="C357" s="90">
        <v>16624000</v>
      </c>
      <c r="D357" s="90">
        <v>16623760</v>
      </c>
      <c r="E357" s="91">
        <v>0</v>
      </c>
      <c r="F357" s="90">
        <v>16623760</v>
      </c>
      <c r="G357" s="91">
        <v>240</v>
      </c>
      <c r="H357" s="91">
        <v>0</v>
      </c>
      <c r="I357" s="92" t="s">
        <v>144</v>
      </c>
      <c r="J357" s="92" t="s">
        <v>10</v>
      </c>
    </row>
    <row r="358" spans="1:10" x14ac:dyDescent="0.35">
      <c r="A358" s="89" t="s">
        <v>184</v>
      </c>
      <c r="B358" s="90">
        <v>522368500</v>
      </c>
      <c r="C358" s="90">
        <v>522368500</v>
      </c>
      <c r="D358" s="90">
        <v>130355541</v>
      </c>
      <c r="E358" s="90">
        <v>24000000</v>
      </c>
      <c r="F358" s="90">
        <v>154355541</v>
      </c>
      <c r="G358" s="90">
        <v>368012959</v>
      </c>
      <c r="H358" s="91">
        <v>0</v>
      </c>
      <c r="I358" s="92" t="s">
        <v>144</v>
      </c>
      <c r="J358" s="92" t="s">
        <v>10</v>
      </c>
    </row>
    <row r="359" spans="1:10" x14ac:dyDescent="0.35">
      <c r="A359" s="89" t="s">
        <v>185</v>
      </c>
      <c r="B359" s="90">
        <v>700000000</v>
      </c>
      <c r="C359" s="90">
        <v>700000000</v>
      </c>
      <c r="D359" s="90">
        <v>87004250</v>
      </c>
      <c r="E359" s="90">
        <v>65008300</v>
      </c>
      <c r="F359" s="90">
        <v>152012550</v>
      </c>
      <c r="G359" s="90">
        <v>547987450</v>
      </c>
      <c r="H359" s="91">
        <v>0</v>
      </c>
      <c r="I359" s="92" t="s">
        <v>144</v>
      </c>
      <c r="J359" s="92" t="s">
        <v>10</v>
      </c>
    </row>
    <row r="360" spans="1:10" x14ac:dyDescent="0.35">
      <c r="A360" s="89" t="s">
        <v>213</v>
      </c>
      <c r="B360" s="90">
        <v>145275000</v>
      </c>
      <c r="C360" s="90">
        <v>145275000</v>
      </c>
      <c r="D360" s="91">
        <v>0</v>
      </c>
      <c r="E360" s="91">
        <v>0</v>
      </c>
      <c r="F360" s="91">
        <v>0</v>
      </c>
      <c r="G360" s="90">
        <v>145275000</v>
      </c>
      <c r="H360" s="91">
        <v>0</v>
      </c>
      <c r="I360" s="92" t="s">
        <v>144</v>
      </c>
      <c r="J360" s="92" t="s">
        <v>10</v>
      </c>
    </row>
    <row r="361" spans="1:10" x14ac:dyDescent="0.35">
      <c r="A361" s="89" t="s">
        <v>214</v>
      </c>
      <c r="B361" s="90">
        <v>153214500</v>
      </c>
      <c r="C361" s="90">
        <v>153214500</v>
      </c>
      <c r="D361" s="91">
        <v>0</v>
      </c>
      <c r="E361" s="91">
        <v>0</v>
      </c>
      <c r="F361" s="91">
        <v>0</v>
      </c>
      <c r="G361" s="90">
        <v>153214500</v>
      </c>
      <c r="H361" s="91">
        <v>0</v>
      </c>
      <c r="I361" s="92" t="s">
        <v>144</v>
      </c>
      <c r="J361" s="92" t="s">
        <v>10</v>
      </c>
    </row>
    <row r="362" spans="1:10" x14ac:dyDescent="0.35">
      <c r="A362" s="89" t="s">
        <v>216</v>
      </c>
      <c r="B362" s="90">
        <v>235100000</v>
      </c>
      <c r="C362" s="90">
        <v>235100000</v>
      </c>
      <c r="D362" s="91">
        <v>0</v>
      </c>
      <c r="E362" s="90">
        <v>3229600</v>
      </c>
      <c r="F362" s="90">
        <v>3229600</v>
      </c>
      <c r="G362" s="90">
        <v>231870400</v>
      </c>
      <c r="H362" s="91">
        <v>0</v>
      </c>
      <c r="I362" s="92" t="s">
        <v>144</v>
      </c>
      <c r="J362" s="92" t="s">
        <v>10</v>
      </c>
    </row>
    <row r="363" spans="1:10" x14ac:dyDescent="0.35">
      <c r="A363" s="89" t="s">
        <v>220</v>
      </c>
      <c r="B363" s="90">
        <v>100000000</v>
      </c>
      <c r="C363" s="90">
        <v>100000000</v>
      </c>
      <c r="D363" s="91">
        <v>0</v>
      </c>
      <c r="E363" s="91">
        <v>0</v>
      </c>
      <c r="F363" s="91">
        <v>0</v>
      </c>
      <c r="G363" s="90">
        <v>100000000</v>
      </c>
      <c r="H363" s="91">
        <v>0</v>
      </c>
      <c r="I363" s="92" t="s">
        <v>144</v>
      </c>
      <c r="J363" s="92" t="s">
        <v>62</v>
      </c>
    </row>
    <row r="364" spans="1:10" x14ac:dyDescent="0.35">
      <c r="A364" s="89" t="s">
        <v>191</v>
      </c>
      <c r="B364" s="90">
        <v>100000000</v>
      </c>
      <c r="C364" s="90">
        <v>100000000</v>
      </c>
      <c r="D364" s="91">
        <v>0</v>
      </c>
      <c r="E364" s="91">
        <v>0</v>
      </c>
      <c r="F364" s="91">
        <v>0</v>
      </c>
      <c r="G364" s="90">
        <v>100000000</v>
      </c>
      <c r="H364" s="91">
        <v>0</v>
      </c>
      <c r="I364" s="92" t="s">
        <v>144</v>
      </c>
      <c r="J364" s="92" t="s">
        <v>31</v>
      </c>
    </row>
    <row r="365" spans="1:10" x14ac:dyDescent="0.35">
      <c r="A365" s="89" t="s">
        <v>221</v>
      </c>
      <c r="B365" s="90">
        <v>63030000</v>
      </c>
      <c r="C365" s="90">
        <v>63030000</v>
      </c>
      <c r="D365" s="91">
        <v>0</v>
      </c>
      <c r="E365" s="91">
        <v>0</v>
      </c>
      <c r="F365" s="91">
        <v>0</v>
      </c>
      <c r="G365" s="90">
        <v>63030000</v>
      </c>
      <c r="H365" s="91">
        <v>0</v>
      </c>
      <c r="I365" s="92" t="s">
        <v>144</v>
      </c>
      <c r="J365" s="92" t="s">
        <v>67</v>
      </c>
    </row>
    <row r="366" spans="1:10" x14ac:dyDescent="0.35">
      <c r="A366" s="89" t="s">
        <v>222</v>
      </c>
      <c r="B366" s="90">
        <v>90000000</v>
      </c>
      <c r="C366" s="90">
        <v>90000000</v>
      </c>
      <c r="D366" s="90">
        <v>1324642</v>
      </c>
      <c r="E366" s="90">
        <v>69572062</v>
      </c>
      <c r="F366" s="90">
        <v>70896704</v>
      </c>
      <c r="G366" s="90">
        <v>19103296</v>
      </c>
      <c r="H366" s="91">
        <v>0</v>
      </c>
      <c r="I366" s="92" t="s">
        <v>144</v>
      </c>
      <c r="J366" s="92" t="s">
        <v>35</v>
      </c>
    </row>
    <row r="367" spans="1:10" x14ac:dyDescent="0.35">
      <c r="A367" s="89" t="s">
        <v>194</v>
      </c>
      <c r="B367" s="90">
        <v>64000000</v>
      </c>
      <c r="C367" s="90">
        <v>64000000</v>
      </c>
      <c r="D367" s="91">
        <v>0</v>
      </c>
      <c r="E367" s="90">
        <v>13487000</v>
      </c>
      <c r="F367" s="90">
        <v>13487000</v>
      </c>
      <c r="G367" s="90">
        <v>50513000</v>
      </c>
      <c r="H367" s="91">
        <v>0</v>
      </c>
      <c r="I367" s="92" t="s">
        <v>144</v>
      </c>
      <c r="J367" s="92" t="s">
        <v>16</v>
      </c>
    </row>
    <row r="368" spans="1:10" x14ac:dyDescent="0.35">
      <c r="A368" s="89" t="s">
        <v>195</v>
      </c>
      <c r="B368" s="90">
        <v>300400000</v>
      </c>
      <c r="C368" s="90">
        <v>300400000</v>
      </c>
      <c r="D368" s="90">
        <v>112868462</v>
      </c>
      <c r="E368" s="90">
        <v>21790000</v>
      </c>
      <c r="F368" s="90">
        <v>134658462</v>
      </c>
      <c r="G368" s="90">
        <v>165741538</v>
      </c>
      <c r="H368" s="91">
        <v>0</v>
      </c>
      <c r="I368" s="92" t="s">
        <v>144</v>
      </c>
      <c r="J368" s="92" t="s">
        <v>16</v>
      </c>
    </row>
    <row r="369" spans="1:10" x14ac:dyDescent="0.35">
      <c r="A369" s="89" t="s">
        <v>196</v>
      </c>
      <c r="B369" s="90">
        <v>16500000</v>
      </c>
      <c r="C369" s="90">
        <v>16500000</v>
      </c>
      <c r="D369" s="91">
        <v>0</v>
      </c>
      <c r="E369" s="90">
        <v>5500000</v>
      </c>
      <c r="F369" s="90">
        <v>5500000</v>
      </c>
      <c r="G369" s="90">
        <v>11000000</v>
      </c>
      <c r="H369" s="91">
        <v>0</v>
      </c>
      <c r="I369" s="92" t="s">
        <v>144</v>
      </c>
      <c r="J369" s="92" t="s">
        <v>16</v>
      </c>
    </row>
    <row r="370" spans="1:10" x14ac:dyDescent="0.35">
      <c r="A370" s="89" t="s">
        <v>197</v>
      </c>
      <c r="B370" s="90">
        <v>35000000</v>
      </c>
      <c r="C370" s="90">
        <v>35000000</v>
      </c>
      <c r="D370" s="91">
        <v>0</v>
      </c>
      <c r="E370" s="90">
        <v>4415000</v>
      </c>
      <c r="F370" s="90">
        <v>4415000</v>
      </c>
      <c r="G370" s="90">
        <v>30585000</v>
      </c>
      <c r="H370" s="91">
        <v>0</v>
      </c>
      <c r="I370" s="92" t="s">
        <v>144</v>
      </c>
      <c r="J370" s="92" t="s">
        <v>16</v>
      </c>
    </row>
    <row r="371" spans="1:10" x14ac:dyDescent="0.35">
      <c r="A371" s="89" t="s">
        <v>199</v>
      </c>
      <c r="B371" s="90">
        <v>42675000</v>
      </c>
      <c r="C371" s="90">
        <v>42675000</v>
      </c>
      <c r="D371" s="91">
        <v>0</v>
      </c>
      <c r="E371" s="90">
        <v>32935000</v>
      </c>
      <c r="F371" s="90">
        <v>32935000</v>
      </c>
      <c r="G371" s="90">
        <v>9740000</v>
      </c>
      <c r="H371" s="91">
        <v>0</v>
      </c>
      <c r="I371" s="92" t="s">
        <v>144</v>
      </c>
      <c r="J371" s="92" t="s">
        <v>16</v>
      </c>
    </row>
    <row r="372" spans="1:10" x14ac:dyDescent="0.35">
      <c r="A372" s="89" t="s">
        <v>200</v>
      </c>
      <c r="B372" s="90">
        <v>9000000</v>
      </c>
      <c r="C372" s="90">
        <v>9000000</v>
      </c>
      <c r="D372" s="90">
        <v>7478015</v>
      </c>
      <c r="E372" s="91">
        <v>0</v>
      </c>
      <c r="F372" s="90">
        <v>7478015</v>
      </c>
      <c r="G372" s="90">
        <v>1521985</v>
      </c>
      <c r="H372" s="91">
        <v>0</v>
      </c>
      <c r="I372" s="92" t="s">
        <v>144</v>
      </c>
      <c r="J372" s="92" t="s">
        <v>16</v>
      </c>
    </row>
    <row r="373" spans="1:10" x14ac:dyDescent="0.35">
      <c r="A373" s="89" t="s">
        <v>292</v>
      </c>
      <c r="B373" s="91">
        <v>0</v>
      </c>
      <c r="C373" s="91">
        <v>0</v>
      </c>
      <c r="D373" s="91">
        <v>0</v>
      </c>
      <c r="E373" s="90">
        <v>11707168</v>
      </c>
      <c r="F373" s="90">
        <v>11707168</v>
      </c>
      <c r="G373" s="90">
        <v>-11707168</v>
      </c>
      <c r="H373" s="91">
        <v>0</v>
      </c>
      <c r="I373" s="92" t="s">
        <v>144</v>
      </c>
      <c r="J373" s="92" t="s">
        <v>12</v>
      </c>
    </row>
    <row r="374" spans="1:10" x14ac:dyDescent="0.35">
      <c r="A374" s="89" t="s">
        <v>201</v>
      </c>
      <c r="B374" s="90">
        <v>4539806918</v>
      </c>
      <c r="C374" s="90">
        <v>4539806918</v>
      </c>
      <c r="D374" s="91">
        <v>0</v>
      </c>
      <c r="E374" s="90">
        <v>663094298</v>
      </c>
      <c r="F374" s="90">
        <v>663094298</v>
      </c>
      <c r="G374" s="90">
        <v>3876712620</v>
      </c>
      <c r="H374" s="91">
        <v>0</v>
      </c>
      <c r="I374" s="92" t="s">
        <v>144</v>
      </c>
      <c r="J374" s="92" t="s">
        <v>12</v>
      </c>
    </row>
    <row r="375" spans="1:10" x14ac:dyDescent="0.35">
      <c r="A375" s="89" t="s">
        <v>202</v>
      </c>
      <c r="B375" s="90">
        <v>83054569</v>
      </c>
      <c r="C375" s="90">
        <v>83054569</v>
      </c>
      <c r="D375" s="91">
        <v>0</v>
      </c>
      <c r="E375" s="90">
        <v>13674416</v>
      </c>
      <c r="F375" s="90">
        <v>13674416</v>
      </c>
      <c r="G375" s="90">
        <v>69380153</v>
      </c>
      <c r="H375" s="91">
        <v>0</v>
      </c>
      <c r="I375" s="92" t="s">
        <v>144</v>
      </c>
      <c r="J375" s="92" t="s">
        <v>12</v>
      </c>
    </row>
    <row r="376" spans="1:10" x14ac:dyDescent="0.35">
      <c r="A376" s="89" t="s">
        <v>203</v>
      </c>
      <c r="B376" s="90">
        <v>4669639602</v>
      </c>
      <c r="C376" s="90">
        <v>4669639602</v>
      </c>
      <c r="D376" s="91">
        <v>0</v>
      </c>
      <c r="E376" s="90">
        <v>343680000</v>
      </c>
      <c r="F376" s="90">
        <v>343680000</v>
      </c>
      <c r="G376" s="90">
        <v>4325959602</v>
      </c>
      <c r="H376" s="91">
        <v>0</v>
      </c>
      <c r="I376" s="92" t="s">
        <v>144</v>
      </c>
      <c r="J376" s="92" t="s">
        <v>12</v>
      </c>
    </row>
    <row r="377" spans="1:10" x14ac:dyDescent="0.35">
      <c r="A377" s="89" t="s">
        <v>286</v>
      </c>
      <c r="B377" s="90">
        <v>25853949</v>
      </c>
      <c r="C377" s="90">
        <v>25853949</v>
      </c>
      <c r="D377" s="91">
        <v>0</v>
      </c>
      <c r="E377" s="91">
        <v>0</v>
      </c>
      <c r="F377" s="91">
        <v>0</v>
      </c>
      <c r="G377" s="90">
        <v>25853949</v>
      </c>
      <c r="H377" s="91">
        <v>0</v>
      </c>
      <c r="I377" s="92" t="s">
        <v>144</v>
      </c>
      <c r="J377" s="92" t="s">
        <v>12</v>
      </c>
    </row>
    <row r="378" spans="1:10" x14ac:dyDescent="0.35">
      <c r="A378" s="89" t="s">
        <v>204</v>
      </c>
      <c r="B378" s="90">
        <v>795113433</v>
      </c>
      <c r="C378" s="90">
        <v>795113433</v>
      </c>
      <c r="D378" s="91">
        <v>0</v>
      </c>
      <c r="E378" s="90">
        <v>93615240</v>
      </c>
      <c r="F378" s="90">
        <v>93615240</v>
      </c>
      <c r="G378" s="90">
        <v>701498193</v>
      </c>
      <c r="H378" s="91">
        <v>0</v>
      </c>
      <c r="I378" s="92" t="s">
        <v>144</v>
      </c>
      <c r="J378" s="92" t="s">
        <v>12</v>
      </c>
    </row>
    <row r="379" spans="1:10" x14ac:dyDescent="0.35">
      <c r="A379" s="89" t="s">
        <v>205</v>
      </c>
      <c r="B379" s="90">
        <v>37493935</v>
      </c>
      <c r="C379" s="90">
        <v>37493935</v>
      </c>
      <c r="D379" s="91">
        <v>0</v>
      </c>
      <c r="E379" s="90">
        <v>3939794</v>
      </c>
      <c r="F379" s="90">
        <v>3939794</v>
      </c>
      <c r="G379" s="90">
        <v>33554141</v>
      </c>
      <c r="H379" s="91">
        <v>0</v>
      </c>
      <c r="I379" s="92" t="s">
        <v>144</v>
      </c>
      <c r="J379" s="92" t="s">
        <v>12</v>
      </c>
    </row>
    <row r="380" spans="1:10" x14ac:dyDescent="0.35">
      <c r="A380" s="89" t="s">
        <v>206</v>
      </c>
      <c r="B380" s="90">
        <v>960233849</v>
      </c>
      <c r="C380" s="90">
        <v>960233849</v>
      </c>
      <c r="D380" s="91">
        <v>0</v>
      </c>
      <c r="E380" s="90">
        <v>87860000</v>
      </c>
      <c r="F380" s="90">
        <v>87860000</v>
      </c>
      <c r="G380" s="90">
        <v>872373849</v>
      </c>
      <c r="H380" s="91">
        <v>0</v>
      </c>
      <c r="I380" s="92" t="s">
        <v>144</v>
      </c>
      <c r="J380" s="92" t="s">
        <v>12</v>
      </c>
    </row>
    <row r="381" spans="1:10" x14ac:dyDescent="0.35">
      <c r="A381" s="89" t="s">
        <v>287</v>
      </c>
      <c r="B381" s="90">
        <v>2200336</v>
      </c>
      <c r="C381" s="90">
        <v>2200336</v>
      </c>
      <c r="D381" s="91">
        <v>0</v>
      </c>
      <c r="E381" s="91">
        <v>0</v>
      </c>
      <c r="F381" s="91">
        <v>0</v>
      </c>
      <c r="G381" s="90">
        <v>2200336</v>
      </c>
      <c r="H381" s="91">
        <v>0</v>
      </c>
      <c r="I381" s="92" t="s">
        <v>144</v>
      </c>
      <c r="J381" s="92" t="s">
        <v>12</v>
      </c>
    </row>
    <row r="382" spans="1:10" x14ac:dyDescent="0.35">
      <c r="A382" s="93" t="s">
        <v>244</v>
      </c>
      <c r="B382" s="94">
        <v>17495468591</v>
      </c>
      <c r="C382" s="94">
        <v>17495468591</v>
      </c>
      <c r="D382" s="94">
        <v>512000809</v>
      </c>
      <c r="E382" s="94">
        <v>1552718082</v>
      </c>
      <c r="F382" s="94">
        <v>2064718891</v>
      </c>
      <c r="G382" s="94">
        <v>15430749700</v>
      </c>
      <c r="H382" s="95">
        <v>0</v>
      </c>
      <c r="I382" s="96" t="s">
        <v>144</v>
      </c>
      <c r="J382" s="96" t="e">
        <v>#N/A</v>
      </c>
    </row>
    <row r="383" spans="1:10" x14ac:dyDescent="0.35">
      <c r="A383" s="89" t="s">
        <v>178</v>
      </c>
      <c r="B383" s="90">
        <v>1717513500</v>
      </c>
      <c r="C383" s="90">
        <v>1717513500</v>
      </c>
      <c r="D383" s="91">
        <v>0</v>
      </c>
      <c r="E383" s="91">
        <v>0</v>
      </c>
      <c r="F383" s="91">
        <v>0</v>
      </c>
      <c r="G383" s="90">
        <v>1717513500</v>
      </c>
      <c r="H383" s="91">
        <v>0</v>
      </c>
      <c r="I383" s="92" t="s">
        <v>145</v>
      </c>
      <c r="J383" s="92" t="s">
        <v>10</v>
      </c>
    </row>
    <row r="384" spans="1:10" x14ac:dyDescent="0.35">
      <c r="A384" s="89" t="s">
        <v>181</v>
      </c>
      <c r="B384" s="91">
        <v>0</v>
      </c>
      <c r="C384" s="91">
        <v>0</v>
      </c>
      <c r="D384" s="91">
        <v>0</v>
      </c>
      <c r="E384" s="91">
        <v>0</v>
      </c>
      <c r="F384" s="91">
        <v>0</v>
      </c>
      <c r="G384" s="91">
        <v>0</v>
      </c>
      <c r="H384" s="91">
        <v>0</v>
      </c>
      <c r="I384" s="92" t="s">
        <v>145</v>
      </c>
      <c r="J384" s="92" t="s">
        <v>10</v>
      </c>
    </row>
    <row r="385" spans="1:10" x14ac:dyDescent="0.35">
      <c r="A385" s="89" t="s">
        <v>211</v>
      </c>
      <c r="B385" s="90">
        <v>233686000</v>
      </c>
      <c r="C385" s="90">
        <v>233686000</v>
      </c>
      <c r="D385" s="91">
        <v>0</v>
      </c>
      <c r="E385" s="91">
        <v>0</v>
      </c>
      <c r="F385" s="91">
        <v>0</v>
      </c>
      <c r="G385" s="90">
        <v>233686000</v>
      </c>
      <c r="H385" s="91">
        <v>0</v>
      </c>
      <c r="I385" s="92" t="s">
        <v>145</v>
      </c>
      <c r="J385" s="92" t="s">
        <v>10</v>
      </c>
    </row>
    <row r="386" spans="1:10" x14ac:dyDescent="0.35">
      <c r="A386" s="89" t="s">
        <v>212</v>
      </c>
      <c r="B386" s="90">
        <v>445284000</v>
      </c>
      <c r="C386" s="90">
        <v>445284000</v>
      </c>
      <c r="D386" s="90">
        <v>398086520</v>
      </c>
      <c r="E386" s="91">
        <v>0</v>
      </c>
      <c r="F386" s="90">
        <v>398086520</v>
      </c>
      <c r="G386" s="90">
        <v>47197480</v>
      </c>
      <c r="H386" s="91">
        <v>0</v>
      </c>
      <c r="I386" s="92" t="s">
        <v>145</v>
      </c>
      <c r="J386" s="92" t="s">
        <v>10</v>
      </c>
    </row>
    <row r="387" spans="1:10" x14ac:dyDescent="0.35">
      <c r="A387" s="89" t="s">
        <v>182</v>
      </c>
      <c r="B387" s="90">
        <v>78606000</v>
      </c>
      <c r="C387" s="90">
        <v>78606000</v>
      </c>
      <c r="D387" s="90">
        <v>49855940</v>
      </c>
      <c r="E387" s="91">
        <v>0</v>
      </c>
      <c r="F387" s="90">
        <v>49855940</v>
      </c>
      <c r="G387" s="90">
        <v>28750060</v>
      </c>
      <c r="H387" s="91">
        <v>0</v>
      </c>
      <c r="I387" s="92" t="s">
        <v>145</v>
      </c>
      <c r="J387" s="92" t="s">
        <v>10</v>
      </c>
    </row>
    <row r="388" spans="1:10" x14ac:dyDescent="0.35">
      <c r="A388" s="89" t="s">
        <v>183</v>
      </c>
      <c r="B388" s="90">
        <v>225000000</v>
      </c>
      <c r="C388" s="90">
        <v>225000000</v>
      </c>
      <c r="D388" s="91">
        <v>0</v>
      </c>
      <c r="E388" s="91">
        <v>0</v>
      </c>
      <c r="F388" s="91">
        <v>0</v>
      </c>
      <c r="G388" s="90">
        <v>225000000</v>
      </c>
      <c r="H388" s="91">
        <v>0</v>
      </c>
      <c r="I388" s="92" t="s">
        <v>145</v>
      </c>
      <c r="J388" s="92" t="s">
        <v>10</v>
      </c>
    </row>
    <row r="389" spans="1:10" x14ac:dyDescent="0.35">
      <c r="A389" s="89" t="s">
        <v>184</v>
      </c>
      <c r="B389" s="90">
        <v>250000000</v>
      </c>
      <c r="C389" s="90">
        <v>250000000</v>
      </c>
      <c r="D389" s="91">
        <v>0</v>
      </c>
      <c r="E389" s="91">
        <v>0</v>
      </c>
      <c r="F389" s="91">
        <v>0</v>
      </c>
      <c r="G389" s="90">
        <v>250000000</v>
      </c>
      <c r="H389" s="91">
        <v>0</v>
      </c>
      <c r="I389" s="92" t="s">
        <v>145</v>
      </c>
      <c r="J389" s="92" t="s">
        <v>10</v>
      </c>
    </row>
    <row r="390" spans="1:10" x14ac:dyDescent="0.35">
      <c r="A390" s="89" t="s">
        <v>185</v>
      </c>
      <c r="B390" s="90">
        <v>345000000</v>
      </c>
      <c r="C390" s="90">
        <v>345000000</v>
      </c>
      <c r="D390" s="90">
        <v>120740700</v>
      </c>
      <c r="E390" s="91">
        <v>0</v>
      </c>
      <c r="F390" s="90">
        <v>120740700</v>
      </c>
      <c r="G390" s="90">
        <v>224259300</v>
      </c>
      <c r="H390" s="91">
        <v>0</v>
      </c>
      <c r="I390" s="92" t="s">
        <v>145</v>
      </c>
      <c r="J390" s="92" t="s">
        <v>10</v>
      </c>
    </row>
    <row r="391" spans="1:10" x14ac:dyDescent="0.35">
      <c r="A391" s="89" t="s">
        <v>213</v>
      </c>
      <c r="B391" s="90">
        <v>99350000</v>
      </c>
      <c r="C391" s="90">
        <v>99350000</v>
      </c>
      <c r="D391" s="90">
        <v>91627175</v>
      </c>
      <c r="E391" s="91">
        <v>0</v>
      </c>
      <c r="F391" s="90">
        <v>91627175</v>
      </c>
      <c r="G391" s="90">
        <v>7722825</v>
      </c>
      <c r="H391" s="91">
        <v>0</v>
      </c>
      <c r="I391" s="92" t="s">
        <v>145</v>
      </c>
      <c r="J391" s="92" t="s">
        <v>10</v>
      </c>
    </row>
    <row r="392" spans="1:10" x14ac:dyDescent="0.35">
      <c r="A392" s="89" t="s">
        <v>214</v>
      </c>
      <c r="B392" s="90">
        <v>227565500</v>
      </c>
      <c r="C392" s="90">
        <v>227565500</v>
      </c>
      <c r="D392" s="91">
        <v>0</v>
      </c>
      <c r="E392" s="91">
        <v>0</v>
      </c>
      <c r="F392" s="91">
        <v>0</v>
      </c>
      <c r="G392" s="90">
        <v>227565500</v>
      </c>
      <c r="H392" s="91">
        <v>0</v>
      </c>
      <c r="I392" s="92" t="s">
        <v>145</v>
      </c>
      <c r="J392" s="92" t="s">
        <v>10</v>
      </c>
    </row>
    <row r="393" spans="1:10" x14ac:dyDescent="0.35">
      <c r="A393" s="89" t="s">
        <v>215</v>
      </c>
      <c r="B393" s="90">
        <v>25000000</v>
      </c>
      <c r="C393" s="90">
        <v>25000000</v>
      </c>
      <c r="D393" s="91">
        <v>0</v>
      </c>
      <c r="E393" s="91">
        <v>0</v>
      </c>
      <c r="F393" s="91">
        <v>0</v>
      </c>
      <c r="G393" s="90">
        <v>25000000</v>
      </c>
      <c r="H393" s="91">
        <v>0</v>
      </c>
      <c r="I393" s="92" t="s">
        <v>145</v>
      </c>
      <c r="J393" s="92" t="s">
        <v>10</v>
      </c>
    </row>
    <row r="394" spans="1:10" x14ac:dyDescent="0.35">
      <c r="A394" s="89" t="s">
        <v>216</v>
      </c>
      <c r="B394" s="90">
        <v>721780000</v>
      </c>
      <c r="C394" s="90">
        <v>721780000</v>
      </c>
      <c r="D394" s="91">
        <v>0</v>
      </c>
      <c r="E394" s="91">
        <v>0</v>
      </c>
      <c r="F394" s="91">
        <v>0</v>
      </c>
      <c r="G394" s="90">
        <v>721780000</v>
      </c>
      <c r="H394" s="91">
        <v>0</v>
      </c>
      <c r="I394" s="92" t="s">
        <v>145</v>
      </c>
      <c r="J394" s="92" t="s">
        <v>10</v>
      </c>
    </row>
    <row r="395" spans="1:10" x14ac:dyDescent="0.35">
      <c r="A395" s="89" t="s">
        <v>217</v>
      </c>
      <c r="B395" s="90">
        <v>250000000</v>
      </c>
      <c r="C395" s="90">
        <v>250000000</v>
      </c>
      <c r="D395" s="91">
        <v>0</v>
      </c>
      <c r="E395" s="91">
        <v>0</v>
      </c>
      <c r="F395" s="91">
        <v>0</v>
      </c>
      <c r="G395" s="90">
        <v>250000000</v>
      </c>
      <c r="H395" s="91">
        <v>0</v>
      </c>
      <c r="I395" s="92" t="s">
        <v>145</v>
      </c>
      <c r="J395" s="92" t="s">
        <v>62</v>
      </c>
    </row>
    <row r="396" spans="1:10" x14ac:dyDescent="0.35">
      <c r="A396" s="89" t="s">
        <v>220</v>
      </c>
      <c r="B396" s="90">
        <v>125000000</v>
      </c>
      <c r="C396" s="90">
        <v>125000000</v>
      </c>
      <c r="D396" s="91">
        <v>0</v>
      </c>
      <c r="E396" s="91">
        <v>0</v>
      </c>
      <c r="F396" s="91">
        <v>0</v>
      </c>
      <c r="G396" s="90">
        <v>125000000</v>
      </c>
      <c r="H396" s="91">
        <v>0</v>
      </c>
      <c r="I396" s="92" t="s">
        <v>145</v>
      </c>
      <c r="J396" s="92" t="s">
        <v>62</v>
      </c>
    </row>
    <row r="397" spans="1:10" x14ac:dyDescent="0.35">
      <c r="A397" s="89" t="s">
        <v>191</v>
      </c>
      <c r="B397" s="90">
        <v>125000000</v>
      </c>
      <c r="C397" s="90">
        <v>125000000</v>
      </c>
      <c r="D397" s="91">
        <v>0</v>
      </c>
      <c r="E397" s="91">
        <v>0</v>
      </c>
      <c r="F397" s="91">
        <v>0</v>
      </c>
      <c r="G397" s="90">
        <v>125000000</v>
      </c>
      <c r="H397" s="91">
        <v>0</v>
      </c>
      <c r="I397" s="92" t="s">
        <v>145</v>
      </c>
      <c r="J397" s="92" t="s">
        <v>31</v>
      </c>
    </row>
    <row r="398" spans="1:10" x14ac:dyDescent="0.35">
      <c r="A398" s="89" t="s">
        <v>221</v>
      </c>
      <c r="B398" s="90">
        <v>158400000</v>
      </c>
      <c r="C398" s="90">
        <v>158400000</v>
      </c>
      <c r="D398" s="90">
        <v>37804500</v>
      </c>
      <c r="E398" s="91">
        <v>0</v>
      </c>
      <c r="F398" s="90">
        <v>37804500</v>
      </c>
      <c r="G398" s="90">
        <v>120595500</v>
      </c>
      <c r="H398" s="91">
        <v>0</v>
      </c>
      <c r="I398" s="92" t="s">
        <v>145</v>
      </c>
      <c r="J398" s="92" t="s">
        <v>67</v>
      </c>
    </row>
    <row r="399" spans="1:10" x14ac:dyDescent="0.35">
      <c r="A399" s="89" t="s">
        <v>222</v>
      </c>
      <c r="B399" s="90">
        <v>637500000</v>
      </c>
      <c r="C399" s="90">
        <v>637500000</v>
      </c>
      <c r="D399" s="90">
        <v>9500000</v>
      </c>
      <c r="E399" s="90">
        <v>218151545</v>
      </c>
      <c r="F399" s="90">
        <v>227651545</v>
      </c>
      <c r="G399" s="90">
        <v>409848455</v>
      </c>
      <c r="H399" s="91">
        <v>0</v>
      </c>
      <c r="I399" s="92" t="s">
        <v>145</v>
      </c>
      <c r="J399" s="92" t="s">
        <v>35</v>
      </c>
    </row>
    <row r="400" spans="1:10" x14ac:dyDescent="0.35">
      <c r="A400" s="89" t="s">
        <v>194</v>
      </c>
      <c r="B400" s="90">
        <v>48400000</v>
      </c>
      <c r="C400" s="90">
        <v>48400000</v>
      </c>
      <c r="D400" s="91">
        <v>0</v>
      </c>
      <c r="E400" s="91">
        <v>0</v>
      </c>
      <c r="F400" s="91">
        <v>0</v>
      </c>
      <c r="G400" s="90">
        <v>48400000</v>
      </c>
      <c r="H400" s="91">
        <v>0</v>
      </c>
      <c r="I400" s="92" t="s">
        <v>145</v>
      </c>
      <c r="J400" s="92" t="s">
        <v>16</v>
      </c>
    </row>
    <row r="401" spans="1:10" x14ac:dyDescent="0.35">
      <c r="A401" s="89" t="s">
        <v>195</v>
      </c>
      <c r="B401" s="90">
        <v>170907750</v>
      </c>
      <c r="C401" s="90">
        <v>170907750</v>
      </c>
      <c r="D401" s="90">
        <v>98217450</v>
      </c>
      <c r="E401" s="90">
        <v>67914000</v>
      </c>
      <c r="F401" s="90">
        <v>166131450</v>
      </c>
      <c r="G401" s="90">
        <v>4776300</v>
      </c>
      <c r="H401" s="91">
        <v>0</v>
      </c>
      <c r="I401" s="92" t="s">
        <v>145</v>
      </c>
      <c r="J401" s="92" t="s">
        <v>16</v>
      </c>
    </row>
    <row r="402" spans="1:10" x14ac:dyDescent="0.35">
      <c r="A402" s="89" t="s">
        <v>196</v>
      </c>
      <c r="B402" s="90">
        <v>26250000</v>
      </c>
      <c r="C402" s="90">
        <v>26250000</v>
      </c>
      <c r="D402" s="91">
        <v>0</v>
      </c>
      <c r="E402" s="90">
        <v>8250000</v>
      </c>
      <c r="F402" s="90">
        <v>8250000</v>
      </c>
      <c r="G402" s="90">
        <v>18000000</v>
      </c>
      <c r="H402" s="91">
        <v>0</v>
      </c>
      <c r="I402" s="92" t="s">
        <v>145</v>
      </c>
      <c r="J402" s="92" t="s">
        <v>16</v>
      </c>
    </row>
    <row r="403" spans="1:10" x14ac:dyDescent="0.35">
      <c r="A403" s="89" t="s">
        <v>197</v>
      </c>
      <c r="B403" s="90">
        <v>96500000</v>
      </c>
      <c r="C403" s="90">
        <v>96500000</v>
      </c>
      <c r="D403" s="91">
        <v>0</v>
      </c>
      <c r="E403" s="91">
        <v>0</v>
      </c>
      <c r="F403" s="91">
        <v>0</v>
      </c>
      <c r="G403" s="90">
        <v>96500000</v>
      </c>
      <c r="H403" s="91">
        <v>0</v>
      </c>
      <c r="I403" s="92" t="s">
        <v>145</v>
      </c>
      <c r="J403" s="92" t="s">
        <v>16</v>
      </c>
    </row>
    <row r="404" spans="1:10" x14ac:dyDescent="0.35">
      <c r="A404" s="89" t="s">
        <v>199</v>
      </c>
      <c r="B404" s="90">
        <v>117000000</v>
      </c>
      <c r="C404" s="90">
        <v>117000000</v>
      </c>
      <c r="D404" s="91">
        <v>0</v>
      </c>
      <c r="E404" s="90">
        <v>20651000</v>
      </c>
      <c r="F404" s="90">
        <v>20651000</v>
      </c>
      <c r="G404" s="90">
        <v>96349000</v>
      </c>
      <c r="H404" s="91">
        <v>0</v>
      </c>
      <c r="I404" s="92" t="s">
        <v>145</v>
      </c>
      <c r="J404" s="92" t="s">
        <v>16</v>
      </c>
    </row>
    <row r="405" spans="1:10" x14ac:dyDescent="0.35">
      <c r="A405" s="89" t="s">
        <v>238</v>
      </c>
      <c r="B405" s="90">
        <v>1500000</v>
      </c>
      <c r="C405" s="90">
        <v>1500000</v>
      </c>
      <c r="D405" s="91">
        <v>0</v>
      </c>
      <c r="E405" s="90">
        <v>315000</v>
      </c>
      <c r="F405" s="90">
        <v>315000</v>
      </c>
      <c r="G405" s="90">
        <v>1185000</v>
      </c>
      <c r="H405" s="91">
        <v>0</v>
      </c>
      <c r="I405" s="92" t="s">
        <v>145</v>
      </c>
      <c r="J405" s="92" t="s">
        <v>16</v>
      </c>
    </row>
    <row r="406" spans="1:10" x14ac:dyDescent="0.35">
      <c r="A406" s="89" t="s">
        <v>200</v>
      </c>
      <c r="B406" s="90">
        <v>10000000</v>
      </c>
      <c r="C406" s="90">
        <v>10000000</v>
      </c>
      <c r="D406" s="91">
        <v>0</v>
      </c>
      <c r="E406" s="91">
        <v>0</v>
      </c>
      <c r="F406" s="91">
        <v>0</v>
      </c>
      <c r="G406" s="90">
        <v>10000000</v>
      </c>
      <c r="H406" s="91">
        <v>0</v>
      </c>
      <c r="I406" s="92" t="s">
        <v>145</v>
      </c>
      <c r="J406" s="92" t="s">
        <v>16</v>
      </c>
    </row>
    <row r="407" spans="1:10" x14ac:dyDescent="0.35">
      <c r="A407" s="89" t="s">
        <v>295</v>
      </c>
      <c r="B407" s="91">
        <v>0</v>
      </c>
      <c r="C407" s="91">
        <v>0</v>
      </c>
      <c r="D407" s="91">
        <v>0</v>
      </c>
      <c r="E407" s="90">
        <v>50070591</v>
      </c>
      <c r="F407" s="90">
        <v>50070591</v>
      </c>
      <c r="G407" s="90">
        <v>-50070591</v>
      </c>
      <c r="H407" s="91">
        <v>0</v>
      </c>
      <c r="I407" s="92" t="s">
        <v>145</v>
      </c>
      <c r="J407" s="92" t="s">
        <v>12</v>
      </c>
    </row>
    <row r="408" spans="1:10" x14ac:dyDescent="0.35">
      <c r="A408" s="89" t="s">
        <v>201</v>
      </c>
      <c r="B408" s="90">
        <v>8641345711</v>
      </c>
      <c r="C408" s="90">
        <v>8641345711</v>
      </c>
      <c r="D408" s="91">
        <v>0</v>
      </c>
      <c r="E408" s="90">
        <v>1210395223</v>
      </c>
      <c r="F408" s="90">
        <v>1210395223</v>
      </c>
      <c r="G408" s="90">
        <v>7430950488</v>
      </c>
      <c r="H408" s="91">
        <v>0</v>
      </c>
      <c r="I408" s="92" t="s">
        <v>145</v>
      </c>
      <c r="J408" s="92" t="s">
        <v>12</v>
      </c>
    </row>
    <row r="409" spans="1:10" x14ac:dyDescent="0.35">
      <c r="A409" s="89" t="s">
        <v>202</v>
      </c>
      <c r="B409" s="90">
        <v>50824079</v>
      </c>
      <c r="C409" s="90">
        <v>50824079</v>
      </c>
      <c r="D409" s="91">
        <v>0</v>
      </c>
      <c r="E409" s="90">
        <v>8519344</v>
      </c>
      <c r="F409" s="90">
        <v>8519344</v>
      </c>
      <c r="G409" s="90">
        <v>42304735</v>
      </c>
      <c r="H409" s="91">
        <v>0</v>
      </c>
      <c r="I409" s="92" t="s">
        <v>145</v>
      </c>
      <c r="J409" s="92" t="s">
        <v>12</v>
      </c>
    </row>
    <row r="410" spans="1:10" x14ac:dyDescent="0.35">
      <c r="A410" s="89" t="s">
        <v>203</v>
      </c>
      <c r="B410" s="90">
        <v>9379568492</v>
      </c>
      <c r="C410" s="90">
        <v>9379568492</v>
      </c>
      <c r="D410" s="91">
        <v>0</v>
      </c>
      <c r="E410" s="90">
        <v>664096070</v>
      </c>
      <c r="F410" s="90">
        <v>664096070</v>
      </c>
      <c r="G410" s="90">
        <v>8715472422</v>
      </c>
      <c r="H410" s="91">
        <v>0</v>
      </c>
      <c r="I410" s="92" t="s">
        <v>145</v>
      </c>
      <c r="J410" s="92" t="s">
        <v>12</v>
      </c>
    </row>
    <row r="411" spans="1:10" x14ac:dyDescent="0.35">
      <c r="A411" s="89" t="s">
        <v>286</v>
      </c>
      <c r="B411" s="90">
        <v>51157813</v>
      </c>
      <c r="C411" s="90">
        <v>51157813</v>
      </c>
      <c r="D411" s="91">
        <v>0</v>
      </c>
      <c r="E411" s="91">
        <v>0</v>
      </c>
      <c r="F411" s="91">
        <v>0</v>
      </c>
      <c r="G411" s="90">
        <v>51157813</v>
      </c>
      <c r="H411" s="91">
        <v>0</v>
      </c>
      <c r="I411" s="92" t="s">
        <v>145</v>
      </c>
      <c r="J411" s="92" t="s">
        <v>12</v>
      </c>
    </row>
    <row r="412" spans="1:10" x14ac:dyDescent="0.35">
      <c r="A412" s="89" t="s">
        <v>204</v>
      </c>
      <c r="B412" s="90">
        <v>904489646</v>
      </c>
      <c r="C412" s="90">
        <v>904489646</v>
      </c>
      <c r="D412" s="91">
        <v>0</v>
      </c>
      <c r="E412" s="90">
        <v>107759966</v>
      </c>
      <c r="F412" s="90">
        <v>107759966</v>
      </c>
      <c r="G412" s="90">
        <v>796729680</v>
      </c>
      <c r="H412" s="91">
        <v>0</v>
      </c>
      <c r="I412" s="92" t="s">
        <v>145</v>
      </c>
      <c r="J412" s="92" t="s">
        <v>12</v>
      </c>
    </row>
    <row r="413" spans="1:10" x14ac:dyDescent="0.35">
      <c r="A413" s="89" t="s">
        <v>205</v>
      </c>
      <c r="B413" s="90">
        <v>22796596</v>
      </c>
      <c r="C413" s="90">
        <v>22796596</v>
      </c>
      <c r="D413" s="91">
        <v>0</v>
      </c>
      <c r="E413" s="90">
        <v>3779387</v>
      </c>
      <c r="F413" s="90">
        <v>3779387</v>
      </c>
      <c r="G413" s="90">
        <v>19017209</v>
      </c>
      <c r="H413" s="91">
        <v>0</v>
      </c>
      <c r="I413" s="92" t="s">
        <v>145</v>
      </c>
      <c r="J413" s="92" t="s">
        <v>12</v>
      </c>
    </row>
    <row r="414" spans="1:10" x14ac:dyDescent="0.35">
      <c r="A414" s="89" t="s">
        <v>206</v>
      </c>
      <c r="B414" s="90">
        <v>1105883447</v>
      </c>
      <c r="C414" s="90">
        <v>1105883447</v>
      </c>
      <c r="D414" s="91">
        <v>0</v>
      </c>
      <c r="E414" s="90">
        <v>104355522</v>
      </c>
      <c r="F414" s="90">
        <v>104355522</v>
      </c>
      <c r="G414" s="90">
        <v>1001527925</v>
      </c>
      <c r="H414" s="91">
        <v>0</v>
      </c>
      <c r="I414" s="92" t="s">
        <v>145</v>
      </c>
      <c r="J414" s="92" t="s">
        <v>12</v>
      </c>
    </row>
    <row r="415" spans="1:10" x14ac:dyDescent="0.35">
      <c r="A415" s="89" t="s">
        <v>287</v>
      </c>
      <c r="B415" s="90">
        <v>2200336</v>
      </c>
      <c r="C415" s="90">
        <v>2200336</v>
      </c>
      <c r="D415" s="91">
        <v>0</v>
      </c>
      <c r="E415" s="91">
        <v>0</v>
      </c>
      <c r="F415" s="91">
        <v>0</v>
      </c>
      <c r="G415" s="90">
        <v>2200336</v>
      </c>
      <c r="H415" s="91">
        <v>0</v>
      </c>
      <c r="I415" s="92" t="s">
        <v>145</v>
      </c>
      <c r="J415" s="92" t="s">
        <v>12</v>
      </c>
    </row>
    <row r="416" spans="1:10" x14ac:dyDescent="0.35">
      <c r="A416" s="93" t="s">
        <v>245</v>
      </c>
      <c r="B416" s="94">
        <v>26293508870</v>
      </c>
      <c r="C416" s="94">
        <v>26293508870</v>
      </c>
      <c r="D416" s="94">
        <v>805832285</v>
      </c>
      <c r="E416" s="94">
        <v>2464257648</v>
      </c>
      <c r="F416" s="94">
        <v>3270089933</v>
      </c>
      <c r="G416" s="94">
        <v>23023418937</v>
      </c>
      <c r="H416" s="95">
        <v>0</v>
      </c>
      <c r="I416" s="96" t="s">
        <v>145</v>
      </c>
      <c r="J416" s="96" t="e">
        <v>#N/A</v>
      </c>
    </row>
    <row r="417" spans="1:10" x14ac:dyDescent="0.35">
      <c r="A417" s="89" t="s">
        <v>178</v>
      </c>
      <c r="B417" s="90">
        <v>1871950730</v>
      </c>
      <c r="C417" s="90">
        <v>1871950730</v>
      </c>
      <c r="D417" s="90">
        <v>128471830</v>
      </c>
      <c r="E417" s="91">
        <v>0</v>
      </c>
      <c r="F417" s="90">
        <v>128471830</v>
      </c>
      <c r="G417" s="90">
        <v>1743478900</v>
      </c>
      <c r="H417" s="91">
        <v>0</v>
      </c>
      <c r="I417" s="92" t="s">
        <v>149</v>
      </c>
      <c r="J417" s="92" t="s">
        <v>10</v>
      </c>
    </row>
    <row r="418" spans="1:10" x14ac:dyDescent="0.35">
      <c r="A418" s="89" t="s">
        <v>296</v>
      </c>
      <c r="B418" s="97"/>
      <c r="C418" s="97"/>
      <c r="D418" s="97"/>
      <c r="E418" s="97"/>
      <c r="F418" s="97"/>
      <c r="G418" s="97"/>
      <c r="H418" s="97"/>
      <c r="I418" s="92" t="s">
        <v>149</v>
      </c>
      <c r="J418" s="92" t="s">
        <v>12</v>
      </c>
    </row>
    <row r="419" spans="1:10" x14ac:dyDescent="0.35">
      <c r="A419" s="89" t="s">
        <v>246</v>
      </c>
      <c r="B419" s="97"/>
      <c r="C419" s="97"/>
      <c r="D419" s="97"/>
      <c r="E419" s="97"/>
      <c r="F419" s="97"/>
      <c r="G419" s="97"/>
      <c r="H419" s="97"/>
      <c r="I419" s="92" t="s">
        <v>149</v>
      </c>
      <c r="J419" s="92" t="s">
        <v>12</v>
      </c>
    </row>
    <row r="420" spans="1:10" x14ac:dyDescent="0.35">
      <c r="A420" s="89" t="s">
        <v>247</v>
      </c>
      <c r="B420" s="97"/>
      <c r="C420" s="97"/>
      <c r="D420" s="97"/>
      <c r="E420" s="97"/>
      <c r="F420" s="97"/>
      <c r="G420" s="97"/>
      <c r="H420" s="97"/>
      <c r="I420" s="92" t="s">
        <v>149</v>
      </c>
      <c r="J420" s="92" t="s">
        <v>12</v>
      </c>
    </row>
    <row r="421" spans="1:10" x14ac:dyDescent="0.35">
      <c r="A421" s="89" t="s">
        <v>248</v>
      </c>
      <c r="B421" s="97"/>
      <c r="C421" s="97"/>
      <c r="D421" s="97"/>
      <c r="E421" s="97"/>
      <c r="F421" s="97"/>
      <c r="G421" s="97"/>
      <c r="H421" s="97"/>
      <c r="I421" s="92" t="s">
        <v>149</v>
      </c>
      <c r="J421" s="92" t="s">
        <v>12</v>
      </c>
    </row>
    <row r="422" spans="1:10" x14ac:dyDescent="0.35">
      <c r="A422" s="89" t="s">
        <v>249</v>
      </c>
      <c r="B422" s="97"/>
      <c r="C422" s="97"/>
      <c r="D422" s="97"/>
      <c r="E422" s="97"/>
      <c r="F422" s="97"/>
      <c r="G422" s="97"/>
      <c r="H422" s="97"/>
      <c r="I422" s="92" t="s">
        <v>149</v>
      </c>
      <c r="J422" s="92" t="s">
        <v>12</v>
      </c>
    </row>
    <row r="423" spans="1:10" x14ac:dyDescent="0.35">
      <c r="A423" s="89" t="s">
        <v>250</v>
      </c>
      <c r="B423" s="97"/>
      <c r="C423" s="97"/>
      <c r="D423" s="97"/>
      <c r="E423" s="97"/>
      <c r="F423" s="97"/>
      <c r="G423" s="97"/>
      <c r="H423" s="97"/>
      <c r="I423" s="92" t="s">
        <v>149</v>
      </c>
      <c r="J423" s="92" t="s">
        <v>12</v>
      </c>
    </row>
    <row r="424" spans="1:10" x14ac:dyDescent="0.35">
      <c r="A424" s="89" t="s">
        <v>251</v>
      </c>
      <c r="B424" s="97"/>
      <c r="C424" s="97"/>
      <c r="D424" s="97"/>
      <c r="E424" s="97"/>
      <c r="F424" s="97"/>
      <c r="G424" s="97"/>
      <c r="H424" s="97"/>
      <c r="I424" s="92" t="s">
        <v>149</v>
      </c>
      <c r="J424" s="92" t="s">
        <v>12</v>
      </c>
    </row>
    <row r="425" spans="1:10" x14ac:dyDescent="0.35">
      <c r="A425" s="89" t="s">
        <v>252</v>
      </c>
      <c r="B425" s="97"/>
      <c r="C425" s="97"/>
      <c r="D425" s="97"/>
      <c r="E425" s="97"/>
      <c r="F425" s="97"/>
      <c r="G425" s="97"/>
      <c r="H425" s="97"/>
      <c r="I425" s="92" t="s">
        <v>149</v>
      </c>
      <c r="J425" s="92" t="s">
        <v>12</v>
      </c>
    </row>
    <row r="426" spans="1:10" x14ac:dyDescent="0.35">
      <c r="A426" s="89" t="s">
        <v>253</v>
      </c>
      <c r="B426" s="97"/>
      <c r="C426" s="97"/>
      <c r="D426" s="97"/>
      <c r="E426" s="97"/>
      <c r="F426" s="97"/>
      <c r="G426" s="97"/>
      <c r="H426" s="97"/>
      <c r="I426" s="92" t="s">
        <v>149</v>
      </c>
      <c r="J426" s="92" t="s">
        <v>12</v>
      </c>
    </row>
    <row r="427" spans="1:10" x14ac:dyDescent="0.35">
      <c r="A427" s="89" t="s">
        <v>254</v>
      </c>
      <c r="B427" s="97"/>
      <c r="C427" s="97"/>
      <c r="D427" s="97"/>
      <c r="E427" s="97"/>
      <c r="F427" s="97"/>
      <c r="G427" s="97"/>
      <c r="H427" s="97"/>
      <c r="I427" s="92" t="s">
        <v>149</v>
      </c>
      <c r="J427" s="92" t="s">
        <v>12</v>
      </c>
    </row>
    <row r="428" spans="1:10" x14ac:dyDescent="0.35">
      <c r="A428" s="89" t="s">
        <v>255</v>
      </c>
      <c r="B428" s="97"/>
      <c r="C428" s="97"/>
      <c r="D428" s="97"/>
      <c r="E428" s="97"/>
      <c r="F428" s="97"/>
      <c r="G428" s="97"/>
      <c r="H428" s="97"/>
      <c r="I428" s="92" t="s">
        <v>149</v>
      </c>
      <c r="J428" s="92" t="s">
        <v>12</v>
      </c>
    </row>
    <row r="429" spans="1:10" x14ac:dyDescent="0.35">
      <c r="A429" s="89" t="s">
        <v>256</v>
      </c>
      <c r="B429" s="97"/>
      <c r="C429" s="97"/>
      <c r="D429" s="97"/>
      <c r="E429" s="97"/>
      <c r="F429" s="97"/>
      <c r="G429" s="97"/>
      <c r="H429" s="97"/>
      <c r="I429" s="92" t="s">
        <v>149</v>
      </c>
      <c r="J429" s="92" t="s">
        <v>12</v>
      </c>
    </row>
    <row r="430" spans="1:10" x14ac:dyDescent="0.35">
      <c r="A430" s="89" t="s">
        <v>257</v>
      </c>
      <c r="B430" s="97"/>
      <c r="C430" s="97"/>
      <c r="D430" s="97"/>
      <c r="E430" s="97"/>
      <c r="F430" s="97"/>
      <c r="G430" s="97"/>
      <c r="H430" s="97"/>
      <c r="I430" s="92" t="s">
        <v>149</v>
      </c>
      <c r="J430" s="92" t="s">
        <v>12</v>
      </c>
    </row>
    <row r="431" spans="1:10" x14ac:dyDescent="0.35">
      <c r="A431" s="89" t="s">
        <v>258</v>
      </c>
      <c r="B431" s="97"/>
      <c r="C431" s="97"/>
      <c r="D431" s="97"/>
      <c r="E431" s="97"/>
      <c r="F431" s="97"/>
      <c r="G431" s="97"/>
      <c r="H431" s="97"/>
      <c r="I431" s="92" t="s">
        <v>149</v>
      </c>
      <c r="J431" s="92" t="s">
        <v>12</v>
      </c>
    </row>
    <row r="432" spans="1:10" x14ac:dyDescent="0.35">
      <c r="A432" s="89" t="s">
        <v>259</v>
      </c>
      <c r="B432" s="97"/>
      <c r="C432" s="97"/>
      <c r="D432" s="97"/>
      <c r="E432" s="97"/>
      <c r="F432" s="97"/>
      <c r="G432" s="97"/>
      <c r="H432" s="97"/>
      <c r="I432" s="92" t="s">
        <v>149</v>
      </c>
      <c r="J432" s="92" t="s">
        <v>12</v>
      </c>
    </row>
    <row r="433" spans="1:10" x14ac:dyDescent="0.35">
      <c r="A433" s="89" t="s">
        <v>260</v>
      </c>
      <c r="B433" s="97"/>
      <c r="C433" s="97"/>
      <c r="D433" s="97"/>
      <c r="E433" s="97"/>
      <c r="F433" s="97"/>
      <c r="G433" s="97"/>
      <c r="H433" s="97"/>
      <c r="I433" s="92" t="s">
        <v>149</v>
      </c>
      <c r="J433" s="92" t="s">
        <v>12</v>
      </c>
    </row>
    <row r="434" spans="1:10" x14ac:dyDescent="0.35">
      <c r="A434" s="89" t="s">
        <v>212</v>
      </c>
      <c r="B434" s="97"/>
      <c r="C434" s="97"/>
      <c r="D434" s="97"/>
      <c r="E434" s="97"/>
      <c r="F434" s="97"/>
      <c r="G434" s="97"/>
      <c r="H434" s="97"/>
      <c r="I434" s="92" t="s">
        <v>149</v>
      </c>
      <c r="J434" s="92" t="s">
        <v>10</v>
      </c>
    </row>
    <row r="435" spans="1:10" x14ac:dyDescent="0.35">
      <c r="A435" s="89" t="s">
        <v>182</v>
      </c>
      <c r="B435" s="97"/>
      <c r="C435" s="97"/>
      <c r="D435" s="97"/>
      <c r="E435" s="97"/>
      <c r="F435" s="97"/>
      <c r="G435" s="97"/>
      <c r="H435" s="97"/>
      <c r="I435" s="92" t="s">
        <v>149</v>
      </c>
      <c r="J435" s="92" t="s">
        <v>10</v>
      </c>
    </row>
    <row r="436" spans="1:10" x14ac:dyDescent="0.35">
      <c r="A436" s="89" t="s">
        <v>184</v>
      </c>
      <c r="B436" s="97"/>
      <c r="C436" s="97"/>
      <c r="D436" s="97"/>
      <c r="E436" s="97"/>
      <c r="F436" s="97"/>
      <c r="G436" s="97"/>
      <c r="H436" s="97"/>
      <c r="I436" s="92" t="s">
        <v>149</v>
      </c>
      <c r="J436" s="92" t="s">
        <v>10</v>
      </c>
    </row>
    <row r="437" spans="1:10" x14ac:dyDescent="0.35">
      <c r="A437" s="89" t="s">
        <v>185</v>
      </c>
      <c r="B437" s="97"/>
      <c r="C437" s="97"/>
      <c r="D437" s="97"/>
      <c r="E437" s="97"/>
      <c r="F437" s="97"/>
      <c r="G437" s="97"/>
      <c r="H437" s="97"/>
      <c r="I437" s="92" t="s">
        <v>149</v>
      </c>
      <c r="J437" s="92" t="s">
        <v>10</v>
      </c>
    </row>
    <row r="438" spans="1:10" x14ac:dyDescent="0.35">
      <c r="A438" s="89" t="s">
        <v>216</v>
      </c>
      <c r="B438" s="97"/>
      <c r="C438" s="97"/>
      <c r="D438" s="97"/>
      <c r="E438" s="97"/>
      <c r="F438" s="97"/>
      <c r="G438" s="97"/>
      <c r="H438" s="97"/>
      <c r="I438" s="92" t="s">
        <v>149</v>
      </c>
      <c r="J438" s="92" t="s">
        <v>10</v>
      </c>
    </row>
    <row r="439" spans="1:10" x14ac:dyDescent="0.35">
      <c r="A439" s="89" t="s">
        <v>261</v>
      </c>
      <c r="B439" s="97"/>
      <c r="C439" s="97"/>
      <c r="D439" s="97"/>
      <c r="E439" s="97"/>
      <c r="F439" s="97"/>
      <c r="G439" s="97"/>
      <c r="H439" s="97"/>
      <c r="I439" s="92" t="s">
        <v>149</v>
      </c>
      <c r="J439" s="92" t="s">
        <v>114</v>
      </c>
    </row>
    <row r="440" spans="1:10" x14ac:dyDescent="0.35">
      <c r="A440" s="89" t="s">
        <v>262</v>
      </c>
      <c r="B440" s="97"/>
      <c r="C440" s="97"/>
      <c r="D440" s="97"/>
      <c r="E440" s="97"/>
      <c r="F440" s="97"/>
      <c r="G440" s="97"/>
      <c r="H440" s="97"/>
      <c r="I440" s="92" t="s">
        <v>149</v>
      </c>
      <c r="J440" s="92" t="s">
        <v>12</v>
      </c>
    </row>
    <row r="441" spans="1:10" x14ac:dyDescent="0.35">
      <c r="A441" s="89" t="s">
        <v>191</v>
      </c>
      <c r="B441" s="90">
        <v>60000000</v>
      </c>
      <c r="C441" s="90">
        <v>60000000</v>
      </c>
      <c r="D441" s="90">
        <v>9000000</v>
      </c>
      <c r="E441" s="91">
        <v>0</v>
      </c>
      <c r="F441" s="90">
        <v>9000000</v>
      </c>
      <c r="G441" s="90">
        <v>51000000</v>
      </c>
      <c r="H441" s="91">
        <v>0</v>
      </c>
      <c r="I441" s="92" t="s">
        <v>149</v>
      </c>
      <c r="J441" s="92" t="s">
        <v>31</v>
      </c>
    </row>
    <row r="442" spans="1:10" x14ac:dyDescent="0.35">
      <c r="A442" s="89" t="s">
        <v>221</v>
      </c>
      <c r="B442" s="90">
        <v>45150000</v>
      </c>
      <c r="C442" s="90">
        <v>45150000</v>
      </c>
      <c r="D442" s="90">
        <v>6119400</v>
      </c>
      <c r="E442" s="91">
        <v>0</v>
      </c>
      <c r="F442" s="90">
        <v>6119400</v>
      </c>
      <c r="G442" s="90">
        <v>39030600</v>
      </c>
      <c r="H442" s="91">
        <v>0</v>
      </c>
      <c r="I442" s="92" t="s">
        <v>149</v>
      </c>
      <c r="J442" s="92" t="s">
        <v>67</v>
      </c>
    </row>
    <row r="443" spans="1:10" x14ac:dyDescent="0.35">
      <c r="A443" s="89" t="s">
        <v>192</v>
      </c>
      <c r="B443" s="97"/>
      <c r="C443" s="97"/>
      <c r="D443" s="97"/>
      <c r="E443" s="97"/>
      <c r="F443" s="97"/>
      <c r="G443" s="97"/>
      <c r="H443" s="97"/>
      <c r="I443" s="92" t="s">
        <v>149</v>
      </c>
      <c r="J443" s="92" t="s">
        <v>33</v>
      </c>
    </row>
    <row r="444" spans="1:10" x14ac:dyDescent="0.35">
      <c r="A444" s="89" t="s">
        <v>263</v>
      </c>
      <c r="B444" s="97"/>
      <c r="C444" s="97"/>
      <c r="D444" s="97"/>
      <c r="E444" s="97"/>
      <c r="F444" s="97"/>
      <c r="G444" s="97"/>
      <c r="H444" s="97"/>
      <c r="I444" s="92" t="s">
        <v>149</v>
      </c>
      <c r="J444" s="92" t="s">
        <v>33</v>
      </c>
    </row>
    <row r="445" spans="1:10" x14ac:dyDescent="0.35">
      <c r="A445" s="89" t="s">
        <v>264</v>
      </c>
      <c r="B445" s="97"/>
      <c r="C445" s="97"/>
      <c r="D445" s="97"/>
      <c r="E445" s="97"/>
      <c r="F445" s="97"/>
      <c r="G445" s="97"/>
      <c r="H445" s="97"/>
      <c r="I445" s="92" t="s">
        <v>149</v>
      </c>
      <c r="J445" s="92" t="s">
        <v>33</v>
      </c>
    </row>
    <row r="446" spans="1:10" x14ac:dyDescent="0.35">
      <c r="A446" s="89" t="s">
        <v>265</v>
      </c>
      <c r="B446" s="97"/>
      <c r="C446" s="97"/>
      <c r="D446" s="97"/>
      <c r="E446" s="97"/>
      <c r="F446" s="97"/>
      <c r="G446" s="97"/>
      <c r="H446" s="97"/>
      <c r="I446" s="92" t="s">
        <v>149</v>
      </c>
      <c r="J446" s="92" t="s">
        <v>33</v>
      </c>
    </row>
    <row r="447" spans="1:10" x14ac:dyDescent="0.35">
      <c r="A447" s="89" t="s">
        <v>266</v>
      </c>
      <c r="B447" s="97"/>
      <c r="C447" s="97"/>
      <c r="D447" s="97"/>
      <c r="E447" s="97"/>
      <c r="F447" s="97"/>
      <c r="G447" s="97"/>
      <c r="H447" s="97"/>
      <c r="I447" s="92" t="s">
        <v>149</v>
      </c>
      <c r="J447" s="92" t="s">
        <v>33</v>
      </c>
    </row>
    <row r="448" spans="1:10" x14ac:dyDescent="0.35">
      <c r="A448" s="89" t="s">
        <v>267</v>
      </c>
      <c r="B448" s="97"/>
      <c r="C448" s="97"/>
      <c r="D448" s="97"/>
      <c r="E448" s="97"/>
      <c r="F448" s="97"/>
      <c r="G448" s="97"/>
      <c r="H448" s="97"/>
      <c r="I448" s="92" t="s">
        <v>149</v>
      </c>
      <c r="J448" s="92" t="s">
        <v>12</v>
      </c>
    </row>
    <row r="449" spans="1:10" x14ac:dyDescent="0.35">
      <c r="A449" s="89" t="s">
        <v>194</v>
      </c>
      <c r="B449" s="90">
        <v>372660000</v>
      </c>
      <c r="C449" s="90">
        <v>372660000</v>
      </c>
      <c r="D449" s="90">
        <v>1004400</v>
      </c>
      <c r="E449" s="90">
        <v>5604650</v>
      </c>
      <c r="F449" s="90">
        <v>6609050</v>
      </c>
      <c r="G449" s="90">
        <v>366050950</v>
      </c>
      <c r="H449" s="91">
        <v>0</v>
      </c>
      <c r="I449" s="92" t="s">
        <v>149</v>
      </c>
      <c r="J449" s="92" t="s">
        <v>16</v>
      </c>
    </row>
    <row r="450" spans="1:10" x14ac:dyDescent="0.35">
      <c r="A450" s="89" t="s">
        <v>195</v>
      </c>
      <c r="B450" s="97"/>
      <c r="C450" s="97"/>
      <c r="D450" s="97"/>
      <c r="E450" s="97"/>
      <c r="F450" s="97"/>
      <c r="G450" s="97"/>
      <c r="H450" s="97"/>
      <c r="I450" s="92" t="s">
        <v>149</v>
      </c>
      <c r="J450" s="92" t="s">
        <v>16</v>
      </c>
    </row>
    <row r="451" spans="1:10" x14ac:dyDescent="0.35">
      <c r="A451" s="89" t="s">
        <v>196</v>
      </c>
      <c r="B451" s="97"/>
      <c r="C451" s="97"/>
      <c r="D451" s="97"/>
      <c r="E451" s="97"/>
      <c r="F451" s="97"/>
      <c r="G451" s="97"/>
      <c r="H451" s="97"/>
      <c r="I451" s="92" t="s">
        <v>149</v>
      </c>
      <c r="J451" s="92" t="s">
        <v>16</v>
      </c>
    </row>
    <row r="452" spans="1:10" x14ac:dyDescent="0.35">
      <c r="A452" s="89" t="s">
        <v>197</v>
      </c>
      <c r="B452" s="97"/>
      <c r="C452" s="97"/>
      <c r="D452" s="97"/>
      <c r="E452" s="97"/>
      <c r="F452" s="97"/>
      <c r="G452" s="97"/>
      <c r="H452" s="97"/>
      <c r="I452" s="92" t="s">
        <v>149</v>
      </c>
      <c r="J452" s="92" t="s">
        <v>16</v>
      </c>
    </row>
    <row r="453" spans="1:10" x14ac:dyDescent="0.35">
      <c r="A453" s="89" t="s">
        <v>199</v>
      </c>
      <c r="B453" s="97"/>
      <c r="C453" s="97"/>
      <c r="D453" s="97"/>
      <c r="E453" s="97"/>
      <c r="F453" s="97"/>
      <c r="G453" s="97"/>
      <c r="H453" s="97"/>
      <c r="I453" s="92" t="s">
        <v>149</v>
      </c>
      <c r="J453" s="92" t="s">
        <v>16</v>
      </c>
    </row>
    <row r="454" spans="1:10" x14ac:dyDescent="0.35">
      <c r="A454" s="89" t="s">
        <v>238</v>
      </c>
      <c r="B454" s="97"/>
      <c r="C454" s="97"/>
      <c r="D454" s="97"/>
      <c r="E454" s="97"/>
      <c r="F454" s="97"/>
      <c r="G454" s="97"/>
      <c r="H454" s="97"/>
      <c r="I454" s="92" t="s">
        <v>149</v>
      </c>
      <c r="J454" s="92" t="s">
        <v>16</v>
      </c>
    </row>
    <row r="455" spans="1:10" x14ac:dyDescent="0.35">
      <c r="A455" s="89" t="s">
        <v>200</v>
      </c>
      <c r="B455" s="97"/>
      <c r="C455" s="97"/>
      <c r="D455" s="97"/>
      <c r="E455" s="97"/>
      <c r="F455" s="97"/>
      <c r="G455" s="97"/>
      <c r="H455" s="97"/>
      <c r="I455" s="92" t="s">
        <v>149</v>
      </c>
      <c r="J455" s="92" t="s">
        <v>16</v>
      </c>
    </row>
    <row r="456" spans="1:10" x14ac:dyDescent="0.35">
      <c r="A456" s="89" t="s">
        <v>295</v>
      </c>
      <c r="B456" s="97"/>
      <c r="C456" s="97"/>
      <c r="D456" s="97"/>
      <c r="E456" s="97"/>
      <c r="F456" s="97"/>
      <c r="G456" s="97"/>
      <c r="H456" s="97"/>
      <c r="I456" s="92" t="s">
        <v>149</v>
      </c>
      <c r="J456" s="92" t="s">
        <v>12</v>
      </c>
    </row>
    <row r="457" spans="1:10" x14ac:dyDescent="0.35">
      <c r="A457" s="89" t="s">
        <v>292</v>
      </c>
      <c r="B457" s="97"/>
      <c r="C457" s="97"/>
      <c r="D457" s="97"/>
      <c r="E457" s="97"/>
      <c r="F457" s="97"/>
      <c r="G457" s="97"/>
      <c r="H457" s="97"/>
      <c r="I457" s="92" t="s">
        <v>149</v>
      </c>
      <c r="J457" s="92" t="s">
        <v>12</v>
      </c>
    </row>
    <row r="458" spans="1:10" x14ac:dyDescent="0.35">
      <c r="A458" s="89" t="s">
        <v>268</v>
      </c>
      <c r="B458" s="97"/>
      <c r="C458" s="97"/>
      <c r="D458" s="97"/>
      <c r="E458" s="97"/>
      <c r="F458" s="97"/>
      <c r="G458" s="97"/>
      <c r="H458" s="97"/>
      <c r="I458" s="92" t="s">
        <v>149</v>
      </c>
      <c r="J458" s="92" t="s">
        <v>12</v>
      </c>
    </row>
    <row r="459" spans="1:10" x14ac:dyDescent="0.35">
      <c r="A459" s="89" t="s">
        <v>269</v>
      </c>
      <c r="B459" s="97"/>
      <c r="C459" s="97"/>
      <c r="D459" s="97"/>
      <c r="E459" s="97"/>
      <c r="F459" s="97"/>
      <c r="G459" s="97"/>
      <c r="H459" s="97"/>
      <c r="I459" s="92" t="s">
        <v>149</v>
      </c>
      <c r="J459" s="92" t="s">
        <v>12</v>
      </c>
    </row>
    <row r="460" spans="1:10" x14ac:dyDescent="0.35">
      <c r="A460" s="89" t="s">
        <v>297</v>
      </c>
      <c r="B460" s="97"/>
      <c r="C460" s="97"/>
      <c r="D460" s="97"/>
      <c r="E460" s="97"/>
      <c r="F460" s="97"/>
      <c r="G460" s="97"/>
      <c r="H460" s="97"/>
      <c r="I460" s="92" t="s">
        <v>149</v>
      </c>
      <c r="J460" s="92" t="s">
        <v>12</v>
      </c>
    </row>
    <row r="461" spans="1:10" x14ac:dyDescent="0.35">
      <c r="A461" s="89" t="s">
        <v>201</v>
      </c>
      <c r="B461" s="97"/>
      <c r="C461" s="97"/>
      <c r="D461" s="97"/>
      <c r="E461" s="97"/>
      <c r="F461" s="97"/>
      <c r="G461" s="97"/>
      <c r="H461" s="97"/>
      <c r="I461" s="92" t="s">
        <v>149</v>
      </c>
      <c r="J461" s="92" t="s">
        <v>12</v>
      </c>
    </row>
    <row r="462" spans="1:10" x14ac:dyDescent="0.35">
      <c r="A462" s="89" t="s">
        <v>202</v>
      </c>
      <c r="B462" s="97"/>
      <c r="C462" s="97"/>
      <c r="D462" s="97"/>
      <c r="E462" s="97"/>
      <c r="F462" s="97"/>
      <c r="G462" s="97"/>
      <c r="H462" s="97"/>
      <c r="I462" s="92" t="s">
        <v>149</v>
      </c>
      <c r="J462" s="92" t="s">
        <v>12</v>
      </c>
    </row>
    <row r="463" spans="1:10" x14ac:dyDescent="0.35">
      <c r="A463" s="89" t="s">
        <v>203</v>
      </c>
      <c r="B463" s="97"/>
      <c r="C463" s="97"/>
      <c r="D463" s="97"/>
      <c r="E463" s="97"/>
      <c r="F463" s="97"/>
      <c r="G463" s="97"/>
      <c r="H463" s="97"/>
      <c r="I463" s="92" t="s">
        <v>149</v>
      </c>
      <c r="J463" s="92" t="s">
        <v>12</v>
      </c>
    </row>
    <row r="464" spans="1:10" x14ac:dyDescent="0.35">
      <c r="A464" s="89" t="s">
        <v>286</v>
      </c>
      <c r="B464" s="97"/>
      <c r="C464" s="97"/>
      <c r="D464" s="97"/>
      <c r="E464" s="97"/>
      <c r="F464" s="97"/>
      <c r="G464" s="97"/>
      <c r="H464" s="97"/>
      <c r="I464" s="92" t="s">
        <v>149</v>
      </c>
      <c r="J464" s="92" t="s">
        <v>12</v>
      </c>
    </row>
    <row r="465" spans="1:10" x14ac:dyDescent="0.35">
      <c r="A465" s="89" t="s">
        <v>204</v>
      </c>
      <c r="B465" s="97"/>
      <c r="C465" s="97"/>
      <c r="D465" s="97"/>
      <c r="E465" s="97"/>
      <c r="F465" s="97"/>
      <c r="G465" s="97"/>
      <c r="H465" s="97"/>
      <c r="I465" s="92" t="s">
        <v>149</v>
      </c>
      <c r="J465" s="92" t="s">
        <v>12</v>
      </c>
    </row>
    <row r="466" spans="1:10" x14ac:dyDescent="0.35">
      <c r="A466" s="89" t="s">
        <v>206</v>
      </c>
      <c r="B466" s="97"/>
      <c r="C466" s="97"/>
      <c r="D466" s="97"/>
      <c r="E466" s="97"/>
      <c r="F466" s="97"/>
      <c r="G466" s="97"/>
      <c r="H466" s="97"/>
      <c r="I466" s="92" t="s">
        <v>149</v>
      </c>
      <c r="J466" s="92" t="s">
        <v>12</v>
      </c>
    </row>
    <row r="467" spans="1:10" x14ac:dyDescent="0.35">
      <c r="A467" s="89" t="s">
        <v>287</v>
      </c>
      <c r="B467" s="97"/>
      <c r="C467" s="97"/>
      <c r="D467" s="97"/>
      <c r="E467" s="97"/>
      <c r="F467" s="97"/>
      <c r="G467" s="97"/>
      <c r="H467" s="97"/>
      <c r="I467" s="92" t="s">
        <v>149</v>
      </c>
      <c r="J467" s="92" t="s">
        <v>12</v>
      </c>
    </row>
    <row r="468" spans="1:10" x14ac:dyDescent="0.35">
      <c r="A468" s="89" t="s">
        <v>288</v>
      </c>
      <c r="B468" s="97"/>
      <c r="C468" s="97"/>
      <c r="D468" s="97"/>
      <c r="E468" s="97"/>
      <c r="F468" s="97"/>
      <c r="G468" s="97"/>
      <c r="H468" s="97"/>
      <c r="I468" s="92" t="s">
        <v>149</v>
      </c>
      <c r="J468" s="92" t="s">
        <v>12</v>
      </c>
    </row>
    <row r="469" spans="1:10" x14ac:dyDescent="0.35">
      <c r="A469" s="93" t="s">
        <v>270</v>
      </c>
      <c r="B469" s="94">
        <v>2349760730</v>
      </c>
      <c r="C469" s="94">
        <v>2349760730</v>
      </c>
      <c r="D469" s="94">
        <v>144595630</v>
      </c>
      <c r="E469" s="94">
        <v>5604650</v>
      </c>
      <c r="F469" s="94">
        <v>150200280</v>
      </c>
      <c r="G469" s="94">
        <v>2199560450</v>
      </c>
      <c r="H469" s="95">
        <v>0</v>
      </c>
      <c r="I469" s="96" t="s">
        <v>149</v>
      </c>
      <c r="J469" s="96" t="e">
        <v>#N/A</v>
      </c>
    </row>
    <row r="470" spans="1:10" x14ac:dyDescent="0.35">
      <c r="A470" s="89" t="s">
        <v>178</v>
      </c>
      <c r="B470" s="90">
        <v>6121242000</v>
      </c>
      <c r="C470" s="90">
        <v>6121242000</v>
      </c>
      <c r="D470" s="90">
        <v>4968662500</v>
      </c>
      <c r="E470" s="91">
        <v>0</v>
      </c>
      <c r="F470" s="90">
        <v>4968662500</v>
      </c>
      <c r="G470" s="90">
        <v>1152579500</v>
      </c>
      <c r="H470" s="91">
        <v>0</v>
      </c>
      <c r="I470" s="92" t="s">
        <v>146</v>
      </c>
      <c r="J470" s="92" t="s">
        <v>10</v>
      </c>
    </row>
    <row r="471" spans="1:10" x14ac:dyDescent="0.35">
      <c r="A471" s="89" t="s">
        <v>180</v>
      </c>
      <c r="B471" s="91">
        <v>0</v>
      </c>
      <c r="C471" s="91">
        <v>0</v>
      </c>
      <c r="D471" s="91">
        <v>0</v>
      </c>
      <c r="E471" s="91">
        <v>0</v>
      </c>
      <c r="F471" s="91">
        <v>0</v>
      </c>
      <c r="G471" s="91">
        <v>0</v>
      </c>
      <c r="H471" s="91">
        <v>0</v>
      </c>
      <c r="I471" s="92" t="s">
        <v>146</v>
      </c>
      <c r="J471" s="92" t="s">
        <v>10</v>
      </c>
    </row>
    <row r="472" spans="1:10" x14ac:dyDescent="0.35">
      <c r="A472" s="89" t="s">
        <v>181</v>
      </c>
      <c r="B472" s="91">
        <v>0</v>
      </c>
      <c r="C472" s="91">
        <v>0</v>
      </c>
      <c r="D472" s="91">
        <v>0</v>
      </c>
      <c r="E472" s="91">
        <v>0</v>
      </c>
      <c r="F472" s="91">
        <v>0</v>
      </c>
      <c r="G472" s="91">
        <v>0</v>
      </c>
      <c r="H472" s="91">
        <v>0</v>
      </c>
      <c r="I472" s="92" t="s">
        <v>146</v>
      </c>
      <c r="J472" s="92" t="s">
        <v>10</v>
      </c>
    </row>
    <row r="473" spans="1:10" x14ac:dyDescent="0.35">
      <c r="A473" s="89" t="s">
        <v>183</v>
      </c>
      <c r="B473" s="91">
        <v>0</v>
      </c>
      <c r="C473" s="91">
        <v>0</v>
      </c>
      <c r="D473" s="91">
        <v>0</v>
      </c>
      <c r="E473" s="91">
        <v>0</v>
      </c>
      <c r="F473" s="91">
        <v>0</v>
      </c>
      <c r="G473" s="91">
        <v>0</v>
      </c>
      <c r="H473" s="91">
        <v>0</v>
      </c>
      <c r="I473" s="92" t="s">
        <v>146</v>
      </c>
      <c r="J473" s="92" t="s">
        <v>10</v>
      </c>
    </row>
    <row r="474" spans="1:10" x14ac:dyDescent="0.35">
      <c r="A474" s="89" t="s">
        <v>184</v>
      </c>
      <c r="B474" s="91">
        <v>0</v>
      </c>
      <c r="C474" s="91">
        <v>0</v>
      </c>
      <c r="D474" s="91">
        <v>0</v>
      </c>
      <c r="E474" s="91">
        <v>0</v>
      </c>
      <c r="F474" s="91">
        <v>0</v>
      </c>
      <c r="G474" s="91">
        <v>0</v>
      </c>
      <c r="H474" s="91">
        <v>0</v>
      </c>
      <c r="I474" s="92" t="s">
        <v>146</v>
      </c>
      <c r="J474" s="92" t="s">
        <v>10</v>
      </c>
    </row>
    <row r="475" spans="1:10" x14ac:dyDescent="0.35">
      <c r="A475" s="89" t="s">
        <v>185</v>
      </c>
      <c r="B475" s="91">
        <v>0</v>
      </c>
      <c r="C475" s="91">
        <v>0</v>
      </c>
      <c r="D475" s="91">
        <v>0</v>
      </c>
      <c r="E475" s="91">
        <v>0</v>
      </c>
      <c r="F475" s="91">
        <v>0</v>
      </c>
      <c r="G475" s="91">
        <v>0</v>
      </c>
      <c r="H475" s="91">
        <v>0</v>
      </c>
      <c r="I475" s="92" t="s">
        <v>146</v>
      </c>
      <c r="J475" s="92" t="s">
        <v>10</v>
      </c>
    </row>
    <row r="476" spans="1:10" x14ac:dyDescent="0.35">
      <c r="A476" s="89" t="s">
        <v>261</v>
      </c>
      <c r="B476" s="91">
        <v>0</v>
      </c>
      <c r="C476" s="91">
        <v>0</v>
      </c>
      <c r="D476" s="91">
        <v>0</v>
      </c>
      <c r="E476" s="91">
        <v>0</v>
      </c>
      <c r="F476" s="91">
        <v>0</v>
      </c>
      <c r="G476" s="91">
        <v>0</v>
      </c>
      <c r="H476" s="91">
        <v>0</v>
      </c>
      <c r="I476" s="92" t="s">
        <v>146</v>
      </c>
      <c r="J476" s="92" t="s">
        <v>114</v>
      </c>
    </row>
    <row r="477" spans="1:10" x14ac:dyDescent="0.35">
      <c r="A477" s="89" t="s">
        <v>271</v>
      </c>
      <c r="B477" s="90">
        <v>1778331214</v>
      </c>
      <c r="C477" s="90">
        <v>1778331214</v>
      </c>
      <c r="D477" s="90">
        <v>1778331214</v>
      </c>
      <c r="E477" s="91">
        <v>0</v>
      </c>
      <c r="F477" s="90">
        <v>1778331214</v>
      </c>
      <c r="G477" s="91">
        <v>0</v>
      </c>
      <c r="H477" s="91">
        <v>0</v>
      </c>
      <c r="I477" s="92" t="s">
        <v>146</v>
      </c>
      <c r="J477" s="92" t="s">
        <v>62</v>
      </c>
    </row>
    <row r="478" spans="1:10" x14ac:dyDescent="0.35">
      <c r="A478" s="89" t="s">
        <v>217</v>
      </c>
      <c r="B478" s="90">
        <v>2094950000</v>
      </c>
      <c r="C478" s="90">
        <v>2094950000</v>
      </c>
      <c r="D478" s="90">
        <v>844058238</v>
      </c>
      <c r="E478" s="90">
        <v>96556000</v>
      </c>
      <c r="F478" s="90">
        <v>940614238</v>
      </c>
      <c r="G478" s="90">
        <v>1154335762</v>
      </c>
      <c r="H478" s="91">
        <v>0</v>
      </c>
      <c r="I478" s="92" t="s">
        <v>146</v>
      </c>
      <c r="J478" s="92" t="s">
        <v>62</v>
      </c>
    </row>
    <row r="479" spans="1:10" x14ac:dyDescent="0.35">
      <c r="A479" s="89" t="s">
        <v>272</v>
      </c>
      <c r="B479" s="91">
        <v>0</v>
      </c>
      <c r="C479" s="91">
        <v>0</v>
      </c>
      <c r="D479" s="91">
        <v>0</v>
      </c>
      <c r="E479" s="91">
        <v>0</v>
      </c>
      <c r="F479" s="91">
        <v>0</v>
      </c>
      <c r="G479" s="91">
        <v>0</v>
      </c>
      <c r="H479" s="91">
        <v>0</v>
      </c>
      <c r="I479" s="92" t="s">
        <v>146</v>
      </c>
      <c r="J479" s="92" t="s">
        <v>62</v>
      </c>
    </row>
    <row r="480" spans="1:10" x14ac:dyDescent="0.35">
      <c r="A480" s="89" t="s">
        <v>218</v>
      </c>
      <c r="B480" s="90">
        <v>840000000</v>
      </c>
      <c r="C480" s="90">
        <v>840000000</v>
      </c>
      <c r="D480" s="91">
        <v>0</v>
      </c>
      <c r="E480" s="91">
        <v>0</v>
      </c>
      <c r="F480" s="91">
        <v>0</v>
      </c>
      <c r="G480" s="90">
        <v>840000000</v>
      </c>
      <c r="H480" s="91">
        <v>0</v>
      </c>
      <c r="I480" s="92" t="s">
        <v>146</v>
      </c>
      <c r="J480" s="92" t="s">
        <v>62</v>
      </c>
    </row>
    <row r="481" spans="1:10" x14ac:dyDescent="0.35">
      <c r="A481" s="89" t="s">
        <v>236</v>
      </c>
      <c r="B481" s="90">
        <v>246033000</v>
      </c>
      <c r="C481" s="90">
        <v>246033000</v>
      </c>
      <c r="D481" s="90">
        <v>7785500</v>
      </c>
      <c r="E481" s="91">
        <v>0</v>
      </c>
      <c r="F481" s="90">
        <v>7785500</v>
      </c>
      <c r="G481" s="90">
        <v>238247500</v>
      </c>
      <c r="H481" s="91">
        <v>0</v>
      </c>
      <c r="I481" s="92" t="s">
        <v>146</v>
      </c>
      <c r="J481" s="92" t="s">
        <v>62</v>
      </c>
    </row>
    <row r="482" spans="1:10" x14ac:dyDescent="0.35">
      <c r="A482" s="89" t="s">
        <v>273</v>
      </c>
      <c r="B482" s="90">
        <v>312250000</v>
      </c>
      <c r="C482" s="90">
        <v>312250000</v>
      </c>
      <c r="D482" s="91">
        <v>0</v>
      </c>
      <c r="E482" s="91">
        <v>0</v>
      </c>
      <c r="F482" s="91">
        <v>0</v>
      </c>
      <c r="G482" s="90">
        <v>312250000</v>
      </c>
      <c r="H482" s="91">
        <v>0</v>
      </c>
      <c r="I482" s="92" t="s">
        <v>146</v>
      </c>
      <c r="J482" s="92" t="s">
        <v>62</v>
      </c>
    </row>
    <row r="483" spans="1:10" x14ac:dyDescent="0.35">
      <c r="A483" s="89" t="s">
        <v>274</v>
      </c>
      <c r="B483" s="90">
        <v>350000000</v>
      </c>
      <c r="C483" s="90">
        <v>350000000</v>
      </c>
      <c r="D483" s="91">
        <v>0</v>
      </c>
      <c r="E483" s="91">
        <v>0</v>
      </c>
      <c r="F483" s="91">
        <v>0</v>
      </c>
      <c r="G483" s="90">
        <v>350000000</v>
      </c>
      <c r="H483" s="91">
        <v>0</v>
      </c>
      <c r="I483" s="92" t="s">
        <v>146</v>
      </c>
      <c r="J483" s="92" t="s">
        <v>62</v>
      </c>
    </row>
    <row r="484" spans="1:10" x14ac:dyDescent="0.35">
      <c r="A484" s="89" t="s">
        <v>275</v>
      </c>
      <c r="B484" s="91">
        <v>0</v>
      </c>
      <c r="C484" s="91">
        <v>0</v>
      </c>
      <c r="D484" s="91">
        <v>0</v>
      </c>
      <c r="E484" s="91">
        <v>0</v>
      </c>
      <c r="F484" s="91">
        <v>0</v>
      </c>
      <c r="G484" s="91">
        <v>0</v>
      </c>
      <c r="H484" s="91">
        <v>0</v>
      </c>
      <c r="I484" s="92" t="s">
        <v>146</v>
      </c>
      <c r="J484" s="92" t="s">
        <v>62</v>
      </c>
    </row>
    <row r="485" spans="1:10" x14ac:dyDescent="0.35">
      <c r="A485" s="89" t="s">
        <v>276</v>
      </c>
      <c r="B485" s="90">
        <v>372500000</v>
      </c>
      <c r="C485" s="90">
        <v>372500000</v>
      </c>
      <c r="D485" s="90">
        <v>32460000</v>
      </c>
      <c r="E485" s="91">
        <v>0</v>
      </c>
      <c r="F485" s="90">
        <v>32460000</v>
      </c>
      <c r="G485" s="90">
        <v>340040000</v>
      </c>
      <c r="H485" s="91">
        <v>0</v>
      </c>
      <c r="I485" s="92" t="s">
        <v>146</v>
      </c>
      <c r="J485" s="92" t="s">
        <v>62</v>
      </c>
    </row>
    <row r="486" spans="1:10" x14ac:dyDescent="0.35">
      <c r="A486" s="89" t="s">
        <v>277</v>
      </c>
      <c r="B486" s="90">
        <v>2397799000</v>
      </c>
      <c r="C486" s="90">
        <v>2397799000</v>
      </c>
      <c r="D486" s="90">
        <v>475370000</v>
      </c>
      <c r="E486" s="91">
        <v>0</v>
      </c>
      <c r="F486" s="90">
        <v>475370000</v>
      </c>
      <c r="G486" s="90">
        <v>1922429000</v>
      </c>
      <c r="H486" s="91">
        <v>0</v>
      </c>
      <c r="I486" s="92" t="s">
        <v>146</v>
      </c>
      <c r="J486" s="92" t="s">
        <v>62</v>
      </c>
    </row>
    <row r="487" spans="1:10" x14ac:dyDescent="0.35">
      <c r="A487" s="89" t="s">
        <v>278</v>
      </c>
      <c r="B487" s="90">
        <v>1098750000</v>
      </c>
      <c r="C487" s="90">
        <v>1098750000</v>
      </c>
      <c r="D487" s="91">
        <v>0</v>
      </c>
      <c r="E487" s="91">
        <v>0</v>
      </c>
      <c r="F487" s="91">
        <v>0</v>
      </c>
      <c r="G487" s="90">
        <v>1098750000</v>
      </c>
      <c r="H487" s="91">
        <v>0</v>
      </c>
      <c r="I487" s="92" t="s">
        <v>146</v>
      </c>
      <c r="J487" s="92" t="s">
        <v>62</v>
      </c>
    </row>
    <row r="488" spans="1:10" x14ac:dyDescent="0.35">
      <c r="A488" s="89" t="s">
        <v>219</v>
      </c>
      <c r="B488" s="90">
        <v>133125000</v>
      </c>
      <c r="C488" s="90">
        <v>133125000</v>
      </c>
      <c r="D488" s="90">
        <v>40800000</v>
      </c>
      <c r="E488" s="91">
        <v>0</v>
      </c>
      <c r="F488" s="90">
        <v>40800000</v>
      </c>
      <c r="G488" s="90">
        <v>92325000</v>
      </c>
      <c r="H488" s="91">
        <v>0</v>
      </c>
      <c r="I488" s="92" t="s">
        <v>146</v>
      </c>
      <c r="J488" s="92" t="s">
        <v>62</v>
      </c>
    </row>
    <row r="489" spans="1:10" x14ac:dyDescent="0.35">
      <c r="A489" s="89" t="s">
        <v>220</v>
      </c>
      <c r="B489" s="90">
        <v>375000000</v>
      </c>
      <c r="C489" s="90">
        <v>375000000</v>
      </c>
      <c r="D489" s="91">
        <v>0</v>
      </c>
      <c r="E489" s="91">
        <v>0</v>
      </c>
      <c r="F489" s="91">
        <v>0</v>
      </c>
      <c r="G489" s="90">
        <v>375000000</v>
      </c>
      <c r="H489" s="91">
        <v>0</v>
      </c>
      <c r="I489" s="92" t="s">
        <v>146</v>
      </c>
      <c r="J489" s="92" t="s">
        <v>62</v>
      </c>
    </row>
    <row r="490" spans="1:10" x14ac:dyDescent="0.35">
      <c r="A490" s="89" t="s">
        <v>191</v>
      </c>
      <c r="B490" s="90">
        <v>50000000</v>
      </c>
      <c r="C490" s="90">
        <v>50000000</v>
      </c>
      <c r="D490" s="90">
        <v>12720000</v>
      </c>
      <c r="E490" s="91">
        <v>0</v>
      </c>
      <c r="F490" s="90">
        <v>12720000</v>
      </c>
      <c r="G490" s="90">
        <v>37280000</v>
      </c>
      <c r="H490" s="91">
        <v>0</v>
      </c>
      <c r="I490" s="92" t="s">
        <v>146</v>
      </c>
      <c r="J490" s="92" t="s">
        <v>31</v>
      </c>
    </row>
    <row r="491" spans="1:10" x14ac:dyDescent="0.35">
      <c r="A491" s="89" t="s">
        <v>221</v>
      </c>
      <c r="B491" s="90">
        <v>508075000</v>
      </c>
      <c r="C491" s="90">
        <v>508075000</v>
      </c>
      <c r="D491" s="90">
        <v>45540000</v>
      </c>
      <c r="E491" s="90">
        <v>82800000</v>
      </c>
      <c r="F491" s="90">
        <v>128340000</v>
      </c>
      <c r="G491" s="90">
        <v>379735000</v>
      </c>
      <c r="H491" s="91">
        <v>0</v>
      </c>
      <c r="I491" s="92" t="s">
        <v>146</v>
      </c>
      <c r="J491" s="92" t="s">
        <v>67</v>
      </c>
    </row>
    <row r="492" spans="1:10" x14ac:dyDescent="0.35">
      <c r="A492" s="89" t="s">
        <v>222</v>
      </c>
      <c r="B492" s="90">
        <v>640000000</v>
      </c>
      <c r="C492" s="90">
        <v>640000000</v>
      </c>
      <c r="D492" s="90">
        <v>8404406</v>
      </c>
      <c r="E492" s="90">
        <v>446630703</v>
      </c>
      <c r="F492" s="90">
        <v>455035109</v>
      </c>
      <c r="G492" s="90">
        <v>184964891</v>
      </c>
      <c r="H492" s="91">
        <v>0</v>
      </c>
      <c r="I492" s="92" t="s">
        <v>146</v>
      </c>
      <c r="J492" s="92" t="s">
        <v>35</v>
      </c>
    </row>
    <row r="493" spans="1:10" x14ac:dyDescent="0.35">
      <c r="A493" s="89" t="s">
        <v>194</v>
      </c>
      <c r="B493" s="90">
        <v>222793250</v>
      </c>
      <c r="C493" s="90">
        <v>222793250</v>
      </c>
      <c r="D493" s="90">
        <v>11185000</v>
      </c>
      <c r="E493" s="90">
        <v>11185000</v>
      </c>
      <c r="F493" s="90">
        <v>22370000</v>
      </c>
      <c r="G493" s="90">
        <v>200423250</v>
      </c>
      <c r="H493" s="91">
        <v>0</v>
      </c>
      <c r="I493" s="92" t="s">
        <v>146</v>
      </c>
      <c r="J493" s="92" t="s">
        <v>16</v>
      </c>
    </row>
    <row r="494" spans="1:10" x14ac:dyDescent="0.35">
      <c r="A494" s="89" t="s">
        <v>195</v>
      </c>
      <c r="B494" s="90">
        <v>278081750</v>
      </c>
      <c r="C494" s="90">
        <v>278081750</v>
      </c>
      <c r="D494" s="90">
        <v>64467900</v>
      </c>
      <c r="E494" s="90">
        <v>112473360</v>
      </c>
      <c r="F494" s="90">
        <v>176941260</v>
      </c>
      <c r="G494" s="90">
        <v>101140490</v>
      </c>
      <c r="H494" s="91">
        <v>0</v>
      </c>
      <c r="I494" s="92" t="s">
        <v>146</v>
      </c>
      <c r="J494" s="92" t="s">
        <v>16</v>
      </c>
    </row>
    <row r="495" spans="1:10" x14ac:dyDescent="0.35">
      <c r="A495" s="89" t="s">
        <v>196</v>
      </c>
      <c r="B495" s="90">
        <v>23250000</v>
      </c>
      <c r="C495" s="90">
        <v>23250000</v>
      </c>
      <c r="D495" s="91">
        <v>0</v>
      </c>
      <c r="E495" s="90">
        <v>7250000</v>
      </c>
      <c r="F495" s="90">
        <v>7250000</v>
      </c>
      <c r="G495" s="90">
        <v>16000000</v>
      </c>
      <c r="H495" s="91">
        <v>0</v>
      </c>
      <c r="I495" s="92" t="s">
        <v>146</v>
      </c>
      <c r="J495" s="92" t="s">
        <v>16</v>
      </c>
    </row>
    <row r="496" spans="1:10" x14ac:dyDescent="0.35">
      <c r="A496" s="89" t="s">
        <v>197</v>
      </c>
      <c r="B496" s="90">
        <v>163230750</v>
      </c>
      <c r="C496" s="90">
        <v>163230750</v>
      </c>
      <c r="D496" s="90">
        <v>1145000</v>
      </c>
      <c r="E496" s="90">
        <v>11495000</v>
      </c>
      <c r="F496" s="90">
        <v>12640000</v>
      </c>
      <c r="G496" s="90">
        <v>150590750</v>
      </c>
      <c r="H496" s="91">
        <v>0</v>
      </c>
      <c r="I496" s="92" t="s">
        <v>146</v>
      </c>
      <c r="J496" s="92" t="s">
        <v>16</v>
      </c>
    </row>
    <row r="497" spans="1:10" x14ac:dyDescent="0.35">
      <c r="A497" s="89" t="s">
        <v>199</v>
      </c>
      <c r="B497" s="90">
        <v>172144500</v>
      </c>
      <c r="C497" s="90">
        <v>172144500</v>
      </c>
      <c r="D497" s="90">
        <v>10333670</v>
      </c>
      <c r="E497" s="90">
        <v>36107070</v>
      </c>
      <c r="F497" s="90">
        <v>46440740</v>
      </c>
      <c r="G497" s="90">
        <v>125703760</v>
      </c>
      <c r="H497" s="91">
        <v>0</v>
      </c>
      <c r="I497" s="92" t="s">
        <v>146</v>
      </c>
      <c r="J497" s="92" t="s">
        <v>16</v>
      </c>
    </row>
    <row r="498" spans="1:10" x14ac:dyDescent="0.35">
      <c r="A498" s="89" t="s">
        <v>238</v>
      </c>
      <c r="B498" s="90">
        <v>9045000</v>
      </c>
      <c r="C498" s="90">
        <v>9045000</v>
      </c>
      <c r="D498" s="91">
        <v>0</v>
      </c>
      <c r="E498" s="90">
        <v>5248402</v>
      </c>
      <c r="F498" s="90">
        <v>5248402</v>
      </c>
      <c r="G498" s="90">
        <v>3796598</v>
      </c>
      <c r="H498" s="91">
        <v>0</v>
      </c>
      <c r="I498" s="92" t="s">
        <v>146</v>
      </c>
      <c r="J498" s="92" t="s">
        <v>16</v>
      </c>
    </row>
    <row r="499" spans="1:10" x14ac:dyDescent="0.35">
      <c r="A499" s="89" t="s">
        <v>200</v>
      </c>
      <c r="B499" s="90">
        <v>40435250</v>
      </c>
      <c r="C499" s="90">
        <v>40435250</v>
      </c>
      <c r="D499" s="90">
        <v>2058680</v>
      </c>
      <c r="E499" s="91">
        <v>0</v>
      </c>
      <c r="F499" s="90">
        <v>2058680</v>
      </c>
      <c r="G499" s="90">
        <v>38376570</v>
      </c>
      <c r="H499" s="91">
        <v>0</v>
      </c>
      <c r="I499" s="92" t="s">
        <v>146</v>
      </c>
      <c r="J499" s="92" t="s">
        <v>16</v>
      </c>
    </row>
    <row r="500" spans="1:10" x14ac:dyDescent="0.35">
      <c r="A500" s="89" t="s">
        <v>295</v>
      </c>
      <c r="B500" s="91">
        <v>0</v>
      </c>
      <c r="C500" s="91">
        <v>0</v>
      </c>
      <c r="D500" s="91">
        <v>0</v>
      </c>
      <c r="E500" s="90">
        <v>42409654</v>
      </c>
      <c r="F500" s="90">
        <v>42409654</v>
      </c>
      <c r="G500" s="90">
        <v>-42409654</v>
      </c>
      <c r="H500" s="91">
        <v>0</v>
      </c>
      <c r="I500" s="92" t="s">
        <v>146</v>
      </c>
      <c r="J500" s="92" t="s">
        <v>12</v>
      </c>
    </row>
    <row r="501" spans="1:10" x14ac:dyDescent="0.35">
      <c r="A501" s="89" t="s">
        <v>292</v>
      </c>
      <c r="B501" s="91">
        <v>0</v>
      </c>
      <c r="C501" s="91">
        <v>0</v>
      </c>
      <c r="D501" s="91">
        <v>0</v>
      </c>
      <c r="E501" s="90">
        <v>30444931</v>
      </c>
      <c r="F501" s="90">
        <v>30444931</v>
      </c>
      <c r="G501" s="90">
        <v>-30444931</v>
      </c>
      <c r="H501" s="91">
        <v>0</v>
      </c>
      <c r="I501" s="92" t="s">
        <v>146</v>
      </c>
      <c r="J501" s="92" t="s">
        <v>12</v>
      </c>
    </row>
    <row r="502" spans="1:10" x14ac:dyDescent="0.35">
      <c r="A502" s="89" t="s">
        <v>269</v>
      </c>
      <c r="B502" s="91">
        <v>0</v>
      </c>
      <c r="C502" s="91">
        <v>0</v>
      </c>
      <c r="D502" s="91">
        <v>0</v>
      </c>
      <c r="E502" s="90">
        <v>51753310</v>
      </c>
      <c r="F502" s="90">
        <v>51753310</v>
      </c>
      <c r="G502" s="90">
        <v>-51753310</v>
      </c>
      <c r="H502" s="91">
        <v>0</v>
      </c>
      <c r="I502" s="92" t="s">
        <v>146</v>
      </c>
      <c r="J502" s="92" t="s">
        <v>12</v>
      </c>
    </row>
    <row r="503" spans="1:10" x14ac:dyDescent="0.35">
      <c r="A503" s="89" t="s">
        <v>201</v>
      </c>
      <c r="B503" s="90">
        <v>12164281897</v>
      </c>
      <c r="C503" s="90">
        <v>12164281897</v>
      </c>
      <c r="D503" s="91">
        <v>0</v>
      </c>
      <c r="E503" s="90">
        <v>1811099261</v>
      </c>
      <c r="F503" s="90">
        <v>1811099261</v>
      </c>
      <c r="G503" s="90">
        <v>10353182636</v>
      </c>
      <c r="H503" s="91">
        <v>0</v>
      </c>
      <c r="I503" s="92" t="s">
        <v>146</v>
      </c>
      <c r="J503" s="92" t="s">
        <v>12</v>
      </c>
    </row>
    <row r="504" spans="1:10" x14ac:dyDescent="0.35">
      <c r="A504" s="89" t="s">
        <v>202</v>
      </c>
      <c r="B504" s="90">
        <v>111508199</v>
      </c>
      <c r="C504" s="90">
        <v>111508199</v>
      </c>
      <c r="D504" s="91">
        <v>0</v>
      </c>
      <c r="E504" s="90">
        <v>18414338</v>
      </c>
      <c r="F504" s="90">
        <v>18414338</v>
      </c>
      <c r="G504" s="90">
        <v>93093861</v>
      </c>
      <c r="H504" s="91">
        <v>0</v>
      </c>
      <c r="I504" s="92" t="s">
        <v>146</v>
      </c>
      <c r="J504" s="92" t="s">
        <v>12</v>
      </c>
    </row>
    <row r="505" spans="1:10" x14ac:dyDescent="0.35">
      <c r="A505" s="89" t="s">
        <v>203</v>
      </c>
      <c r="B505" s="90">
        <v>10801404197</v>
      </c>
      <c r="C505" s="90">
        <v>10801404197</v>
      </c>
      <c r="D505" s="91">
        <v>0</v>
      </c>
      <c r="E505" s="90">
        <v>796429653</v>
      </c>
      <c r="F505" s="90">
        <v>796429653</v>
      </c>
      <c r="G505" s="90">
        <v>10004974544</v>
      </c>
      <c r="H505" s="91">
        <v>0</v>
      </c>
      <c r="I505" s="92" t="s">
        <v>146</v>
      </c>
      <c r="J505" s="92" t="s">
        <v>12</v>
      </c>
    </row>
    <row r="506" spans="1:10" x14ac:dyDescent="0.35">
      <c r="A506" s="89" t="s">
        <v>286</v>
      </c>
      <c r="B506" s="90">
        <v>68210418</v>
      </c>
      <c r="C506" s="90">
        <v>68210418</v>
      </c>
      <c r="D506" s="91">
        <v>0</v>
      </c>
      <c r="E506" s="91">
        <v>0</v>
      </c>
      <c r="F506" s="91">
        <v>0</v>
      </c>
      <c r="G506" s="90">
        <v>68210418</v>
      </c>
      <c r="H506" s="91">
        <v>0</v>
      </c>
      <c r="I506" s="92" t="s">
        <v>146</v>
      </c>
      <c r="J506" s="92" t="s">
        <v>12</v>
      </c>
    </row>
    <row r="507" spans="1:10" x14ac:dyDescent="0.35">
      <c r="A507" s="89" t="s">
        <v>204</v>
      </c>
      <c r="B507" s="90">
        <v>1452685239</v>
      </c>
      <c r="C507" s="90">
        <v>1452685239</v>
      </c>
      <c r="D507" s="91">
        <v>0</v>
      </c>
      <c r="E507" s="90">
        <v>135886124</v>
      </c>
      <c r="F507" s="90">
        <v>135886124</v>
      </c>
      <c r="G507" s="90">
        <v>1316799115</v>
      </c>
      <c r="H507" s="91">
        <v>0</v>
      </c>
      <c r="I507" s="92" t="s">
        <v>146</v>
      </c>
      <c r="J507" s="92" t="s">
        <v>12</v>
      </c>
    </row>
    <row r="508" spans="1:10" x14ac:dyDescent="0.35">
      <c r="A508" s="89" t="s">
        <v>205</v>
      </c>
      <c r="B508" s="90">
        <v>35165398</v>
      </c>
      <c r="C508" s="90">
        <v>35165398</v>
      </c>
      <c r="D508" s="91">
        <v>0</v>
      </c>
      <c r="E508" s="90">
        <v>3651448</v>
      </c>
      <c r="F508" s="90">
        <v>3651448</v>
      </c>
      <c r="G508" s="90">
        <v>31513950</v>
      </c>
      <c r="H508" s="91">
        <v>0</v>
      </c>
      <c r="I508" s="92" t="s">
        <v>146</v>
      </c>
      <c r="J508" s="92" t="s">
        <v>12</v>
      </c>
    </row>
    <row r="509" spans="1:10" x14ac:dyDescent="0.35">
      <c r="A509" s="89" t="s">
        <v>206</v>
      </c>
      <c r="B509" s="90">
        <v>1698748501</v>
      </c>
      <c r="C509" s="90">
        <v>1698748501</v>
      </c>
      <c r="D509" s="91">
        <v>0</v>
      </c>
      <c r="E509" s="90">
        <v>125914000</v>
      </c>
      <c r="F509" s="90">
        <v>125914000</v>
      </c>
      <c r="G509" s="90">
        <v>1572834501</v>
      </c>
      <c r="H509" s="91">
        <v>0</v>
      </c>
      <c r="I509" s="92" t="s">
        <v>146</v>
      </c>
      <c r="J509" s="92" t="s">
        <v>12</v>
      </c>
    </row>
    <row r="510" spans="1:10" x14ac:dyDescent="0.35">
      <c r="A510" s="89" t="s">
        <v>287</v>
      </c>
      <c r="B510" s="90">
        <v>3850588</v>
      </c>
      <c r="C510" s="90">
        <v>3850588</v>
      </c>
      <c r="D510" s="91">
        <v>0</v>
      </c>
      <c r="E510" s="91">
        <v>0</v>
      </c>
      <c r="F510" s="91">
        <v>0</v>
      </c>
      <c r="G510" s="90">
        <v>3850588</v>
      </c>
      <c r="H510" s="91">
        <v>0</v>
      </c>
      <c r="I510" s="92" t="s">
        <v>146</v>
      </c>
      <c r="J510" s="92" t="s">
        <v>12</v>
      </c>
    </row>
    <row r="511" spans="1:10" x14ac:dyDescent="0.35">
      <c r="A511" s="89" t="s">
        <v>288</v>
      </c>
      <c r="B511" s="91">
        <v>0</v>
      </c>
      <c r="C511" s="91">
        <v>0</v>
      </c>
      <c r="D511" s="91">
        <v>0</v>
      </c>
      <c r="E511" s="90">
        <v>68988538</v>
      </c>
      <c r="F511" s="90">
        <v>68988538</v>
      </c>
      <c r="G511" s="90">
        <v>-68988538</v>
      </c>
      <c r="H511" s="91">
        <v>0</v>
      </c>
      <c r="I511" s="92" t="s">
        <v>146</v>
      </c>
      <c r="J511" s="92" t="s">
        <v>12</v>
      </c>
    </row>
    <row r="512" spans="1:10" x14ac:dyDescent="0.35">
      <c r="A512" s="93" t="s">
        <v>279</v>
      </c>
      <c r="B512" s="94">
        <v>44562890151</v>
      </c>
      <c r="C512" s="94">
        <v>44562890151</v>
      </c>
      <c r="D512" s="94">
        <v>8303322108</v>
      </c>
      <c r="E512" s="94">
        <v>3894736792</v>
      </c>
      <c r="F512" s="94">
        <v>12198058900</v>
      </c>
      <c r="G512" s="94">
        <v>32364831251</v>
      </c>
      <c r="H512" s="95">
        <v>0</v>
      </c>
      <c r="I512" s="96" t="s">
        <v>146</v>
      </c>
      <c r="J512" s="96" t="e">
        <v>#N/A</v>
      </c>
    </row>
    <row r="513" spans="1:10" x14ac:dyDescent="0.35">
      <c r="A513" s="89" t="s">
        <v>178</v>
      </c>
      <c r="B513" s="90">
        <v>2787349000</v>
      </c>
      <c r="C513" s="90">
        <v>2787349000</v>
      </c>
      <c r="D513" s="90">
        <v>2595236997</v>
      </c>
      <c r="E513" s="91">
        <v>0</v>
      </c>
      <c r="F513" s="90">
        <v>2595236997</v>
      </c>
      <c r="G513" s="90">
        <v>192112003</v>
      </c>
      <c r="H513" s="91">
        <v>0</v>
      </c>
      <c r="I513" s="92" t="s">
        <v>147</v>
      </c>
      <c r="J513" s="92" t="s">
        <v>10</v>
      </c>
    </row>
    <row r="514" spans="1:10" x14ac:dyDescent="0.35">
      <c r="A514" s="89" t="s">
        <v>181</v>
      </c>
      <c r="B514" s="90">
        <v>25000000</v>
      </c>
      <c r="C514" s="90">
        <v>25000000</v>
      </c>
      <c r="D514" s="90">
        <v>3328300</v>
      </c>
      <c r="E514" s="91">
        <v>0</v>
      </c>
      <c r="F514" s="90">
        <v>3328300</v>
      </c>
      <c r="G514" s="90">
        <v>21671700</v>
      </c>
      <c r="H514" s="91">
        <v>0</v>
      </c>
      <c r="I514" s="92" t="s">
        <v>147</v>
      </c>
      <c r="J514" s="92" t="s">
        <v>10</v>
      </c>
    </row>
    <row r="515" spans="1:10" x14ac:dyDescent="0.35">
      <c r="A515" s="89" t="s">
        <v>211</v>
      </c>
      <c r="B515" s="90">
        <v>777087500</v>
      </c>
      <c r="C515" s="90">
        <v>777087500</v>
      </c>
      <c r="D515" s="90">
        <v>393820000</v>
      </c>
      <c r="E515" s="91">
        <v>0</v>
      </c>
      <c r="F515" s="90">
        <v>393820000</v>
      </c>
      <c r="G515" s="90">
        <v>383267500</v>
      </c>
      <c r="H515" s="91">
        <v>0</v>
      </c>
      <c r="I515" s="92" t="s">
        <v>147</v>
      </c>
      <c r="J515" s="92" t="s">
        <v>10</v>
      </c>
    </row>
    <row r="516" spans="1:10" x14ac:dyDescent="0.35">
      <c r="A516" s="89" t="s">
        <v>212</v>
      </c>
      <c r="B516" s="90">
        <v>2125000000</v>
      </c>
      <c r="C516" s="90">
        <v>2125000000</v>
      </c>
      <c r="D516" s="90">
        <v>527929479</v>
      </c>
      <c r="E516" s="90">
        <v>79254316</v>
      </c>
      <c r="F516" s="90">
        <v>607183795</v>
      </c>
      <c r="G516" s="90">
        <v>1517816205</v>
      </c>
      <c r="H516" s="91">
        <v>0</v>
      </c>
      <c r="I516" s="92" t="s">
        <v>147</v>
      </c>
      <c r="J516" s="92" t="s">
        <v>10</v>
      </c>
    </row>
    <row r="517" spans="1:10" x14ac:dyDescent="0.35">
      <c r="A517" s="89" t="s">
        <v>182</v>
      </c>
      <c r="B517" s="90">
        <v>75000000</v>
      </c>
      <c r="C517" s="90">
        <v>75000000</v>
      </c>
      <c r="D517" s="91">
        <v>0</v>
      </c>
      <c r="E517" s="91">
        <v>0</v>
      </c>
      <c r="F517" s="91">
        <v>0</v>
      </c>
      <c r="G517" s="90">
        <v>75000000</v>
      </c>
      <c r="H517" s="91">
        <v>0</v>
      </c>
      <c r="I517" s="92" t="s">
        <v>147</v>
      </c>
      <c r="J517" s="92" t="s">
        <v>10</v>
      </c>
    </row>
    <row r="518" spans="1:10" x14ac:dyDescent="0.35">
      <c r="A518" s="89" t="s">
        <v>183</v>
      </c>
      <c r="B518" s="90">
        <v>1360596500</v>
      </c>
      <c r="C518" s="90">
        <v>1360596500</v>
      </c>
      <c r="D518" s="90">
        <v>480170000</v>
      </c>
      <c r="E518" s="91">
        <v>0</v>
      </c>
      <c r="F518" s="90">
        <v>480170000</v>
      </c>
      <c r="G518" s="90">
        <v>880426500</v>
      </c>
      <c r="H518" s="91">
        <v>0</v>
      </c>
      <c r="I518" s="92" t="s">
        <v>147</v>
      </c>
      <c r="J518" s="92" t="s">
        <v>10</v>
      </c>
    </row>
    <row r="519" spans="1:10" x14ac:dyDescent="0.35">
      <c r="A519" s="89" t="s">
        <v>184</v>
      </c>
      <c r="B519" s="90">
        <v>4897337500</v>
      </c>
      <c r="C519" s="90">
        <v>4897337500</v>
      </c>
      <c r="D519" s="90">
        <v>4881152179</v>
      </c>
      <c r="E519" s="91">
        <v>0</v>
      </c>
      <c r="F519" s="90">
        <v>4881152179</v>
      </c>
      <c r="G519" s="90">
        <v>16185321</v>
      </c>
      <c r="H519" s="91">
        <v>0</v>
      </c>
      <c r="I519" s="92" t="s">
        <v>147</v>
      </c>
      <c r="J519" s="92" t="s">
        <v>10</v>
      </c>
    </row>
    <row r="520" spans="1:10" x14ac:dyDescent="0.35">
      <c r="A520" s="89" t="s">
        <v>185</v>
      </c>
      <c r="B520" s="90">
        <v>1057349000</v>
      </c>
      <c r="C520" s="90">
        <v>1057349000</v>
      </c>
      <c r="D520" s="90">
        <v>74537440</v>
      </c>
      <c r="E520" s="90">
        <v>87511800</v>
      </c>
      <c r="F520" s="90">
        <v>162049240</v>
      </c>
      <c r="G520" s="90">
        <v>895299760</v>
      </c>
      <c r="H520" s="91">
        <v>0</v>
      </c>
      <c r="I520" s="92" t="s">
        <v>147</v>
      </c>
      <c r="J520" s="92" t="s">
        <v>10</v>
      </c>
    </row>
    <row r="521" spans="1:10" x14ac:dyDescent="0.35">
      <c r="A521" s="89" t="s">
        <v>213</v>
      </c>
      <c r="B521" s="90">
        <v>725000000</v>
      </c>
      <c r="C521" s="90">
        <v>725000000</v>
      </c>
      <c r="D521" s="91">
        <v>0</v>
      </c>
      <c r="E521" s="91">
        <v>0</v>
      </c>
      <c r="F521" s="91">
        <v>0</v>
      </c>
      <c r="G521" s="90">
        <v>725000000</v>
      </c>
      <c r="H521" s="91">
        <v>0</v>
      </c>
      <c r="I521" s="92" t="s">
        <v>147</v>
      </c>
      <c r="J521" s="92" t="s">
        <v>10</v>
      </c>
    </row>
    <row r="522" spans="1:10" x14ac:dyDescent="0.35">
      <c r="A522" s="89" t="s">
        <v>214</v>
      </c>
      <c r="B522" s="91">
        <v>0</v>
      </c>
      <c r="C522" s="91">
        <v>0</v>
      </c>
      <c r="D522" s="91">
        <v>0</v>
      </c>
      <c r="E522" s="91">
        <v>0</v>
      </c>
      <c r="F522" s="91">
        <v>0</v>
      </c>
      <c r="G522" s="91">
        <v>0</v>
      </c>
      <c r="H522" s="91">
        <v>0</v>
      </c>
      <c r="I522" s="92" t="s">
        <v>147</v>
      </c>
      <c r="J522" s="92" t="s">
        <v>10</v>
      </c>
    </row>
    <row r="523" spans="1:10" x14ac:dyDescent="0.35">
      <c r="A523" s="89" t="s">
        <v>216</v>
      </c>
      <c r="B523" s="90">
        <v>457905500</v>
      </c>
      <c r="C523" s="90">
        <v>457905500</v>
      </c>
      <c r="D523" s="91">
        <v>0</v>
      </c>
      <c r="E523" s="91">
        <v>0</v>
      </c>
      <c r="F523" s="91">
        <v>0</v>
      </c>
      <c r="G523" s="90">
        <v>457905500</v>
      </c>
      <c r="H523" s="91">
        <v>0</v>
      </c>
      <c r="I523" s="92" t="s">
        <v>147</v>
      </c>
      <c r="J523" s="92" t="s">
        <v>10</v>
      </c>
    </row>
    <row r="524" spans="1:10" x14ac:dyDescent="0.35">
      <c r="A524" s="89" t="s">
        <v>186</v>
      </c>
      <c r="B524" s="90">
        <v>875000000</v>
      </c>
      <c r="C524" s="90">
        <v>875000000</v>
      </c>
      <c r="D524" s="90">
        <v>498500000</v>
      </c>
      <c r="E524" s="91">
        <v>0</v>
      </c>
      <c r="F524" s="90">
        <v>498500000</v>
      </c>
      <c r="G524" s="90">
        <v>376500000</v>
      </c>
      <c r="H524" s="91">
        <v>0</v>
      </c>
      <c r="I524" s="92" t="s">
        <v>147</v>
      </c>
      <c r="J524" s="92" t="s">
        <v>10</v>
      </c>
    </row>
    <row r="525" spans="1:10" x14ac:dyDescent="0.35">
      <c r="A525" s="89" t="s">
        <v>236</v>
      </c>
      <c r="B525" s="90">
        <v>150000000</v>
      </c>
      <c r="C525" s="90">
        <v>150000000</v>
      </c>
      <c r="D525" s="91">
        <v>0</v>
      </c>
      <c r="E525" s="91">
        <v>0</v>
      </c>
      <c r="F525" s="91">
        <v>0</v>
      </c>
      <c r="G525" s="90">
        <v>150000000</v>
      </c>
      <c r="H525" s="91">
        <v>0</v>
      </c>
      <c r="I525" s="92" t="s">
        <v>147</v>
      </c>
      <c r="J525" s="92" t="s">
        <v>62</v>
      </c>
    </row>
    <row r="526" spans="1:10" x14ac:dyDescent="0.35">
      <c r="A526" s="89" t="s">
        <v>191</v>
      </c>
      <c r="B526" s="90">
        <v>322500000</v>
      </c>
      <c r="C526" s="90">
        <v>322500000</v>
      </c>
      <c r="D526" s="90">
        <v>64735000</v>
      </c>
      <c r="E526" s="90">
        <v>18435000</v>
      </c>
      <c r="F526" s="90">
        <v>83170000</v>
      </c>
      <c r="G526" s="90">
        <v>239330000</v>
      </c>
      <c r="H526" s="91">
        <v>0</v>
      </c>
      <c r="I526" s="92" t="s">
        <v>147</v>
      </c>
      <c r="J526" s="92" t="s">
        <v>31</v>
      </c>
    </row>
    <row r="527" spans="1:10" x14ac:dyDescent="0.35">
      <c r="A527" s="89" t="s">
        <v>221</v>
      </c>
      <c r="B527" s="90">
        <v>142986000</v>
      </c>
      <c r="C527" s="90">
        <v>142986000</v>
      </c>
      <c r="D527" s="91">
        <v>0</v>
      </c>
      <c r="E527" s="90">
        <v>32200000</v>
      </c>
      <c r="F527" s="90">
        <v>32200000</v>
      </c>
      <c r="G527" s="90">
        <v>110786000</v>
      </c>
      <c r="H527" s="91">
        <v>0</v>
      </c>
      <c r="I527" s="92" t="s">
        <v>147</v>
      </c>
      <c r="J527" s="92" t="s">
        <v>67</v>
      </c>
    </row>
    <row r="528" spans="1:10" x14ac:dyDescent="0.35">
      <c r="A528" s="89" t="s">
        <v>222</v>
      </c>
      <c r="B528" s="90">
        <v>384828750</v>
      </c>
      <c r="C528" s="90">
        <v>384828750</v>
      </c>
      <c r="D528" s="90">
        <v>343694</v>
      </c>
      <c r="E528" s="90">
        <v>230704071</v>
      </c>
      <c r="F528" s="90">
        <v>231047765</v>
      </c>
      <c r="G528" s="90">
        <v>153780985</v>
      </c>
      <c r="H528" s="91">
        <v>0</v>
      </c>
      <c r="I528" s="92" t="s">
        <v>147</v>
      </c>
      <c r="J528" s="92" t="s">
        <v>35</v>
      </c>
    </row>
    <row r="529" spans="1:10" x14ac:dyDescent="0.35">
      <c r="A529" s="89" t="s">
        <v>194</v>
      </c>
      <c r="B529" s="90">
        <v>162500000</v>
      </c>
      <c r="C529" s="90">
        <v>162500000</v>
      </c>
      <c r="D529" s="91">
        <v>0</v>
      </c>
      <c r="E529" s="90">
        <v>12632800</v>
      </c>
      <c r="F529" s="90">
        <v>12632800</v>
      </c>
      <c r="G529" s="90">
        <v>149867200</v>
      </c>
      <c r="H529" s="91">
        <v>0</v>
      </c>
      <c r="I529" s="92" t="s">
        <v>147</v>
      </c>
      <c r="J529" s="92" t="s">
        <v>16</v>
      </c>
    </row>
    <row r="530" spans="1:10" x14ac:dyDescent="0.35">
      <c r="A530" s="89" t="s">
        <v>195</v>
      </c>
      <c r="B530" s="90">
        <v>202625000</v>
      </c>
      <c r="C530" s="90">
        <v>202625000</v>
      </c>
      <c r="D530" s="90">
        <v>1000000</v>
      </c>
      <c r="E530" s="90">
        <v>49382229</v>
      </c>
      <c r="F530" s="90">
        <v>50382229</v>
      </c>
      <c r="G530" s="90">
        <v>152242771</v>
      </c>
      <c r="H530" s="91">
        <v>0</v>
      </c>
      <c r="I530" s="92" t="s">
        <v>147</v>
      </c>
      <c r="J530" s="92" t="s">
        <v>16</v>
      </c>
    </row>
    <row r="531" spans="1:10" x14ac:dyDescent="0.35">
      <c r="A531" s="89" t="s">
        <v>196</v>
      </c>
      <c r="B531" s="90">
        <v>23925000</v>
      </c>
      <c r="C531" s="90">
        <v>23925000</v>
      </c>
      <c r="D531" s="91">
        <v>0</v>
      </c>
      <c r="E531" s="90">
        <v>6750000</v>
      </c>
      <c r="F531" s="90">
        <v>6750000</v>
      </c>
      <c r="G531" s="90">
        <v>17175000</v>
      </c>
      <c r="H531" s="91">
        <v>0</v>
      </c>
      <c r="I531" s="92" t="s">
        <v>147</v>
      </c>
      <c r="J531" s="92" t="s">
        <v>16</v>
      </c>
    </row>
    <row r="532" spans="1:10" x14ac:dyDescent="0.35">
      <c r="A532" s="89" t="s">
        <v>197</v>
      </c>
      <c r="B532" s="90">
        <v>131916250</v>
      </c>
      <c r="C532" s="90">
        <v>131916250</v>
      </c>
      <c r="D532" s="91">
        <v>0</v>
      </c>
      <c r="E532" s="91">
        <v>0</v>
      </c>
      <c r="F532" s="91">
        <v>0</v>
      </c>
      <c r="G532" s="90">
        <v>131916250</v>
      </c>
      <c r="H532" s="91">
        <v>0</v>
      </c>
      <c r="I532" s="92" t="s">
        <v>147</v>
      </c>
      <c r="J532" s="92" t="s">
        <v>16</v>
      </c>
    </row>
    <row r="533" spans="1:10" x14ac:dyDescent="0.35">
      <c r="A533" s="89" t="s">
        <v>199</v>
      </c>
      <c r="B533" s="90">
        <v>145947750</v>
      </c>
      <c r="C533" s="90">
        <v>145947750</v>
      </c>
      <c r="D533" s="91">
        <v>0</v>
      </c>
      <c r="E533" s="90">
        <v>46241250</v>
      </c>
      <c r="F533" s="90">
        <v>46241250</v>
      </c>
      <c r="G533" s="90">
        <v>99706500</v>
      </c>
      <c r="H533" s="91">
        <v>0</v>
      </c>
      <c r="I533" s="92" t="s">
        <v>147</v>
      </c>
      <c r="J533" s="92" t="s">
        <v>16</v>
      </c>
    </row>
    <row r="534" spans="1:10" x14ac:dyDescent="0.35">
      <c r="A534" s="89" t="s">
        <v>200</v>
      </c>
      <c r="B534" s="90">
        <v>17072000</v>
      </c>
      <c r="C534" s="90">
        <v>17072000</v>
      </c>
      <c r="D534" s="91">
        <v>0</v>
      </c>
      <c r="E534" s="91">
        <v>0</v>
      </c>
      <c r="F534" s="91">
        <v>0</v>
      </c>
      <c r="G534" s="90">
        <v>17072000</v>
      </c>
      <c r="H534" s="91">
        <v>0</v>
      </c>
      <c r="I534" s="92" t="s">
        <v>147</v>
      </c>
      <c r="J534" s="92" t="s">
        <v>16</v>
      </c>
    </row>
    <row r="535" spans="1:10" x14ac:dyDescent="0.35">
      <c r="A535" s="89" t="s">
        <v>292</v>
      </c>
      <c r="B535" s="91">
        <v>0</v>
      </c>
      <c r="C535" s="91">
        <v>0</v>
      </c>
      <c r="D535" s="91">
        <v>0</v>
      </c>
      <c r="E535" s="90">
        <v>2796436</v>
      </c>
      <c r="F535" s="90">
        <v>2796436</v>
      </c>
      <c r="G535" s="90">
        <v>-2796436</v>
      </c>
      <c r="H535" s="91">
        <v>0</v>
      </c>
      <c r="I535" s="92" t="s">
        <v>147</v>
      </c>
      <c r="J535" s="92" t="s">
        <v>12</v>
      </c>
    </row>
    <row r="536" spans="1:10" x14ac:dyDescent="0.35">
      <c r="A536" s="89" t="s">
        <v>201</v>
      </c>
      <c r="B536" s="90">
        <v>10688916866</v>
      </c>
      <c r="C536" s="90">
        <v>10688916866</v>
      </c>
      <c r="D536" s="91">
        <v>0</v>
      </c>
      <c r="E536" s="90">
        <v>1591762003</v>
      </c>
      <c r="F536" s="90">
        <v>1591762003</v>
      </c>
      <c r="G536" s="90">
        <v>9097154863</v>
      </c>
      <c r="H536" s="91">
        <v>0</v>
      </c>
      <c r="I536" s="92" t="s">
        <v>147</v>
      </c>
      <c r="J536" s="92" t="s">
        <v>12</v>
      </c>
    </row>
    <row r="537" spans="1:10" x14ac:dyDescent="0.35">
      <c r="A537" s="89" t="s">
        <v>202</v>
      </c>
      <c r="B537" s="90">
        <v>106116051</v>
      </c>
      <c r="C537" s="90">
        <v>106116051</v>
      </c>
      <c r="D537" s="91">
        <v>0</v>
      </c>
      <c r="E537" s="90">
        <v>18102841</v>
      </c>
      <c r="F537" s="90">
        <v>18102841</v>
      </c>
      <c r="G537" s="90">
        <v>88013210</v>
      </c>
      <c r="H537" s="91">
        <v>0</v>
      </c>
      <c r="I537" s="92" t="s">
        <v>147</v>
      </c>
      <c r="J537" s="92" t="s">
        <v>12</v>
      </c>
    </row>
    <row r="538" spans="1:10" x14ac:dyDescent="0.35">
      <c r="A538" s="89" t="s">
        <v>203</v>
      </c>
      <c r="B538" s="90">
        <v>9218326343</v>
      </c>
      <c r="C538" s="90">
        <v>9218326343</v>
      </c>
      <c r="D538" s="91">
        <v>0</v>
      </c>
      <c r="E538" s="90">
        <v>654899358</v>
      </c>
      <c r="F538" s="90">
        <v>654899358</v>
      </c>
      <c r="G538" s="90">
        <v>8563426985</v>
      </c>
      <c r="H538" s="91">
        <v>0</v>
      </c>
      <c r="I538" s="92" t="s">
        <v>147</v>
      </c>
      <c r="J538" s="92" t="s">
        <v>12</v>
      </c>
    </row>
    <row r="539" spans="1:10" x14ac:dyDescent="0.35">
      <c r="A539" s="89" t="s">
        <v>286</v>
      </c>
      <c r="B539" s="90">
        <v>58858990</v>
      </c>
      <c r="C539" s="90">
        <v>58858990</v>
      </c>
      <c r="D539" s="91">
        <v>0</v>
      </c>
      <c r="E539" s="91">
        <v>0</v>
      </c>
      <c r="F539" s="91">
        <v>0</v>
      </c>
      <c r="G539" s="90">
        <v>58858990</v>
      </c>
      <c r="H539" s="91">
        <v>0</v>
      </c>
      <c r="I539" s="92" t="s">
        <v>147</v>
      </c>
      <c r="J539" s="92" t="s">
        <v>12</v>
      </c>
    </row>
    <row r="540" spans="1:10" x14ac:dyDescent="0.35">
      <c r="A540" s="89" t="s">
        <v>204</v>
      </c>
      <c r="B540" s="90">
        <v>1422805953</v>
      </c>
      <c r="C540" s="90">
        <v>1422805953</v>
      </c>
      <c r="D540" s="91">
        <v>0</v>
      </c>
      <c r="E540" s="90">
        <v>179659734</v>
      </c>
      <c r="F540" s="90">
        <v>179659734</v>
      </c>
      <c r="G540" s="90">
        <v>1243146219</v>
      </c>
      <c r="H540" s="91">
        <v>0</v>
      </c>
      <c r="I540" s="92" t="s">
        <v>147</v>
      </c>
      <c r="J540" s="92" t="s">
        <v>12</v>
      </c>
    </row>
    <row r="541" spans="1:10" x14ac:dyDescent="0.35">
      <c r="A541" s="89" t="s">
        <v>205</v>
      </c>
      <c r="B541" s="90">
        <v>13916758</v>
      </c>
      <c r="C541" s="90">
        <v>13916758</v>
      </c>
      <c r="D541" s="91">
        <v>0</v>
      </c>
      <c r="E541" s="90">
        <v>2273980</v>
      </c>
      <c r="F541" s="90">
        <v>2273980</v>
      </c>
      <c r="G541" s="90">
        <v>11642778</v>
      </c>
      <c r="H541" s="91">
        <v>0</v>
      </c>
      <c r="I541" s="92" t="s">
        <v>147</v>
      </c>
      <c r="J541" s="92" t="s">
        <v>12</v>
      </c>
    </row>
    <row r="542" spans="1:10" x14ac:dyDescent="0.35">
      <c r="A542" s="89" t="s">
        <v>206</v>
      </c>
      <c r="B542" s="90">
        <v>1559682761</v>
      </c>
      <c r="C542" s="90">
        <v>1559682761</v>
      </c>
      <c r="D542" s="91">
        <v>0</v>
      </c>
      <c r="E542" s="90">
        <v>156987500</v>
      </c>
      <c r="F542" s="90">
        <v>156987500</v>
      </c>
      <c r="G542" s="90">
        <v>1402695261</v>
      </c>
      <c r="H542" s="91">
        <v>0</v>
      </c>
      <c r="I542" s="92" t="s">
        <v>147</v>
      </c>
      <c r="J542" s="92" t="s">
        <v>12</v>
      </c>
    </row>
    <row r="543" spans="1:10" x14ac:dyDescent="0.35">
      <c r="A543" s="89" t="s">
        <v>287</v>
      </c>
      <c r="B543" s="90">
        <v>3850588</v>
      </c>
      <c r="C543" s="90">
        <v>3850588</v>
      </c>
      <c r="D543" s="91">
        <v>0</v>
      </c>
      <c r="E543" s="91">
        <v>0</v>
      </c>
      <c r="F543" s="91">
        <v>0</v>
      </c>
      <c r="G543" s="90">
        <v>3850588</v>
      </c>
      <c r="H543" s="91">
        <v>0</v>
      </c>
      <c r="I543" s="92" t="s">
        <v>147</v>
      </c>
      <c r="J543" s="92" t="s">
        <v>12</v>
      </c>
    </row>
    <row r="544" spans="1:10" x14ac:dyDescent="0.35">
      <c r="A544" s="93" t="s">
        <v>280</v>
      </c>
      <c r="B544" s="94">
        <v>39919400060</v>
      </c>
      <c r="C544" s="94">
        <v>39919400060</v>
      </c>
      <c r="D544" s="94">
        <v>9520753089</v>
      </c>
      <c r="E544" s="94">
        <v>3169593318</v>
      </c>
      <c r="F544" s="94">
        <v>12690346407</v>
      </c>
      <c r="G544" s="94">
        <v>27229053653</v>
      </c>
      <c r="H544" s="95">
        <v>0</v>
      </c>
      <c r="I544" s="96" t="s">
        <v>147</v>
      </c>
      <c r="J544" s="96" t="e">
        <v>#N/A</v>
      </c>
    </row>
  </sheetData>
  <autoFilter ref="A2:J544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51"/>
  <sheetViews>
    <sheetView showGridLines="0" workbookViewId="0">
      <pane ySplit="2" topLeftCell="A3" activePane="bottomLeft" state="frozen"/>
      <selection pane="bottomLeft" activeCell="G13" sqref="G13"/>
    </sheetView>
  </sheetViews>
  <sheetFormatPr defaultColWidth="12.59765625" defaultRowHeight="15.75" customHeight="1" x14ac:dyDescent="0.35"/>
  <cols>
    <col min="1" max="1" width="2.59765625" customWidth="1"/>
    <col min="2" max="2" width="20.86328125" customWidth="1"/>
    <col min="3" max="3" width="8.1328125" customWidth="1"/>
    <col min="4" max="9" width="13.265625" customWidth="1"/>
    <col min="10" max="10" width="9.59765625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35">
      <c r="A2" s="3"/>
      <c r="B2" s="62"/>
      <c r="C2" s="63"/>
      <c r="D2" s="64" t="s">
        <v>177</v>
      </c>
      <c r="E2" s="63"/>
      <c r="F2" s="63"/>
      <c r="G2" s="63"/>
      <c r="H2" s="63"/>
      <c r="I2" s="65"/>
      <c r="J2" s="4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35">
      <c r="A3" s="1"/>
      <c r="B3" s="64" t="s">
        <v>134</v>
      </c>
      <c r="C3" s="64" t="s">
        <v>8</v>
      </c>
      <c r="D3" s="62" t="s">
        <v>1</v>
      </c>
      <c r="E3" s="66" t="s">
        <v>2</v>
      </c>
      <c r="F3" s="66" t="s">
        <v>7</v>
      </c>
      <c r="G3" s="66" t="s">
        <v>5</v>
      </c>
      <c r="H3" s="66" t="s">
        <v>4</v>
      </c>
      <c r="I3" s="67" t="s">
        <v>6</v>
      </c>
      <c r="J3" s="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1"/>
      <c r="B4" s="62" t="s">
        <v>62</v>
      </c>
      <c r="C4" s="62" t="s">
        <v>135</v>
      </c>
      <c r="D4" s="68">
        <v>4422286275</v>
      </c>
      <c r="E4" s="69">
        <v>1676449882</v>
      </c>
      <c r="F4" s="69">
        <v>2745836393</v>
      </c>
      <c r="G4" s="69">
        <v>116271973</v>
      </c>
      <c r="H4" s="69">
        <v>7366373</v>
      </c>
      <c r="I4" s="70">
        <v>1560177909</v>
      </c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71"/>
      <c r="C5" s="72" t="s">
        <v>136</v>
      </c>
      <c r="D5" s="73">
        <v>3423400000</v>
      </c>
      <c r="E5" s="74">
        <v>3423400000</v>
      </c>
      <c r="F5" s="74">
        <v>0</v>
      </c>
      <c r="G5" s="74">
        <v>147520000</v>
      </c>
      <c r="H5" s="74">
        <v>34500000</v>
      </c>
      <c r="I5" s="75">
        <v>3275880000</v>
      </c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1"/>
      <c r="B6" s="71"/>
      <c r="C6" s="72" t="s">
        <v>137</v>
      </c>
      <c r="D6" s="73">
        <v>796079880</v>
      </c>
      <c r="E6" s="74">
        <v>796079880</v>
      </c>
      <c r="F6" s="74">
        <v>0</v>
      </c>
      <c r="G6" s="74">
        <v>0</v>
      </c>
      <c r="H6" s="74">
        <v>0</v>
      </c>
      <c r="I6" s="75">
        <v>796079880</v>
      </c>
      <c r="J6" s="2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/>
      <c r="B7" s="71"/>
      <c r="C7" s="72" t="s">
        <v>138</v>
      </c>
      <c r="D7" s="73">
        <v>723420000</v>
      </c>
      <c r="E7" s="74">
        <v>723420000</v>
      </c>
      <c r="F7" s="74">
        <v>0</v>
      </c>
      <c r="G7" s="74">
        <v>28227453</v>
      </c>
      <c r="H7" s="74">
        <v>0</v>
      </c>
      <c r="I7" s="75">
        <v>695192547</v>
      </c>
      <c r="J7" s="2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71"/>
      <c r="C8" s="72" t="s">
        <v>139</v>
      </c>
      <c r="D8" s="73">
        <v>324500000</v>
      </c>
      <c r="E8" s="74">
        <v>324500000</v>
      </c>
      <c r="F8" s="74">
        <v>0</v>
      </c>
      <c r="G8" s="74">
        <v>0</v>
      </c>
      <c r="H8" s="74">
        <v>0</v>
      </c>
      <c r="I8" s="75">
        <v>324500000</v>
      </c>
      <c r="J8" s="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1"/>
      <c r="B9" s="71"/>
      <c r="C9" s="72" t="s">
        <v>140</v>
      </c>
      <c r="D9" s="73">
        <v>592500000</v>
      </c>
      <c r="E9" s="74">
        <v>592500000</v>
      </c>
      <c r="F9" s="74">
        <v>0</v>
      </c>
      <c r="G9" s="74">
        <v>0</v>
      </c>
      <c r="H9" s="74">
        <v>0</v>
      </c>
      <c r="I9" s="75">
        <v>592500000</v>
      </c>
      <c r="J9" s="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35">
      <c r="A10" s="1"/>
      <c r="B10" s="71"/>
      <c r="C10" s="72" t="s">
        <v>141</v>
      </c>
      <c r="D10" s="73">
        <v>1121000000</v>
      </c>
      <c r="E10" s="74">
        <v>1121000000</v>
      </c>
      <c r="F10" s="74">
        <v>0</v>
      </c>
      <c r="G10" s="74">
        <v>36500000</v>
      </c>
      <c r="H10" s="74">
        <v>36500000</v>
      </c>
      <c r="I10" s="75">
        <v>1084500000</v>
      </c>
      <c r="J10" s="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35">
      <c r="A11" s="1"/>
      <c r="B11" s="71"/>
      <c r="C11" s="72" t="s">
        <v>142</v>
      </c>
      <c r="D11" s="73">
        <v>389000000</v>
      </c>
      <c r="E11" s="74">
        <v>389000000</v>
      </c>
      <c r="F11" s="74">
        <v>0</v>
      </c>
      <c r="G11" s="74">
        <v>1944000</v>
      </c>
      <c r="H11" s="74">
        <v>0</v>
      </c>
      <c r="I11" s="75">
        <v>387056000</v>
      </c>
      <c r="J11" s="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35">
      <c r="A12" s="1"/>
      <c r="B12" s="71"/>
      <c r="C12" s="72" t="s">
        <v>143</v>
      </c>
      <c r="D12" s="73">
        <v>800000000</v>
      </c>
      <c r="E12" s="74">
        <v>800000000</v>
      </c>
      <c r="F12" s="74">
        <v>0</v>
      </c>
      <c r="G12" s="74">
        <v>0</v>
      </c>
      <c r="H12" s="74">
        <v>0</v>
      </c>
      <c r="I12" s="75">
        <v>800000000</v>
      </c>
      <c r="J12" s="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35">
      <c r="A13" s="1"/>
      <c r="B13" s="71"/>
      <c r="C13" s="72" t="s">
        <v>144</v>
      </c>
      <c r="D13" s="73">
        <v>100000000</v>
      </c>
      <c r="E13" s="74">
        <v>100000000</v>
      </c>
      <c r="F13" s="74">
        <v>0</v>
      </c>
      <c r="G13" s="74">
        <v>0</v>
      </c>
      <c r="H13" s="74">
        <v>0</v>
      </c>
      <c r="I13" s="75">
        <v>100000000</v>
      </c>
      <c r="J13" s="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35">
      <c r="A14" s="1"/>
      <c r="B14" s="71"/>
      <c r="C14" s="72" t="s">
        <v>145</v>
      </c>
      <c r="D14" s="73">
        <v>375000000</v>
      </c>
      <c r="E14" s="74">
        <v>375000000</v>
      </c>
      <c r="F14" s="74">
        <v>0</v>
      </c>
      <c r="G14" s="74">
        <v>0</v>
      </c>
      <c r="H14" s="74">
        <v>0</v>
      </c>
      <c r="I14" s="75">
        <v>375000000</v>
      </c>
      <c r="J14" s="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35">
      <c r="A15" s="1"/>
      <c r="B15" s="71"/>
      <c r="C15" s="72" t="s">
        <v>146</v>
      </c>
      <c r="D15" s="73">
        <v>9998738214</v>
      </c>
      <c r="E15" s="74">
        <v>9998738214</v>
      </c>
      <c r="F15" s="74">
        <v>0</v>
      </c>
      <c r="G15" s="74">
        <v>3275360952</v>
      </c>
      <c r="H15" s="74">
        <v>96556000</v>
      </c>
      <c r="I15" s="75">
        <v>6723377262</v>
      </c>
      <c r="J15" s="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35">
      <c r="A16" s="1"/>
      <c r="B16" s="71"/>
      <c r="C16" s="72" t="s">
        <v>147</v>
      </c>
      <c r="D16" s="73">
        <v>150000000</v>
      </c>
      <c r="E16" s="74">
        <v>150000000</v>
      </c>
      <c r="F16" s="74">
        <v>0</v>
      </c>
      <c r="G16" s="74">
        <v>0</v>
      </c>
      <c r="H16" s="74">
        <v>0</v>
      </c>
      <c r="I16" s="75">
        <v>150000000</v>
      </c>
      <c r="J16" s="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35">
      <c r="A17" s="1"/>
      <c r="B17" s="71"/>
      <c r="C17" s="72" t="s">
        <v>150</v>
      </c>
      <c r="D17" s="73">
        <v>1734605250</v>
      </c>
      <c r="E17" s="74">
        <v>1734605250</v>
      </c>
      <c r="F17" s="74">
        <v>0</v>
      </c>
      <c r="G17" s="74">
        <v>0</v>
      </c>
      <c r="H17" s="74">
        <v>0</v>
      </c>
      <c r="I17" s="75">
        <v>1734605250</v>
      </c>
      <c r="J17" s="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35">
      <c r="A18" s="1"/>
      <c r="B18" s="62" t="s">
        <v>148</v>
      </c>
      <c r="C18" s="63"/>
      <c r="D18" s="68">
        <v>24950529619</v>
      </c>
      <c r="E18" s="69">
        <v>22204693226</v>
      </c>
      <c r="F18" s="69">
        <v>2745836393</v>
      </c>
      <c r="G18" s="69">
        <v>3605824378</v>
      </c>
      <c r="H18" s="69">
        <v>174922373</v>
      </c>
      <c r="I18" s="70">
        <v>18598868848</v>
      </c>
      <c r="J18" s="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35">
      <c r="A19" s="1"/>
      <c r="B19" s="62" t="s">
        <v>10</v>
      </c>
      <c r="C19" s="62" t="s">
        <v>135</v>
      </c>
      <c r="D19" s="68">
        <v>29558223950</v>
      </c>
      <c r="E19" s="69">
        <v>29558223950</v>
      </c>
      <c r="F19" s="69">
        <v>0</v>
      </c>
      <c r="G19" s="69">
        <v>25662681283</v>
      </c>
      <c r="H19" s="69">
        <v>457037427</v>
      </c>
      <c r="I19" s="70">
        <v>3895542667</v>
      </c>
      <c r="J19" s="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35">
      <c r="A20" s="1"/>
      <c r="B20" s="71"/>
      <c r="C20" s="72" t="s">
        <v>136</v>
      </c>
      <c r="D20" s="73">
        <v>30236636144</v>
      </c>
      <c r="E20" s="74">
        <v>30236636144</v>
      </c>
      <c r="F20" s="74">
        <v>0</v>
      </c>
      <c r="G20" s="74">
        <v>17435981766</v>
      </c>
      <c r="H20" s="74">
        <v>0</v>
      </c>
      <c r="I20" s="75">
        <v>12800654378</v>
      </c>
      <c r="J20" s="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35">
      <c r="A21" s="1"/>
      <c r="B21" s="71"/>
      <c r="C21" s="72" t="s">
        <v>137</v>
      </c>
      <c r="D21" s="73">
        <v>12206413755</v>
      </c>
      <c r="E21" s="74">
        <v>12206413755</v>
      </c>
      <c r="F21" s="74">
        <v>0</v>
      </c>
      <c r="G21" s="74">
        <v>4912969564</v>
      </c>
      <c r="H21" s="74">
        <v>147536656</v>
      </c>
      <c r="I21" s="75">
        <v>7293444191</v>
      </c>
      <c r="J21" s="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35">
      <c r="A22" s="1"/>
      <c r="B22" s="71"/>
      <c r="C22" s="72" t="s">
        <v>138</v>
      </c>
      <c r="D22" s="73">
        <v>10707237000</v>
      </c>
      <c r="E22" s="74">
        <v>10707237000</v>
      </c>
      <c r="F22" s="74">
        <v>0</v>
      </c>
      <c r="G22" s="74">
        <v>1502405903</v>
      </c>
      <c r="H22" s="74">
        <v>28044916</v>
      </c>
      <c r="I22" s="75">
        <v>9204831097</v>
      </c>
      <c r="J22" s="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35">
      <c r="A23" s="1"/>
      <c r="B23" s="71"/>
      <c r="C23" s="72" t="s">
        <v>139</v>
      </c>
      <c r="D23" s="73">
        <v>8682751780</v>
      </c>
      <c r="E23" s="74">
        <v>8682751780</v>
      </c>
      <c r="F23" s="74">
        <v>0</v>
      </c>
      <c r="G23" s="74">
        <v>1339888487</v>
      </c>
      <c r="H23" s="74">
        <v>93332500</v>
      </c>
      <c r="I23" s="75">
        <v>7342863293</v>
      </c>
      <c r="J23" s="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35">
      <c r="A24" s="1"/>
      <c r="B24" s="71"/>
      <c r="C24" s="72" t="s">
        <v>140</v>
      </c>
      <c r="D24" s="73">
        <v>10043684000</v>
      </c>
      <c r="E24" s="74">
        <v>10043684000</v>
      </c>
      <c r="F24" s="74">
        <v>0</v>
      </c>
      <c r="G24" s="74">
        <v>3193441900</v>
      </c>
      <c r="H24" s="74">
        <v>258244550</v>
      </c>
      <c r="I24" s="75">
        <v>6850242100</v>
      </c>
      <c r="J24" s="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35">
      <c r="A25" s="1"/>
      <c r="B25" s="71"/>
      <c r="C25" s="72" t="s">
        <v>141</v>
      </c>
      <c r="D25" s="73">
        <v>14269344500</v>
      </c>
      <c r="E25" s="74">
        <v>14269344500</v>
      </c>
      <c r="F25" s="74">
        <v>0</v>
      </c>
      <c r="G25" s="74">
        <v>4732750132</v>
      </c>
      <c r="H25" s="74">
        <v>24650000</v>
      </c>
      <c r="I25" s="75">
        <v>9536594368</v>
      </c>
      <c r="J25" s="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35">
      <c r="A26" s="1"/>
      <c r="B26" s="71"/>
      <c r="C26" s="72" t="s">
        <v>142</v>
      </c>
      <c r="D26" s="73">
        <v>4621527500</v>
      </c>
      <c r="E26" s="74">
        <v>4621527500</v>
      </c>
      <c r="F26" s="74">
        <v>0</v>
      </c>
      <c r="G26" s="74">
        <v>2187243603</v>
      </c>
      <c r="H26" s="74">
        <v>86559328</v>
      </c>
      <c r="I26" s="75">
        <v>2434283897</v>
      </c>
      <c r="J26" s="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35">
      <c r="A27" s="1"/>
      <c r="B27" s="71"/>
      <c r="C27" s="72" t="s">
        <v>143</v>
      </c>
      <c r="D27" s="73">
        <v>23188564724</v>
      </c>
      <c r="E27" s="74">
        <v>23188564724</v>
      </c>
      <c r="F27" s="74">
        <v>0</v>
      </c>
      <c r="G27" s="74">
        <v>17540829644</v>
      </c>
      <c r="H27" s="74">
        <v>426154218</v>
      </c>
      <c r="I27" s="75">
        <v>5647735080</v>
      </c>
      <c r="J27" s="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35">
      <c r="A28" s="1"/>
      <c r="B28" s="71"/>
      <c r="C28" s="72" t="s">
        <v>144</v>
      </c>
      <c r="D28" s="73">
        <v>5561467000</v>
      </c>
      <c r="E28" s="74">
        <v>5561467000</v>
      </c>
      <c r="F28" s="74">
        <v>0</v>
      </c>
      <c r="G28" s="74">
        <v>577777794</v>
      </c>
      <c r="H28" s="74">
        <v>187448104</v>
      </c>
      <c r="I28" s="75">
        <v>4983689206</v>
      </c>
      <c r="J28" s="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35">
      <c r="A29" s="1"/>
      <c r="B29" s="71"/>
      <c r="C29" s="72" t="s">
        <v>145</v>
      </c>
      <c r="D29" s="73">
        <v>4368785000</v>
      </c>
      <c r="E29" s="74">
        <v>4368785000</v>
      </c>
      <c r="F29" s="74">
        <v>0</v>
      </c>
      <c r="G29" s="74">
        <v>660310335</v>
      </c>
      <c r="H29" s="74">
        <v>0</v>
      </c>
      <c r="I29" s="75">
        <v>3708474665</v>
      </c>
      <c r="J29" s="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35">
      <c r="A30" s="1"/>
      <c r="B30" s="71"/>
      <c r="C30" s="72" t="s">
        <v>149</v>
      </c>
      <c r="D30" s="73">
        <v>1871950730</v>
      </c>
      <c r="E30" s="74">
        <v>1871950730</v>
      </c>
      <c r="F30" s="74">
        <v>0</v>
      </c>
      <c r="G30" s="74">
        <v>128471830</v>
      </c>
      <c r="H30" s="74">
        <v>0</v>
      </c>
      <c r="I30" s="75">
        <v>1743478900</v>
      </c>
      <c r="J30" s="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35">
      <c r="A31" s="1"/>
      <c r="B31" s="71"/>
      <c r="C31" s="72" t="s">
        <v>146</v>
      </c>
      <c r="D31" s="73">
        <v>6121242000</v>
      </c>
      <c r="E31" s="74">
        <v>6121242000</v>
      </c>
      <c r="F31" s="74">
        <v>0</v>
      </c>
      <c r="G31" s="74">
        <v>4968662500</v>
      </c>
      <c r="H31" s="74">
        <v>0</v>
      </c>
      <c r="I31" s="75">
        <v>1152579500</v>
      </c>
      <c r="J31" s="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35">
      <c r="A32" s="1"/>
      <c r="B32" s="71"/>
      <c r="C32" s="72" t="s">
        <v>147</v>
      </c>
      <c r="D32" s="73">
        <v>15162625000</v>
      </c>
      <c r="E32" s="74">
        <v>15162625000</v>
      </c>
      <c r="F32" s="74">
        <v>0</v>
      </c>
      <c r="G32" s="74">
        <v>9621440511</v>
      </c>
      <c r="H32" s="74">
        <v>166766116</v>
      </c>
      <c r="I32" s="75">
        <v>5541184489</v>
      </c>
      <c r="J32" s="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35">
      <c r="A33" s="1"/>
      <c r="B33" s="71"/>
      <c r="C33" s="72" t="s">
        <v>150</v>
      </c>
      <c r="D33" s="73">
        <v>307310341790</v>
      </c>
      <c r="E33" s="74">
        <v>307310341790</v>
      </c>
      <c r="F33" s="74">
        <v>0</v>
      </c>
      <c r="G33" s="74">
        <v>144416099476</v>
      </c>
      <c r="H33" s="74">
        <v>0</v>
      </c>
      <c r="I33" s="75">
        <v>162894242314</v>
      </c>
      <c r="J33" s="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35">
      <c r="A34" s="1"/>
      <c r="B34" s="62" t="s">
        <v>151</v>
      </c>
      <c r="C34" s="63"/>
      <c r="D34" s="68">
        <v>483910794873</v>
      </c>
      <c r="E34" s="69">
        <v>483910794873</v>
      </c>
      <c r="F34" s="69">
        <v>0</v>
      </c>
      <c r="G34" s="69">
        <v>238880954728</v>
      </c>
      <c r="H34" s="69">
        <v>1875773815</v>
      </c>
      <c r="I34" s="70">
        <v>245029840145</v>
      </c>
      <c r="J34" s="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35">
      <c r="A35" s="1"/>
      <c r="B35" s="62" t="s">
        <v>31</v>
      </c>
      <c r="C35" s="62" t="s">
        <v>135</v>
      </c>
      <c r="D35" s="68">
        <v>100000000</v>
      </c>
      <c r="E35" s="69">
        <v>100000000</v>
      </c>
      <c r="F35" s="69">
        <v>0</v>
      </c>
      <c r="G35" s="69">
        <v>24488000</v>
      </c>
      <c r="H35" s="69">
        <v>24488000</v>
      </c>
      <c r="I35" s="70">
        <v>75512000</v>
      </c>
      <c r="J35" s="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35">
      <c r="A36" s="1"/>
      <c r="B36" s="71"/>
      <c r="C36" s="72" t="s">
        <v>136</v>
      </c>
      <c r="D36" s="73">
        <v>200000000</v>
      </c>
      <c r="E36" s="74">
        <v>200000000</v>
      </c>
      <c r="F36" s="74">
        <v>0</v>
      </c>
      <c r="G36" s="74">
        <v>0</v>
      </c>
      <c r="H36" s="74">
        <v>0</v>
      </c>
      <c r="I36" s="75">
        <v>200000000</v>
      </c>
      <c r="J36" s="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35">
      <c r="A37" s="1"/>
      <c r="B37" s="71"/>
      <c r="C37" s="72" t="s">
        <v>137</v>
      </c>
      <c r="D37" s="73">
        <v>352500000</v>
      </c>
      <c r="E37" s="74">
        <v>352500000</v>
      </c>
      <c r="F37" s="74">
        <v>0</v>
      </c>
      <c r="G37" s="74">
        <v>0</v>
      </c>
      <c r="H37" s="74">
        <v>0</v>
      </c>
      <c r="I37" s="75">
        <v>352500000</v>
      </c>
      <c r="J37" s="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35">
      <c r="A38" s="1"/>
      <c r="B38" s="71"/>
      <c r="C38" s="72" t="s">
        <v>138</v>
      </c>
      <c r="D38" s="73">
        <v>125000000</v>
      </c>
      <c r="E38" s="74">
        <v>125000000</v>
      </c>
      <c r="F38" s="74">
        <v>0</v>
      </c>
      <c r="G38" s="74">
        <v>0</v>
      </c>
      <c r="H38" s="74">
        <v>0</v>
      </c>
      <c r="I38" s="75">
        <v>125000000</v>
      </c>
      <c r="J38" s="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35">
      <c r="A39" s="1"/>
      <c r="B39" s="71"/>
      <c r="C39" s="72" t="s">
        <v>139</v>
      </c>
      <c r="D39" s="73">
        <v>75000000</v>
      </c>
      <c r="E39" s="74">
        <v>75000000</v>
      </c>
      <c r="F39" s="74">
        <v>0</v>
      </c>
      <c r="G39" s="74">
        <v>46460160</v>
      </c>
      <c r="H39" s="74">
        <v>0</v>
      </c>
      <c r="I39" s="75">
        <v>28539840</v>
      </c>
      <c r="J39" s="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35">
      <c r="A40" s="1"/>
      <c r="B40" s="71"/>
      <c r="C40" s="72" t="s">
        <v>140</v>
      </c>
      <c r="D40" s="73">
        <v>520000000</v>
      </c>
      <c r="E40" s="74">
        <v>520000000</v>
      </c>
      <c r="F40" s="74">
        <v>0</v>
      </c>
      <c r="G40" s="74">
        <v>0</v>
      </c>
      <c r="H40" s="74">
        <v>0</v>
      </c>
      <c r="I40" s="75">
        <v>520000000</v>
      </c>
      <c r="J40" s="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35">
      <c r="A41" s="1"/>
      <c r="B41" s="71"/>
      <c r="C41" s="72" t="s">
        <v>141</v>
      </c>
      <c r="D41" s="73">
        <v>100000000</v>
      </c>
      <c r="E41" s="74">
        <v>100000000</v>
      </c>
      <c r="F41" s="74">
        <v>0</v>
      </c>
      <c r="G41" s="74">
        <v>0</v>
      </c>
      <c r="H41" s="74">
        <v>0</v>
      </c>
      <c r="I41" s="75">
        <v>100000000</v>
      </c>
      <c r="J41" s="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35">
      <c r="A42" s="1"/>
      <c r="B42" s="71"/>
      <c r="C42" s="72" t="s">
        <v>142</v>
      </c>
      <c r="D42" s="73">
        <v>50000000</v>
      </c>
      <c r="E42" s="74">
        <v>50000000</v>
      </c>
      <c r="F42" s="74">
        <v>0</v>
      </c>
      <c r="G42" s="74">
        <v>2159300</v>
      </c>
      <c r="H42" s="74">
        <v>2159300</v>
      </c>
      <c r="I42" s="75">
        <v>47840700</v>
      </c>
      <c r="J42" s="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35">
      <c r="A43" s="1"/>
      <c r="B43" s="71"/>
      <c r="C43" s="72" t="s">
        <v>143</v>
      </c>
      <c r="D43" s="73">
        <v>100000000</v>
      </c>
      <c r="E43" s="74">
        <v>100000000</v>
      </c>
      <c r="F43" s="74">
        <v>0</v>
      </c>
      <c r="G43" s="74">
        <v>0</v>
      </c>
      <c r="H43" s="74">
        <v>0</v>
      </c>
      <c r="I43" s="75">
        <v>100000000</v>
      </c>
      <c r="J43" s="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35">
      <c r="A44" s="1"/>
      <c r="B44" s="71"/>
      <c r="C44" s="72" t="s">
        <v>144</v>
      </c>
      <c r="D44" s="73">
        <v>100000000</v>
      </c>
      <c r="E44" s="74">
        <v>100000000</v>
      </c>
      <c r="F44" s="74">
        <v>0</v>
      </c>
      <c r="G44" s="74">
        <v>0</v>
      </c>
      <c r="H44" s="74">
        <v>0</v>
      </c>
      <c r="I44" s="75">
        <v>100000000</v>
      </c>
      <c r="J44" s="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35">
      <c r="A45" s="1"/>
      <c r="B45" s="71"/>
      <c r="C45" s="72" t="s">
        <v>145</v>
      </c>
      <c r="D45" s="73">
        <v>125000000</v>
      </c>
      <c r="E45" s="74">
        <v>125000000</v>
      </c>
      <c r="F45" s="74">
        <v>0</v>
      </c>
      <c r="G45" s="74">
        <v>0</v>
      </c>
      <c r="H45" s="74">
        <v>0</v>
      </c>
      <c r="I45" s="75">
        <v>125000000</v>
      </c>
      <c r="J45" s="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35">
      <c r="A46" s="1"/>
      <c r="B46" s="71"/>
      <c r="C46" s="72" t="s">
        <v>149</v>
      </c>
      <c r="D46" s="73">
        <v>60000000</v>
      </c>
      <c r="E46" s="74">
        <v>60000000</v>
      </c>
      <c r="F46" s="74">
        <v>0</v>
      </c>
      <c r="G46" s="74">
        <v>9000000</v>
      </c>
      <c r="H46" s="74">
        <v>0</v>
      </c>
      <c r="I46" s="75">
        <v>51000000</v>
      </c>
      <c r="J46" s="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35">
      <c r="A47" s="1"/>
      <c r="B47" s="71"/>
      <c r="C47" s="72" t="s">
        <v>146</v>
      </c>
      <c r="D47" s="73">
        <v>50000000</v>
      </c>
      <c r="E47" s="74">
        <v>50000000</v>
      </c>
      <c r="F47" s="74">
        <v>0</v>
      </c>
      <c r="G47" s="74">
        <v>12720000</v>
      </c>
      <c r="H47" s="74">
        <v>0</v>
      </c>
      <c r="I47" s="75">
        <v>37280000</v>
      </c>
      <c r="J47" s="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35">
      <c r="A48" s="1"/>
      <c r="B48" s="71"/>
      <c r="C48" s="72" t="s">
        <v>147</v>
      </c>
      <c r="D48" s="73">
        <v>322500000</v>
      </c>
      <c r="E48" s="74">
        <v>322500000</v>
      </c>
      <c r="F48" s="74">
        <v>0</v>
      </c>
      <c r="G48" s="74">
        <v>83170000</v>
      </c>
      <c r="H48" s="74">
        <v>18435000</v>
      </c>
      <c r="I48" s="75">
        <v>239330000</v>
      </c>
      <c r="J48" s="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35">
      <c r="A49" s="1"/>
      <c r="B49" s="71"/>
      <c r="C49" s="72" t="s">
        <v>150</v>
      </c>
      <c r="D49" s="73">
        <v>250000000</v>
      </c>
      <c r="E49" s="74">
        <v>250000000</v>
      </c>
      <c r="F49" s="74">
        <v>0</v>
      </c>
      <c r="G49" s="74">
        <v>0</v>
      </c>
      <c r="H49" s="74">
        <v>0</v>
      </c>
      <c r="I49" s="75">
        <v>250000000</v>
      </c>
      <c r="J49" s="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35">
      <c r="A50" s="1"/>
      <c r="B50" s="62" t="s">
        <v>152</v>
      </c>
      <c r="C50" s="63"/>
      <c r="D50" s="68">
        <v>2530000000</v>
      </c>
      <c r="E50" s="69">
        <v>2530000000</v>
      </c>
      <c r="F50" s="69">
        <v>0</v>
      </c>
      <c r="G50" s="69">
        <v>177997460</v>
      </c>
      <c r="H50" s="69">
        <v>45082300</v>
      </c>
      <c r="I50" s="70">
        <v>2352002540</v>
      </c>
      <c r="J50" s="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35">
      <c r="A51" s="1"/>
      <c r="B51" s="62" t="s">
        <v>114</v>
      </c>
      <c r="C51" s="62" t="s">
        <v>149</v>
      </c>
      <c r="D51" s="68"/>
      <c r="E51" s="69"/>
      <c r="F51" s="69"/>
      <c r="G51" s="69"/>
      <c r="H51" s="69"/>
      <c r="I51" s="70"/>
      <c r="J51" s="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35">
      <c r="A52" s="1"/>
      <c r="B52" s="71"/>
      <c r="C52" s="72" t="s">
        <v>146</v>
      </c>
      <c r="D52" s="73">
        <v>0</v>
      </c>
      <c r="E52" s="74">
        <v>0</v>
      </c>
      <c r="F52" s="74">
        <v>0</v>
      </c>
      <c r="G52" s="74">
        <v>0</v>
      </c>
      <c r="H52" s="74">
        <v>0</v>
      </c>
      <c r="I52" s="75">
        <v>0</v>
      </c>
      <c r="J52" s="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35">
      <c r="A53" s="1"/>
      <c r="B53" s="62" t="s">
        <v>153</v>
      </c>
      <c r="C53" s="63"/>
      <c r="D53" s="68">
        <v>0</v>
      </c>
      <c r="E53" s="69">
        <v>0</v>
      </c>
      <c r="F53" s="69">
        <v>0</v>
      </c>
      <c r="G53" s="69">
        <v>0</v>
      </c>
      <c r="H53" s="69">
        <v>0</v>
      </c>
      <c r="I53" s="70">
        <v>0</v>
      </c>
      <c r="J53" s="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35">
      <c r="A54" s="1"/>
      <c r="B54" s="62" t="s">
        <v>35</v>
      </c>
      <c r="C54" s="62" t="s">
        <v>136</v>
      </c>
      <c r="D54" s="68">
        <v>875000000</v>
      </c>
      <c r="E54" s="69">
        <v>875000000</v>
      </c>
      <c r="F54" s="69">
        <v>0</v>
      </c>
      <c r="G54" s="69">
        <v>466659980</v>
      </c>
      <c r="H54" s="69">
        <v>466659980</v>
      </c>
      <c r="I54" s="70">
        <v>408340020</v>
      </c>
      <c r="J54" s="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35">
      <c r="A55" s="1"/>
      <c r="B55" s="71"/>
      <c r="C55" s="72" t="s">
        <v>137</v>
      </c>
      <c r="D55" s="73">
        <v>565000000</v>
      </c>
      <c r="E55" s="74">
        <v>565000000</v>
      </c>
      <c r="F55" s="74">
        <v>0</v>
      </c>
      <c r="G55" s="74">
        <v>325092882</v>
      </c>
      <c r="H55" s="74">
        <v>325092882</v>
      </c>
      <c r="I55" s="75">
        <v>239907118</v>
      </c>
      <c r="J55" s="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35">
      <c r="A56" s="1"/>
      <c r="B56" s="71"/>
      <c r="C56" s="72" t="s">
        <v>138</v>
      </c>
      <c r="D56" s="73">
        <v>625325000</v>
      </c>
      <c r="E56" s="74">
        <v>625325000</v>
      </c>
      <c r="F56" s="74">
        <v>0</v>
      </c>
      <c r="G56" s="74">
        <v>346245306</v>
      </c>
      <c r="H56" s="74">
        <v>346245306</v>
      </c>
      <c r="I56" s="75">
        <v>279079694</v>
      </c>
      <c r="J56" s="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35">
      <c r="A57" s="1"/>
      <c r="B57" s="71"/>
      <c r="C57" s="72" t="s">
        <v>139</v>
      </c>
      <c r="D57" s="73">
        <v>642500000</v>
      </c>
      <c r="E57" s="74">
        <v>642500000</v>
      </c>
      <c r="F57" s="74">
        <v>0</v>
      </c>
      <c r="G57" s="74">
        <v>394857596</v>
      </c>
      <c r="H57" s="74">
        <v>394857596</v>
      </c>
      <c r="I57" s="75">
        <v>247642404</v>
      </c>
      <c r="J57" s="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35">
      <c r="A58" s="1"/>
      <c r="B58" s="71"/>
      <c r="C58" s="72" t="s">
        <v>140</v>
      </c>
      <c r="D58" s="73">
        <v>765894000</v>
      </c>
      <c r="E58" s="74">
        <v>765894000</v>
      </c>
      <c r="F58" s="74">
        <v>0</v>
      </c>
      <c r="G58" s="74">
        <v>396859899</v>
      </c>
      <c r="H58" s="74">
        <v>396859899</v>
      </c>
      <c r="I58" s="75">
        <v>369034101</v>
      </c>
      <c r="J58" s="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35">
      <c r="A59" s="1"/>
      <c r="B59" s="71"/>
      <c r="C59" s="72" t="s">
        <v>141</v>
      </c>
      <c r="D59" s="73">
        <v>546340018</v>
      </c>
      <c r="E59" s="74">
        <v>546340018</v>
      </c>
      <c r="F59" s="74">
        <v>0</v>
      </c>
      <c r="G59" s="74">
        <v>320371955</v>
      </c>
      <c r="H59" s="74">
        <v>320371955</v>
      </c>
      <c r="I59" s="75">
        <v>225968063</v>
      </c>
      <c r="J59" s="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35">
      <c r="A60" s="1"/>
      <c r="B60" s="71"/>
      <c r="C60" s="72" t="s">
        <v>142</v>
      </c>
      <c r="D60" s="73">
        <v>577500000</v>
      </c>
      <c r="E60" s="74">
        <v>577500000</v>
      </c>
      <c r="F60" s="74">
        <v>0</v>
      </c>
      <c r="G60" s="74">
        <v>284145595</v>
      </c>
      <c r="H60" s="74">
        <v>284145595</v>
      </c>
      <c r="I60" s="75">
        <v>293354405</v>
      </c>
      <c r="J60" s="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35">
      <c r="A61" s="1"/>
      <c r="B61" s="71"/>
      <c r="C61" s="72" t="s">
        <v>143</v>
      </c>
      <c r="D61" s="73">
        <v>880440000</v>
      </c>
      <c r="E61" s="74">
        <v>880440000</v>
      </c>
      <c r="F61" s="74">
        <v>0</v>
      </c>
      <c r="G61" s="74">
        <v>412137110</v>
      </c>
      <c r="H61" s="74">
        <v>411555340</v>
      </c>
      <c r="I61" s="75">
        <v>468302890</v>
      </c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35">
      <c r="A62" s="1"/>
      <c r="B62" s="71"/>
      <c r="C62" s="72" t="s">
        <v>144</v>
      </c>
      <c r="D62" s="73">
        <v>90000000</v>
      </c>
      <c r="E62" s="74">
        <v>90000000</v>
      </c>
      <c r="F62" s="74">
        <v>0</v>
      </c>
      <c r="G62" s="74">
        <v>70896704</v>
      </c>
      <c r="H62" s="74">
        <v>69572062</v>
      </c>
      <c r="I62" s="75">
        <v>19103296</v>
      </c>
      <c r="J62" s="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35">
      <c r="A63" s="1"/>
      <c r="B63" s="71"/>
      <c r="C63" s="72" t="s">
        <v>145</v>
      </c>
      <c r="D63" s="73">
        <v>637500000</v>
      </c>
      <c r="E63" s="74">
        <v>637500000</v>
      </c>
      <c r="F63" s="74">
        <v>0</v>
      </c>
      <c r="G63" s="74">
        <v>227651545</v>
      </c>
      <c r="H63" s="74">
        <v>218151545</v>
      </c>
      <c r="I63" s="75">
        <v>409848455</v>
      </c>
      <c r="J63" s="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35">
      <c r="A64" s="1"/>
      <c r="B64" s="71"/>
      <c r="C64" s="72" t="s">
        <v>146</v>
      </c>
      <c r="D64" s="73">
        <v>640000000</v>
      </c>
      <c r="E64" s="74">
        <v>640000000</v>
      </c>
      <c r="F64" s="74">
        <v>0</v>
      </c>
      <c r="G64" s="74">
        <v>455035109</v>
      </c>
      <c r="H64" s="74">
        <v>446630703</v>
      </c>
      <c r="I64" s="75">
        <v>184964891</v>
      </c>
      <c r="J64" s="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35">
      <c r="A65" s="1"/>
      <c r="B65" s="71"/>
      <c r="C65" s="72" t="s">
        <v>147</v>
      </c>
      <c r="D65" s="73">
        <v>384828750</v>
      </c>
      <c r="E65" s="74">
        <v>384828750</v>
      </c>
      <c r="F65" s="74">
        <v>0</v>
      </c>
      <c r="G65" s="74">
        <v>231047765</v>
      </c>
      <c r="H65" s="74">
        <v>230704071</v>
      </c>
      <c r="I65" s="75">
        <v>153780985</v>
      </c>
      <c r="J65" s="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35">
      <c r="A66" s="1"/>
      <c r="B66" s="71"/>
      <c r="C66" s="72" t="s">
        <v>150</v>
      </c>
      <c r="D66" s="73">
        <v>1125000000</v>
      </c>
      <c r="E66" s="74">
        <v>1125000000</v>
      </c>
      <c r="F66" s="74">
        <v>0</v>
      </c>
      <c r="G66" s="74">
        <v>901692058</v>
      </c>
      <c r="H66" s="74">
        <v>901692058</v>
      </c>
      <c r="I66" s="75">
        <v>223307942</v>
      </c>
      <c r="J66" s="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35">
      <c r="A67" s="1"/>
      <c r="B67" s="62" t="s">
        <v>154</v>
      </c>
      <c r="C67" s="63"/>
      <c r="D67" s="68">
        <v>8355327768</v>
      </c>
      <c r="E67" s="69">
        <v>8355327768</v>
      </c>
      <c r="F67" s="69">
        <v>0</v>
      </c>
      <c r="G67" s="69">
        <v>4832693504</v>
      </c>
      <c r="H67" s="69">
        <v>4812538992</v>
      </c>
      <c r="I67" s="70">
        <v>3522634264</v>
      </c>
      <c r="J67" s="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35">
      <c r="A68" s="1"/>
      <c r="B68" s="62" t="s">
        <v>16</v>
      </c>
      <c r="C68" s="62" t="s">
        <v>135</v>
      </c>
      <c r="D68" s="68">
        <v>221097183</v>
      </c>
      <c r="E68" s="69">
        <v>221097183</v>
      </c>
      <c r="F68" s="69">
        <v>0</v>
      </c>
      <c r="G68" s="69">
        <v>147569000</v>
      </c>
      <c r="H68" s="69">
        <v>117822000</v>
      </c>
      <c r="I68" s="70">
        <v>73528183</v>
      </c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35">
      <c r="A69" s="1"/>
      <c r="B69" s="71"/>
      <c r="C69" s="72" t="s">
        <v>136</v>
      </c>
      <c r="D69" s="73">
        <v>1123218974</v>
      </c>
      <c r="E69" s="74">
        <v>1123218974</v>
      </c>
      <c r="F69" s="74">
        <v>0</v>
      </c>
      <c r="G69" s="74">
        <v>170677766</v>
      </c>
      <c r="H69" s="74">
        <v>113835450</v>
      </c>
      <c r="I69" s="75">
        <v>952541208</v>
      </c>
      <c r="J69" s="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35">
      <c r="A70" s="1"/>
      <c r="B70" s="71"/>
      <c r="C70" s="72" t="s">
        <v>137</v>
      </c>
      <c r="D70" s="73">
        <v>272556000</v>
      </c>
      <c r="E70" s="74">
        <v>272556000</v>
      </c>
      <c r="F70" s="74">
        <v>0</v>
      </c>
      <c r="G70" s="74">
        <v>156776609</v>
      </c>
      <c r="H70" s="74">
        <v>131663109</v>
      </c>
      <c r="I70" s="75">
        <v>115779391</v>
      </c>
      <c r="J70" s="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35">
      <c r="A71" s="1"/>
      <c r="B71" s="71"/>
      <c r="C71" s="72" t="s">
        <v>138</v>
      </c>
      <c r="D71" s="73">
        <v>420650500</v>
      </c>
      <c r="E71" s="74">
        <v>420650500</v>
      </c>
      <c r="F71" s="74">
        <v>0</v>
      </c>
      <c r="G71" s="74">
        <v>240161883</v>
      </c>
      <c r="H71" s="74">
        <v>89609735</v>
      </c>
      <c r="I71" s="75">
        <v>180488617</v>
      </c>
      <c r="J71" s="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35">
      <c r="A72" s="1"/>
      <c r="B72" s="71"/>
      <c r="C72" s="72" t="s">
        <v>139</v>
      </c>
      <c r="D72" s="73">
        <v>440730311</v>
      </c>
      <c r="E72" s="74">
        <v>440730311</v>
      </c>
      <c r="F72" s="74">
        <v>0</v>
      </c>
      <c r="G72" s="74">
        <v>208386941</v>
      </c>
      <c r="H72" s="74">
        <v>110494491</v>
      </c>
      <c r="I72" s="75">
        <v>232343370</v>
      </c>
      <c r="J72" s="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35">
      <c r="A73" s="1"/>
      <c r="B73" s="71"/>
      <c r="C73" s="72" t="s">
        <v>140</v>
      </c>
      <c r="D73" s="73">
        <v>505728350</v>
      </c>
      <c r="E73" s="74">
        <v>505728350</v>
      </c>
      <c r="F73" s="74">
        <v>0</v>
      </c>
      <c r="G73" s="74">
        <v>230966085</v>
      </c>
      <c r="H73" s="74">
        <v>114490650</v>
      </c>
      <c r="I73" s="75">
        <v>274762265</v>
      </c>
      <c r="J73" s="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35">
      <c r="A74" s="1"/>
      <c r="B74" s="71"/>
      <c r="C74" s="72" t="s">
        <v>141</v>
      </c>
      <c r="D74" s="73">
        <v>569432500</v>
      </c>
      <c r="E74" s="74">
        <v>569432500</v>
      </c>
      <c r="F74" s="74">
        <v>0</v>
      </c>
      <c r="G74" s="74">
        <v>201301415</v>
      </c>
      <c r="H74" s="74">
        <v>154398415</v>
      </c>
      <c r="I74" s="75">
        <v>368131085</v>
      </c>
      <c r="J74" s="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35">
      <c r="A75" s="1"/>
      <c r="B75" s="71"/>
      <c r="C75" s="72" t="s">
        <v>142</v>
      </c>
      <c r="D75" s="73">
        <v>329214500</v>
      </c>
      <c r="E75" s="74">
        <v>329214500</v>
      </c>
      <c r="F75" s="74">
        <v>0</v>
      </c>
      <c r="G75" s="74">
        <v>112877001</v>
      </c>
      <c r="H75" s="74">
        <v>46380201</v>
      </c>
      <c r="I75" s="75">
        <v>216337499</v>
      </c>
      <c r="J75" s="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35">
      <c r="A76" s="1"/>
      <c r="B76" s="71"/>
      <c r="C76" s="72" t="s">
        <v>143</v>
      </c>
      <c r="D76" s="73">
        <v>671629250</v>
      </c>
      <c r="E76" s="74">
        <v>671629250</v>
      </c>
      <c r="F76" s="74">
        <v>0</v>
      </c>
      <c r="G76" s="74">
        <v>139379220</v>
      </c>
      <c r="H76" s="74">
        <v>86360250</v>
      </c>
      <c r="I76" s="75">
        <v>532250030</v>
      </c>
      <c r="J76" s="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35">
      <c r="A77" s="1"/>
      <c r="B77" s="71"/>
      <c r="C77" s="72" t="s">
        <v>144</v>
      </c>
      <c r="D77" s="73">
        <v>467575000</v>
      </c>
      <c r="E77" s="74">
        <v>467575000</v>
      </c>
      <c r="F77" s="74">
        <v>0</v>
      </c>
      <c r="G77" s="74">
        <v>198473477</v>
      </c>
      <c r="H77" s="74">
        <v>78127000</v>
      </c>
      <c r="I77" s="75">
        <v>269101523</v>
      </c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35">
      <c r="A78" s="1"/>
      <c r="B78" s="71"/>
      <c r="C78" s="72" t="s">
        <v>145</v>
      </c>
      <c r="D78" s="73">
        <v>470557750</v>
      </c>
      <c r="E78" s="74">
        <v>470557750</v>
      </c>
      <c r="F78" s="74">
        <v>0</v>
      </c>
      <c r="G78" s="74">
        <v>195347450</v>
      </c>
      <c r="H78" s="74">
        <v>97130000</v>
      </c>
      <c r="I78" s="75">
        <v>275210300</v>
      </c>
      <c r="J78" s="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35">
      <c r="A79" s="1"/>
      <c r="B79" s="71"/>
      <c r="C79" s="72" t="s">
        <v>149</v>
      </c>
      <c r="D79" s="73">
        <v>372660000</v>
      </c>
      <c r="E79" s="74">
        <v>372660000</v>
      </c>
      <c r="F79" s="74">
        <v>0</v>
      </c>
      <c r="G79" s="74">
        <v>6609050</v>
      </c>
      <c r="H79" s="74">
        <v>5604650</v>
      </c>
      <c r="I79" s="75">
        <v>366050950</v>
      </c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35">
      <c r="A80" s="1"/>
      <c r="B80" s="71"/>
      <c r="C80" s="72" t="s">
        <v>146</v>
      </c>
      <c r="D80" s="73">
        <v>908980500</v>
      </c>
      <c r="E80" s="74">
        <v>908980500</v>
      </c>
      <c r="F80" s="74">
        <v>0</v>
      </c>
      <c r="G80" s="74">
        <v>272949082</v>
      </c>
      <c r="H80" s="74">
        <v>183758832</v>
      </c>
      <c r="I80" s="75">
        <v>636031418</v>
      </c>
      <c r="J80" s="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35">
      <c r="A81" s="1"/>
      <c r="B81" s="71"/>
      <c r="C81" s="72" t="s">
        <v>147</v>
      </c>
      <c r="D81" s="73">
        <v>683986000</v>
      </c>
      <c r="E81" s="74">
        <v>683986000</v>
      </c>
      <c r="F81" s="74">
        <v>0</v>
      </c>
      <c r="G81" s="74">
        <v>116006279</v>
      </c>
      <c r="H81" s="74">
        <v>115006279</v>
      </c>
      <c r="I81" s="75">
        <v>567979721</v>
      </c>
      <c r="J81" s="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35">
      <c r="A82" s="1"/>
      <c r="B82" s="71"/>
      <c r="C82" s="72" t="s">
        <v>150</v>
      </c>
      <c r="D82" s="73">
        <v>1979260000</v>
      </c>
      <c r="E82" s="74">
        <v>1979260000</v>
      </c>
      <c r="F82" s="74">
        <v>0</v>
      </c>
      <c r="G82" s="74">
        <v>357456414</v>
      </c>
      <c r="H82" s="74">
        <v>265675200</v>
      </c>
      <c r="I82" s="75">
        <v>1621803586</v>
      </c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35">
      <c r="A83" s="1"/>
      <c r="B83" s="62" t="s">
        <v>155</v>
      </c>
      <c r="C83" s="63"/>
      <c r="D83" s="68">
        <v>9437276818</v>
      </c>
      <c r="E83" s="69">
        <v>9437276818</v>
      </c>
      <c r="F83" s="69">
        <v>0</v>
      </c>
      <c r="G83" s="69">
        <v>2754937672</v>
      </c>
      <c r="H83" s="69">
        <v>1710356262</v>
      </c>
      <c r="I83" s="70">
        <v>6682339146</v>
      </c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35">
      <c r="A84" s="1"/>
      <c r="B84" s="62" t="s">
        <v>33</v>
      </c>
      <c r="C84" s="62" t="s">
        <v>149</v>
      </c>
      <c r="D84" s="68"/>
      <c r="E84" s="69"/>
      <c r="F84" s="69"/>
      <c r="G84" s="69"/>
      <c r="H84" s="69"/>
      <c r="I84" s="70"/>
      <c r="J84" s="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35">
      <c r="A85" s="1"/>
      <c r="B85" s="71"/>
      <c r="C85" s="72" t="s">
        <v>150</v>
      </c>
      <c r="D85" s="73">
        <v>125000000</v>
      </c>
      <c r="E85" s="74">
        <v>125000000</v>
      </c>
      <c r="F85" s="74">
        <v>0</v>
      </c>
      <c r="G85" s="74">
        <v>20986164</v>
      </c>
      <c r="H85" s="74">
        <v>0</v>
      </c>
      <c r="I85" s="75">
        <v>104013836</v>
      </c>
      <c r="J85" s="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35">
      <c r="A86" s="1"/>
      <c r="B86" s="62" t="s">
        <v>156</v>
      </c>
      <c r="C86" s="63"/>
      <c r="D86" s="68">
        <v>125000000</v>
      </c>
      <c r="E86" s="69">
        <v>125000000</v>
      </c>
      <c r="F86" s="69">
        <v>0</v>
      </c>
      <c r="G86" s="69">
        <v>20986164</v>
      </c>
      <c r="H86" s="69">
        <v>0</v>
      </c>
      <c r="I86" s="70">
        <v>104013836</v>
      </c>
      <c r="J86" s="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35">
      <c r="A87" s="1"/>
      <c r="B87" s="62" t="s">
        <v>67</v>
      </c>
      <c r="C87" s="62" t="s">
        <v>136</v>
      </c>
      <c r="D87" s="68">
        <v>90000000</v>
      </c>
      <c r="E87" s="69">
        <v>90000000</v>
      </c>
      <c r="F87" s="69">
        <v>0</v>
      </c>
      <c r="G87" s="69">
        <v>0</v>
      </c>
      <c r="H87" s="69">
        <v>0</v>
      </c>
      <c r="I87" s="70">
        <v>90000000</v>
      </c>
      <c r="J87" s="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35">
      <c r="A88" s="1"/>
      <c r="B88" s="71"/>
      <c r="C88" s="72" t="s">
        <v>137</v>
      </c>
      <c r="D88" s="73">
        <v>59437500</v>
      </c>
      <c r="E88" s="74">
        <v>59437500</v>
      </c>
      <c r="F88" s="74">
        <v>0</v>
      </c>
      <c r="G88" s="74">
        <v>15775000</v>
      </c>
      <c r="H88" s="74">
        <v>0</v>
      </c>
      <c r="I88" s="75">
        <v>43662500</v>
      </c>
      <c r="J88" s="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35">
      <c r="A89" s="1"/>
      <c r="B89" s="71"/>
      <c r="C89" s="72" t="s">
        <v>138</v>
      </c>
      <c r="D89" s="73">
        <v>45045000</v>
      </c>
      <c r="E89" s="74">
        <v>45045000</v>
      </c>
      <c r="F89" s="74">
        <v>0</v>
      </c>
      <c r="G89" s="74">
        <v>11205000</v>
      </c>
      <c r="H89" s="74">
        <v>0</v>
      </c>
      <c r="I89" s="75">
        <v>33840000</v>
      </c>
      <c r="J89" s="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35">
      <c r="A90" s="1"/>
      <c r="B90" s="71"/>
      <c r="C90" s="72" t="s">
        <v>139</v>
      </c>
      <c r="D90" s="73">
        <v>160050000</v>
      </c>
      <c r="E90" s="74">
        <v>160050000</v>
      </c>
      <c r="F90" s="74">
        <v>0</v>
      </c>
      <c r="G90" s="74">
        <v>71775000</v>
      </c>
      <c r="H90" s="74">
        <v>0</v>
      </c>
      <c r="I90" s="75">
        <v>88275000</v>
      </c>
      <c r="J90" s="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35">
      <c r="A91" s="1"/>
      <c r="B91" s="71"/>
      <c r="C91" s="72" t="s">
        <v>140</v>
      </c>
      <c r="D91" s="73">
        <v>125000000</v>
      </c>
      <c r="E91" s="74">
        <v>125000000</v>
      </c>
      <c r="F91" s="74">
        <v>0</v>
      </c>
      <c r="G91" s="74">
        <v>32848750</v>
      </c>
      <c r="H91" s="74">
        <v>0</v>
      </c>
      <c r="I91" s="75">
        <v>92151250</v>
      </c>
      <c r="J91" s="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35">
      <c r="A92" s="1"/>
      <c r="B92" s="71"/>
      <c r="C92" s="72" t="s">
        <v>141</v>
      </c>
      <c r="D92" s="73">
        <v>173189000</v>
      </c>
      <c r="E92" s="74">
        <v>173189000</v>
      </c>
      <c r="F92" s="74">
        <v>0</v>
      </c>
      <c r="G92" s="74">
        <v>62100000</v>
      </c>
      <c r="H92" s="74">
        <v>62100000</v>
      </c>
      <c r="I92" s="75">
        <v>111089000</v>
      </c>
      <c r="J92" s="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35">
      <c r="A93" s="1"/>
      <c r="B93" s="71"/>
      <c r="C93" s="72" t="s">
        <v>142</v>
      </c>
      <c r="D93" s="73">
        <v>55655000</v>
      </c>
      <c r="E93" s="74">
        <v>55655000</v>
      </c>
      <c r="F93" s="74">
        <v>0</v>
      </c>
      <c r="G93" s="74">
        <v>21262500</v>
      </c>
      <c r="H93" s="74">
        <v>0</v>
      </c>
      <c r="I93" s="75">
        <v>34392500</v>
      </c>
      <c r="J93" s="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35">
      <c r="A94" s="1"/>
      <c r="B94" s="71"/>
      <c r="C94" s="72" t="s">
        <v>143</v>
      </c>
      <c r="D94" s="73">
        <v>70775000</v>
      </c>
      <c r="E94" s="74">
        <v>70775000</v>
      </c>
      <c r="F94" s="74">
        <v>0</v>
      </c>
      <c r="G94" s="74">
        <v>28052000</v>
      </c>
      <c r="H94" s="74">
        <v>3970000</v>
      </c>
      <c r="I94" s="75">
        <v>42723000</v>
      </c>
      <c r="J94" s="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35">
      <c r="A95" s="1"/>
      <c r="B95" s="71"/>
      <c r="C95" s="72" t="s">
        <v>144</v>
      </c>
      <c r="D95" s="73">
        <v>63030000</v>
      </c>
      <c r="E95" s="74">
        <v>63030000</v>
      </c>
      <c r="F95" s="74">
        <v>0</v>
      </c>
      <c r="G95" s="74">
        <v>0</v>
      </c>
      <c r="H95" s="74">
        <v>0</v>
      </c>
      <c r="I95" s="75">
        <v>63030000</v>
      </c>
      <c r="J95" s="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35">
      <c r="A96" s="1"/>
      <c r="B96" s="71"/>
      <c r="C96" s="72" t="s">
        <v>145</v>
      </c>
      <c r="D96" s="73">
        <v>158400000</v>
      </c>
      <c r="E96" s="74">
        <v>158400000</v>
      </c>
      <c r="F96" s="74">
        <v>0</v>
      </c>
      <c r="G96" s="74">
        <v>37804500</v>
      </c>
      <c r="H96" s="74">
        <v>0</v>
      </c>
      <c r="I96" s="75">
        <v>120595500</v>
      </c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35">
      <c r="A97" s="1"/>
      <c r="B97" s="71"/>
      <c r="C97" s="72" t="s">
        <v>149</v>
      </c>
      <c r="D97" s="73">
        <v>45150000</v>
      </c>
      <c r="E97" s="74">
        <v>45150000</v>
      </c>
      <c r="F97" s="74">
        <v>0</v>
      </c>
      <c r="G97" s="74">
        <v>6119400</v>
      </c>
      <c r="H97" s="74">
        <v>0</v>
      </c>
      <c r="I97" s="75">
        <v>39030600</v>
      </c>
      <c r="J97" s="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35">
      <c r="A98" s="1"/>
      <c r="B98" s="71"/>
      <c r="C98" s="72" t="s">
        <v>146</v>
      </c>
      <c r="D98" s="73">
        <v>508075000</v>
      </c>
      <c r="E98" s="74">
        <v>508075000</v>
      </c>
      <c r="F98" s="74">
        <v>0</v>
      </c>
      <c r="G98" s="74">
        <v>128340000</v>
      </c>
      <c r="H98" s="74">
        <v>82800000</v>
      </c>
      <c r="I98" s="75">
        <v>379735000</v>
      </c>
      <c r="J98" s="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35">
      <c r="A99" s="1"/>
      <c r="B99" s="71"/>
      <c r="C99" s="72" t="s">
        <v>147</v>
      </c>
      <c r="D99" s="73">
        <v>142986000</v>
      </c>
      <c r="E99" s="74">
        <v>142986000</v>
      </c>
      <c r="F99" s="74">
        <v>0</v>
      </c>
      <c r="G99" s="74">
        <v>32200000</v>
      </c>
      <c r="H99" s="74">
        <v>32200000</v>
      </c>
      <c r="I99" s="75">
        <v>110786000</v>
      </c>
      <c r="J99" s="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35">
      <c r="A100" s="1"/>
      <c r="B100" s="62" t="s">
        <v>157</v>
      </c>
      <c r="C100" s="63"/>
      <c r="D100" s="68">
        <v>1696792500</v>
      </c>
      <c r="E100" s="69">
        <v>1696792500</v>
      </c>
      <c r="F100" s="69">
        <v>0</v>
      </c>
      <c r="G100" s="69">
        <v>447482150</v>
      </c>
      <c r="H100" s="69">
        <v>181070000</v>
      </c>
      <c r="I100" s="70">
        <v>1249310350</v>
      </c>
      <c r="J100" s="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35">
      <c r="A101" s="1"/>
      <c r="B101" s="76" t="s">
        <v>158</v>
      </c>
      <c r="C101" s="77"/>
      <c r="D101" s="78">
        <v>531005721578</v>
      </c>
      <c r="E101" s="79">
        <v>528259885185</v>
      </c>
      <c r="F101" s="79">
        <v>2745836393</v>
      </c>
      <c r="G101" s="79">
        <v>250720876056</v>
      </c>
      <c r="H101" s="79">
        <v>8799743742</v>
      </c>
      <c r="I101" s="80">
        <v>277539009129</v>
      </c>
      <c r="J101" s="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F5A5-20B6-43D2-9C49-7AF23034BE1B}">
  <dimension ref="A1:MN138"/>
  <sheetViews>
    <sheetView zoomScaleNormal="100" workbookViewId="0">
      <pane ySplit="1" topLeftCell="A14" activePane="bottomLeft" state="frozen"/>
      <selection pane="bottomLeft" activeCell="B23" sqref="B23"/>
    </sheetView>
  </sheetViews>
  <sheetFormatPr defaultColWidth="0" defaultRowHeight="13.15" x14ac:dyDescent="0.4"/>
  <cols>
    <col min="1" max="1" width="25.86328125" style="82" customWidth="1"/>
    <col min="2" max="3" width="20.1328125" style="86" customWidth="1"/>
    <col min="4" max="4" width="13.19921875" style="82" hidden="1" customWidth="1"/>
    <col min="5" max="11" width="7.73046875" style="82" hidden="1" customWidth="1"/>
    <col min="12" max="90" width="8.73046875" style="82" hidden="1" customWidth="1"/>
    <col min="91" max="261" width="9.73046875" style="82" hidden="1" customWidth="1"/>
    <col min="262" max="327" width="10.73046875" style="82" hidden="1" customWidth="1"/>
    <col min="328" max="348" width="11.73046875" style="82" hidden="1" customWidth="1"/>
    <col min="349" max="350" width="12" style="82" hidden="1" customWidth="1"/>
    <col min="351" max="351" width="6.73046875" style="82" hidden="1" customWidth="1"/>
    <col min="352" max="352" width="11.1328125" style="82" hidden="1" customWidth="1"/>
    <col min="353" max="16384" width="9.06640625" style="82" hidden="1"/>
  </cols>
  <sheetData>
    <row r="1" spans="1:3" x14ac:dyDescent="0.4">
      <c r="A1" s="84" t="s">
        <v>282</v>
      </c>
      <c r="B1" s="85" t="s">
        <v>284</v>
      </c>
      <c r="C1" s="85" t="s">
        <v>285</v>
      </c>
    </row>
    <row r="2" spans="1:3" x14ac:dyDescent="0.4">
      <c r="A2" s="83" t="s">
        <v>135</v>
      </c>
      <c r="B2" s="85">
        <v>25951010256</v>
      </c>
      <c r="C2" s="85">
        <v>606713800</v>
      </c>
    </row>
    <row r="3" spans="1:3" x14ac:dyDescent="0.4">
      <c r="A3" s="81" t="s">
        <v>16</v>
      </c>
      <c r="B3" s="85">
        <v>147569000</v>
      </c>
      <c r="C3" s="85">
        <v>117822000</v>
      </c>
    </row>
    <row r="4" spans="1:3" x14ac:dyDescent="0.4">
      <c r="A4" s="81" t="s">
        <v>31</v>
      </c>
      <c r="B4" s="85">
        <v>24488000</v>
      </c>
      <c r="C4" s="85">
        <v>24488000</v>
      </c>
    </row>
    <row r="5" spans="1:3" x14ac:dyDescent="0.4">
      <c r="A5" s="81" t="s">
        <v>10</v>
      </c>
      <c r="B5" s="85">
        <v>25662681283</v>
      </c>
      <c r="C5" s="85">
        <v>457037427</v>
      </c>
    </row>
    <row r="6" spans="1:3" x14ac:dyDescent="0.4">
      <c r="A6" s="81" t="s">
        <v>62</v>
      </c>
      <c r="B6" s="85">
        <v>116271973</v>
      </c>
      <c r="C6" s="85">
        <v>7366373</v>
      </c>
    </row>
    <row r="7" spans="1:3" x14ac:dyDescent="0.4">
      <c r="A7" s="83" t="s">
        <v>136</v>
      </c>
      <c r="B7" s="85">
        <v>18220839512</v>
      </c>
      <c r="C7" s="85">
        <v>614995430</v>
      </c>
    </row>
    <row r="8" spans="1:3" x14ac:dyDescent="0.4">
      <c r="A8" s="81" t="s">
        <v>67</v>
      </c>
      <c r="B8" s="85">
        <v>0</v>
      </c>
      <c r="C8" s="85">
        <v>0</v>
      </c>
    </row>
    <row r="9" spans="1:3" x14ac:dyDescent="0.4">
      <c r="A9" s="81" t="s">
        <v>16</v>
      </c>
      <c r="B9" s="85">
        <v>170677766</v>
      </c>
      <c r="C9" s="85">
        <v>113835450</v>
      </c>
    </row>
    <row r="10" spans="1:3" x14ac:dyDescent="0.4">
      <c r="A10" s="81" t="s">
        <v>35</v>
      </c>
      <c r="B10" s="85">
        <v>466659980</v>
      </c>
      <c r="C10" s="85">
        <v>466659980</v>
      </c>
    </row>
    <row r="11" spans="1:3" x14ac:dyDescent="0.4">
      <c r="A11" s="81" t="s">
        <v>31</v>
      </c>
      <c r="B11" s="85">
        <v>0</v>
      </c>
      <c r="C11" s="85">
        <v>0</v>
      </c>
    </row>
    <row r="12" spans="1:3" x14ac:dyDescent="0.4">
      <c r="A12" s="81" t="s">
        <v>10</v>
      </c>
      <c r="B12" s="85">
        <v>17435981766</v>
      </c>
      <c r="C12" s="85">
        <v>0</v>
      </c>
    </row>
    <row r="13" spans="1:3" x14ac:dyDescent="0.4">
      <c r="A13" s="81" t="s">
        <v>62</v>
      </c>
      <c r="B13" s="85">
        <v>147520000</v>
      </c>
      <c r="C13" s="85">
        <v>34500000</v>
      </c>
    </row>
    <row r="14" spans="1:3" x14ac:dyDescent="0.4">
      <c r="A14" s="83" t="s">
        <v>137</v>
      </c>
      <c r="B14" s="85">
        <v>5410614055</v>
      </c>
      <c r="C14" s="85">
        <v>604292647</v>
      </c>
    </row>
    <row r="15" spans="1:3" x14ac:dyDescent="0.4">
      <c r="A15" s="81" t="s">
        <v>67</v>
      </c>
      <c r="B15" s="85">
        <v>15775000</v>
      </c>
      <c r="C15" s="85">
        <v>0</v>
      </c>
    </row>
    <row r="16" spans="1:3" x14ac:dyDescent="0.4">
      <c r="A16" s="81" t="s">
        <v>16</v>
      </c>
      <c r="B16" s="85">
        <v>156776609</v>
      </c>
      <c r="C16" s="85">
        <v>131663109</v>
      </c>
    </row>
    <row r="17" spans="1:3" x14ac:dyDescent="0.4">
      <c r="A17" s="81" t="s">
        <v>35</v>
      </c>
      <c r="B17" s="85">
        <v>325092882</v>
      </c>
      <c r="C17" s="85">
        <v>325092882</v>
      </c>
    </row>
    <row r="18" spans="1:3" x14ac:dyDescent="0.4">
      <c r="A18" s="81" t="s">
        <v>31</v>
      </c>
      <c r="B18" s="85">
        <v>0</v>
      </c>
      <c r="C18" s="85">
        <v>0</v>
      </c>
    </row>
    <row r="19" spans="1:3" x14ac:dyDescent="0.4">
      <c r="A19" s="81" t="s">
        <v>10</v>
      </c>
      <c r="B19" s="85">
        <v>4912969564</v>
      </c>
      <c r="C19" s="85">
        <v>147536656</v>
      </c>
    </row>
    <row r="20" spans="1:3" x14ac:dyDescent="0.4">
      <c r="A20" s="81" t="s">
        <v>62</v>
      </c>
      <c r="B20" s="85">
        <v>0</v>
      </c>
      <c r="C20" s="85">
        <v>0</v>
      </c>
    </row>
    <row r="21" spans="1:3" x14ac:dyDescent="0.4">
      <c r="A21" s="83" t="s">
        <v>138</v>
      </c>
      <c r="B21" s="85">
        <v>2128245545</v>
      </c>
      <c r="C21" s="85">
        <v>463899957</v>
      </c>
    </row>
    <row r="22" spans="1:3" x14ac:dyDescent="0.4">
      <c r="A22" s="81" t="s">
        <v>67</v>
      </c>
      <c r="B22" s="85">
        <v>11205000</v>
      </c>
      <c r="C22" s="85">
        <v>0</v>
      </c>
    </row>
    <row r="23" spans="1:3" x14ac:dyDescent="0.4">
      <c r="A23" s="81" t="s">
        <v>16</v>
      </c>
      <c r="B23" s="85">
        <v>240161883</v>
      </c>
      <c r="C23" s="85">
        <v>89609735</v>
      </c>
    </row>
    <row r="24" spans="1:3" x14ac:dyDescent="0.4">
      <c r="A24" s="81" t="s">
        <v>35</v>
      </c>
      <c r="B24" s="85">
        <v>346245306</v>
      </c>
      <c r="C24" s="85">
        <v>346245306</v>
      </c>
    </row>
    <row r="25" spans="1:3" x14ac:dyDescent="0.4">
      <c r="A25" s="81" t="s">
        <v>31</v>
      </c>
      <c r="B25" s="85">
        <v>0</v>
      </c>
      <c r="C25" s="85">
        <v>0</v>
      </c>
    </row>
    <row r="26" spans="1:3" x14ac:dyDescent="0.4">
      <c r="A26" s="81" t="s">
        <v>10</v>
      </c>
      <c r="B26" s="85">
        <v>1502405903</v>
      </c>
      <c r="C26" s="85">
        <v>28044916</v>
      </c>
    </row>
    <row r="27" spans="1:3" x14ac:dyDescent="0.4">
      <c r="A27" s="81" t="s">
        <v>62</v>
      </c>
      <c r="B27" s="85">
        <v>28227453</v>
      </c>
      <c r="C27" s="85">
        <v>0</v>
      </c>
    </row>
    <row r="28" spans="1:3" x14ac:dyDescent="0.4">
      <c r="A28" s="83" t="s">
        <v>139</v>
      </c>
      <c r="B28" s="85">
        <v>2061368184</v>
      </c>
      <c r="C28" s="85">
        <v>598684587</v>
      </c>
    </row>
    <row r="29" spans="1:3" x14ac:dyDescent="0.4">
      <c r="A29" s="81" t="s">
        <v>67</v>
      </c>
      <c r="B29" s="85">
        <v>71775000</v>
      </c>
      <c r="C29" s="85">
        <v>0</v>
      </c>
    </row>
    <row r="30" spans="1:3" x14ac:dyDescent="0.4">
      <c r="A30" s="81" t="s">
        <v>16</v>
      </c>
      <c r="B30" s="85">
        <v>208386941</v>
      </c>
      <c r="C30" s="85">
        <v>110494491</v>
      </c>
    </row>
    <row r="31" spans="1:3" x14ac:dyDescent="0.4">
      <c r="A31" s="81" t="s">
        <v>35</v>
      </c>
      <c r="B31" s="85">
        <v>394857596</v>
      </c>
      <c r="C31" s="85">
        <v>394857596</v>
      </c>
    </row>
    <row r="32" spans="1:3" x14ac:dyDescent="0.4">
      <c r="A32" s="81" t="s">
        <v>31</v>
      </c>
      <c r="B32" s="85">
        <v>46460160</v>
      </c>
      <c r="C32" s="85">
        <v>0</v>
      </c>
    </row>
    <row r="33" spans="1:3" x14ac:dyDescent="0.4">
      <c r="A33" s="81" t="s">
        <v>10</v>
      </c>
      <c r="B33" s="85">
        <v>1339888487</v>
      </c>
      <c r="C33" s="85">
        <v>93332500</v>
      </c>
    </row>
    <row r="34" spans="1:3" x14ac:dyDescent="0.4">
      <c r="A34" s="81" t="s">
        <v>62</v>
      </c>
      <c r="B34" s="85">
        <v>0</v>
      </c>
      <c r="C34" s="85">
        <v>0</v>
      </c>
    </row>
    <row r="35" spans="1:3" x14ac:dyDescent="0.4">
      <c r="A35" s="83" t="s">
        <v>140</v>
      </c>
      <c r="B35" s="85">
        <v>3854116634</v>
      </c>
      <c r="C35" s="85">
        <v>769595099</v>
      </c>
    </row>
    <row r="36" spans="1:3" x14ac:dyDescent="0.4">
      <c r="A36" s="81" t="s">
        <v>67</v>
      </c>
      <c r="B36" s="85">
        <v>32848750</v>
      </c>
      <c r="C36" s="85">
        <v>0</v>
      </c>
    </row>
    <row r="37" spans="1:3" x14ac:dyDescent="0.4">
      <c r="A37" s="81" t="s">
        <v>16</v>
      </c>
      <c r="B37" s="85">
        <v>230966085</v>
      </c>
      <c r="C37" s="85">
        <v>114490650</v>
      </c>
    </row>
    <row r="38" spans="1:3" x14ac:dyDescent="0.4">
      <c r="A38" s="81" t="s">
        <v>35</v>
      </c>
      <c r="B38" s="85">
        <v>396859899</v>
      </c>
      <c r="C38" s="85">
        <v>396859899</v>
      </c>
    </row>
    <row r="39" spans="1:3" x14ac:dyDescent="0.4">
      <c r="A39" s="81" t="s">
        <v>31</v>
      </c>
      <c r="B39" s="85">
        <v>0</v>
      </c>
      <c r="C39" s="85">
        <v>0</v>
      </c>
    </row>
    <row r="40" spans="1:3" x14ac:dyDescent="0.4">
      <c r="A40" s="81" t="s">
        <v>10</v>
      </c>
      <c r="B40" s="85">
        <v>3193441900</v>
      </c>
      <c r="C40" s="85">
        <v>258244550</v>
      </c>
    </row>
    <row r="41" spans="1:3" x14ac:dyDescent="0.4">
      <c r="A41" s="81" t="s">
        <v>62</v>
      </c>
      <c r="B41" s="85">
        <v>0</v>
      </c>
      <c r="C41" s="85">
        <v>0</v>
      </c>
    </row>
    <row r="42" spans="1:3" x14ac:dyDescent="0.4">
      <c r="A42" s="83" t="s">
        <v>141</v>
      </c>
      <c r="B42" s="85">
        <v>5353023502</v>
      </c>
      <c r="C42" s="85">
        <v>598020370</v>
      </c>
    </row>
    <row r="43" spans="1:3" x14ac:dyDescent="0.4">
      <c r="A43" s="81" t="s">
        <v>67</v>
      </c>
      <c r="B43" s="85">
        <v>62100000</v>
      </c>
      <c r="C43" s="85">
        <v>62100000</v>
      </c>
    </row>
    <row r="44" spans="1:3" x14ac:dyDescent="0.4">
      <c r="A44" s="81" t="s">
        <v>16</v>
      </c>
      <c r="B44" s="85">
        <v>201301415</v>
      </c>
      <c r="C44" s="85">
        <v>154398415</v>
      </c>
    </row>
    <row r="45" spans="1:3" x14ac:dyDescent="0.4">
      <c r="A45" s="81" t="s">
        <v>35</v>
      </c>
      <c r="B45" s="85">
        <v>320371955</v>
      </c>
      <c r="C45" s="85">
        <v>320371955</v>
      </c>
    </row>
    <row r="46" spans="1:3" x14ac:dyDescent="0.4">
      <c r="A46" s="81" t="s">
        <v>31</v>
      </c>
      <c r="B46" s="85">
        <v>0</v>
      </c>
      <c r="C46" s="85">
        <v>0</v>
      </c>
    </row>
    <row r="47" spans="1:3" x14ac:dyDescent="0.4">
      <c r="A47" s="81" t="s">
        <v>10</v>
      </c>
      <c r="B47" s="85">
        <v>4732750132</v>
      </c>
      <c r="C47" s="85">
        <v>24650000</v>
      </c>
    </row>
    <row r="48" spans="1:3" x14ac:dyDescent="0.4">
      <c r="A48" s="81" t="s">
        <v>62</v>
      </c>
      <c r="B48" s="85">
        <v>36500000</v>
      </c>
      <c r="C48" s="85">
        <v>36500000</v>
      </c>
    </row>
    <row r="49" spans="1:3" x14ac:dyDescent="0.4">
      <c r="A49" s="83" t="s">
        <v>142</v>
      </c>
      <c r="B49" s="85">
        <v>2609631999</v>
      </c>
      <c r="C49" s="85">
        <v>419244424</v>
      </c>
    </row>
    <row r="50" spans="1:3" x14ac:dyDescent="0.4">
      <c r="A50" s="81" t="s">
        <v>67</v>
      </c>
      <c r="B50" s="85">
        <v>21262500</v>
      </c>
      <c r="C50" s="85">
        <v>0</v>
      </c>
    </row>
    <row r="51" spans="1:3" x14ac:dyDescent="0.4">
      <c r="A51" s="81" t="s">
        <v>16</v>
      </c>
      <c r="B51" s="85">
        <v>112877001</v>
      </c>
      <c r="C51" s="85">
        <v>46380201</v>
      </c>
    </row>
    <row r="52" spans="1:3" x14ac:dyDescent="0.4">
      <c r="A52" s="81" t="s">
        <v>35</v>
      </c>
      <c r="B52" s="85">
        <v>284145595</v>
      </c>
      <c r="C52" s="85">
        <v>284145595</v>
      </c>
    </row>
    <row r="53" spans="1:3" x14ac:dyDescent="0.4">
      <c r="A53" s="81" t="s">
        <v>31</v>
      </c>
      <c r="B53" s="85">
        <v>2159300</v>
      </c>
      <c r="C53" s="85">
        <v>2159300</v>
      </c>
    </row>
    <row r="54" spans="1:3" x14ac:dyDescent="0.4">
      <c r="A54" s="81" t="s">
        <v>10</v>
      </c>
      <c r="B54" s="85">
        <v>2187243603</v>
      </c>
      <c r="C54" s="85">
        <v>86559328</v>
      </c>
    </row>
    <row r="55" spans="1:3" x14ac:dyDescent="0.4">
      <c r="A55" s="81" t="s">
        <v>62</v>
      </c>
      <c r="B55" s="85">
        <v>1944000</v>
      </c>
      <c r="C55" s="85">
        <v>0</v>
      </c>
    </row>
    <row r="56" spans="1:3" x14ac:dyDescent="0.4">
      <c r="A56" s="83" t="s">
        <v>143</v>
      </c>
      <c r="B56" s="85">
        <v>18120397974</v>
      </c>
      <c r="C56" s="85">
        <v>928039808</v>
      </c>
    </row>
    <row r="57" spans="1:3" x14ac:dyDescent="0.4">
      <c r="A57" s="81" t="s">
        <v>67</v>
      </c>
      <c r="B57" s="85">
        <v>28052000</v>
      </c>
      <c r="C57" s="85">
        <v>3970000</v>
      </c>
    </row>
    <row r="58" spans="1:3" x14ac:dyDescent="0.4">
      <c r="A58" s="81" t="s">
        <v>16</v>
      </c>
      <c r="B58" s="85">
        <v>139379220</v>
      </c>
      <c r="C58" s="85">
        <v>86360250</v>
      </c>
    </row>
    <row r="59" spans="1:3" x14ac:dyDescent="0.4">
      <c r="A59" s="81" t="s">
        <v>35</v>
      </c>
      <c r="B59" s="85">
        <v>412137110</v>
      </c>
      <c r="C59" s="85">
        <v>411555340</v>
      </c>
    </row>
    <row r="60" spans="1:3" x14ac:dyDescent="0.4">
      <c r="A60" s="81" t="s">
        <v>31</v>
      </c>
      <c r="B60" s="85">
        <v>0</v>
      </c>
      <c r="C60" s="85">
        <v>0</v>
      </c>
    </row>
    <row r="61" spans="1:3" x14ac:dyDescent="0.4">
      <c r="A61" s="81" t="s">
        <v>10</v>
      </c>
      <c r="B61" s="85">
        <v>17540829644</v>
      </c>
      <c r="C61" s="85">
        <v>426154218</v>
      </c>
    </row>
    <row r="62" spans="1:3" x14ac:dyDescent="0.4">
      <c r="A62" s="81" t="s">
        <v>62</v>
      </c>
      <c r="B62" s="85">
        <v>0</v>
      </c>
      <c r="C62" s="85">
        <v>0</v>
      </c>
    </row>
    <row r="63" spans="1:3" x14ac:dyDescent="0.4">
      <c r="A63" s="83" t="s">
        <v>144</v>
      </c>
      <c r="B63" s="85">
        <v>847147975</v>
      </c>
      <c r="C63" s="85">
        <v>335147166</v>
      </c>
    </row>
    <row r="64" spans="1:3" x14ac:dyDescent="0.4">
      <c r="A64" s="81" t="s">
        <v>67</v>
      </c>
      <c r="B64" s="85">
        <v>0</v>
      </c>
      <c r="C64" s="85">
        <v>0</v>
      </c>
    </row>
    <row r="65" spans="1:3" x14ac:dyDescent="0.4">
      <c r="A65" s="81" t="s">
        <v>16</v>
      </c>
      <c r="B65" s="85">
        <v>198473477</v>
      </c>
      <c r="C65" s="85">
        <v>78127000</v>
      </c>
    </row>
    <row r="66" spans="1:3" x14ac:dyDescent="0.4">
      <c r="A66" s="81" t="s">
        <v>35</v>
      </c>
      <c r="B66" s="85">
        <v>70896704</v>
      </c>
      <c r="C66" s="85">
        <v>69572062</v>
      </c>
    </row>
    <row r="67" spans="1:3" x14ac:dyDescent="0.4">
      <c r="A67" s="81" t="s">
        <v>31</v>
      </c>
      <c r="B67" s="85">
        <v>0</v>
      </c>
      <c r="C67" s="85">
        <v>0</v>
      </c>
    </row>
    <row r="68" spans="1:3" x14ac:dyDescent="0.4">
      <c r="A68" s="81" t="s">
        <v>10</v>
      </c>
      <c r="B68" s="85">
        <v>577777794</v>
      </c>
      <c r="C68" s="85">
        <v>187448104</v>
      </c>
    </row>
    <row r="69" spans="1:3" x14ac:dyDescent="0.4">
      <c r="A69" s="81" t="s">
        <v>62</v>
      </c>
      <c r="B69" s="85">
        <v>0</v>
      </c>
      <c r="C69" s="85">
        <v>0</v>
      </c>
    </row>
    <row r="70" spans="1:3" x14ac:dyDescent="0.4">
      <c r="A70" s="83" t="s">
        <v>145</v>
      </c>
      <c r="B70" s="85">
        <v>1121113830</v>
      </c>
      <c r="C70" s="85">
        <v>315281545</v>
      </c>
    </row>
    <row r="71" spans="1:3" x14ac:dyDescent="0.4">
      <c r="A71" s="81" t="s">
        <v>67</v>
      </c>
      <c r="B71" s="85">
        <v>37804500</v>
      </c>
      <c r="C71" s="85">
        <v>0</v>
      </c>
    </row>
    <row r="72" spans="1:3" x14ac:dyDescent="0.4">
      <c r="A72" s="81" t="s">
        <v>16</v>
      </c>
      <c r="B72" s="85">
        <v>195347450</v>
      </c>
      <c r="C72" s="85">
        <v>97130000</v>
      </c>
    </row>
    <row r="73" spans="1:3" x14ac:dyDescent="0.4">
      <c r="A73" s="81" t="s">
        <v>35</v>
      </c>
      <c r="B73" s="85">
        <v>227651545</v>
      </c>
      <c r="C73" s="85">
        <v>218151545</v>
      </c>
    </row>
    <row r="74" spans="1:3" x14ac:dyDescent="0.4">
      <c r="A74" s="81" t="s">
        <v>31</v>
      </c>
      <c r="B74" s="85">
        <v>0</v>
      </c>
      <c r="C74" s="85">
        <v>0</v>
      </c>
    </row>
    <row r="75" spans="1:3" x14ac:dyDescent="0.4">
      <c r="A75" s="81" t="s">
        <v>10</v>
      </c>
      <c r="B75" s="85">
        <v>660310335</v>
      </c>
      <c r="C75" s="85">
        <v>0</v>
      </c>
    </row>
    <row r="76" spans="1:3" x14ac:dyDescent="0.4">
      <c r="A76" s="81" t="s">
        <v>62</v>
      </c>
      <c r="B76" s="85">
        <v>0</v>
      </c>
      <c r="C76" s="85">
        <v>0</v>
      </c>
    </row>
    <row r="77" spans="1:3" x14ac:dyDescent="0.4">
      <c r="A77" s="83" t="s">
        <v>149</v>
      </c>
      <c r="B77" s="85">
        <v>150200280</v>
      </c>
      <c r="C77" s="85">
        <v>5604650</v>
      </c>
    </row>
    <row r="78" spans="1:3" x14ac:dyDescent="0.4">
      <c r="A78" s="81" t="s">
        <v>67</v>
      </c>
      <c r="B78" s="85">
        <v>6119400</v>
      </c>
      <c r="C78" s="85">
        <v>0</v>
      </c>
    </row>
    <row r="79" spans="1:3" x14ac:dyDescent="0.4">
      <c r="A79" s="81" t="s">
        <v>33</v>
      </c>
      <c r="B79" s="85"/>
      <c r="C79" s="85"/>
    </row>
    <row r="80" spans="1:3" x14ac:dyDescent="0.4">
      <c r="A80" s="81" t="s">
        <v>16</v>
      </c>
      <c r="B80" s="85">
        <v>6609050</v>
      </c>
      <c r="C80" s="85">
        <v>5604650</v>
      </c>
    </row>
    <row r="81" spans="1:3" x14ac:dyDescent="0.4">
      <c r="A81" s="81" t="s">
        <v>114</v>
      </c>
      <c r="B81" s="85"/>
      <c r="C81" s="85"/>
    </row>
    <row r="82" spans="1:3" x14ac:dyDescent="0.4">
      <c r="A82" s="81" t="s">
        <v>31</v>
      </c>
      <c r="B82" s="85">
        <v>9000000</v>
      </c>
      <c r="C82" s="85">
        <v>0</v>
      </c>
    </row>
    <row r="83" spans="1:3" x14ac:dyDescent="0.4">
      <c r="A83" s="81" t="s">
        <v>10</v>
      </c>
      <c r="B83" s="85">
        <v>128471830</v>
      </c>
      <c r="C83" s="85">
        <v>0</v>
      </c>
    </row>
    <row r="84" spans="1:3" x14ac:dyDescent="0.4">
      <c r="A84" s="83" t="s">
        <v>146</v>
      </c>
      <c r="B84" s="85">
        <v>9113067643</v>
      </c>
      <c r="C84" s="85">
        <v>809745535</v>
      </c>
    </row>
    <row r="85" spans="1:3" x14ac:dyDescent="0.4">
      <c r="A85" s="81" t="s">
        <v>67</v>
      </c>
      <c r="B85" s="85">
        <v>128340000</v>
      </c>
      <c r="C85" s="85">
        <v>82800000</v>
      </c>
    </row>
    <row r="86" spans="1:3" x14ac:dyDescent="0.4">
      <c r="A86" s="81" t="s">
        <v>16</v>
      </c>
      <c r="B86" s="85">
        <v>272949082</v>
      </c>
      <c r="C86" s="85">
        <v>183758832</v>
      </c>
    </row>
    <row r="87" spans="1:3" x14ac:dyDescent="0.4">
      <c r="A87" s="81" t="s">
        <v>35</v>
      </c>
      <c r="B87" s="85">
        <v>455035109</v>
      </c>
      <c r="C87" s="85">
        <v>446630703</v>
      </c>
    </row>
    <row r="88" spans="1:3" x14ac:dyDescent="0.4">
      <c r="A88" s="81" t="s">
        <v>114</v>
      </c>
      <c r="B88" s="85">
        <v>0</v>
      </c>
      <c r="C88" s="85">
        <v>0</v>
      </c>
    </row>
    <row r="89" spans="1:3" x14ac:dyDescent="0.4">
      <c r="A89" s="81" t="s">
        <v>31</v>
      </c>
      <c r="B89" s="85">
        <v>12720000</v>
      </c>
      <c r="C89" s="85">
        <v>0</v>
      </c>
    </row>
    <row r="90" spans="1:3" x14ac:dyDescent="0.4">
      <c r="A90" s="81" t="s">
        <v>10</v>
      </c>
      <c r="B90" s="85">
        <v>4968662500</v>
      </c>
      <c r="C90" s="85">
        <v>0</v>
      </c>
    </row>
    <row r="91" spans="1:3" x14ac:dyDescent="0.4">
      <c r="A91" s="81" t="s">
        <v>62</v>
      </c>
      <c r="B91" s="85">
        <v>3275360952</v>
      </c>
      <c r="C91" s="85">
        <v>96556000</v>
      </c>
    </row>
    <row r="92" spans="1:3" x14ac:dyDescent="0.4">
      <c r="A92" s="83" t="s">
        <v>147</v>
      </c>
      <c r="B92" s="85">
        <v>10083864555</v>
      </c>
      <c r="C92" s="85">
        <v>563111466</v>
      </c>
    </row>
    <row r="93" spans="1:3" x14ac:dyDescent="0.4">
      <c r="A93" s="81" t="s">
        <v>67</v>
      </c>
      <c r="B93" s="85">
        <v>32200000</v>
      </c>
      <c r="C93" s="85">
        <v>32200000</v>
      </c>
    </row>
    <row r="94" spans="1:3" x14ac:dyDescent="0.4">
      <c r="A94" s="81" t="s">
        <v>16</v>
      </c>
      <c r="B94" s="85">
        <v>116006279</v>
      </c>
      <c r="C94" s="85">
        <v>115006279</v>
      </c>
    </row>
    <row r="95" spans="1:3" x14ac:dyDescent="0.4">
      <c r="A95" s="81" t="s">
        <v>35</v>
      </c>
      <c r="B95" s="85">
        <v>231047765</v>
      </c>
      <c r="C95" s="85">
        <v>230704071</v>
      </c>
    </row>
    <row r="96" spans="1:3" x14ac:dyDescent="0.4">
      <c r="A96" s="81" t="s">
        <v>31</v>
      </c>
      <c r="B96" s="85">
        <v>83170000</v>
      </c>
      <c r="C96" s="85">
        <v>18435000</v>
      </c>
    </row>
    <row r="97" spans="1:3" x14ac:dyDescent="0.4">
      <c r="A97" s="81" t="s">
        <v>10</v>
      </c>
      <c r="B97" s="85">
        <v>9621440511</v>
      </c>
      <c r="C97" s="85">
        <v>166766116</v>
      </c>
    </row>
    <row r="98" spans="1:3" x14ac:dyDescent="0.4">
      <c r="A98" s="81" t="s">
        <v>62</v>
      </c>
      <c r="B98" s="85">
        <v>0</v>
      </c>
      <c r="C98" s="85">
        <v>0</v>
      </c>
    </row>
    <row r="99" spans="1:3" x14ac:dyDescent="0.4">
      <c r="A99" s="83" t="s">
        <v>150</v>
      </c>
      <c r="B99" s="85">
        <v>145696234112</v>
      </c>
      <c r="C99" s="85">
        <v>1167367258</v>
      </c>
    </row>
    <row r="100" spans="1:3" x14ac:dyDescent="0.4">
      <c r="A100" s="81" t="s">
        <v>33</v>
      </c>
      <c r="B100" s="85">
        <v>20986164</v>
      </c>
      <c r="C100" s="85">
        <v>0</v>
      </c>
    </row>
    <row r="101" spans="1:3" x14ac:dyDescent="0.4">
      <c r="A101" s="81" t="s">
        <v>16</v>
      </c>
      <c r="B101" s="85">
        <v>357456414</v>
      </c>
      <c r="C101" s="85">
        <v>265675200</v>
      </c>
    </row>
    <row r="102" spans="1:3" x14ac:dyDescent="0.4">
      <c r="A102" s="81" t="s">
        <v>35</v>
      </c>
      <c r="B102" s="85">
        <v>901692058</v>
      </c>
      <c r="C102" s="85">
        <v>901692058</v>
      </c>
    </row>
    <row r="103" spans="1:3" x14ac:dyDescent="0.4">
      <c r="A103" s="81" t="s">
        <v>31</v>
      </c>
      <c r="B103" s="85">
        <v>0</v>
      </c>
      <c r="C103" s="85">
        <v>0</v>
      </c>
    </row>
    <row r="104" spans="1:3" x14ac:dyDescent="0.4">
      <c r="A104" s="81" t="s">
        <v>10</v>
      </c>
      <c r="B104" s="85">
        <v>144416099476</v>
      </c>
      <c r="C104" s="85">
        <v>0</v>
      </c>
    </row>
    <row r="105" spans="1:3" x14ac:dyDescent="0.4">
      <c r="A105" s="81" t="s">
        <v>62</v>
      </c>
      <c r="B105" s="85">
        <v>0</v>
      </c>
      <c r="C105" s="85">
        <v>0</v>
      </c>
    </row>
    <row r="106" spans="1:3" x14ac:dyDescent="0.4">
      <c r="A106" s="83" t="s">
        <v>283</v>
      </c>
      <c r="B106" s="85"/>
      <c r="C106" s="85"/>
    </row>
    <row r="107" spans="1:3" x14ac:dyDescent="0.4">
      <c r="A107" s="81" t="s">
        <v>283</v>
      </c>
      <c r="B107" s="85"/>
      <c r="C107" s="85"/>
    </row>
    <row r="108" spans="1:3" x14ac:dyDescent="0.4">
      <c r="A108" s="83" t="s">
        <v>158</v>
      </c>
      <c r="B108" s="85">
        <v>250720876056</v>
      </c>
      <c r="C108" s="85">
        <v>8799743742</v>
      </c>
    </row>
    <row r="109" spans="1:3" x14ac:dyDescent="0.4">
      <c r="A109"/>
      <c r="B109"/>
      <c r="C109"/>
    </row>
    <row r="110" spans="1:3" x14ac:dyDescent="0.4">
      <c r="A110"/>
      <c r="B110"/>
      <c r="C110"/>
    </row>
    <row r="111" spans="1:3" x14ac:dyDescent="0.4">
      <c r="B111" s="100"/>
      <c r="C111" s="100"/>
    </row>
    <row r="112" spans="1:3" x14ac:dyDescent="0.4">
      <c r="B112" s="100"/>
      <c r="C112" s="100"/>
    </row>
    <row r="113" spans="2:3" x14ac:dyDescent="0.4">
      <c r="B113" s="100"/>
      <c r="C113" s="100"/>
    </row>
    <row r="114" spans="2:3" x14ac:dyDescent="0.4">
      <c r="B114" s="100"/>
      <c r="C114" s="100"/>
    </row>
    <row r="115" spans="2:3" x14ac:dyDescent="0.4">
      <c r="B115" s="100"/>
      <c r="C115" s="100"/>
    </row>
    <row r="116" spans="2:3" x14ac:dyDescent="0.4">
      <c r="B116" s="100"/>
      <c r="C116" s="100"/>
    </row>
    <row r="117" spans="2:3" x14ac:dyDescent="0.4">
      <c r="B117" s="100"/>
      <c r="C117" s="100"/>
    </row>
    <row r="118" spans="2:3" x14ac:dyDescent="0.4">
      <c r="B118" s="100"/>
      <c r="C118" s="100"/>
    </row>
    <row r="119" spans="2:3" x14ac:dyDescent="0.4">
      <c r="B119" s="100"/>
      <c r="C119" s="100"/>
    </row>
    <row r="120" spans="2:3" x14ac:dyDescent="0.4">
      <c r="B120" s="100"/>
      <c r="C120" s="100"/>
    </row>
    <row r="121" spans="2:3" x14ac:dyDescent="0.4">
      <c r="B121" s="100"/>
      <c r="C121" s="100"/>
    </row>
    <row r="122" spans="2:3" x14ac:dyDescent="0.4">
      <c r="B122" s="100"/>
      <c r="C122" s="100"/>
    </row>
    <row r="123" spans="2:3" x14ac:dyDescent="0.4">
      <c r="B123" s="100"/>
      <c r="C123" s="100"/>
    </row>
    <row r="124" spans="2:3" x14ac:dyDescent="0.4">
      <c r="B124" s="100"/>
      <c r="C124" s="100"/>
    </row>
    <row r="125" spans="2:3" x14ac:dyDescent="0.4">
      <c r="B125" s="100"/>
      <c r="C125" s="100"/>
    </row>
    <row r="126" spans="2:3" x14ac:dyDescent="0.4">
      <c r="B126" s="100"/>
      <c r="C126" s="100"/>
    </row>
    <row r="127" spans="2:3" x14ac:dyDescent="0.4">
      <c r="B127" s="100"/>
      <c r="C127" s="100"/>
    </row>
    <row r="128" spans="2:3" x14ac:dyDescent="0.4">
      <c r="B128" s="100"/>
      <c r="C128" s="100"/>
    </row>
    <row r="129" spans="2:3" x14ac:dyDescent="0.4">
      <c r="B129" s="100"/>
      <c r="C129" s="100"/>
    </row>
    <row r="130" spans="2:3" x14ac:dyDescent="0.4">
      <c r="B130" s="100"/>
      <c r="C130" s="100"/>
    </row>
    <row r="131" spans="2:3" x14ac:dyDescent="0.4">
      <c r="B131" s="100"/>
      <c r="C131" s="100"/>
    </row>
    <row r="132" spans="2:3" x14ac:dyDescent="0.4">
      <c r="B132" s="100"/>
      <c r="C132" s="100"/>
    </row>
    <row r="133" spans="2:3" x14ac:dyDescent="0.4">
      <c r="B133" s="100"/>
      <c r="C133" s="100"/>
    </row>
    <row r="134" spans="2:3" x14ac:dyDescent="0.4">
      <c r="B134" s="100"/>
      <c r="C134" s="100"/>
    </row>
    <row r="135" spans="2:3" x14ac:dyDescent="0.4">
      <c r="B135" s="100"/>
      <c r="C135" s="100"/>
    </row>
    <row r="136" spans="2:3" x14ac:dyDescent="0.4">
      <c r="B136" s="100"/>
      <c r="C136" s="100"/>
    </row>
    <row r="137" spans="2:3" x14ac:dyDescent="0.4">
      <c r="B137" s="100"/>
      <c r="C137" s="100"/>
    </row>
    <row r="138" spans="2:3" x14ac:dyDescent="0.4">
      <c r="B138" s="100"/>
      <c r="C138" s="100"/>
    </row>
  </sheetData>
  <pageMargins left="0.7" right="0.7" top="0.75" bottom="0.75" header="0.3" footer="0.3"/>
  <pageSetup paperSize="9"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175"/>
  <sheetViews>
    <sheetView showGridLines="0" workbookViewId="0">
      <pane ySplit="4" topLeftCell="A5" activePane="bottomLeft" state="frozen"/>
      <selection activeCell="B5" sqref="B5"/>
      <selection pane="bottomLeft" activeCell="C14" sqref="C14"/>
    </sheetView>
  </sheetViews>
  <sheetFormatPr defaultColWidth="0" defaultRowHeight="0" customHeight="1" zeroHeight="1" x14ac:dyDescent="0.35"/>
  <cols>
    <col min="1" max="1" width="2.59765625" customWidth="1"/>
    <col min="2" max="2" width="9.265625" customWidth="1"/>
    <col min="3" max="5" width="12.59765625" customWidth="1"/>
    <col min="6" max="6" width="9.265625" customWidth="1"/>
    <col min="7" max="7" width="12.59765625" customWidth="1"/>
    <col min="8" max="8" width="9.265625" customWidth="1"/>
    <col min="9" max="9" width="12.59765625" customWidth="1"/>
    <col min="10" max="10" width="9.265625" customWidth="1"/>
    <col min="11" max="11" width="12.59765625" customWidth="1"/>
    <col min="12" max="12" width="2.59765625" customWidth="1"/>
    <col min="13" max="14" width="0" hidden="1" customWidth="1"/>
    <col min="15" max="16384" width="12.59765625" hidden="1"/>
  </cols>
  <sheetData>
    <row r="1" spans="1:12" ht="12.75" x14ac:dyDescent="0.35">
      <c r="A1" s="1"/>
      <c r="B1" s="1"/>
      <c r="C1" s="5"/>
      <c r="D1" s="5"/>
      <c r="E1" s="5"/>
      <c r="F1" s="6"/>
      <c r="G1" s="5"/>
      <c r="H1" s="6"/>
      <c r="I1" s="5"/>
      <c r="J1" s="6"/>
      <c r="K1" s="5"/>
      <c r="L1" s="1"/>
    </row>
    <row r="2" spans="1:12" ht="12.75" x14ac:dyDescent="0.35">
      <c r="A2" s="1"/>
      <c r="B2" s="102">
        <f>ZFM01!A1</f>
        <v>46082</v>
      </c>
      <c r="C2" s="103"/>
      <c r="D2" s="103"/>
      <c r="E2" s="103"/>
      <c r="F2" s="103"/>
      <c r="G2" s="103"/>
      <c r="H2" s="103"/>
      <c r="I2" s="103"/>
      <c r="J2" s="103"/>
      <c r="K2" s="103"/>
      <c r="L2" s="1"/>
    </row>
    <row r="3" spans="1:12" ht="12.75" x14ac:dyDescent="0.35">
      <c r="A3" s="1"/>
      <c r="B3" s="104"/>
      <c r="C3" s="105"/>
      <c r="D3" s="105"/>
      <c r="E3" s="105"/>
      <c r="F3" s="105"/>
      <c r="G3" s="105"/>
      <c r="H3" s="105"/>
      <c r="I3" s="105"/>
      <c r="J3" s="105"/>
      <c r="K3" s="105"/>
      <c r="L3" s="1"/>
    </row>
    <row r="4" spans="1:12" ht="3.75" customHeight="1" x14ac:dyDescent="0.35">
      <c r="A4" s="1"/>
      <c r="B4" s="1"/>
      <c r="C4" s="5"/>
      <c r="D4" s="5"/>
      <c r="E4" s="5"/>
      <c r="F4" s="6"/>
      <c r="G4" s="5"/>
      <c r="H4" s="6"/>
      <c r="I4" s="5"/>
      <c r="J4" s="6"/>
      <c r="K4" s="5"/>
      <c r="L4" s="1"/>
    </row>
    <row r="5" spans="1:12" ht="12.75" x14ac:dyDescent="0.35">
      <c r="A5" s="1"/>
      <c r="B5" s="7" t="s">
        <v>159</v>
      </c>
      <c r="C5" s="8"/>
      <c r="D5" s="8"/>
      <c r="E5" s="8"/>
      <c r="F5" s="9"/>
      <c r="G5" s="8"/>
      <c r="H5" s="9"/>
      <c r="I5" s="8"/>
      <c r="J5" s="9"/>
      <c r="K5" s="8"/>
      <c r="L5" s="1"/>
    </row>
    <row r="6" spans="1:12" ht="12.75" x14ac:dyDescent="0.35">
      <c r="A6" s="10"/>
      <c r="B6" s="11" t="s">
        <v>8</v>
      </c>
      <c r="C6" s="12" t="s">
        <v>281</v>
      </c>
      <c r="D6" s="12" t="s">
        <v>160</v>
      </c>
      <c r="E6" s="12" t="s">
        <v>161</v>
      </c>
      <c r="F6" s="17" t="s">
        <v>162</v>
      </c>
      <c r="G6" s="12" t="s">
        <v>163</v>
      </c>
      <c r="H6" s="17" t="s">
        <v>164</v>
      </c>
      <c r="I6" s="12" t="s">
        <v>165</v>
      </c>
      <c r="J6" s="17" t="s">
        <v>166</v>
      </c>
      <c r="K6" s="12" t="s">
        <v>167</v>
      </c>
      <c r="L6" s="10"/>
    </row>
    <row r="7" spans="1:12" ht="12.75" x14ac:dyDescent="0.35">
      <c r="A7" s="1"/>
      <c r="B7" s="13" t="s">
        <v>135</v>
      </c>
      <c r="C7" s="26">
        <v>47253817201</v>
      </c>
      <c r="D7" s="26">
        <v>34301607408</v>
      </c>
      <c r="E7" s="26">
        <v>31555771015</v>
      </c>
      <c r="F7" s="14">
        <v>0.66779999999999995</v>
      </c>
      <c r="G7" s="26">
        <v>25951010256</v>
      </c>
      <c r="H7" s="14">
        <v>0.82240000000000002</v>
      </c>
      <c r="I7" s="26">
        <v>606713800</v>
      </c>
      <c r="J7" s="14">
        <v>1.9199999999999998E-2</v>
      </c>
      <c r="K7" s="26">
        <v>5604760759</v>
      </c>
      <c r="L7" s="1"/>
    </row>
    <row r="8" spans="1:12" ht="12.75" x14ac:dyDescent="0.35">
      <c r="A8" s="1"/>
      <c r="B8" s="13" t="s">
        <v>136</v>
      </c>
      <c r="C8" s="26">
        <v>63265782000</v>
      </c>
      <c r="D8" s="26">
        <v>35948255118</v>
      </c>
      <c r="E8" s="26">
        <v>35948255118</v>
      </c>
      <c r="F8" s="14">
        <v>0.56820000000000004</v>
      </c>
      <c r="G8" s="26">
        <v>18220839512</v>
      </c>
      <c r="H8" s="14">
        <v>0.50690000000000002</v>
      </c>
      <c r="I8" s="26">
        <v>614995430</v>
      </c>
      <c r="J8" s="14">
        <v>1.7100000000000001E-2</v>
      </c>
      <c r="K8" s="26">
        <v>17727415606</v>
      </c>
      <c r="L8" s="1"/>
    </row>
    <row r="9" spans="1:12" ht="12.75" x14ac:dyDescent="0.35">
      <c r="A9" s="1"/>
      <c r="B9" s="13" t="s">
        <v>137</v>
      </c>
      <c r="C9" s="26">
        <v>28292912000</v>
      </c>
      <c r="D9" s="26">
        <v>14251987135</v>
      </c>
      <c r="E9" s="26">
        <v>14251987135</v>
      </c>
      <c r="F9" s="14">
        <v>0.50370000000000004</v>
      </c>
      <c r="G9" s="26">
        <v>5410614055</v>
      </c>
      <c r="H9" s="14">
        <v>0.37959999999999999</v>
      </c>
      <c r="I9" s="26">
        <v>604292647</v>
      </c>
      <c r="J9" s="14">
        <v>4.24E-2</v>
      </c>
      <c r="K9" s="26">
        <v>8841373080</v>
      </c>
      <c r="L9" s="1"/>
    </row>
    <row r="10" spans="1:12" ht="12.75" x14ac:dyDescent="0.35">
      <c r="A10" s="1"/>
      <c r="B10" s="13" t="s">
        <v>138</v>
      </c>
      <c r="C10" s="26">
        <v>26776308000</v>
      </c>
      <c r="D10" s="26">
        <v>12646677500</v>
      </c>
      <c r="E10" s="26">
        <v>12646677500</v>
      </c>
      <c r="F10" s="14">
        <v>0.4723</v>
      </c>
      <c r="G10" s="26">
        <v>2128245545</v>
      </c>
      <c r="H10" s="14">
        <v>0.16830000000000001</v>
      </c>
      <c r="I10" s="26">
        <v>463899957</v>
      </c>
      <c r="J10" s="14">
        <v>3.6700000000000003E-2</v>
      </c>
      <c r="K10" s="26">
        <v>10518431955</v>
      </c>
      <c r="L10" s="1"/>
    </row>
    <row r="11" spans="1:12" ht="12.75" x14ac:dyDescent="0.35">
      <c r="A11" s="1"/>
      <c r="B11" s="13" t="s">
        <v>139</v>
      </c>
      <c r="C11" s="26">
        <v>22738650000</v>
      </c>
      <c r="D11" s="26">
        <v>10325532091</v>
      </c>
      <c r="E11" s="26">
        <v>10325532091</v>
      </c>
      <c r="F11" s="14">
        <v>0.4541</v>
      </c>
      <c r="G11" s="26">
        <v>2061368184</v>
      </c>
      <c r="H11" s="14">
        <v>0.1996</v>
      </c>
      <c r="I11" s="26">
        <v>598684587</v>
      </c>
      <c r="J11" s="14">
        <v>5.8000000000000003E-2</v>
      </c>
      <c r="K11" s="26">
        <v>8264163907</v>
      </c>
      <c r="L11" s="1"/>
    </row>
    <row r="12" spans="1:12" ht="12.75" x14ac:dyDescent="0.35">
      <c r="A12" s="1"/>
      <c r="B12" s="13" t="s">
        <v>140</v>
      </c>
      <c r="C12" s="26">
        <v>27448857000</v>
      </c>
      <c r="D12" s="26">
        <v>12552806350</v>
      </c>
      <c r="E12" s="26">
        <v>12552806350</v>
      </c>
      <c r="F12" s="14">
        <v>0.45729999999999998</v>
      </c>
      <c r="G12" s="26">
        <v>3854116634</v>
      </c>
      <c r="H12" s="14">
        <v>0.307</v>
      </c>
      <c r="I12" s="26">
        <v>769595099</v>
      </c>
      <c r="J12" s="14">
        <v>6.13E-2</v>
      </c>
      <c r="K12" s="26">
        <v>8698689716</v>
      </c>
      <c r="L12" s="1"/>
    </row>
    <row r="13" spans="1:12" ht="12.75" x14ac:dyDescent="0.35">
      <c r="A13" s="1"/>
      <c r="B13" s="13" t="s">
        <v>141</v>
      </c>
      <c r="C13" s="26">
        <v>35394555000</v>
      </c>
      <c r="D13" s="26">
        <v>16779306018</v>
      </c>
      <c r="E13" s="26">
        <v>16779306018</v>
      </c>
      <c r="F13" s="14">
        <v>0.47410000000000002</v>
      </c>
      <c r="G13" s="26">
        <v>5353023502</v>
      </c>
      <c r="H13" s="14">
        <v>0.31900000000000001</v>
      </c>
      <c r="I13" s="26">
        <v>598020370</v>
      </c>
      <c r="J13" s="14">
        <v>3.56E-2</v>
      </c>
      <c r="K13" s="26">
        <v>11426282516</v>
      </c>
      <c r="L13" s="1"/>
    </row>
    <row r="14" spans="1:12" ht="12.75" x14ac:dyDescent="0.35">
      <c r="A14" s="1"/>
      <c r="B14" s="13" t="s">
        <v>142</v>
      </c>
      <c r="C14" s="26">
        <v>13759223000</v>
      </c>
      <c r="D14" s="26">
        <v>6022897000</v>
      </c>
      <c r="E14" s="26">
        <v>6022897000</v>
      </c>
      <c r="F14" s="14">
        <v>0.43769999999999998</v>
      </c>
      <c r="G14" s="26">
        <v>2609631999</v>
      </c>
      <c r="H14" s="14">
        <v>0.43330000000000002</v>
      </c>
      <c r="I14" s="26">
        <v>419244424</v>
      </c>
      <c r="J14" s="14">
        <v>6.9599999999999995E-2</v>
      </c>
      <c r="K14" s="26">
        <v>3413265001</v>
      </c>
      <c r="L14" s="1"/>
    </row>
    <row r="15" spans="1:12" ht="12.75" x14ac:dyDescent="0.35">
      <c r="A15" s="1"/>
      <c r="B15" s="13" t="s">
        <v>143</v>
      </c>
      <c r="C15" s="26">
        <v>33298000000</v>
      </c>
      <c r="D15" s="26">
        <v>25711408974</v>
      </c>
      <c r="E15" s="26">
        <v>25711408974</v>
      </c>
      <c r="F15" s="14">
        <v>0.7722</v>
      </c>
      <c r="G15" s="26">
        <v>18120397974</v>
      </c>
      <c r="H15" s="14">
        <v>0.70479999999999998</v>
      </c>
      <c r="I15" s="26">
        <v>928039808</v>
      </c>
      <c r="J15" s="14">
        <v>3.61E-2</v>
      </c>
      <c r="K15" s="26">
        <v>7591011000</v>
      </c>
      <c r="L15" s="1"/>
    </row>
    <row r="16" spans="1:12" ht="12.75" x14ac:dyDescent="0.35">
      <c r="A16" s="1"/>
      <c r="B16" s="13" t="s">
        <v>144</v>
      </c>
      <c r="C16" s="26">
        <v>12904694000</v>
      </c>
      <c r="D16" s="26">
        <v>6382072000</v>
      </c>
      <c r="E16" s="26">
        <v>6382072000</v>
      </c>
      <c r="F16" s="14">
        <v>0.49459999999999998</v>
      </c>
      <c r="G16" s="26">
        <v>847147975</v>
      </c>
      <c r="H16" s="14">
        <v>0.13270000000000001</v>
      </c>
      <c r="I16" s="26">
        <v>335147166</v>
      </c>
      <c r="J16" s="14">
        <v>5.2499999999999998E-2</v>
      </c>
      <c r="K16" s="26">
        <v>5534924025</v>
      </c>
      <c r="L16" s="1"/>
    </row>
    <row r="17" spans="1:12" ht="12.75" x14ac:dyDescent="0.35">
      <c r="A17" s="1"/>
      <c r="B17" s="13" t="s">
        <v>145</v>
      </c>
      <c r="C17" s="26">
        <v>14076601000</v>
      </c>
      <c r="D17" s="26">
        <v>6135242750</v>
      </c>
      <c r="E17" s="26">
        <v>6135242750</v>
      </c>
      <c r="F17" s="14">
        <v>0.43580000000000002</v>
      </c>
      <c r="G17" s="26">
        <v>1121113830</v>
      </c>
      <c r="H17" s="14">
        <v>0.1827</v>
      </c>
      <c r="I17" s="26">
        <v>315281545</v>
      </c>
      <c r="J17" s="14">
        <v>5.1400000000000001E-2</v>
      </c>
      <c r="K17" s="26">
        <v>5014128920</v>
      </c>
      <c r="L17" s="1"/>
    </row>
    <row r="18" spans="1:12" ht="12.75" x14ac:dyDescent="0.35">
      <c r="A18" s="1"/>
      <c r="B18" s="13" t="s">
        <v>149</v>
      </c>
      <c r="C18" s="26">
        <v>2349760730</v>
      </c>
      <c r="D18" s="26">
        <v>2349760730</v>
      </c>
      <c r="E18" s="26">
        <v>2349760730</v>
      </c>
      <c r="F18" s="14">
        <v>1</v>
      </c>
      <c r="G18" s="26">
        <v>150200280</v>
      </c>
      <c r="H18" s="14">
        <v>6.3899999999999998E-2</v>
      </c>
      <c r="I18" s="26">
        <v>5604650</v>
      </c>
      <c r="J18" s="14">
        <v>2.3999999999999998E-3</v>
      </c>
      <c r="K18" s="26">
        <v>2199560450</v>
      </c>
      <c r="L18" s="1"/>
    </row>
    <row r="19" spans="1:12" ht="12.75" x14ac:dyDescent="0.35">
      <c r="A19" s="1"/>
      <c r="B19" s="13" t="s">
        <v>146</v>
      </c>
      <c r="C19" s="26">
        <v>35162678000</v>
      </c>
      <c r="D19" s="26">
        <v>18227035714</v>
      </c>
      <c r="E19" s="26">
        <v>18227035714</v>
      </c>
      <c r="F19" s="14">
        <v>0.51839999999999997</v>
      </c>
      <c r="G19" s="26">
        <v>9113067643</v>
      </c>
      <c r="H19" s="14">
        <v>0.5</v>
      </c>
      <c r="I19" s="26">
        <v>809745535</v>
      </c>
      <c r="J19" s="14">
        <v>4.4400000000000002E-2</v>
      </c>
      <c r="K19" s="26">
        <v>9113968071</v>
      </c>
      <c r="L19" s="1"/>
    </row>
    <row r="20" spans="1:12" ht="12.75" x14ac:dyDescent="0.35">
      <c r="A20" s="1"/>
      <c r="B20" s="13" t="s">
        <v>147</v>
      </c>
      <c r="C20" s="26">
        <v>35496760000</v>
      </c>
      <c r="D20" s="26">
        <v>16846925750</v>
      </c>
      <c r="E20" s="26">
        <v>16846925750</v>
      </c>
      <c r="F20" s="14">
        <v>0.47460000000000002</v>
      </c>
      <c r="G20" s="26">
        <v>10083864555</v>
      </c>
      <c r="H20" s="14">
        <v>0.59860000000000002</v>
      </c>
      <c r="I20" s="26">
        <v>563111466</v>
      </c>
      <c r="J20" s="14">
        <v>3.3399999999999999E-2</v>
      </c>
      <c r="K20" s="26">
        <v>6763061195</v>
      </c>
      <c r="L20" s="1"/>
    </row>
    <row r="21" spans="1:12" ht="12.75" x14ac:dyDescent="0.35">
      <c r="A21" s="1"/>
      <c r="B21" s="13" t="s">
        <v>150</v>
      </c>
      <c r="C21" s="26">
        <v>331508391000</v>
      </c>
      <c r="D21" s="26">
        <v>312524207040</v>
      </c>
      <c r="E21" s="26">
        <v>312524207040</v>
      </c>
      <c r="F21" s="14">
        <v>0.94269999999999998</v>
      </c>
      <c r="G21" s="26">
        <v>145696234112</v>
      </c>
      <c r="H21" s="14">
        <v>0.4662</v>
      </c>
      <c r="I21" s="26">
        <v>1167367258</v>
      </c>
      <c r="J21" s="14">
        <v>3.7000000000000002E-3</v>
      </c>
      <c r="K21" s="26">
        <v>166827972928</v>
      </c>
      <c r="L21" s="1"/>
    </row>
    <row r="22" spans="1:12" ht="12.75" x14ac:dyDescent="0.35">
      <c r="A22" s="1"/>
      <c r="B22" s="15" t="s">
        <v>168</v>
      </c>
      <c r="C22" s="16">
        <v>729726988931</v>
      </c>
      <c r="D22" s="16">
        <v>531005721578</v>
      </c>
      <c r="E22" s="16">
        <v>528259885185</v>
      </c>
      <c r="F22" s="17">
        <v>0.99480000000000002</v>
      </c>
      <c r="G22" s="16">
        <v>250720876056</v>
      </c>
      <c r="H22" s="17">
        <v>0.47460000000000002</v>
      </c>
      <c r="I22" s="16">
        <v>8799743742</v>
      </c>
      <c r="J22" s="17">
        <v>1.67E-2</v>
      </c>
      <c r="K22" s="16">
        <v>277539009129</v>
      </c>
      <c r="L22" s="1"/>
    </row>
    <row r="23" spans="1:12" ht="12.75" x14ac:dyDescent="0.35">
      <c r="A23" s="1"/>
      <c r="B23" s="18"/>
      <c r="C23" s="5"/>
      <c r="D23" s="5"/>
      <c r="E23" s="19"/>
      <c r="F23" s="20"/>
      <c r="G23" s="19"/>
      <c r="H23" s="20"/>
      <c r="I23" s="19"/>
      <c r="J23" s="20"/>
      <c r="K23" s="19"/>
      <c r="L23" s="1"/>
    </row>
    <row r="24" spans="1:12" ht="12.75" x14ac:dyDescent="0.35">
      <c r="A24" s="1"/>
      <c r="B24" s="21" t="s">
        <v>10</v>
      </c>
      <c r="C24" s="22"/>
      <c r="D24" s="22"/>
      <c r="E24" s="22"/>
      <c r="F24" s="23"/>
      <c r="G24" s="22"/>
      <c r="H24" s="23"/>
      <c r="I24" s="22"/>
      <c r="J24" s="23"/>
      <c r="K24" s="22"/>
      <c r="L24" s="1"/>
    </row>
    <row r="25" spans="1:12" ht="12.75" x14ac:dyDescent="0.35">
      <c r="A25" s="10"/>
      <c r="B25" s="24" t="s">
        <v>8</v>
      </c>
      <c r="C25" s="25" t="s">
        <v>281</v>
      </c>
      <c r="D25" s="25" t="s">
        <v>160</v>
      </c>
      <c r="E25" s="25" t="s">
        <v>161</v>
      </c>
      <c r="F25" s="30" t="s">
        <v>162</v>
      </c>
      <c r="G25" s="25" t="s">
        <v>163</v>
      </c>
      <c r="H25" s="30" t="s">
        <v>164</v>
      </c>
      <c r="I25" s="25" t="s">
        <v>165</v>
      </c>
      <c r="J25" s="30" t="s">
        <v>166</v>
      </c>
      <c r="K25" s="25" t="s">
        <v>167</v>
      </c>
      <c r="L25" s="10"/>
    </row>
    <row r="26" spans="1:12" ht="12.75" x14ac:dyDescent="0.35">
      <c r="A26" s="1"/>
      <c r="B26" s="13" t="s">
        <v>135</v>
      </c>
      <c r="C26" s="26">
        <v>41949878537</v>
      </c>
      <c r="D26" s="26">
        <v>29558223950</v>
      </c>
      <c r="E26" s="26">
        <v>29558223950</v>
      </c>
      <c r="F26" s="14">
        <v>0.7046</v>
      </c>
      <c r="G26" s="26">
        <v>25662681283</v>
      </c>
      <c r="H26" s="14">
        <v>0.86819999999999997</v>
      </c>
      <c r="I26" s="26">
        <v>457037427</v>
      </c>
      <c r="J26" s="14">
        <v>1.55E-2</v>
      </c>
      <c r="K26" s="26">
        <v>3895542667</v>
      </c>
      <c r="L26" s="1"/>
    </row>
    <row r="27" spans="1:12" ht="12.75" x14ac:dyDescent="0.35">
      <c r="A27" s="1"/>
      <c r="B27" s="13" t="s">
        <v>136</v>
      </c>
      <c r="C27" s="26">
        <v>50254776000</v>
      </c>
      <c r="D27" s="26">
        <v>30236636144</v>
      </c>
      <c r="E27" s="26">
        <v>30236636144</v>
      </c>
      <c r="F27" s="14">
        <v>0.60170000000000001</v>
      </c>
      <c r="G27" s="26">
        <v>17435981766</v>
      </c>
      <c r="H27" s="14">
        <v>0.57669999999999999</v>
      </c>
      <c r="I27" s="26">
        <v>0</v>
      </c>
      <c r="J27" s="14">
        <v>0</v>
      </c>
      <c r="K27" s="26">
        <v>12800654378</v>
      </c>
      <c r="L27" s="1"/>
    </row>
    <row r="28" spans="1:12" ht="12.75" x14ac:dyDescent="0.35">
      <c r="A28" s="1"/>
      <c r="B28" s="13" t="s">
        <v>137</v>
      </c>
      <c r="C28" s="26">
        <v>22542717000</v>
      </c>
      <c r="D28" s="26">
        <v>12206413755</v>
      </c>
      <c r="E28" s="26">
        <v>12206413755</v>
      </c>
      <c r="F28" s="14">
        <v>0.54149999999999998</v>
      </c>
      <c r="G28" s="26">
        <v>4912969564</v>
      </c>
      <c r="H28" s="14">
        <v>0.40250000000000002</v>
      </c>
      <c r="I28" s="26">
        <v>147536656</v>
      </c>
      <c r="J28" s="14">
        <v>1.21E-2</v>
      </c>
      <c r="K28" s="26">
        <v>7293444191</v>
      </c>
      <c r="L28" s="1"/>
    </row>
    <row r="29" spans="1:12" ht="12.75" x14ac:dyDescent="0.35">
      <c r="A29" s="1"/>
      <c r="B29" s="13" t="s">
        <v>138</v>
      </c>
      <c r="C29" s="26">
        <v>20805476000</v>
      </c>
      <c r="D29" s="26">
        <v>10707237000</v>
      </c>
      <c r="E29" s="26">
        <v>10707237000</v>
      </c>
      <c r="F29" s="14">
        <v>0.51459999999999995</v>
      </c>
      <c r="G29" s="26">
        <v>1502405903</v>
      </c>
      <c r="H29" s="14">
        <v>0.14030000000000001</v>
      </c>
      <c r="I29" s="26">
        <v>28044916</v>
      </c>
      <c r="J29" s="14">
        <v>2.5999999999999999E-3</v>
      </c>
      <c r="K29" s="26">
        <v>9204831097</v>
      </c>
      <c r="L29" s="1"/>
    </row>
    <row r="30" spans="1:12" ht="12.75" x14ac:dyDescent="0.35">
      <c r="A30" s="1"/>
      <c r="B30" s="13" t="s">
        <v>139</v>
      </c>
      <c r="C30" s="26">
        <v>17365504000</v>
      </c>
      <c r="D30" s="26">
        <v>8682751780</v>
      </c>
      <c r="E30" s="26">
        <v>8682751780</v>
      </c>
      <c r="F30" s="14">
        <v>0.5</v>
      </c>
      <c r="G30" s="26">
        <v>1339888487</v>
      </c>
      <c r="H30" s="14">
        <v>0.15429999999999999</v>
      </c>
      <c r="I30" s="26">
        <v>93332500</v>
      </c>
      <c r="J30" s="14">
        <v>1.0699999999999999E-2</v>
      </c>
      <c r="K30" s="26">
        <v>7342863293</v>
      </c>
      <c r="L30" s="1"/>
    </row>
    <row r="31" spans="1:12" ht="12.75" x14ac:dyDescent="0.35">
      <c r="A31" s="1"/>
      <c r="B31" s="13" t="s">
        <v>140</v>
      </c>
      <c r="C31" s="26">
        <v>20087368000</v>
      </c>
      <c r="D31" s="26">
        <v>10043684000</v>
      </c>
      <c r="E31" s="26">
        <v>10043684000</v>
      </c>
      <c r="F31" s="14">
        <v>0.5</v>
      </c>
      <c r="G31" s="26">
        <v>3193441900</v>
      </c>
      <c r="H31" s="14">
        <v>0.318</v>
      </c>
      <c r="I31" s="26">
        <v>258244550</v>
      </c>
      <c r="J31" s="14">
        <v>2.5700000000000001E-2</v>
      </c>
      <c r="K31" s="26">
        <v>6850242100</v>
      </c>
      <c r="L31" s="1"/>
    </row>
    <row r="32" spans="1:12" ht="12.75" x14ac:dyDescent="0.35">
      <c r="A32" s="1"/>
      <c r="B32" s="13" t="s">
        <v>141</v>
      </c>
      <c r="C32" s="26">
        <v>28538689000</v>
      </c>
      <c r="D32" s="26">
        <v>14269344500</v>
      </c>
      <c r="E32" s="26">
        <v>14269344500</v>
      </c>
      <c r="F32" s="14">
        <v>0.5</v>
      </c>
      <c r="G32" s="26">
        <v>4732750132</v>
      </c>
      <c r="H32" s="14">
        <v>0.33169999999999999</v>
      </c>
      <c r="I32" s="26">
        <v>24650000</v>
      </c>
      <c r="J32" s="14">
        <v>1.6999999999999999E-3</v>
      </c>
      <c r="K32" s="26">
        <v>9536594368</v>
      </c>
      <c r="L32" s="1"/>
    </row>
    <row r="33" spans="1:12" ht="12.75" x14ac:dyDescent="0.35">
      <c r="A33" s="1"/>
      <c r="B33" s="13" t="s">
        <v>142</v>
      </c>
      <c r="C33" s="26">
        <v>9243055000</v>
      </c>
      <c r="D33" s="26">
        <v>4621527500</v>
      </c>
      <c r="E33" s="26">
        <v>4621527500</v>
      </c>
      <c r="F33" s="14">
        <v>0.5</v>
      </c>
      <c r="G33" s="26">
        <v>2187243603</v>
      </c>
      <c r="H33" s="14">
        <v>0.4733</v>
      </c>
      <c r="I33" s="26">
        <v>86559328</v>
      </c>
      <c r="J33" s="14">
        <v>1.8700000000000001E-2</v>
      </c>
      <c r="K33" s="26">
        <v>2434283897</v>
      </c>
      <c r="L33" s="1"/>
    </row>
    <row r="34" spans="1:12" ht="12.75" x14ac:dyDescent="0.35">
      <c r="A34" s="1"/>
      <c r="B34" s="13" t="s">
        <v>143</v>
      </c>
      <c r="C34" s="26">
        <v>26583433000</v>
      </c>
      <c r="D34" s="26">
        <v>23188564724</v>
      </c>
      <c r="E34" s="26">
        <v>23188564724</v>
      </c>
      <c r="F34" s="14">
        <v>0.87229999999999996</v>
      </c>
      <c r="G34" s="26">
        <v>17540829644</v>
      </c>
      <c r="H34" s="14">
        <v>0.75639999999999996</v>
      </c>
      <c r="I34" s="26">
        <v>426154218</v>
      </c>
      <c r="J34" s="14">
        <v>1.84E-2</v>
      </c>
      <c r="K34" s="26">
        <v>5647735080</v>
      </c>
      <c r="L34" s="1"/>
    </row>
    <row r="35" spans="1:12" ht="12.75" x14ac:dyDescent="0.35">
      <c r="A35" s="1"/>
      <c r="B35" s="13" t="s">
        <v>144</v>
      </c>
      <c r="C35" s="26">
        <v>11122934000</v>
      </c>
      <c r="D35" s="26">
        <v>5561467000</v>
      </c>
      <c r="E35" s="26">
        <v>5561467000</v>
      </c>
      <c r="F35" s="14">
        <v>0.5</v>
      </c>
      <c r="G35" s="26">
        <v>577777794</v>
      </c>
      <c r="H35" s="14">
        <v>0.10390000000000001</v>
      </c>
      <c r="I35" s="26">
        <v>187448104</v>
      </c>
      <c r="J35" s="14">
        <v>3.3700000000000001E-2</v>
      </c>
      <c r="K35" s="26">
        <v>4983689206</v>
      </c>
      <c r="L35" s="1"/>
    </row>
    <row r="36" spans="1:12" ht="12.75" x14ac:dyDescent="0.35">
      <c r="A36" s="1"/>
      <c r="B36" s="13" t="s">
        <v>145</v>
      </c>
      <c r="C36" s="26">
        <v>8737570000</v>
      </c>
      <c r="D36" s="26">
        <v>4368785000</v>
      </c>
      <c r="E36" s="26">
        <v>4368785000</v>
      </c>
      <c r="F36" s="14">
        <v>0.5</v>
      </c>
      <c r="G36" s="26">
        <v>660310335</v>
      </c>
      <c r="H36" s="14">
        <v>0.15110000000000001</v>
      </c>
      <c r="I36" s="26">
        <v>0</v>
      </c>
      <c r="J36" s="14">
        <v>0</v>
      </c>
      <c r="K36" s="26">
        <v>3708474665</v>
      </c>
      <c r="L36" s="1"/>
    </row>
    <row r="37" spans="1:12" ht="12.75" x14ac:dyDescent="0.35">
      <c r="A37" s="1"/>
      <c r="B37" s="13" t="s">
        <v>149</v>
      </c>
      <c r="C37" s="26">
        <v>1871950730</v>
      </c>
      <c r="D37" s="26">
        <v>1871950730</v>
      </c>
      <c r="E37" s="26">
        <v>1871950730</v>
      </c>
      <c r="F37" s="14">
        <v>1</v>
      </c>
      <c r="G37" s="26">
        <v>128471830</v>
      </c>
      <c r="H37" s="14">
        <v>6.8599999999999994E-2</v>
      </c>
      <c r="I37" s="26">
        <v>0</v>
      </c>
      <c r="J37" s="14">
        <v>0</v>
      </c>
      <c r="K37" s="26">
        <v>1743478900</v>
      </c>
      <c r="L37" s="1"/>
    </row>
    <row r="38" spans="1:12" ht="12.75" x14ac:dyDescent="0.35">
      <c r="A38" s="1"/>
      <c r="B38" s="13" t="s">
        <v>146</v>
      </c>
      <c r="C38" s="26">
        <v>0</v>
      </c>
      <c r="D38" s="26">
        <v>0</v>
      </c>
      <c r="E38" s="26">
        <v>0</v>
      </c>
      <c r="F38" s="14"/>
      <c r="G38" s="26">
        <v>0</v>
      </c>
      <c r="H38" s="14"/>
      <c r="I38" s="26">
        <v>0</v>
      </c>
      <c r="J38" s="14"/>
      <c r="K38" s="26">
        <v>0</v>
      </c>
      <c r="L38" s="1"/>
    </row>
    <row r="39" spans="1:12" ht="12.75" x14ac:dyDescent="0.35">
      <c r="A39" s="1"/>
      <c r="B39" s="13" t="s">
        <v>147</v>
      </c>
      <c r="C39" s="26">
        <v>30325250000</v>
      </c>
      <c r="D39" s="26">
        <v>15162625000</v>
      </c>
      <c r="E39" s="26">
        <v>15162625000</v>
      </c>
      <c r="F39" s="14">
        <v>0.5</v>
      </c>
      <c r="G39" s="26">
        <v>9621440511</v>
      </c>
      <c r="H39" s="14">
        <v>0.63449999999999995</v>
      </c>
      <c r="I39" s="26">
        <v>166766116</v>
      </c>
      <c r="J39" s="14">
        <v>1.0999999999999999E-2</v>
      </c>
      <c r="K39" s="26">
        <v>5541184489</v>
      </c>
      <c r="L39" s="1"/>
    </row>
    <row r="40" spans="1:12" ht="12.75" x14ac:dyDescent="0.35">
      <c r="A40" s="1"/>
      <c r="B40" s="13" t="s">
        <v>150</v>
      </c>
      <c r="C40" s="26">
        <v>317562391000</v>
      </c>
      <c r="D40" s="26">
        <v>307310341790</v>
      </c>
      <c r="E40" s="26">
        <v>307310341790</v>
      </c>
      <c r="F40" s="14">
        <v>0.9677</v>
      </c>
      <c r="G40" s="26">
        <v>144416099476</v>
      </c>
      <c r="H40" s="14">
        <v>0.46989999999999998</v>
      </c>
      <c r="I40" s="26">
        <v>0</v>
      </c>
      <c r="J40" s="14">
        <v>0</v>
      </c>
      <c r="K40" s="26">
        <v>162894242314</v>
      </c>
      <c r="L40" s="1"/>
    </row>
    <row r="41" spans="1:12" ht="12.75" x14ac:dyDescent="0.35">
      <c r="A41" s="27"/>
      <c r="B41" s="28" t="s">
        <v>168</v>
      </c>
      <c r="C41" s="29">
        <v>606990992267</v>
      </c>
      <c r="D41" s="29">
        <v>477789552873</v>
      </c>
      <c r="E41" s="29">
        <v>477789552873</v>
      </c>
      <c r="F41" s="30">
        <v>1</v>
      </c>
      <c r="G41" s="29">
        <v>233912292228</v>
      </c>
      <c r="H41" s="30">
        <v>0.48959999999999998</v>
      </c>
      <c r="I41" s="29">
        <v>1875773815</v>
      </c>
      <c r="J41" s="30">
        <v>3.8999999999999998E-3</v>
      </c>
      <c r="K41" s="29">
        <v>243877260645</v>
      </c>
      <c r="L41" s="27"/>
    </row>
    <row r="42" spans="1:12" ht="12.75" x14ac:dyDescent="0.35">
      <c r="A42" s="1"/>
      <c r="B42" s="1"/>
      <c r="C42" s="5"/>
      <c r="D42" s="5"/>
      <c r="E42" s="5"/>
      <c r="F42" s="6"/>
      <c r="G42" s="5"/>
      <c r="H42" s="6"/>
      <c r="I42" s="5"/>
      <c r="J42" s="6"/>
      <c r="K42" s="5"/>
      <c r="L42" s="1"/>
    </row>
    <row r="43" spans="1:12" ht="12.75" x14ac:dyDescent="0.35">
      <c r="A43" s="1"/>
      <c r="B43" s="21" t="s">
        <v>62</v>
      </c>
      <c r="C43" s="22"/>
      <c r="D43" s="22"/>
      <c r="E43" s="22"/>
      <c r="F43" s="23"/>
      <c r="G43" s="22"/>
      <c r="H43" s="23"/>
      <c r="I43" s="22"/>
      <c r="J43" s="23"/>
      <c r="K43" s="22"/>
      <c r="L43" s="1"/>
    </row>
    <row r="44" spans="1:12" ht="12.75" x14ac:dyDescent="0.35">
      <c r="A44" s="10"/>
      <c r="B44" s="24" t="s">
        <v>8</v>
      </c>
      <c r="C44" s="25" t="s">
        <v>281</v>
      </c>
      <c r="D44" s="25" t="s">
        <v>1</v>
      </c>
      <c r="E44" s="25" t="s">
        <v>2</v>
      </c>
      <c r="F44" s="30" t="s">
        <v>162</v>
      </c>
      <c r="G44" s="25" t="s">
        <v>169</v>
      </c>
      <c r="H44" s="30" t="s">
        <v>164</v>
      </c>
      <c r="I44" s="25" t="s">
        <v>4</v>
      </c>
      <c r="J44" s="30" t="s">
        <v>166</v>
      </c>
      <c r="K44" s="25" t="s">
        <v>6</v>
      </c>
      <c r="L44" s="10"/>
    </row>
    <row r="45" spans="1:12" ht="12.75" x14ac:dyDescent="0.35">
      <c r="A45" s="1"/>
      <c r="B45" s="13" t="s">
        <v>135</v>
      </c>
      <c r="C45" s="26">
        <v>3172068664</v>
      </c>
      <c r="D45" s="26">
        <v>4422286275</v>
      </c>
      <c r="E45" s="26">
        <v>1676449882</v>
      </c>
      <c r="F45" s="14">
        <v>0.52849999999999997</v>
      </c>
      <c r="G45" s="26">
        <v>116271973</v>
      </c>
      <c r="H45" s="14">
        <v>6.9400000000000003E-2</v>
      </c>
      <c r="I45" s="26">
        <v>7366373</v>
      </c>
      <c r="J45" s="14">
        <v>4.4000000000000003E-3</v>
      </c>
      <c r="K45" s="26">
        <v>1560177909</v>
      </c>
      <c r="L45" s="1"/>
    </row>
    <row r="46" spans="1:12" ht="12.75" x14ac:dyDescent="0.35">
      <c r="A46" s="1"/>
      <c r="B46" s="13" t="s">
        <v>136</v>
      </c>
      <c r="C46" s="26">
        <v>6370000000</v>
      </c>
      <c r="D46" s="26">
        <v>3423400000</v>
      </c>
      <c r="E46" s="26">
        <v>3423400000</v>
      </c>
      <c r="F46" s="14">
        <v>0.53739999999999999</v>
      </c>
      <c r="G46" s="26">
        <v>147520000</v>
      </c>
      <c r="H46" s="14">
        <v>4.3099999999999999E-2</v>
      </c>
      <c r="I46" s="26">
        <v>34500000</v>
      </c>
      <c r="J46" s="14">
        <v>1.01E-2</v>
      </c>
      <c r="K46" s="26">
        <v>3275880000</v>
      </c>
      <c r="L46" s="1"/>
    </row>
    <row r="47" spans="1:12" ht="12.75" x14ac:dyDescent="0.35">
      <c r="A47" s="1"/>
      <c r="B47" s="13" t="s">
        <v>137</v>
      </c>
      <c r="C47" s="26">
        <v>1504000000</v>
      </c>
      <c r="D47" s="26">
        <v>796079880</v>
      </c>
      <c r="E47" s="26">
        <v>796079880</v>
      </c>
      <c r="F47" s="14">
        <v>0.52929999999999999</v>
      </c>
      <c r="G47" s="26">
        <v>0</v>
      </c>
      <c r="H47" s="14">
        <v>0</v>
      </c>
      <c r="I47" s="26">
        <v>0</v>
      </c>
      <c r="J47" s="14">
        <v>0</v>
      </c>
      <c r="K47" s="26">
        <v>796079880</v>
      </c>
      <c r="L47" s="1"/>
    </row>
    <row r="48" spans="1:12" ht="12.75" x14ac:dyDescent="0.35">
      <c r="A48" s="1"/>
      <c r="B48" s="13" t="s">
        <v>138</v>
      </c>
      <c r="C48" s="26">
        <v>1446840000</v>
      </c>
      <c r="D48" s="26">
        <v>723420000</v>
      </c>
      <c r="E48" s="26">
        <v>723420000</v>
      </c>
      <c r="F48" s="14">
        <v>0.5</v>
      </c>
      <c r="G48" s="26">
        <v>28227453</v>
      </c>
      <c r="H48" s="14">
        <v>3.9E-2</v>
      </c>
      <c r="I48" s="26">
        <v>0</v>
      </c>
      <c r="J48" s="14">
        <v>0</v>
      </c>
      <c r="K48" s="26">
        <v>695192547</v>
      </c>
      <c r="L48" s="1"/>
    </row>
    <row r="49" spans="1:12" ht="12.75" x14ac:dyDescent="0.35">
      <c r="A49" s="1"/>
      <c r="B49" s="13" t="s">
        <v>139</v>
      </c>
      <c r="C49" s="26">
        <v>649000000</v>
      </c>
      <c r="D49" s="26">
        <v>324500000</v>
      </c>
      <c r="E49" s="26">
        <v>324500000</v>
      </c>
      <c r="F49" s="14">
        <v>0.5</v>
      </c>
      <c r="G49" s="26">
        <v>0</v>
      </c>
      <c r="H49" s="14">
        <v>0</v>
      </c>
      <c r="I49" s="26">
        <v>0</v>
      </c>
      <c r="J49" s="14">
        <v>0</v>
      </c>
      <c r="K49" s="26">
        <v>324500000</v>
      </c>
      <c r="L49" s="1"/>
    </row>
    <row r="50" spans="1:12" ht="12.75" x14ac:dyDescent="0.35">
      <c r="A50" s="1"/>
      <c r="B50" s="13" t="s">
        <v>140</v>
      </c>
      <c r="C50" s="26">
        <v>1185000000</v>
      </c>
      <c r="D50" s="26">
        <v>592500000</v>
      </c>
      <c r="E50" s="26">
        <v>592500000</v>
      </c>
      <c r="F50" s="14">
        <v>0.5</v>
      </c>
      <c r="G50" s="26">
        <v>0</v>
      </c>
      <c r="H50" s="14">
        <v>0</v>
      </c>
      <c r="I50" s="26">
        <v>0</v>
      </c>
      <c r="J50" s="14">
        <v>0</v>
      </c>
      <c r="K50" s="26">
        <v>592500000</v>
      </c>
      <c r="L50" s="1"/>
    </row>
    <row r="51" spans="1:12" ht="12.75" x14ac:dyDescent="0.35">
      <c r="A51" s="1"/>
      <c r="B51" s="13" t="s">
        <v>141</v>
      </c>
      <c r="C51" s="26">
        <v>2242000000</v>
      </c>
      <c r="D51" s="26">
        <v>1121000000</v>
      </c>
      <c r="E51" s="26">
        <v>1121000000</v>
      </c>
      <c r="F51" s="14">
        <v>0.5</v>
      </c>
      <c r="G51" s="26">
        <v>36500000</v>
      </c>
      <c r="H51" s="14">
        <v>3.2599999999999997E-2</v>
      </c>
      <c r="I51" s="26">
        <v>36500000</v>
      </c>
      <c r="J51" s="14">
        <v>3.2599999999999997E-2</v>
      </c>
      <c r="K51" s="26">
        <v>1084500000</v>
      </c>
      <c r="L51" s="1"/>
    </row>
    <row r="52" spans="1:12" ht="12.75" x14ac:dyDescent="0.35">
      <c r="A52" s="1"/>
      <c r="B52" s="13" t="s">
        <v>142</v>
      </c>
      <c r="C52" s="26">
        <v>778000000</v>
      </c>
      <c r="D52" s="26">
        <v>389000000</v>
      </c>
      <c r="E52" s="26">
        <v>389000000</v>
      </c>
      <c r="F52" s="14">
        <v>0.5</v>
      </c>
      <c r="G52" s="26">
        <v>1944000</v>
      </c>
      <c r="H52" s="14">
        <v>5.0000000000000001E-3</v>
      </c>
      <c r="I52" s="26">
        <v>0</v>
      </c>
      <c r="J52" s="14">
        <v>0</v>
      </c>
      <c r="K52" s="26">
        <v>387056000</v>
      </c>
      <c r="L52" s="1"/>
    </row>
    <row r="53" spans="1:12" ht="12.75" x14ac:dyDescent="0.35">
      <c r="A53" s="1"/>
      <c r="B53" s="13" t="s">
        <v>143</v>
      </c>
      <c r="C53" s="26">
        <v>1600000000</v>
      </c>
      <c r="D53" s="26">
        <v>800000000</v>
      </c>
      <c r="E53" s="26">
        <v>800000000</v>
      </c>
      <c r="F53" s="14">
        <v>0.5</v>
      </c>
      <c r="G53" s="26">
        <v>0</v>
      </c>
      <c r="H53" s="14">
        <v>0</v>
      </c>
      <c r="I53" s="26">
        <v>0</v>
      </c>
      <c r="J53" s="14">
        <v>0</v>
      </c>
      <c r="K53" s="26">
        <v>800000000</v>
      </c>
      <c r="L53" s="1"/>
    </row>
    <row r="54" spans="1:12" ht="12.75" x14ac:dyDescent="0.35">
      <c r="A54" s="1"/>
      <c r="B54" s="13" t="s">
        <v>144</v>
      </c>
      <c r="C54" s="26">
        <v>200000000</v>
      </c>
      <c r="D54" s="26">
        <v>100000000</v>
      </c>
      <c r="E54" s="26">
        <v>100000000</v>
      </c>
      <c r="F54" s="14">
        <v>0.5</v>
      </c>
      <c r="G54" s="26">
        <v>0</v>
      </c>
      <c r="H54" s="14">
        <v>0</v>
      </c>
      <c r="I54" s="26">
        <v>0</v>
      </c>
      <c r="J54" s="14">
        <v>0</v>
      </c>
      <c r="K54" s="26">
        <v>100000000</v>
      </c>
      <c r="L54" s="1"/>
    </row>
    <row r="55" spans="1:12" ht="12.75" x14ac:dyDescent="0.35">
      <c r="A55" s="1"/>
      <c r="B55" s="13" t="s">
        <v>145</v>
      </c>
      <c r="C55" s="26">
        <v>750000000</v>
      </c>
      <c r="D55" s="26">
        <v>375000000</v>
      </c>
      <c r="E55" s="26">
        <v>375000000</v>
      </c>
      <c r="F55" s="14">
        <v>0.5</v>
      </c>
      <c r="G55" s="26">
        <v>0</v>
      </c>
      <c r="H55" s="14">
        <v>0</v>
      </c>
      <c r="I55" s="26">
        <v>0</v>
      </c>
      <c r="J55" s="14">
        <v>0</v>
      </c>
      <c r="K55" s="26">
        <v>375000000</v>
      </c>
      <c r="L55" s="1"/>
    </row>
    <row r="56" spans="1:12" ht="12.75" x14ac:dyDescent="0.35">
      <c r="A56" s="1"/>
      <c r="B56" s="13" t="s">
        <v>149</v>
      </c>
      <c r="C56" s="26">
        <v>0</v>
      </c>
      <c r="D56" s="26">
        <v>0</v>
      </c>
      <c r="E56" s="26">
        <v>0</v>
      </c>
      <c r="F56" s="14"/>
      <c r="G56" s="26">
        <v>0</v>
      </c>
      <c r="H56" s="14"/>
      <c r="I56" s="26">
        <v>0</v>
      </c>
      <c r="J56" s="14"/>
      <c r="K56" s="26">
        <v>0</v>
      </c>
      <c r="L56" s="1"/>
    </row>
    <row r="57" spans="1:12" ht="12.75" x14ac:dyDescent="0.35">
      <c r="A57" s="1"/>
      <c r="B57" s="13" t="s">
        <v>146</v>
      </c>
      <c r="C57" s="26">
        <v>27992478000</v>
      </c>
      <c r="D57" s="26">
        <v>16119980214</v>
      </c>
      <c r="E57" s="26">
        <v>16119980214</v>
      </c>
      <c r="F57" s="14">
        <v>0.57589999999999997</v>
      </c>
      <c r="G57" s="26">
        <v>8244023452</v>
      </c>
      <c r="H57" s="14">
        <v>0.51139999999999997</v>
      </c>
      <c r="I57" s="26">
        <v>96556000</v>
      </c>
      <c r="J57" s="14">
        <v>6.0000000000000001E-3</v>
      </c>
      <c r="K57" s="26">
        <v>7875956762</v>
      </c>
      <c r="L57" s="1"/>
    </row>
    <row r="58" spans="1:12" ht="12.75" x14ac:dyDescent="0.35">
      <c r="A58" s="1"/>
      <c r="B58" s="13" t="s">
        <v>147</v>
      </c>
      <c r="C58" s="26">
        <v>300000000</v>
      </c>
      <c r="D58" s="26">
        <v>150000000</v>
      </c>
      <c r="E58" s="26">
        <v>150000000</v>
      </c>
      <c r="F58" s="14">
        <v>0.5</v>
      </c>
      <c r="G58" s="26">
        <v>0</v>
      </c>
      <c r="H58" s="14">
        <v>0</v>
      </c>
      <c r="I58" s="26">
        <v>0</v>
      </c>
      <c r="J58" s="14">
        <v>0</v>
      </c>
      <c r="K58" s="26">
        <v>150000000</v>
      </c>
      <c r="L58" s="1"/>
    </row>
    <row r="59" spans="1:12" ht="12.75" x14ac:dyDescent="0.35">
      <c r="A59" s="1"/>
      <c r="B59" s="13" t="s">
        <v>150</v>
      </c>
      <c r="C59" s="26">
        <v>0</v>
      </c>
      <c r="D59" s="26">
        <v>1734605250</v>
      </c>
      <c r="E59" s="26">
        <v>1734605250</v>
      </c>
      <c r="F59" s="14"/>
      <c r="G59" s="26">
        <v>0</v>
      </c>
      <c r="H59" s="14">
        <v>0</v>
      </c>
      <c r="I59" s="26">
        <v>0</v>
      </c>
      <c r="J59" s="14">
        <v>0</v>
      </c>
      <c r="K59" s="26">
        <v>1734605250</v>
      </c>
      <c r="L59" s="1"/>
    </row>
    <row r="60" spans="1:12" ht="12.75" x14ac:dyDescent="0.35">
      <c r="A60" s="27"/>
      <c r="B60" s="28" t="s">
        <v>168</v>
      </c>
      <c r="C60" s="29">
        <v>48189386664</v>
      </c>
      <c r="D60" s="29">
        <v>31071771619</v>
      </c>
      <c r="E60" s="29">
        <v>28325935226</v>
      </c>
      <c r="F60" s="30">
        <v>0.91159999999999997</v>
      </c>
      <c r="G60" s="29">
        <v>8574486878</v>
      </c>
      <c r="H60" s="30">
        <v>0.30270000000000002</v>
      </c>
      <c r="I60" s="29">
        <v>174922373</v>
      </c>
      <c r="J60" s="30">
        <v>6.1999999999999998E-3</v>
      </c>
      <c r="K60" s="29">
        <v>19751448348</v>
      </c>
      <c r="L60" s="27"/>
    </row>
    <row r="61" spans="1:12" ht="12.75" x14ac:dyDescent="0.35">
      <c r="A61" s="1"/>
      <c r="B61" s="1"/>
      <c r="C61" s="5"/>
      <c r="D61" s="5"/>
      <c r="E61" s="5"/>
      <c r="F61" s="6"/>
      <c r="G61" s="5"/>
      <c r="H61" s="6"/>
      <c r="I61" s="5"/>
      <c r="J61" s="6"/>
      <c r="K61" s="5"/>
      <c r="L61" s="1"/>
    </row>
    <row r="62" spans="1:12" ht="12.75" x14ac:dyDescent="0.35">
      <c r="A62" s="1"/>
      <c r="B62" s="21" t="s">
        <v>33</v>
      </c>
      <c r="C62" s="22"/>
      <c r="D62" s="22"/>
      <c r="E62" s="22"/>
      <c r="F62" s="23"/>
      <c r="G62" s="22"/>
      <c r="H62" s="23"/>
      <c r="I62" s="22"/>
      <c r="J62" s="23"/>
      <c r="K62" s="22"/>
      <c r="L62" s="1"/>
    </row>
    <row r="63" spans="1:12" ht="12.75" x14ac:dyDescent="0.35">
      <c r="A63" s="10"/>
      <c r="B63" s="24" t="s">
        <v>8</v>
      </c>
      <c r="C63" s="25" t="s">
        <v>281</v>
      </c>
      <c r="D63" s="25" t="s">
        <v>1</v>
      </c>
      <c r="E63" s="25" t="s">
        <v>2</v>
      </c>
      <c r="F63" s="30" t="s">
        <v>162</v>
      </c>
      <c r="G63" s="25" t="s">
        <v>169</v>
      </c>
      <c r="H63" s="30" t="s">
        <v>164</v>
      </c>
      <c r="I63" s="25" t="s">
        <v>4</v>
      </c>
      <c r="J63" s="30" t="s">
        <v>166</v>
      </c>
      <c r="K63" s="25" t="s">
        <v>6</v>
      </c>
      <c r="L63" s="10"/>
    </row>
    <row r="64" spans="1:12" ht="12.75" x14ac:dyDescent="0.35">
      <c r="A64" s="1"/>
      <c r="B64" s="13" t="s">
        <v>135</v>
      </c>
      <c r="C64" s="26">
        <v>0</v>
      </c>
      <c r="D64" s="26">
        <v>0</v>
      </c>
      <c r="E64" s="26">
        <v>0</v>
      </c>
      <c r="F64" s="14"/>
      <c r="G64" s="26">
        <v>0</v>
      </c>
      <c r="H64" s="14"/>
      <c r="I64" s="26">
        <v>0</v>
      </c>
      <c r="J64" s="14"/>
      <c r="K64" s="26">
        <v>0</v>
      </c>
      <c r="L64" s="1"/>
    </row>
    <row r="65" spans="1:12" ht="12.75" x14ac:dyDescent="0.35">
      <c r="A65" s="1"/>
      <c r="B65" s="13" t="s">
        <v>136</v>
      </c>
      <c r="C65" s="26">
        <v>0</v>
      </c>
      <c r="D65" s="26">
        <v>0</v>
      </c>
      <c r="E65" s="26">
        <v>0</v>
      </c>
      <c r="F65" s="14"/>
      <c r="G65" s="26">
        <v>0</v>
      </c>
      <c r="H65" s="14"/>
      <c r="I65" s="26">
        <v>0</v>
      </c>
      <c r="J65" s="14"/>
      <c r="K65" s="26">
        <v>0</v>
      </c>
      <c r="L65" s="1"/>
    </row>
    <row r="66" spans="1:12" ht="12.75" x14ac:dyDescent="0.35">
      <c r="A66" s="1"/>
      <c r="B66" s="13" t="s">
        <v>137</v>
      </c>
      <c r="C66" s="26">
        <v>0</v>
      </c>
      <c r="D66" s="26">
        <v>0</v>
      </c>
      <c r="E66" s="26">
        <v>0</v>
      </c>
      <c r="F66" s="14"/>
      <c r="G66" s="26">
        <v>0</v>
      </c>
      <c r="H66" s="14"/>
      <c r="I66" s="26">
        <v>0</v>
      </c>
      <c r="J66" s="14"/>
      <c r="K66" s="26">
        <v>0</v>
      </c>
      <c r="L66" s="1"/>
    </row>
    <row r="67" spans="1:12" ht="12.75" x14ac:dyDescent="0.35">
      <c r="A67" s="1"/>
      <c r="B67" s="13" t="s">
        <v>138</v>
      </c>
      <c r="C67" s="26">
        <v>0</v>
      </c>
      <c r="D67" s="26">
        <v>0</v>
      </c>
      <c r="E67" s="26">
        <v>0</v>
      </c>
      <c r="F67" s="14"/>
      <c r="G67" s="26">
        <v>0</v>
      </c>
      <c r="H67" s="14"/>
      <c r="I67" s="26">
        <v>0</v>
      </c>
      <c r="J67" s="14"/>
      <c r="K67" s="26">
        <v>0</v>
      </c>
      <c r="L67" s="1"/>
    </row>
    <row r="68" spans="1:12" ht="12.75" x14ac:dyDescent="0.35">
      <c r="A68" s="1"/>
      <c r="B68" s="13" t="s">
        <v>139</v>
      </c>
      <c r="C68" s="26">
        <v>0</v>
      </c>
      <c r="D68" s="26">
        <v>0</v>
      </c>
      <c r="E68" s="26">
        <v>0</v>
      </c>
      <c r="F68" s="14"/>
      <c r="G68" s="26">
        <v>0</v>
      </c>
      <c r="H68" s="14"/>
      <c r="I68" s="26">
        <v>0</v>
      </c>
      <c r="J68" s="14"/>
      <c r="K68" s="26">
        <v>0</v>
      </c>
      <c r="L68" s="1"/>
    </row>
    <row r="69" spans="1:12" ht="12.75" x14ac:dyDescent="0.35">
      <c r="A69" s="1"/>
      <c r="B69" s="13" t="s">
        <v>140</v>
      </c>
      <c r="C69" s="26">
        <v>0</v>
      </c>
      <c r="D69" s="26">
        <v>0</v>
      </c>
      <c r="E69" s="26">
        <v>0</v>
      </c>
      <c r="F69" s="14"/>
      <c r="G69" s="26">
        <v>0</v>
      </c>
      <c r="H69" s="14"/>
      <c r="I69" s="26">
        <v>0</v>
      </c>
      <c r="J69" s="14"/>
      <c r="K69" s="26">
        <v>0</v>
      </c>
      <c r="L69" s="1"/>
    </row>
    <row r="70" spans="1:12" ht="12.75" x14ac:dyDescent="0.35">
      <c r="A70" s="1"/>
      <c r="B70" s="13" t="s">
        <v>141</v>
      </c>
      <c r="C70" s="26">
        <v>0</v>
      </c>
      <c r="D70" s="26">
        <v>0</v>
      </c>
      <c r="E70" s="26">
        <v>0</v>
      </c>
      <c r="F70" s="14"/>
      <c r="G70" s="26">
        <v>0</v>
      </c>
      <c r="H70" s="14"/>
      <c r="I70" s="26">
        <v>0</v>
      </c>
      <c r="J70" s="14"/>
      <c r="K70" s="26">
        <v>0</v>
      </c>
      <c r="L70" s="1"/>
    </row>
    <row r="71" spans="1:12" ht="12.75" x14ac:dyDescent="0.35">
      <c r="A71" s="1"/>
      <c r="B71" s="13" t="s">
        <v>142</v>
      </c>
      <c r="C71" s="26">
        <v>0</v>
      </c>
      <c r="D71" s="26">
        <v>0</v>
      </c>
      <c r="E71" s="26">
        <v>0</v>
      </c>
      <c r="F71" s="14"/>
      <c r="G71" s="26">
        <v>0</v>
      </c>
      <c r="H71" s="14"/>
      <c r="I71" s="26">
        <v>0</v>
      </c>
      <c r="J71" s="14"/>
      <c r="K71" s="26">
        <v>0</v>
      </c>
      <c r="L71" s="1"/>
    </row>
    <row r="72" spans="1:12" ht="12.75" x14ac:dyDescent="0.35">
      <c r="A72" s="1"/>
      <c r="B72" s="13" t="s">
        <v>143</v>
      </c>
      <c r="C72" s="26">
        <v>0</v>
      </c>
      <c r="D72" s="26">
        <v>0</v>
      </c>
      <c r="E72" s="26">
        <v>0</v>
      </c>
      <c r="F72" s="14"/>
      <c r="G72" s="26">
        <v>0</v>
      </c>
      <c r="H72" s="14"/>
      <c r="I72" s="26">
        <v>0</v>
      </c>
      <c r="J72" s="14"/>
      <c r="K72" s="26">
        <v>0</v>
      </c>
      <c r="L72" s="1"/>
    </row>
    <row r="73" spans="1:12" ht="12.75" x14ac:dyDescent="0.35">
      <c r="A73" s="1"/>
      <c r="B73" s="13" t="s">
        <v>144</v>
      </c>
      <c r="C73" s="26">
        <v>0</v>
      </c>
      <c r="D73" s="26">
        <v>0</v>
      </c>
      <c r="E73" s="26">
        <v>0</v>
      </c>
      <c r="F73" s="14"/>
      <c r="G73" s="26">
        <v>0</v>
      </c>
      <c r="H73" s="14"/>
      <c r="I73" s="26">
        <v>0</v>
      </c>
      <c r="J73" s="14"/>
      <c r="K73" s="26">
        <v>0</v>
      </c>
      <c r="L73" s="1"/>
    </row>
    <row r="74" spans="1:12" ht="12.75" x14ac:dyDescent="0.35">
      <c r="A74" s="1"/>
      <c r="B74" s="13" t="s">
        <v>145</v>
      </c>
      <c r="C74" s="26">
        <v>0</v>
      </c>
      <c r="D74" s="26">
        <v>0</v>
      </c>
      <c r="E74" s="26">
        <v>0</v>
      </c>
      <c r="F74" s="14"/>
      <c r="G74" s="26">
        <v>0</v>
      </c>
      <c r="H74" s="14"/>
      <c r="I74" s="26">
        <v>0</v>
      </c>
      <c r="J74" s="14"/>
      <c r="K74" s="26">
        <v>0</v>
      </c>
      <c r="L74" s="1"/>
    </row>
    <row r="75" spans="1:12" ht="12.75" x14ac:dyDescent="0.35">
      <c r="A75" s="1"/>
      <c r="B75" s="13" t="s">
        <v>149</v>
      </c>
      <c r="C75" s="26">
        <v>0</v>
      </c>
      <c r="D75" s="26">
        <v>0</v>
      </c>
      <c r="E75" s="26">
        <v>0</v>
      </c>
      <c r="F75" s="14"/>
      <c r="G75" s="26">
        <v>0</v>
      </c>
      <c r="H75" s="14"/>
      <c r="I75" s="26">
        <v>0</v>
      </c>
      <c r="J75" s="14"/>
      <c r="K75" s="26">
        <v>0</v>
      </c>
      <c r="L75" s="1"/>
    </row>
    <row r="76" spans="1:12" ht="12.75" x14ac:dyDescent="0.35">
      <c r="A76" s="1"/>
      <c r="B76" s="13" t="s">
        <v>146</v>
      </c>
      <c r="C76" s="26">
        <v>0</v>
      </c>
      <c r="D76" s="26">
        <v>0</v>
      </c>
      <c r="E76" s="26">
        <v>0</v>
      </c>
      <c r="F76" s="14"/>
      <c r="G76" s="26">
        <v>0</v>
      </c>
      <c r="H76" s="14"/>
      <c r="I76" s="26">
        <v>0</v>
      </c>
      <c r="J76" s="14"/>
      <c r="K76" s="26">
        <v>0</v>
      </c>
      <c r="L76" s="1"/>
    </row>
    <row r="77" spans="1:12" ht="12.75" x14ac:dyDescent="0.35">
      <c r="A77" s="1"/>
      <c r="B77" s="13" t="s">
        <v>147</v>
      </c>
      <c r="C77" s="26">
        <v>0</v>
      </c>
      <c r="D77" s="26">
        <v>0</v>
      </c>
      <c r="E77" s="26">
        <v>0</v>
      </c>
      <c r="F77" s="14"/>
      <c r="G77" s="26">
        <v>0</v>
      </c>
      <c r="H77" s="14"/>
      <c r="I77" s="26">
        <v>0</v>
      </c>
      <c r="J77" s="14"/>
      <c r="K77" s="26">
        <v>0</v>
      </c>
      <c r="L77" s="1"/>
    </row>
    <row r="78" spans="1:12" ht="12.75" x14ac:dyDescent="0.35">
      <c r="A78" s="1"/>
      <c r="B78" s="13" t="s">
        <v>150</v>
      </c>
      <c r="C78" s="26">
        <v>500000000</v>
      </c>
      <c r="D78" s="26">
        <v>125000000</v>
      </c>
      <c r="E78" s="26">
        <v>125000000</v>
      </c>
      <c r="F78" s="14">
        <v>0.25</v>
      </c>
      <c r="G78" s="26">
        <v>20986164</v>
      </c>
      <c r="H78" s="14">
        <v>0.16789999999999999</v>
      </c>
      <c r="I78" s="26">
        <v>0</v>
      </c>
      <c r="J78" s="14">
        <v>0</v>
      </c>
      <c r="K78" s="26">
        <v>104013836</v>
      </c>
      <c r="L78" s="1"/>
    </row>
    <row r="79" spans="1:12" ht="12.75" x14ac:dyDescent="0.35">
      <c r="A79" s="27"/>
      <c r="B79" s="28" t="s">
        <v>168</v>
      </c>
      <c r="C79" s="29">
        <v>500000000</v>
      </c>
      <c r="D79" s="29">
        <v>125000000</v>
      </c>
      <c r="E79" s="29">
        <v>125000000</v>
      </c>
      <c r="F79" s="30">
        <v>1</v>
      </c>
      <c r="G79" s="29">
        <v>20986164</v>
      </c>
      <c r="H79" s="30">
        <v>0.16789999999999999</v>
      </c>
      <c r="I79" s="29">
        <v>0</v>
      </c>
      <c r="J79" s="30">
        <v>0</v>
      </c>
      <c r="K79" s="29">
        <v>104013836</v>
      </c>
      <c r="L79" s="27"/>
    </row>
    <row r="80" spans="1:12" ht="12.75" x14ac:dyDescent="0.35">
      <c r="A80" s="1"/>
      <c r="B80" s="1"/>
      <c r="C80" s="5"/>
      <c r="D80" s="5"/>
      <c r="E80" s="5"/>
      <c r="F80" s="6"/>
      <c r="G80" s="5"/>
      <c r="H80" s="6"/>
      <c r="I80" s="5"/>
      <c r="J80" s="6"/>
      <c r="K80" s="5"/>
      <c r="L80" s="1"/>
    </row>
    <row r="81" spans="1:12" ht="12.75" x14ac:dyDescent="0.35">
      <c r="A81" s="1"/>
      <c r="B81" s="21" t="s">
        <v>16</v>
      </c>
      <c r="C81" s="22"/>
      <c r="D81" s="22"/>
      <c r="E81" s="22"/>
      <c r="F81" s="23"/>
      <c r="G81" s="22"/>
      <c r="H81" s="23"/>
      <c r="I81" s="22"/>
      <c r="J81" s="23"/>
      <c r="K81" s="22"/>
      <c r="L81" s="1"/>
    </row>
    <row r="82" spans="1:12" ht="12.75" x14ac:dyDescent="0.35">
      <c r="A82" s="10"/>
      <c r="B82" s="24" t="s">
        <v>8</v>
      </c>
      <c r="C82" s="25" t="s">
        <v>281</v>
      </c>
      <c r="D82" s="25" t="s">
        <v>1</v>
      </c>
      <c r="E82" s="25" t="s">
        <v>2</v>
      </c>
      <c r="F82" s="30" t="s">
        <v>162</v>
      </c>
      <c r="G82" s="25" t="s">
        <v>169</v>
      </c>
      <c r="H82" s="30" t="s">
        <v>164</v>
      </c>
      <c r="I82" s="25" t="s">
        <v>4</v>
      </c>
      <c r="J82" s="30" t="s">
        <v>166</v>
      </c>
      <c r="K82" s="25" t="s">
        <v>6</v>
      </c>
      <c r="L82" s="10"/>
    </row>
    <row r="83" spans="1:12" ht="12.75" x14ac:dyDescent="0.35">
      <c r="A83" s="1"/>
      <c r="B83" s="13" t="s">
        <v>135</v>
      </c>
      <c r="C83" s="26">
        <v>1931870000</v>
      </c>
      <c r="D83" s="26">
        <v>221097183</v>
      </c>
      <c r="E83" s="26">
        <v>221097183</v>
      </c>
      <c r="F83" s="14">
        <v>0.1144</v>
      </c>
      <c r="G83" s="26">
        <v>147569000</v>
      </c>
      <c r="H83" s="14">
        <v>0.66739999999999999</v>
      </c>
      <c r="I83" s="26">
        <v>117822000</v>
      </c>
      <c r="J83" s="14">
        <v>0.53290000000000004</v>
      </c>
      <c r="K83" s="26">
        <v>73528183</v>
      </c>
      <c r="L83" s="1"/>
    </row>
    <row r="84" spans="1:12" ht="12.75" x14ac:dyDescent="0.35">
      <c r="A84" s="1"/>
      <c r="B84" s="13" t="s">
        <v>136</v>
      </c>
      <c r="C84" s="26">
        <v>2561006000</v>
      </c>
      <c r="D84" s="26">
        <v>1123218974</v>
      </c>
      <c r="E84" s="26">
        <v>1123218974</v>
      </c>
      <c r="F84" s="14">
        <v>0.43859999999999999</v>
      </c>
      <c r="G84" s="26">
        <v>170677766</v>
      </c>
      <c r="H84" s="14">
        <v>0.152</v>
      </c>
      <c r="I84" s="26">
        <v>113835450</v>
      </c>
      <c r="J84" s="14">
        <v>0.1013</v>
      </c>
      <c r="K84" s="26">
        <v>952541208</v>
      </c>
      <c r="L84" s="1"/>
    </row>
    <row r="85" spans="1:12" ht="12.75" x14ac:dyDescent="0.35">
      <c r="A85" s="1"/>
      <c r="B85" s="13" t="s">
        <v>137</v>
      </c>
      <c r="C85" s="26">
        <v>1162320000</v>
      </c>
      <c r="D85" s="26">
        <v>272556000</v>
      </c>
      <c r="E85" s="26">
        <v>272556000</v>
      </c>
      <c r="F85" s="14">
        <v>0.23449999999999999</v>
      </c>
      <c r="G85" s="26">
        <v>156776609</v>
      </c>
      <c r="H85" s="14">
        <v>0.57520000000000004</v>
      </c>
      <c r="I85" s="26">
        <v>131663109</v>
      </c>
      <c r="J85" s="14">
        <v>0.48309999999999997</v>
      </c>
      <c r="K85" s="26">
        <v>115779391</v>
      </c>
      <c r="L85" s="1"/>
    </row>
    <row r="86" spans="1:12" ht="12.75" x14ac:dyDescent="0.35">
      <c r="A86" s="1"/>
      <c r="B86" s="13" t="s">
        <v>138</v>
      </c>
      <c r="C86" s="26">
        <v>1682602000</v>
      </c>
      <c r="D86" s="26">
        <v>420650500</v>
      </c>
      <c r="E86" s="26">
        <v>420650500</v>
      </c>
      <c r="F86" s="14">
        <v>0.25</v>
      </c>
      <c r="G86" s="26">
        <v>240161883</v>
      </c>
      <c r="H86" s="14">
        <v>0.57089999999999996</v>
      </c>
      <c r="I86" s="26">
        <v>89609735</v>
      </c>
      <c r="J86" s="14">
        <v>0.21299999999999999</v>
      </c>
      <c r="K86" s="26">
        <v>180488617</v>
      </c>
      <c r="L86" s="1"/>
    </row>
    <row r="87" spans="1:12" ht="12.75" x14ac:dyDescent="0.35">
      <c r="A87" s="1"/>
      <c r="B87" s="13" t="s">
        <v>139</v>
      </c>
      <c r="C87" s="26">
        <v>1684046000</v>
      </c>
      <c r="D87" s="26">
        <v>440730311</v>
      </c>
      <c r="E87" s="26">
        <v>440730311</v>
      </c>
      <c r="F87" s="14">
        <v>0.26169999999999999</v>
      </c>
      <c r="G87" s="26">
        <v>208386941</v>
      </c>
      <c r="H87" s="14">
        <v>0.4728</v>
      </c>
      <c r="I87" s="26">
        <v>110494491</v>
      </c>
      <c r="J87" s="14">
        <v>0.25069999999999998</v>
      </c>
      <c r="K87" s="26">
        <v>232343370</v>
      </c>
      <c r="L87" s="1"/>
    </row>
    <row r="88" spans="1:12" ht="12.75" x14ac:dyDescent="0.35">
      <c r="A88" s="1"/>
      <c r="B88" s="13" t="s">
        <v>140</v>
      </c>
      <c r="C88" s="26">
        <v>1822913000</v>
      </c>
      <c r="D88" s="26">
        <v>505728350</v>
      </c>
      <c r="E88" s="26">
        <v>505728350</v>
      </c>
      <c r="F88" s="14">
        <v>0.27739999999999998</v>
      </c>
      <c r="G88" s="26">
        <v>230966085</v>
      </c>
      <c r="H88" s="14">
        <v>0.45669999999999999</v>
      </c>
      <c r="I88" s="26">
        <v>114490650</v>
      </c>
      <c r="J88" s="14">
        <v>0.22639999999999999</v>
      </c>
      <c r="K88" s="26">
        <v>274762265</v>
      </c>
      <c r="L88" s="1"/>
    </row>
    <row r="89" spans="1:12" ht="12.75" x14ac:dyDescent="0.35">
      <c r="A89" s="1"/>
      <c r="B89" s="13" t="s">
        <v>141</v>
      </c>
      <c r="C89" s="26">
        <v>1882128000</v>
      </c>
      <c r="D89" s="26">
        <v>569432500</v>
      </c>
      <c r="E89" s="26">
        <v>569432500</v>
      </c>
      <c r="F89" s="14">
        <v>0.30249999999999999</v>
      </c>
      <c r="G89" s="26">
        <v>201301415</v>
      </c>
      <c r="H89" s="14">
        <v>0.35349999999999998</v>
      </c>
      <c r="I89" s="26">
        <v>154398415</v>
      </c>
      <c r="J89" s="14">
        <v>0.27110000000000001</v>
      </c>
      <c r="K89" s="26">
        <v>368131085</v>
      </c>
      <c r="L89" s="1"/>
    </row>
    <row r="90" spans="1:12" ht="12.75" x14ac:dyDescent="0.35">
      <c r="A90" s="1"/>
      <c r="B90" s="13" t="s">
        <v>142</v>
      </c>
      <c r="C90" s="26">
        <v>1216858000</v>
      </c>
      <c r="D90" s="26">
        <v>329214500</v>
      </c>
      <c r="E90" s="26">
        <v>329214500</v>
      </c>
      <c r="F90" s="14">
        <v>0.27050000000000002</v>
      </c>
      <c r="G90" s="26">
        <v>112877001</v>
      </c>
      <c r="H90" s="14">
        <v>0.34289999999999998</v>
      </c>
      <c r="I90" s="26">
        <v>46380201</v>
      </c>
      <c r="J90" s="14">
        <v>0.1409</v>
      </c>
      <c r="K90" s="26">
        <v>216337499</v>
      </c>
      <c r="L90" s="1"/>
    </row>
    <row r="91" spans="1:12" ht="12.75" x14ac:dyDescent="0.35">
      <c r="A91" s="1"/>
      <c r="B91" s="13" t="s">
        <v>143</v>
      </c>
      <c r="C91" s="26">
        <v>1861257000</v>
      </c>
      <c r="D91" s="26">
        <v>671629250</v>
      </c>
      <c r="E91" s="26">
        <v>671629250</v>
      </c>
      <c r="F91" s="14">
        <v>0.36080000000000001</v>
      </c>
      <c r="G91" s="26">
        <v>139379220</v>
      </c>
      <c r="H91" s="14">
        <v>0.20749999999999999</v>
      </c>
      <c r="I91" s="26">
        <v>86360250</v>
      </c>
      <c r="J91" s="14">
        <v>0.12859999999999999</v>
      </c>
      <c r="K91" s="26">
        <v>532250030</v>
      </c>
      <c r="L91" s="1"/>
    </row>
    <row r="92" spans="1:12" ht="12.75" x14ac:dyDescent="0.35">
      <c r="A92" s="1"/>
      <c r="B92" s="13" t="s">
        <v>144</v>
      </c>
      <c r="C92" s="26">
        <v>960700000</v>
      </c>
      <c r="D92" s="26">
        <v>467575000</v>
      </c>
      <c r="E92" s="26">
        <v>467575000</v>
      </c>
      <c r="F92" s="14">
        <v>0.48670000000000002</v>
      </c>
      <c r="G92" s="26">
        <v>198473477</v>
      </c>
      <c r="H92" s="14">
        <v>0.42449999999999999</v>
      </c>
      <c r="I92" s="26">
        <v>78127000</v>
      </c>
      <c r="J92" s="14">
        <v>0.1671</v>
      </c>
      <c r="K92" s="26">
        <v>269101523</v>
      </c>
      <c r="L92" s="1"/>
    </row>
    <row r="93" spans="1:12" ht="12.75" x14ac:dyDescent="0.35">
      <c r="A93" s="1"/>
      <c r="B93" s="13" t="s">
        <v>145</v>
      </c>
      <c r="C93" s="26">
        <v>1792231000</v>
      </c>
      <c r="D93" s="26">
        <v>470557750</v>
      </c>
      <c r="E93" s="26">
        <v>470557750</v>
      </c>
      <c r="F93" s="14">
        <v>0.2626</v>
      </c>
      <c r="G93" s="26">
        <v>195347450</v>
      </c>
      <c r="H93" s="14">
        <v>0.41510000000000002</v>
      </c>
      <c r="I93" s="26">
        <v>97130000</v>
      </c>
      <c r="J93" s="14">
        <v>0.2064</v>
      </c>
      <c r="K93" s="26">
        <v>275210300</v>
      </c>
      <c r="L93" s="1"/>
    </row>
    <row r="94" spans="1:12" ht="12.75" x14ac:dyDescent="0.35">
      <c r="A94" s="1"/>
      <c r="B94" s="13" t="s">
        <v>149</v>
      </c>
      <c r="C94" s="26">
        <v>372660000</v>
      </c>
      <c r="D94" s="26">
        <v>372660000</v>
      </c>
      <c r="E94" s="26">
        <v>372660000</v>
      </c>
      <c r="F94" s="14">
        <v>1</v>
      </c>
      <c r="G94" s="26">
        <v>6609050</v>
      </c>
      <c r="H94" s="14">
        <v>1.77E-2</v>
      </c>
      <c r="I94" s="26">
        <v>5604650</v>
      </c>
      <c r="J94" s="14">
        <v>1.4999999999999999E-2</v>
      </c>
      <c r="K94" s="26">
        <v>366050950</v>
      </c>
      <c r="L94" s="1"/>
    </row>
    <row r="95" spans="1:12" ht="12.75" x14ac:dyDescent="0.35">
      <c r="A95" s="1"/>
      <c r="B95" s="13" t="s">
        <v>146</v>
      </c>
      <c r="C95" s="26">
        <v>3494050000</v>
      </c>
      <c r="D95" s="26">
        <v>908980500</v>
      </c>
      <c r="E95" s="26">
        <v>908980500</v>
      </c>
      <c r="F95" s="14">
        <v>0.26019999999999999</v>
      </c>
      <c r="G95" s="26">
        <v>272949082</v>
      </c>
      <c r="H95" s="14">
        <v>0.30030000000000001</v>
      </c>
      <c r="I95" s="26">
        <v>183758832</v>
      </c>
      <c r="J95" s="14">
        <v>0.20219999999999999</v>
      </c>
      <c r="K95" s="26">
        <v>636031418</v>
      </c>
      <c r="L95" s="1"/>
    </row>
    <row r="96" spans="1:12" ht="12.75" x14ac:dyDescent="0.35">
      <c r="A96" s="1"/>
      <c r="B96" s="13" t="s">
        <v>147</v>
      </c>
      <c r="C96" s="26">
        <v>2401223000</v>
      </c>
      <c r="D96" s="26">
        <v>683986000</v>
      </c>
      <c r="E96" s="26">
        <v>683986000</v>
      </c>
      <c r="F96" s="14">
        <v>0.2848</v>
      </c>
      <c r="G96" s="26">
        <v>116006279</v>
      </c>
      <c r="H96" s="14">
        <v>0.1696</v>
      </c>
      <c r="I96" s="26">
        <v>115006279</v>
      </c>
      <c r="J96" s="14">
        <v>0.1681</v>
      </c>
      <c r="K96" s="26">
        <v>567979721</v>
      </c>
      <c r="L96" s="1"/>
    </row>
    <row r="97" spans="1:12" ht="12.75" x14ac:dyDescent="0.35">
      <c r="A97" s="1"/>
      <c r="B97" s="13" t="s">
        <v>150</v>
      </c>
      <c r="C97" s="26">
        <v>7946000000</v>
      </c>
      <c r="D97" s="26">
        <v>1979260000</v>
      </c>
      <c r="E97" s="26">
        <v>1979260000</v>
      </c>
      <c r="F97" s="14">
        <v>0.24909999999999999</v>
      </c>
      <c r="G97" s="26">
        <v>357456414</v>
      </c>
      <c r="H97" s="14">
        <v>0.18060000000000001</v>
      </c>
      <c r="I97" s="26">
        <v>265675200</v>
      </c>
      <c r="J97" s="14">
        <v>0.13420000000000001</v>
      </c>
      <c r="K97" s="26">
        <v>1621803586</v>
      </c>
      <c r="L97" s="1"/>
    </row>
    <row r="98" spans="1:12" ht="12.75" x14ac:dyDescent="0.35">
      <c r="A98" s="27"/>
      <c r="B98" s="28" t="s">
        <v>168</v>
      </c>
      <c r="C98" s="29">
        <v>32771864000</v>
      </c>
      <c r="D98" s="29">
        <v>9437276818</v>
      </c>
      <c r="E98" s="29">
        <v>9437276818</v>
      </c>
      <c r="F98" s="30">
        <v>1</v>
      </c>
      <c r="G98" s="29">
        <v>2754937672</v>
      </c>
      <c r="H98" s="30">
        <v>0.29189999999999999</v>
      </c>
      <c r="I98" s="29">
        <v>1710356262</v>
      </c>
      <c r="J98" s="30">
        <v>0.1812</v>
      </c>
      <c r="K98" s="29">
        <v>6682339146</v>
      </c>
      <c r="L98" s="27"/>
    </row>
    <row r="99" spans="1:12" ht="12.75" x14ac:dyDescent="0.35">
      <c r="A99" s="1"/>
      <c r="B99" s="1"/>
      <c r="C99" s="5"/>
      <c r="D99" s="5"/>
      <c r="E99" s="5"/>
      <c r="F99" s="6"/>
      <c r="G99" s="5"/>
      <c r="H99" s="6"/>
      <c r="I99" s="5"/>
      <c r="J99" s="6"/>
      <c r="K99" s="5"/>
      <c r="L99" s="1"/>
    </row>
    <row r="100" spans="1:12" ht="12.75" hidden="1" customHeight="1" x14ac:dyDescent="0.35">
      <c r="A100" s="1"/>
      <c r="B100" s="21" t="s">
        <v>114</v>
      </c>
      <c r="C100" s="22"/>
      <c r="D100" s="22"/>
      <c r="E100" s="22"/>
      <c r="F100" s="23"/>
      <c r="G100" s="22"/>
      <c r="H100" s="23"/>
      <c r="I100" s="22"/>
      <c r="J100" s="23"/>
      <c r="K100" s="22"/>
      <c r="L100" s="1"/>
    </row>
    <row r="101" spans="1:12" ht="12.75" hidden="1" customHeight="1" x14ac:dyDescent="0.35">
      <c r="A101" s="10"/>
      <c r="B101" s="24" t="s">
        <v>8</v>
      </c>
      <c r="C101" s="25"/>
      <c r="D101" s="25" t="s">
        <v>1</v>
      </c>
      <c r="E101" s="25" t="s">
        <v>2</v>
      </c>
      <c r="F101" s="30" t="s">
        <v>162</v>
      </c>
      <c r="G101" s="25" t="s">
        <v>169</v>
      </c>
      <c r="H101" s="30" t="s">
        <v>164</v>
      </c>
      <c r="I101" s="25" t="s">
        <v>4</v>
      </c>
      <c r="J101" s="30" t="s">
        <v>166</v>
      </c>
      <c r="K101" s="25" t="s">
        <v>6</v>
      </c>
      <c r="L101" s="10"/>
    </row>
    <row r="102" spans="1:12" ht="12.75" hidden="1" customHeight="1" x14ac:dyDescent="0.35">
      <c r="A102" s="1"/>
      <c r="B102" s="13" t="s">
        <v>135</v>
      </c>
      <c r="C102" s="26"/>
      <c r="D102" s="26">
        <v>0</v>
      </c>
      <c r="E102" s="26">
        <v>0</v>
      </c>
      <c r="F102" s="14"/>
      <c r="G102" s="26">
        <v>0</v>
      </c>
      <c r="H102" s="14"/>
      <c r="I102" s="26">
        <v>0</v>
      </c>
      <c r="J102" s="14"/>
      <c r="K102" s="26">
        <v>0</v>
      </c>
      <c r="L102" s="1"/>
    </row>
    <row r="103" spans="1:12" ht="12.75" hidden="1" customHeight="1" x14ac:dyDescent="0.35">
      <c r="A103" s="1"/>
      <c r="B103" s="13" t="s">
        <v>136</v>
      </c>
      <c r="C103" s="26"/>
      <c r="D103" s="26">
        <v>0</v>
      </c>
      <c r="E103" s="26">
        <v>0</v>
      </c>
      <c r="F103" s="14"/>
      <c r="G103" s="26">
        <v>0</v>
      </c>
      <c r="H103" s="14"/>
      <c r="I103" s="26">
        <v>0</v>
      </c>
      <c r="J103" s="14"/>
      <c r="K103" s="26">
        <v>0</v>
      </c>
      <c r="L103" s="1"/>
    </row>
    <row r="104" spans="1:12" ht="12.75" hidden="1" customHeight="1" x14ac:dyDescent="0.35">
      <c r="A104" s="1"/>
      <c r="B104" s="13" t="s">
        <v>137</v>
      </c>
      <c r="C104" s="26"/>
      <c r="D104" s="26">
        <v>0</v>
      </c>
      <c r="E104" s="26">
        <v>0</v>
      </c>
      <c r="F104" s="14"/>
      <c r="G104" s="26">
        <v>0</v>
      </c>
      <c r="H104" s="14"/>
      <c r="I104" s="26">
        <v>0</v>
      </c>
      <c r="J104" s="14"/>
      <c r="K104" s="26">
        <v>0</v>
      </c>
      <c r="L104" s="1"/>
    </row>
    <row r="105" spans="1:12" ht="12.75" hidden="1" customHeight="1" x14ac:dyDescent="0.35">
      <c r="A105" s="1"/>
      <c r="B105" s="13" t="s">
        <v>138</v>
      </c>
      <c r="C105" s="26"/>
      <c r="D105" s="26">
        <v>0</v>
      </c>
      <c r="E105" s="26">
        <v>0</v>
      </c>
      <c r="F105" s="14"/>
      <c r="G105" s="26">
        <v>0</v>
      </c>
      <c r="H105" s="14"/>
      <c r="I105" s="26">
        <v>0</v>
      </c>
      <c r="J105" s="14"/>
      <c r="K105" s="26">
        <v>0</v>
      </c>
      <c r="L105" s="1"/>
    </row>
    <row r="106" spans="1:12" ht="12.75" hidden="1" customHeight="1" x14ac:dyDescent="0.35">
      <c r="A106" s="1"/>
      <c r="B106" s="13" t="s">
        <v>139</v>
      </c>
      <c r="C106" s="26"/>
      <c r="D106" s="26">
        <v>0</v>
      </c>
      <c r="E106" s="26">
        <v>0</v>
      </c>
      <c r="F106" s="14"/>
      <c r="G106" s="26">
        <v>0</v>
      </c>
      <c r="H106" s="14"/>
      <c r="I106" s="26">
        <v>0</v>
      </c>
      <c r="J106" s="14"/>
      <c r="K106" s="26">
        <v>0</v>
      </c>
      <c r="L106" s="1"/>
    </row>
    <row r="107" spans="1:12" ht="12.75" hidden="1" customHeight="1" x14ac:dyDescent="0.35">
      <c r="A107" s="1"/>
      <c r="B107" s="13" t="s">
        <v>140</v>
      </c>
      <c r="C107" s="26"/>
      <c r="D107" s="26">
        <v>0</v>
      </c>
      <c r="E107" s="26">
        <v>0</v>
      </c>
      <c r="F107" s="14"/>
      <c r="G107" s="26">
        <v>0</v>
      </c>
      <c r="H107" s="14"/>
      <c r="I107" s="26">
        <v>0</v>
      </c>
      <c r="J107" s="14"/>
      <c r="K107" s="26">
        <v>0</v>
      </c>
      <c r="L107" s="1"/>
    </row>
    <row r="108" spans="1:12" ht="12.75" hidden="1" customHeight="1" x14ac:dyDescent="0.35">
      <c r="A108" s="1"/>
      <c r="B108" s="13" t="s">
        <v>141</v>
      </c>
      <c r="C108" s="26"/>
      <c r="D108" s="26">
        <v>0</v>
      </c>
      <c r="E108" s="26">
        <v>0</v>
      </c>
      <c r="F108" s="14"/>
      <c r="G108" s="26">
        <v>0</v>
      </c>
      <c r="H108" s="14"/>
      <c r="I108" s="26">
        <v>0</v>
      </c>
      <c r="J108" s="14"/>
      <c r="K108" s="26">
        <v>0</v>
      </c>
      <c r="L108" s="1"/>
    </row>
    <row r="109" spans="1:12" ht="12.75" hidden="1" customHeight="1" x14ac:dyDescent="0.35">
      <c r="A109" s="1"/>
      <c r="B109" s="13" t="s">
        <v>142</v>
      </c>
      <c r="C109" s="26"/>
      <c r="D109" s="26">
        <v>0</v>
      </c>
      <c r="E109" s="26">
        <v>0</v>
      </c>
      <c r="F109" s="14"/>
      <c r="G109" s="26">
        <v>0</v>
      </c>
      <c r="H109" s="14"/>
      <c r="I109" s="26">
        <v>0</v>
      </c>
      <c r="J109" s="14"/>
      <c r="K109" s="26">
        <v>0</v>
      </c>
      <c r="L109" s="1"/>
    </row>
    <row r="110" spans="1:12" ht="12.75" hidden="1" customHeight="1" x14ac:dyDescent="0.35">
      <c r="A110" s="1"/>
      <c r="B110" s="13" t="s">
        <v>143</v>
      </c>
      <c r="C110" s="26"/>
      <c r="D110" s="26">
        <v>0</v>
      </c>
      <c r="E110" s="26">
        <v>0</v>
      </c>
      <c r="F110" s="14"/>
      <c r="G110" s="26">
        <v>0</v>
      </c>
      <c r="H110" s="14"/>
      <c r="I110" s="26">
        <v>0</v>
      </c>
      <c r="J110" s="14"/>
      <c r="K110" s="26">
        <v>0</v>
      </c>
      <c r="L110" s="1"/>
    </row>
    <row r="111" spans="1:12" ht="12.75" hidden="1" customHeight="1" x14ac:dyDescent="0.35">
      <c r="A111" s="1"/>
      <c r="B111" s="13" t="s">
        <v>144</v>
      </c>
      <c r="C111" s="26"/>
      <c r="D111" s="26">
        <v>0</v>
      </c>
      <c r="E111" s="26">
        <v>0</v>
      </c>
      <c r="F111" s="14"/>
      <c r="G111" s="26">
        <v>0</v>
      </c>
      <c r="H111" s="14"/>
      <c r="I111" s="26">
        <v>0</v>
      </c>
      <c r="J111" s="14"/>
      <c r="K111" s="26">
        <v>0</v>
      </c>
      <c r="L111" s="1"/>
    </row>
    <row r="112" spans="1:12" ht="12.75" hidden="1" customHeight="1" x14ac:dyDescent="0.35">
      <c r="A112" s="1"/>
      <c r="B112" s="13" t="s">
        <v>145</v>
      </c>
      <c r="C112" s="26"/>
      <c r="D112" s="26">
        <v>0</v>
      </c>
      <c r="E112" s="26">
        <v>0</v>
      </c>
      <c r="F112" s="14"/>
      <c r="G112" s="26">
        <v>0</v>
      </c>
      <c r="H112" s="14"/>
      <c r="I112" s="26">
        <v>0</v>
      </c>
      <c r="J112" s="14"/>
      <c r="K112" s="26">
        <v>0</v>
      </c>
      <c r="L112" s="1"/>
    </row>
    <row r="113" spans="1:12" ht="12.75" hidden="1" customHeight="1" x14ac:dyDescent="0.35">
      <c r="A113" s="1"/>
      <c r="B113" s="13" t="s">
        <v>149</v>
      </c>
      <c r="C113" s="26"/>
      <c r="D113" s="26">
        <v>0</v>
      </c>
      <c r="E113" s="26">
        <v>0</v>
      </c>
      <c r="F113" s="14"/>
      <c r="G113" s="26">
        <v>0</v>
      </c>
      <c r="H113" s="14"/>
      <c r="I113" s="26">
        <v>0</v>
      </c>
      <c r="J113" s="14"/>
      <c r="K113" s="26">
        <v>0</v>
      </c>
      <c r="L113" s="1"/>
    </row>
    <row r="114" spans="1:12" ht="12.75" hidden="1" customHeight="1" x14ac:dyDescent="0.35">
      <c r="A114" s="1"/>
      <c r="B114" s="13" t="s">
        <v>146</v>
      </c>
      <c r="C114" s="26"/>
      <c r="D114" s="26">
        <v>0</v>
      </c>
      <c r="E114" s="26">
        <v>0</v>
      </c>
      <c r="F114" s="14"/>
      <c r="G114" s="26">
        <v>0</v>
      </c>
      <c r="H114" s="14"/>
      <c r="I114" s="26">
        <v>0</v>
      </c>
      <c r="J114" s="14"/>
      <c r="K114" s="26">
        <v>0</v>
      </c>
      <c r="L114" s="1"/>
    </row>
    <row r="115" spans="1:12" ht="12.75" hidden="1" customHeight="1" x14ac:dyDescent="0.35">
      <c r="A115" s="1"/>
      <c r="B115" s="13" t="s">
        <v>147</v>
      </c>
      <c r="C115" s="26"/>
      <c r="D115" s="26">
        <v>0</v>
      </c>
      <c r="E115" s="26">
        <v>0</v>
      </c>
      <c r="F115" s="14"/>
      <c r="G115" s="26">
        <v>0</v>
      </c>
      <c r="H115" s="14"/>
      <c r="I115" s="26">
        <v>0</v>
      </c>
      <c r="J115" s="14"/>
      <c r="K115" s="26">
        <v>0</v>
      </c>
      <c r="L115" s="1"/>
    </row>
    <row r="116" spans="1:12" ht="12.75" hidden="1" customHeight="1" x14ac:dyDescent="0.35">
      <c r="A116" s="1"/>
      <c r="B116" s="13" t="s">
        <v>150</v>
      </c>
      <c r="C116" s="26"/>
      <c r="D116" s="26">
        <v>0</v>
      </c>
      <c r="E116" s="26">
        <v>0</v>
      </c>
      <c r="F116" s="14"/>
      <c r="G116" s="26">
        <v>0</v>
      </c>
      <c r="H116" s="14"/>
      <c r="I116" s="26">
        <v>0</v>
      </c>
      <c r="J116" s="14"/>
      <c r="K116" s="26">
        <v>0</v>
      </c>
      <c r="L116" s="1"/>
    </row>
    <row r="117" spans="1:12" ht="12.75" hidden="1" customHeight="1" x14ac:dyDescent="0.35">
      <c r="A117" s="27"/>
      <c r="B117" s="28" t="s">
        <v>168</v>
      </c>
      <c r="C117" s="29"/>
      <c r="D117" s="29">
        <v>0</v>
      </c>
      <c r="E117" s="29">
        <v>0</v>
      </c>
      <c r="F117" s="30" t="e">
        <v>#DIV/0!</v>
      </c>
      <c r="G117" s="29">
        <v>0</v>
      </c>
      <c r="H117" s="30" t="e">
        <v>#DIV/0!</v>
      </c>
      <c r="I117" s="29">
        <v>0</v>
      </c>
      <c r="J117" s="30" t="e">
        <v>#DIV/0!</v>
      </c>
      <c r="K117" s="29">
        <v>0</v>
      </c>
      <c r="L117" s="27"/>
    </row>
    <row r="118" spans="1:12" ht="12.75" hidden="1" customHeight="1" x14ac:dyDescent="0.35">
      <c r="A118" s="1"/>
      <c r="B118" s="1"/>
      <c r="C118" s="5"/>
      <c r="D118" s="5"/>
      <c r="E118" s="5"/>
      <c r="F118" s="6"/>
      <c r="G118" s="5"/>
      <c r="H118" s="6"/>
      <c r="I118" s="5"/>
      <c r="J118" s="6"/>
      <c r="K118" s="5"/>
      <c r="L118" s="1"/>
    </row>
    <row r="119" spans="1:12" ht="12.75" customHeight="1" x14ac:dyDescent="0.35">
      <c r="A119" s="1"/>
      <c r="B119" s="21" t="s">
        <v>31</v>
      </c>
      <c r="C119" s="22"/>
      <c r="D119" s="22"/>
      <c r="E119" s="22"/>
      <c r="F119" s="23"/>
      <c r="G119" s="22"/>
      <c r="H119" s="23"/>
      <c r="I119" s="22"/>
      <c r="J119" s="23"/>
      <c r="K119" s="22"/>
      <c r="L119" s="1"/>
    </row>
    <row r="120" spans="1:12" ht="12.75" customHeight="1" x14ac:dyDescent="0.35">
      <c r="A120" s="10"/>
      <c r="B120" s="24" t="s">
        <v>8</v>
      </c>
      <c r="C120" s="25" t="s">
        <v>281</v>
      </c>
      <c r="D120" s="25" t="s">
        <v>1</v>
      </c>
      <c r="E120" s="25" t="s">
        <v>2</v>
      </c>
      <c r="F120" s="30" t="s">
        <v>162</v>
      </c>
      <c r="G120" s="25" t="s">
        <v>169</v>
      </c>
      <c r="H120" s="30" t="s">
        <v>164</v>
      </c>
      <c r="I120" s="25" t="s">
        <v>4</v>
      </c>
      <c r="J120" s="30" t="s">
        <v>166</v>
      </c>
      <c r="K120" s="25" t="s">
        <v>6</v>
      </c>
      <c r="L120" s="10"/>
    </row>
    <row r="121" spans="1:12" ht="12.75" customHeight="1" x14ac:dyDescent="0.35">
      <c r="A121" s="1"/>
      <c r="B121" s="13" t="s">
        <v>135</v>
      </c>
      <c r="C121" s="26">
        <v>200000000</v>
      </c>
      <c r="D121" s="26">
        <v>100000000</v>
      </c>
      <c r="E121" s="26">
        <v>100000000</v>
      </c>
      <c r="F121" s="14">
        <v>0.5</v>
      </c>
      <c r="G121" s="26">
        <v>24488000</v>
      </c>
      <c r="H121" s="14">
        <v>0.24490000000000001</v>
      </c>
      <c r="I121" s="26">
        <v>24488000</v>
      </c>
      <c r="J121" s="14">
        <v>0.24490000000000001</v>
      </c>
      <c r="K121" s="26">
        <v>75512000</v>
      </c>
      <c r="L121" s="1"/>
    </row>
    <row r="122" spans="1:12" ht="12.75" customHeight="1" x14ac:dyDescent="0.35">
      <c r="A122" s="1"/>
      <c r="B122" s="13" t="s">
        <v>136</v>
      </c>
      <c r="C122" s="26">
        <v>400000000</v>
      </c>
      <c r="D122" s="26">
        <v>200000000</v>
      </c>
      <c r="E122" s="26">
        <v>200000000</v>
      </c>
      <c r="F122" s="14">
        <v>0.5</v>
      </c>
      <c r="G122" s="26">
        <v>0</v>
      </c>
      <c r="H122" s="14">
        <v>0</v>
      </c>
      <c r="I122" s="26">
        <v>0</v>
      </c>
      <c r="J122" s="14">
        <v>0</v>
      </c>
      <c r="K122" s="26">
        <v>200000000</v>
      </c>
      <c r="L122" s="1"/>
    </row>
    <row r="123" spans="1:12" ht="12.75" customHeight="1" x14ac:dyDescent="0.35">
      <c r="A123" s="1"/>
      <c r="B123" s="13" t="s">
        <v>137</v>
      </c>
      <c r="C123" s="26">
        <v>705000000</v>
      </c>
      <c r="D123" s="26">
        <v>352500000</v>
      </c>
      <c r="E123" s="26">
        <v>352500000</v>
      </c>
      <c r="F123" s="14">
        <v>0.5</v>
      </c>
      <c r="G123" s="26">
        <v>0</v>
      </c>
      <c r="H123" s="14">
        <v>0</v>
      </c>
      <c r="I123" s="26">
        <v>0</v>
      </c>
      <c r="J123" s="14">
        <v>0</v>
      </c>
      <c r="K123" s="26">
        <v>352500000</v>
      </c>
      <c r="L123" s="1"/>
    </row>
    <row r="124" spans="1:12" ht="12.75" customHeight="1" x14ac:dyDescent="0.35">
      <c r="A124" s="1"/>
      <c r="B124" s="13" t="s">
        <v>138</v>
      </c>
      <c r="C124" s="26">
        <v>250000000</v>
      </c>
      <c r="D124" s="26">
        <v>125000000</v>
      </c>
      <c r="E124" s="26">
        <v>125000000</v>
      </c>
      <c r="F124" s="14">
        <v>0.5</v>
      </c>
      <c r="G124" s="26">
        <v>0</v>
      </c>
      <c r="H124" s="14">
        <v>0</v>
      </c>
      <c r="I124" s="26">
        <v>0</v>
      </c>
      <c r="J124" s="14">
        <v>0</v>
      </c>
      <c r="K124" s="26">
        <v>125000000</v>
      </c>
      <c r="L124" s="1"/>
    </row>
    <row r="125" spans="1:12" ht="12.75" customHeight="1" x14ac:dyDescent="0.35">
      <c r="A125" s="1"/>
      <c r="B125" s="13" t="s">
        <v>139</v>
      </c>
      <c r="C125" s="26">
        <v>150000000</v>
      </c>
      <c r="D125" s="26">
        <v>75000000</v>
      </c>
      <c r="E125" s="26">
        <v>75000000</v>
      </c>
      <c r="F125" s="14">
        <v>0.5</v>
      </c>
      <c r="G125" s="26">
        <v>46460160</v>
      </c>
      <c r="H125" s="14">
        <v>0.61950000000000005</v>
      </c>
      <c r="I125" s="26">
        <v>0</v>
      </c>
      <c r="J125" s="14">
        <v>0</v>
      </c>
      <c r="K125" s="26">
        <v>28539840</v>
      </c>
      <c r="L125" s="1"/>
    </row>
    <row r="126" spans="1:12" ht="12.75" customHeight="1" x14ac:dyDescent="0.35">
      <c r="A126" s="1"/>
      <c r="B126" s="13" t="s">
        <v>140</v>
      </c>
      <c r="C126" s="26">
        <v>1040000000</v>
      </c>
      <c r="D126" s="26">
        <v>520000000</v>
      </c>
      <c r="E126" s="26">
        <v>520000000</v>
      </c>
      <c r="F126" s="14">
        <v>0.5</v>
      </c>
      <c r="G126" s="26">
        <v>0</v>
      </c>
      <c r="H126" s="14">
        <v>0</v>
      </c>
      <c r="I126" s="26">
        <v>0</v>
      </c>
      <c r="J126" s="14">
        <v>0</v>
      </c>
      <c r="K126" s="26">
        <v>520000000</v>
      </c>
      <c r="L126" s="1"/>
    </row>
    <row r="127" spans="1:12" ht="12.75" customHeight="1" x14ac:dyDescent="0.35">
      <c r="A127" s="1"/>
      <c r="B127" s="13" t="s">
        <v>141</v>
      </c>
      <c r="C127" s="26">
        <v>200000000</v>
      </c>
      <c r="D127" s="26">
        <v>100000000</v>
      </c>
      <c r="E127" s="26">
        <v>100000000</v>
      </c>
      <c r="F127" s="14">
        <v>0.5</v>
      </c>
      <c r="G127" s="26">
        <v>0</v>
      </c>
      <c r="H127" s="14">
        <v>0</v>
      </c>
      <c r="I127" s="26">
        <v>0</v>
      </c>
      <c r="J127" s="14">
        <v>0</v>
      </c>
      <c r="K127" s="26">
        <v>100000000</v>
      </c>
      <c r="L127" s="1"/>
    </row>
    <row r="128" spans="1:12" ht="12.75" customHeight="1" x14ac:dyDescent="0.35">
      <c r="A128" s="1"/>
      <c r="B128" s="13" t="s">
        <v>142</v>
      </c>
      <c r="C128" s="26">
        <v>100000000</v>
      </c>
      <c r="D128" s="26">
        <v>50000000</v>
      </c>
      <c r="E128" s="26">
        <v>50000000</v>
      </c>
      <c r="F128" s="14">
        <v>0.5</v>
      </c>
      <c r="G128" s="26">
        <v>2159300</v>
      </c>
      <c r="H128" s="14">
        <v>4.3200000000000002E-2</v>
      </c>
      <c r="I128" s="26">
        <v>2159300</v>
      </c>
      <c r="J128" s="14">
        <v>4.3200000000000002E-2</v>
      </c>
      <c r="K128" s="26">
        <v>47840700</v>
      </c>
      <c r="L128" s="1"/>
    </row>
    <row r="129" spans="1:12" ht="12.75" customHeight="1" x14ac:dyDescent="0.35">
      <c r="A129" s="1"/>
      <c r="B129" s="13" t="s">
        <v>143</v>
      </c>
      <c r="C129" s="26">
        <v>200000000</v>
      </c>
      <c r="D129" s="26">
        <v>100000000</v>
      </c>
      <c r="E129" s="26">
        <v>100000000</v>
      </c>
      <c r="F129" s="14">
        <v>0.5</v>
      </c>
      <c r="G129" s="26">
        <v>0</v>
      </c>
      <c r="H129" s="14">
        <v>0</v>
      </c>
      <c r="I129" s="26">
        <v>0</v>
      </c>
      <c r="J129" s="14">
        <v>0</v>
      </c>
      <c r="K129" s="26">
        <v>100000000</v>
      </c>
      <c r="L129" s="1"/>
    </row>
    <row r="130" spans="1:12" ht="12.75" customHeight="1" x14ac:dyDescent="0.35">
      <c r="A130" s="1"/>
      <c r="B130" s="13" t="s">
        <v>144</v>
      </c>
      <c r="C130" s="26">
        <v>110000000</v>
      </c>
      <c r="D130" s="26">
        <v>100000000</v>
      </c>
      <c r="E130" s="26">
        <v>100000000</v>
      </c>
      <c r="F130" s="14">
        <v>0.90910000000000002</v>
      </c>
      <c r="G130" s="26">
        <v>0</v>
      </c>
      <c r="H130" s="14">
        <v>0</v>
      </c>
      <c r="I130" s="26">
        <v>0</v>
      </c>
      <c r="J130" s="14">
        <v>0</v>
      </c>
      <c r="K130" s="26">
        <v>100000000</v>
      </c>
      <c r="L130" s="1"/>
    </row>
    <row r="131" spans="1:12" ht="12.75" customHeight="1" x14ac:dyDescent="0.35">
      <c r="A131" s="1"/>
      <c r="B131" s="13" t="s">
        <v>145</v>
      </c>
      <c r="C131" s="26">
        <v>250000000</v>
      </c>
      <c r="D131" s="26">
        <v>125000000</v>
      </c>
      <c r="E131" s="26">
        <v>125000000</v>
      </c>
      <c r="F131" s="14">
        <v>0.5</v>
      </c>
      <c r="G131" s="26">
        <v>0</v>
      </c>
      <c r="H131" s="14">
        <v>0</v>
      </c>
      <c r="I131" s="26">
        <v>0</v>
      </c>
      <c r="J131" s="14">
        <v>0</v>
      </c>
      <c r="K131" s="26">
        <v>125000000</v>
      </c>
      <c r="L131" s="1"/>
    </row>
    <row r="132" spans="1:12" ht="12.75" customHeight="1" x14ac:dyDescent="0.35">
      <c r="A132" s="1"/>
      <c r="B132" s="13" t="s">
        <v>149</v>
      </c>
      <c r="C132" s="26">
        <v>60000000</v>
      </c>
      <c r="D132" s="26">
        <v>60000000</v>
      </c>
      <c r="E132" s="26">
        <v>60000000</v>
      </c>
      <c r="F132" s="14">
        <v>1</v>
      </c>
      <c r="G132" s="26">
        <v>9000000</v>
      </c>
      <c r="H132" s="14">
        <v>0.15</v>
      </c>
      <c r="I132" s="26">
        <v>0</v>
      </c>
      <c r="J132" s="14">
        <v>0</v>
      </c>
      <c r="K132" s="26">
        <v>51000000</v>
      </c>
      <c r="L132" s="1"/>
    </row>
    <row r="133" spans="1:12" ht="12.75" customHeight="1" x14ac:dyDescent="0.35">
      <c r="A133" s="1"/>
      <c r="B133" s="13" t="s">
        <v>146</v>
      </c>
      <c r="C133" s="26">
        <v>100000000</v>
      </c>
      <c r="D133" s="26">
        <v>50000000</v>
      </c>
      <c r="E133" s="26">
        <v>50000000</v>
      </c>
      <c r="F133" s="14">
        <v>0.5</v>
      </c>
      <c r="G133" s="26">
        <v>12720000</v>
      </c>
      <c r="H133" s="14">
        <v>0.25440000000000002</v>
      </c>
      <c r="I133" s="26">
        <v>0</v>
      </c>
      <c r="J133" s="14">
        <v>0</v>
      </c>
      <c r="K133" s="26">
        <v>37280000</v>
      </c>
      <c r="L133" s="1"/>
    </row>
    <row r="134" spans="1:12" ht="12.75" customHeight="1" x14ac:dyDescent="0.35">
      <c r="A134" s="1"/>
      <c r="B134" s="13" t="s">
        <v>147</v>
      </c>
      <c r="C134" s="26">
        <v>645000000</v>
      </c>
      <c r="D134" s="26">
        <v>322500000</v>
      </c>
      <c r="E134" s="26">
        <v>322500000</v>
      </c>
      <c r="F134" s="14">
        <v>0.5</v>
      </c>
      <c r="G134" s="26">
        <v>83170000</v>
      </c>
      <c r="H134" s="14">
        <v>0.25790000000000002</v>
      </c>
      <c r="I134" s="26">
        <v>18435000</v>
      </c>
      <c r="J134" s="14">
        <v>5.7200000000000001E-2</v>
      </c>
      <c r="K134" s="26">
        <v>239330000</v>
      </c>
      <c r="L134" s="1"/>
    </row>
    <row r="135" spans="1:12" ht="12.75" customHeight="1" x14ac:dyDescent="0.35">
      <c r="A135" s="1"/>
      <c r="B135" s="13" t="s">
        <v>150</v>
      </c>
      <c r="C135" s="26">
        <v>1000000000</v>
      </c>
      <c r="D135" s="26">
        <v>250000000</v>
      </c>
      <c r="E135" s="26">
        <v>250000000</v>
      </c>
      <c r="F135" s="14">
        <v>0.25</v>
      </c>
      <c r="G135" s="26">
        <v>0</v>
      </c>
      <c r="H135" s="14">
        <v>0</v>
      </c>
      <c r="I135" s="26">
        <v>0</v>
      </c>
      <c r="J135" s="14">
        <v>0</v>
      </c>
      <c r="K135" s="26">
        <v>250000000</v>
      </c>
      <c r="L135" s="1"/>
    </row>
    <row r="136" spans="1:12" ht="12.75" customHeight="1" x14ac:dyDescent="0.35">
      <c r="A136" s="27"/>
      <c r="B136" s="28" t="s">
        <v>168</v>
      </c>
      <c r="C136" s="29">
        <v>5410000000</v>
      </c>
      <c r="D136" s="29">
        <v>2530000000</v>
      </c>
      <c r="E136" s="29">
        <v>2530000000</v>
      </c>
      <c r="F136" s="30">
        <v>1</v>
      </c>
      <c r="G136" s="29">
        <v>177997460</v>
      </c>
      <c r="H136" s="30">
        <v>7.0400000000000004E-2</v>
      </c>
      <c r="I136" s="29">
        <v>45082300</v>
      </c>
      <c r="J136" s="30">
        <v>1.78E-2</v>
      </c>
      <c r="K136" s="29">
        <v>2352002540</v>
      </c>
      <c r="L136" s="27"/>
    </row>
    <row r="137" spans="1:12" ht="12.75" customHeight="1" x14ac:dyDescent="0.35">
      <c r="A137" s="1"/>
      <c r="B137" s="1"/>
      <c r="C137" s="5"/>
      <c r="D137" s="5"/>
      <c r="E137" s="5"/>
      <c r="F137" s="6"/>
      <c r="G137" s="5"/>
      <c r="H137" s="6"/>
      <c r="I137" s="5"/>
      <c r="J137" s="6"/>
      <c r="K137" s="5"/>
      <c r="L137" s="1"/>
    </row>
    <row r="138" spans="1:12" ht="12.75" customHeight="1" x14ac:dyDescent="0.35">
      <c r="A138" s="1"/>
      <c r="B138" s="21" t="s">
        <v>67</v>
      </c>
      <c r="C138" s="22"/>
      <c r="D138" s="22"/>
      <c r="E138" s="22"/>
      <c r="F138" s="23"/>
      <c r="G138" s="22"/>
      <c r="H138" s="23"/>
      <c r="I138" s="22"/>
      <c r="J138" s="23"/>
      <c r="K138" s="22"/>
      <c r="L138" s="1"/>
    </row>
    <row r="139" spans="1:12" ht="12.75" customHeight="1" x14ac:dyDescent="0.35">
      <c r="A139" s="10"/>
      <c r="B139" s="24" t="s">
        <v>8</v>
      </c>
      <c r="C139" s="25" t="s">
        <v>281</v>
      </c>
      <c r="D139" s="25" t="s">
        <v>1</v>
      </c>
      <c r="E139" s="25" t="s">
        <v>2</v>
      </c>
      <c r="F139" s="30" t="s">
        <v>162</v>
      </c>
      <c r="G139" s="25" t="s">
        <v>169</v>
      </c>
      <c r="H139" s="30" t="s">
        <v>164</v>
      </c>
      <c r="I139" s="25" t="s">
        <v>4</v>
      </c>
      <c r="J139" s="30" t="s">
        <v>166</v>
      </c>
      <c r="K139" s="25" t="s">
        <v>6</v>
      </c>
      <c r="L139" s="10"/>
    </row>
    <row r="140" spans="1:12" ht="12.75" customHeight="1" x14ac:dyDescent="0.35">
      <c r="A140" s="1"/>
      <c r="B140" s="13" t="s">
        <v>135</v>
      </c>
      <c r="C140" s="26">
        <v>0</v>
      </c>
      <c r="D140" s="26">
        <v>0</v>
      </c>
      <c r="E140" s="26">
        <v>0</v>
      </c>
      <c r="F140" s="14"/>
      <c r="G140" s="26">
        <v>0</v>
      </c>
      <c r="H140" s="14"/>
      <c r="I140" s="26">
        <v>0</v>
      </c>
      <c r="J140" s="14"/>
      <c r="K140" s="26">
        <v>0</v>
      </c>
      <c r="L140" s="1"/>
    </row>
    <row r="141" spans="1:12" ht="12.75" customHeight="1" x14ac:dyDescent="0.35">
      <c r="A141" s="1"/>
      <c r="B141" s="13" t="s">
        <v>136</v>
      </c>
      <c r="C141" s="26">
        <v>180000000</v>
      </c>
      <c r="D141" s="26">
        <v>90000000</v>
      </c>
      <c r="E141" s="26">
        <v>90000000</v>
      </c>
      <c r="F141" s="14">
        <v>0.5</v>
      </c>
      <c r="G141" s="26">
        <v>0</v>
      </c>
      <c r="H141" s="14">
        <v>0</v>
      </c>
      <c r="I141" s="26">
        <v>0</v>
      </c>
      <c r="J141" s="14">
        <v>0</v>
      </c>
      <c r="K141" s="26">
        <v>90000000</v>
      </c>
      <c r="L141" s="1"/>
    </row>
    <row r="142" spans="1:12" ht="12.75" customHeight="1" x14ac:dyDescent="0.35">
      <c r="A142" s="1"/>
      <c r="B142" s="13" t="s">
        <v>137</v>
      </c>
      <c r="C142" s="26">
        <v>118875000</v>
      </c>
      <c r="D142" s="26">
        <v>59437500</v>
      </c>
      <c r="E142" s="26">
        <v>59437500</v>
      </c>
      <c r="F142" s="14">
        <v>0.5</v>
      </c>
      <c r="G142" s="26">
        <v>15775000</v>
      </c>
      <c r="H142" s="14">
        <v>0.26540000000000002</v>
      </c>
      <c r="I142" s="26">
        <v>0</v>
      </c>
      <c r="J142" s="14">
        <v>0</v>
      </c>
      <c r="K142" s="26">
        <v>43662500</v>
      </c>
      <c r="L142" s="1"/>
    </row>
    <row r="143" spans="1:12" ht="12.75" customHeight="1" x14ac:dyDescent="0.35">
      <c r="A143" s="1"/>
      <c r="B143" s="13" t="s">
        <v>138</v>
      </c>
      <c r="C143" s="26">
        <v>90090000</v>
      </c>
      <c r="D143" s="26">
        <v>45045000</v>
      </c>
      <c r="E143" s="26">
        <v>45045000</v>
      </c>
      <c r="F143" s="14">
        <v>0.5</v>
      </c>
      <c r="G143" s="26">
        <v>11205000</v>
      </c>
      <c r="H143" s="14">
        <v>0.24879999999999999</v>
      </c>
      <c r="I143" s="26">
        <v>0</v>
      </c>
      <c r="J143" s="14">
        <v>0</v>
      </c>
      <c r="K143" s="26">
        <v>33840000</v>
      </c>
      <c r="L143" s="1"/>
    </row>
    <row r="144" spans="1:12" ht="12.75" customHeight="1" x14ac:dyDescent="0.35">
      <c r="A144" s="1"/>
      <c r="B144" s="13" t="s">
        <v>139</v>
      </c>
      <c r="C144" s="26">
        <v>320100000</v>
      </c>
      <c r="D144" s="26">
        <v>160050000</v>
      </c>
      <c r="E144" s="26">
        <v>160050000</v>
      </c>
      <c r="F144" s="14">
        <v>0.5</v>
      </c>
      <c r="G144" s="26">
        <v>71775000</v>
      </c>
      <c r="H144" s="14">
        <v>0.44850000000000001</v>
      </c>
      <c r="I144" s="26">
        <v>0</v>
      </c>
      <c r="J144" s="14">
        <v>0</v>
      </c>
      <c r="K144" s="26">
        <v>88275000</v>
      </c>
      <c r="L144" s="1"/>
    </row>
    <row r="145" spans="1:12" ht="12.75" customHeight="1" x14ac:dyDescent="0.35">
      <c r="A145" s="1"/>
      <c r="B145" s="13" t="s">
        <v>140</v>
      </c>
      <c r="C145" s="26">
        <v>250000000</v>
      </c>
      <c r="D145" s="26">
        <v>125000000</v>
      </c>
      <c r="E145" s="26">
        <v>125000000</v>
      </c>
      <c r="F145" s="14">
        <v>0.5</v>
      </c>
      <c r="G145" s="26">
        <v>32848750</v>
      </c>
      <c r="H145" s="14">
        <v>0.26279999999999998</v>
      </c>
      <c r="I145" s="26">
        <v>0</v>
      </c>
      <c r="J145" s="14">
        <v>0</v>
      </c>
      <c r="K145" s="26">
        <v>92151250</v>
      </c>
      <c r="L145" s="1"/>
    </row>
    <row r="146" spans="1:12" ht="12.75" customHeight="1" x14ac:dyDescent="0.35">
      <c r="A146" s="1"/>
      <c r="B146" s="13" t="s">
        <v>141</v>
      </c>
      <c r="C146" s="26">
        <v>346378000</v>
      </c>
      <c r="D146" s="26">
        <v>173189000</v>
      </c>
      <c r="E146" s="26">
        <v>173189000</v>
      </c>
      <c r="F146" s="14">
        <v>0.5</v>
      </c>
      <c r="G146" s="26">
        <v>62100000</v>
      </c>
      <c r="H146" s="14">
        <v>0.35859999999999997</v>
      </c>
      <c r="I146" s="26">
        <v>62100000</v>
      </c>
      <c r="J146" s="14">
        <v>0.35859999999999997</v>
      </c>
      <c r="K146" s="26">
        <v>111089000</v>
      </c>
      <c r="L146" s="1"/>
    </row>
    <row r="147" spans="1:12" ht="12.75" customHeight="1" x14ac:dyDescent="0.35">
      <c r="A147" s="1"/>
      <c r="B147" s="13" t="s">
        <v>142</v>
      </c>
      <c r="C147" s="26">
        <v>111310000</v>
      </c>
      <c r="D147" s="26">
        <v>55655000</v>
      </c>
      <c r="E147" s="26">
        <v>55655000</v>
      </c>
      <c r="F147" s="14">
        <v>0.5</v>
      </c>
      <c r="G147" s="26">
        <v>21262500</v>
      </c>
      <c r="H147" s="14">
        <v>0.38200000000000001</v>
      </c>
      <c r="I147" s="26">
        <v>0</v>
      </c>
      <c r="J147" s="14">
        <v>0</v>
      </c>
      <c r="K147" s="26">
        <v>34392500</v>
      </c>
      <c r="L147" s="1"/>
    </row>
    <row r="148" spans="1:12" ht="12.75" customHeight="1" x14ac:dyDescent="0.35">
      <c r="A148" s="1"/>
      <c r="B148" s="13" t="s">
        <v>143</v>
      </c>
      <c r="C148" s="26">
        <v>141550000</v>
      </c>
      <c r="D148" s="26">
        <v>70775000</v>
      </c>
      <c r="E148" s="26">
        <v>70775000</v>
      </c>
      <c r="F148" s="14">
        <v>0.5</v>
      </c>
      <c r="G148" s="26">
        <v>28052000</v>
      </c>
      <c r="H148" s="14">
        <v>0.39639999999999997</v>
      </c>
      <c r="I148" s="26">
        <v>3970000</v>
      </c>
      <c r="J148" s="14">
        <v>5.6099999999999997E-2</v>
      </c>
      <c r="K148" s="26">
        <v>42723000</v>
      </c>
      <c r="L148" s="1"/>
    </row>
    <row r="149" spans="1:12" ht="12.75" customHeight="1" x14ac:dyDescent="0.35">
      <c r="A149" s="1"/>
      <c r="B149" s="13" t="s">
        <v>144</v>
      </c>
      <c r="C149" s="26">
        <v>99980000</v>
      </c>
      <c r="D149" s="26">
        <v>63030000</v>
      </c>
      <c r="E149" s="26">
        <v>63030000</v>
      </c>
      <c r="F149" s="14">
        <v>0.63039999999999996</v>
      </c>
      <c r="G149" s="26">
        <v>0</v>
      </c>
      <c r="H149" s="14">
        <v>0</v>
      </c>
      <c r="I149" s="26">
        <v>0</v>
      </c>
      <c r="J149" s="14">
        <v>0</v>
      </c>
      <c r="K149" s="26">
        <v>63030000</v>
      </c>
      <c r="L149" s="1"/>
    </row>
    <row r="150" spans="1:12" ht="12.75" customHeight="1" x14ac:dyDescent="0.35">
      <c r="A150" s="1"/>
      <c r="B150" s="13" t="s">
        <v>145</v>
      </c>
      <c r="C150" s="26">
        <v>316800000</v>
      </c>
      <c r="D150" s="26">
        <v>158400000</v>
      </c>
      <c r="E150" s="26">
        <v>158400000</v>
      </c>
      <c r="F150" s="14">
        <v>0.5</v>
      </c>
      <c r="G150" s="26">
        <v>37804500</v>
      </c>
      <c r="H150" s="14">
        <v>0.2387</v>
      </c>
      <c r="I150" s="26">
        <v>0</v>
      </c>
      <c r="J150" s="14">
        <v>0</v>
      </c>
      <c r="K150" s="26">
        <v>120595500</v>
      </c>
      <c r="L150" s="1"/>
    </row>
    <row r="151" spans="1:12" ht="12.75" customHeight="1" x14ac:dyDescent="0.35">
      <c r="A151" s="1"/>
      <c r="B151" s="13" t="s">
        <v>149</v>
      </c>
      <c r="C151" s="26">
        <v>45150000</v>
      </c>
      <c r="D151" s="26">
        <v>45150000</v>
      </c>
      <c r="E151" s="26">
        <v>45150000</v>
      </c>
      <c r="F151" s="14">
        <v>1</v>
      </c>
      <c r="G151" s="26">
        <v>6119400</v>
      </c>
      <c r="H151" s="14">
        <v>0.13550000000000001</v>
      </c>
      <c r="I151" s="26">
        <v>0</v>
      </c>
      <c r="J151" s="14">
        <v>0</v>
      </c>
      <c r="K151" s="26">
        <v>39030600</v>
      </c>
      <c r="L151" s="1"/>
    </row>
    <row r="152" spans="1:12" ht="12.75" customHeight="1" x14ac:dyDescent="0.35">
      <c r="A152" s="1"/>
      <c r="B152" s="13" t="s">
        <v>146</v>
      </c>
      <c r="C152" s="26">
        <v>1016150000</v>
      </c>
      <c r="D152" s="26">
        <v>508075000</v>
      </c>
      <c r="E152" s="26">
        <v>508075000</v>
      </c>
      <c r="F152" s="14">
        <v>0.5</v>
      </c>
      <c r="G152" s="26">
        <v>128340000</v>
      </c>
      <c r="H152" s="14">
        <v>0.25259999999999999</v>
      </c>
      <c r="I152" s="26">
        <v>82800000</v>
      </c>
      <c r="J152" s="14">
        <v>0.16300000000000001</v>
      </c>
      <c r="K152" s="26">
        <v>379735000</v>
      </c>
      <c r="L152" s="1"/>
    </row>
    <row r="153" spans="1:12" ht="12.75" customHeight="1" x14ac:dyDescent="0.35">
      <c r="A153" s="1"/>
      <c r="B153" s="13" t="s">
        <v>147</v>
      </c>
      <c r="C153" s="26">
        <v>285972000</v>
      </c>
      <c r="D153" s="26">
        <v>142986000</v>
      </c>
      <c r="E153" s="26">
        <v>142986000</v>
      </c>
      <c r="F153" s="14">
        <v>0.5</v>
      </c>
      <c r="G153" s="26">
        <v>32200000</v>
      </c>
      <c r="H153" s="14">
        <v>0.22520000000000001</v>
      </c>
      <c r="I153" s="26">
        <v>32200000</v>
      </c>
      <c r="J153" s="14">
        <v>0.22520000000000001</v>
      </c>
      <c r="K153" s="26">
        <v>110786000</v>
      </c>
      <c r="L153" s="1"/>
    </row>
    <row r="154" spans="1:12" ht="12.75" customHeight="1" x14ac:dyDescent="0.35">
      <c r="A154" s="1"/>
      <c r="B154" s="13" t="s">
        <v>150</v>
      </c>
      <c r="C154" s="26">
        <v>0</v>
      </c>
      <c r="D154" s="26">
        <v>0</v>
      </c>
      <c r="E154" s="26">
        <v>0</v>
      </c>
      <c r="F154" s="14"/>
      <c r="G154" s="26">
        <v>0</v>
      </c>
      <c r="H154" s="14"/>
      <c r="I154" s="26">
        <v>0</v>
      </c>
      <c r="J154" s="14"/>
      <c r="K154" s="26">
        <v>0</v>
      </c>
      <c r="L154" s="1"/>
    </row>
    <row r="155" spans="1:12" ht="12.75" customHeight="1" x14ac:dyDescent="0.35">
      <c r="A155" s="27"/>
      <c r="B155" s="28" t="s">
        <v>168</v>
      </c>
      <c r="C155" s="29">
        <v>3322355000</v>
      </c>
      <c r="D155" s="29">
        <v>1696792500</v>
      </c>
      <c r="E155" s="29">
        <v>1696792500</v>
      </c>
      <c r="F155" s="30">
        <v>1</v>
      </c>
      <c r="G155" s="29">
        <v>447482150</v>
      </c>
      <c r="H155" s="30">
        <v>0.26369999999999999</v>
      </c>
      <c r="I155" s="29">
        <v>181070000</v>
      </c>
      <c r="J155" s="30">
        <v>0.1067</v>
      </c>
      <c r="K155" s="29">
        <v>1249310350</v>
      </c>
      <c r="L155" s="27"/>
    </row>
    <row r="156" spans="1:12" ht="12.75" customHeight="1" x14ac:dyDescent="0.35">
      <c r="A156" s="1"/>
      <c r="B156" s="1"/>
      <c r="C156" s="5"/>
      <c r="D156" s="5"/>
      <c r="E156" s="5"/>
      <c r="F156" s="6"/>
      <c r="G156" s="5"/>
      <c r="H156" s="6"/>
      <c r="I156" s="5"/>
      <c r="J156" s="6"/>
      <c r="K156" s="5"/>
      <c r="L156" s="1"/>
    </row>
    <row r="157" spans="1:12" ht="12.75" customHeight="1" x14ac:dyDescent="0.35">
      <c r="A157" s="1"/>
      <c r="B157" s="21" t="s">
        <v>35</v>
      </c>
      <c r="C157" s="22"/>
      <c r="D157" s="22"/>
      <c r="E157" s="22"/>
      <c r="F157" s="23"/>
      <c r="G157" s="22"/>
      <c r="H157" s="23"/>
      <c r="I157" s="22"/>
      <c r="J157" s="23"/>
      <c r="K157" s="22"/>
      <c r="L157" s="1"/>
    </row>
    <row r="158" spans="1:12" ht="12.75" customHeight="1" x14ac:dyDescent="0.35">
      <c r="A158" s="10"/>
      <c r="B158" s="24" t="s">
        <v>8</v>
      </c>
      <c r="C158" s="25" t="s">
        <v>281</v>
      </c>
      <c r="D158" s="25" t="s">
        <v>1</v>
      </c>
      <c r="E158" s="25" t="s">
        <v>2</v>
      </c>
      <c r="F158" s="30" t="s">
        <v>162</v>
      </c>
      <c r="G158" s="25" t="s">
        <v>169</v>
      </c>
      <c r="H158" s="30" t="s">
        <v>164</v>
      </c>
      <c r="I158" s="25" t="s">
        <v>4</v>
      </c>
      <c r="J158" s="30" t="s">
        <v>166</v>
      </c>
      <c r="K158" s="25" t="s">
        <v>6</v>
      </c>
      <c r="L158" s="10"/>
    </row>
    <row r="159" spans="1:12" ht="12.75" customHeight="1" x14ac:dyDescent="0.35">
      <c r="A159" s="1"/>
      <c r="B159" s="13" t="s">
        <v>135</v>
      </c>
      <c r="C159" s="26">
        <v>0</v>
      </c>
      <c r="D159" s="26">
        <v>0</v>
      </c>
      <c r="E159" s="26">
        <v>0</v>
      </c>
      <c r="F159" s="14"/>
      <c r="G159" s="26">
        <v>0</v>
      </c>
      <c r="H159" s="14"/>
      <c r="I159" s="26">
        <v>0</v>
      </c>
      <c r="J159" s="14"/>
      <c r="K159" s="26">
        <v>0</v>
      </c>
      <c r="L159" s="1"/>
    </row>
    <row r="160" spans="1:12" ht="12.75" customHeight="1" x14ac:dyDescent="0.35">
      <c r="A160" s="1"/>
      <c r="B160" s="13" t="s">
        <v>136</v>
      </c>
      <c r="C160" s="26">
        <v>3500000000</v>
      </c>
      <c r="D160" s="26">
        <v>875000000</v>
      </c>
      <c r="E160" s="26">
        <v>875000000</v>
      </c>
      <c r="F160" s="14">
        <v>0.25</v>
      </c>
      <c r="G160" s="26">
        <v>466659980</v>
      </c>
      <c r="H160" s="14">
        <v>0.5333</v>
      </c>
      <c r="I160" s="26">
        <v>466659980</v>
      </c>
      <c r="J160" s="14">
        <v>0.5333</v>
      </c>
      <c r="K160" s="26">
        <v>408340020</v>
      </c>
      <c r="L160" s="1"/>
    </row>
    <row r="161" spans="1:12" ht="12.75" customHeight="1" x14ac:dyDescent="0.35">
      <c r="A161" s="1"/>
      <c r="B161" s="13" t="s">
        <v>137</v>
      </c>
      <c r="C161" s="26">
        <v>2260000000</v>
      </c>
      <c r="D161" s="26">
        <v>565000000</v>
      </c>
      <c r="E161" s="26">
        <v>565000000</v>
      </c>
      <c r="F161" s="14">
        <v>0.25</v>
      </c>
      <c r="G161" s="26">
        <v>325092882</v>
      </c>
      <c r="H161" s="14">
        <v>0.57540000000000002</v>
      </c>
      <c r="I161" s="26">
        <v>325092882</v>
      </c>
      <c r="J161" s="14">
        <v>0.57540000000000002</v>
      </c>
      <c r="K161" s="26">
        <v>239907118</v>
      </c>
      <c r="L161" s="1"/>
    </row>
    <row r="162" spans="1:12" ht="12.75" customHeight="1" x14ac:dyDescent="0.35">
      <c r="A162" s="1"/>
      <c r="B162" s="13" t="s">
        <v>138</v>
      </c>
      <c r="C162" s="26">
        <v>2501300000</v>
      </c>
      <c r="D162" s="26">
        <v>625325000</v>
      </c>
      <c r="E162" s="26">
        <v>625325000</v>
      </c>
      <c r="F162" s="14">
        <v>0.25</v>
      </c>
      <c r="G162" s="26">
        <v>346245306</v>
      </c>
      <c r="H162" s="14">
        <v>0.55369999999999997</v>
      </c>
      <c r="I162" s="26">
        <v>346245306</v>
      </c>
      <c r="J162" s="14">
        <v>0.55369999999999997</v>
      </c>
      <c r="K162" s="26">
        <v>279079694</v>
      </c>
      <c r="L162" s="1"/>
    </row>
    <row r="163" spans="1:12" ht="12.75" customHeight="1" x14ac:dyDescent="0.35">
      <c r="A163" s="1"/>
      <c r="B163" s="13" t="s">
        <v>139</v>
      </c>
      <c r="C163" s="26">
        <v>2570000000</v>
      </c>
      <c r="D163" s="26">
        <v>642500000</v>
      </c>
      <c r="E163" s="26">
        <v>642500000</v>
      </c>
      <c r="F163" s="14">
        <v>0.25</v>
      </c>
      <c r="G163" s="26">
        <v>394857596</v>
      </c>
      <c r="H163" s="14">
        <v>0.61460000000000004</v>
      </c>
      <c r="I163" s="26">
        <v>394857596</v>
      </c>
      <c r="J163" s="14">
        <v>0.61460000000000004</v>
      </c>
      <c r="K163" s="26">
        <v>247642404</v>
      </c>
      <c r="L163" s="1"/>
    </row>
    <row r="164" spans="1:12" ht="12.75" customHeight="1" x14ac:dyDescent="0.35">
      <c r="A164" s="1"/>
      <c r="B164" s="13" t="s">
        <v>140</v>
      </c>
      <c r="C164" s="26">
        <v>3063576000</v>
      </c>
      <c r="D164" s="26">
        <v>765894000</v>
      </c>
      <c r="E164" s="26">
        <v>765894000</v>
      </c>
      <c r="F164" s="14">
        <v>0.25</v>
      </c>
      <c r="G164" s="26">
        <v>396859899</v>
      </c>
      <c r="H164" s="14">
        <v>0.51819999999999999</v>
      </c>
      <c r="I164" s="26">
        <v>396859899</v>
      </c>
      <c r="J164" s="14">
        <v>0.51819999999999999</v>
      </c>
      <c r="K164" s="26">
        <v>369034101</v>
      </c>
      <c r="L164" s="1"/>
    </row>
    <row r="165" spans="1:12" ht="12.75" customHeight="1" x14ac:dyDescent="0.35">
      <c r="A165" s="1"/>
      <c r="B165" s="13" t="s">
        <v>141</v>
      </c>
      <c r="C165" s="26">
        <v>2185360000</v>
      </c>
      <c r="D165" s="26">
        <v>546340018</v>
      </c>
      <c r="E165" s="26">
        <v>546340018</v>
      </c>
      <c r="F165" s="14">
        <v>0.25</v>
      </c>
      <c r="G165" s="26">
        <v>320371955</v>
      </c>
      <c r="H165" s="14">
        <v>0.58640000000000003</v>
      </c>
      <c r="I165" s="26">
        <v>320371955</v>
      </c>
      <c r="J165" s="14">
        <v>0.58640000000000003</v>
      </c>
      <c r="K165" s="26">
        <v>225968063</v>
      </c>
      <c r="L165" s="1"/>
    </row>
    <row r="166" spans="1:12" ht="12.75" customHeight="1" x14ac:dyDescent="0.35">
      <c r="A166" s="1"/>
      <c r="B166" s="13" t="s">
        <v>142</v>
      </c>
      <c r="C166" s="26">
        <v>2310000000</v>
      </c>
      <c r="D166" s="26">
        <v>577500000</v>
      </c>
      <c r="E166" s="26">
        <v>577500000</v>
      </c>
      <c r="F166" s="14">
        <v>0.25</v>
      </c>
      <c r="G166" s="26">
        <v>284145595</v>
      </c>
      <c r="H166" s="14">
        <v>0.49199999999999999</v>
      </c>
      <c r="I166" s="26">
        <v>284145595</v>
      </c>
      <c r="J166" s="14">
        <v>0.49199999999999999</v>
      </c>
      <c r="K166" s="26">
        <v>293354405</v>
      </c>
      <c r="L166" s="1"/>
    </row>
    <row r="167" spans="1:12" ht="12.75" customHeight="1" x14ac:dyDescent="0.35">
      <c r="A167" s="1"/>
      <c r="B167" s="13" t="s">
        <v>143</v>
      </c>
      <c r="C167" s="26">
        <v>2911760000</v>
      </c>
      <c r="D167" s="26">
        <v>880440000</v>
      </c>
      <c r="E167" s="26">
        <v>880440000</v>
      </c>
      <c r="F167" s="14">
        <v>0.3024</v>
      </c>
      <c r="G167" s="26">
        <v>412137110</v>
      </c>
      <c r="H167" s="14">
        <v>0.46810000000000002</v>
      </c>
      <c r="I167" s="26">
        <v>411555340</v>
      </c>
      <c r="J167" s="14">
        <v>0.46739999999999998</v>
      </c>
      <c r="K167" s="26">
        <v>468302890</v>
      </c>
      <c r="L167" s="1"/>
    </row>
    <row r="168" spans="1:12" ht="12.75" customHeight="1" x14ac:dyDescent="0.35">
      <c r="A168" s="1"/>
      <c r="B168" s="13" t="s">
        <v>144</v>
      </c>
      <c r="C168" s="26">
        <v>411080000</v>
      </c>
      <c r="D168" s="26">
        <v>90000000</v>
      </c>
      <c r="E168" s="26">
        <v>90000000</v>
      </c>
      <c r="F168" s="14">
        <v>0.21890000000000001</v>
      </c>
      <c r="G168" s="26">
        <v>70896704</v>
      </c>
      <c r="H168" s="14">
        <v>0.78769999999999996</v>
      </c>
      <c r="I168" s="26">
        <v>69572062</v>
      </c>
      <c r="J168" s="14">
        <v>0.77300000000000002</v>
      </c>
      <c r="K168" s="26">
        <v>19103296</v>
      </c>
      <c r="L168" s="1"/>
    </row>
    <row r="169" spans="1:12" ht="12.75" customHeight="1" x14ac:dyDescent="0.35">
      <c r="A169" s="1"/>
      <c r="B169" s="13" t="s">
        <v>145</v>
      </c>
      <c r="C169" s="26">
        <v>2230000000</v>
      </c>
      <c r="D169" s="26">
        <v>637500000</v>
      </c>
      <c r="E169" s="26">
        <v>637500000</v>
      </c>
      <c r="F169" s="14">
        <v>0.28589999999999999</v>
      </c>
      <c r="G169" s="26">
        <v>227651545</v>
      </c>
      <c r="H169" s="14">
        <v>0.35709999999999997</v>
      </c>
      <c r="I169" s="26">
        <v>218151545</v>
      </c>
      <c r="J169" s="14">
        <v>0.3422</v>
      </c>
      <c r="K169" s="26">
        <v>409848455</v>
      </c>
      <c r="L169" s="1"/>
    </row>
    <row r="170" spans="1:12" ht="12.75" customHeight="1" x14ac:dyDescent="0.35">
      <c r="A170" s="1"/>
      <c r="B170" s="13" t="s">
        <v>149</v>
      </c>
      <c r="C170" s="26">
        <v>0</v>
      </c>
      <c r="D170" s="26">
        <v>0</v>
      </c>
      <c r="E170" s="26">
        <v>0</v>
      </c>
      <c r="F170" s="14"/>
      <c r="G170" s="26">
        <v>0</v>
      </c>
      <c r="H170" s="14"/>
      <c r="I170" s="26">
        <v>0</v>
      </c>
      <c r="J170" s="14"/>
      <c r="K170" s="26">
        <v>0</v>
      </c>
      <c r="L170" s="1"/>
    </row>
    <row r="171" spans="1:12" ht="12.75" customHeight="1" x14ac:dyDescent="0.35">
      <c r="A171" s="1"/>
      <c r="B171" s="13" t="s">
        <v>146</v>
      </c>
      <c r="C171" s="26">
        <v>2560000000</v>
      </c>
      <c r="D171" s="26">
        <v>640000000</v>
      </c>
      <c r="E171" s="26">
        <v>640000000</v>
      </c>
      <c r="F171" s="14">
        <v>0.25</v>
      </c>
      <c r="G171" s="26">
        <v>455035109</v>
      </c>
      <c r="H171" s="14">
        <v>0.71099999999999997</v>
      </c>
      <c r="I171" s="26">
        <v>446630703</v>
      </c>
      <c r="J171" s="14">
        <v>0.69789999999999996</v>
      </c>
      <c r="K171" s="26">
        <v>184964891</v>
      </c>
      <c r="L171" s="1"/>
    </row>
    <row r="172" spans="1:12" ht="12.75" customHeight="1" x14ac:dyDescent="0.35">
      <c r="A172" s="1"/>
      <c r="B172" s="13" t="s">
        <v>147</v>
      </c>
      <c r="C172" s="26">
        <v>1539315000</v>
      </c>
      <c r="D172" s="26">
        <v>384828750</v>
      </c>
      <c r="E172" s="26">
        <v>384828750</v>
      </c>
      <c r="F172" s="14">
        <v>0.25</v>
      </c>
      <c r="G172" s="26">
        <v>231047765</v>
      </c>
      <c r="H172" s="14">
        <v>0.60040000000000004</v>
      </c>
      <c r="I172" s="26">
        <v>230704071</v>
      </c>
      <c r="J172" s="14">
        <v>0.59950000000000003</v>
      </c>
      <c r="K172" s="26">
        <v>153780985</v>
      </c>
      <c r="L172" s="1"/>
    </row>
    <row r="173" spans="1:12" ht="12.75" customHeight="1" x14ac:dyDescent="0.35">
      <c r="A173" s="1"/>
      <c r="B173" s="13" t="s">
        <v>150</v>
      </c>
      <c r="C173" s="26">
        <v>4500000000</v>
      </c>
      <c r="D173" s="26">
        <v>1125000000</v>
      </c>
      <c r="E173" s="26">
        <v>1125000000</v>
      </c>
      <c r="F173" s="14">
        <v>0.25</v>
      </c>
      <c r="G173" s="26">
        <v>901692058</v>
      </c>
      <c r="H173" s="14">
        <v>0.80149999999999999</v>
      </c>
      <c r="I173" s="26">
        <v>901692058</v>
      </c>
      <c r="J173" s="14">
        <v>0.80149999999999999</v>
      </c>
      <c r="K173" s="26">
        <v>223307942</v>
      </c>
      <c r="L173" s="1"/>
    </row>
    <row r="174" spans="1:12" ht="12.75" customHeight="1" x14ac:dyDescent="0.35">
      <c r="A174" s="27"/>
      <c r="B174" s="28" t="s">
        <v>168</v>
      </c>
      <c r="C174" s="29">
        <v>32542391000</v>
      </c>
      <c r="D174" s="29">
        <v>8355327768</v>
      </c>
      <c r="E174" s="29">
        <v>8355327768</v>
      </c>
      <c r="F174" s="30">
        <v>1</v>
      </c>
      <c r="G174" s="29">
        <v>4832693504</v>
      </c>
      <c r="H174" s="30">
        <v>0.57840000000000003</v>
      </c>
      <c r="I174" s="29">
        <v>4812538992</v>
      </c>
      <c r="J174" s="30">
        <v>0.57599999999999996</v>
      </c>
      <c r="K174" s="29">
        <v>3522634264</v>
      </c>
      <c r="L174" s="27"/>
    </row>
    <row r="175" spans="1:12" ht="12.75" x14ac:dyDescent="0.35">
      <c r="A175" s="1"/>
      <c r="B175" s="1"/>
      <c r="C175" s="5"/>
      <c r="D175" s="5"/>
      <c r="E175" s="5"/>
      <c r="F175" s="6"/>
      <c r="G175" s="5"/>
      <c r="H175" s="6"/>
      <c r="I175" s="5"/>
      <c r="J175" s="6"/>
      <c r="K175" s="5"/>
      <c r="L175" s="1"/>
    </row>
  </sheetData>
  <mergeCells count="2">
    <mergeCell ref="B2:K2"/>
    <mergeCell ref="B3:K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79"/>
  <sheetViews>
    <sheetView showGridLines="0" workbookViewId="0">
      <pane ySplit="3" topLeftCell="A4" activePane="bottomLeft" state="frozen"/>
      <selection activeCell="B5" sqref="B5"/>
      <selection pane="bottomLeft" activeCell="B5" sqref="B5"/>
    </sheetView>
  </sheetViews>
  <sheetFormatPr defaultColWidth="12.59765625" defaultRowHeight="15.75" customHeight="1" x14ac:dyDescent="0.35"/>
  <cols>
    <col min="1" max="1" width="2.59765625" customWidth="1"/>
    <col min="2" max="2" width="9.265625" customWidth="1"/>
    <col min="6" max="6" width="2.59765625" customWidth="1"/>
    <col min="7" max="7" width="69.86328125" customWidth="1"/>
    <col min="8" max="8" width="2.59765625" customWidth="1"/>
  </cols>
  <sheetData>
    <row r="1" spans="1:8" ht="12.75" x14ac:dyDescent="0.35">
      <c r="A1" s="31"/>
      <c r="B1" s="31"/>
      <c r="C1" s="31"/>
      <c r="D1" s="32"/>
      <c r="E1" s="32"/>
      <c r="F1" s="31"/>
      <c r="G1" s="31"/>
      <c r="H1" s="31"/>
    </row>
    <row r="2" spans="1:8" ht="12.75" x14ac:dyDescent="0.35">
      <c r="A2" s="31"/>
      <c r="B2" s="31"/>
      <c r="C2" s="31"/>
      <c r="F2" s="31"/>
      <c r="G2" s="31"/>
      <c r="H2" s="31"/>
    </row>
    <row r="3" spans="1:8" ht="3.75" customHeight="1" x14ac:dyDescent="0.35">
      <c r="A3" s="31"/>
      <c r="B3" s="31"/>
      <c r="C3" s="32"/>
      <c r="D3" s="32"/>
      <c r="E3" s="32"/>
      <c r="F3" s="31"/>
      <c r="G3" s="31"/>
      <c r="H3" s="31"/>
    </row>
    <row r="4" spans="1:8" ht="12.75" x14ac:dyDescent="0.35">
      <c r="A4" s="31"/>
      <c r="B4" s="33" t="s">
        <v>159</v>
      </c>
      <c r="C4" s="34"/>
      <c r="D4" s="34"/>
      <c r="E4" s="34"/>
      <c r="F4" s="31"/>
      <c r="G4" s="31"/>
      <c r="H4" s="31"/>
    </row>
    <row r="5" spans="1:8" ht="12.75" x14ac:dyDescent="0.35">
      <c r="A5" s="35"/>
      <c r="B5" s="36" t="s">
        <v>8</v>
      </c>
      <c r="C5" s="37" t="s">
        <v>1</v>
      </c>
      <c r="D5" s="37" t="s">
        <v>170</v>
      </c>
      <c r="E5" s="37" t="s">
        <v>171</v>
      </c>
      <c r="F5" s="35"/>
      <c r="G5" s="35"/>
      <c r="H5" s="35"/>
    </row>
    <row r="6" spans="1:8" ht="12.75" x14ac:dyDescent="0.35">
      <c r="A6" s="31"/>
      <c r="B6" s="38" t="s">
        <v>135</v>
      </c>
      <c r="C6" s="39">
        <f t="shared" ref="C6:C20" si="0">SUM(C25,C44,C63)</f>
        <v>2327994000</v>
      </c>
      <c r="D6" s="39">
        <f t="shared" ref="D6:D20" si="1">C6-(C6*10%)</f>
        <v>2095194600</v>
      </c>
      <c r="E6" s="39">
        <f t="shared" ref="E6:E21" si="2">C6-D6</f>
        <v>232799400</v>
      </c>
      <c r="F6" s="31"/>
      <c r="G6" s="31"/>
      <c r="H6" s="31"/>
    </row>
    <row r="7" spans="1:8" ht="12.75" x14ac:dyDescent="0.35">
      <c r="A7" s="31"/>
      <c r="B7" s="38" t="s">
        <v>136</v>
      </c>
      <c r="C7" s="39">
        <f t="shared" si="0"/>
        <v>6324000000</v>
      </c>
      <c r="D7" s="39">
        <f t="shared" si="1"/>
        <v>5691600000</v>
      </c>
      <c r="E7" s="39">
        <f t="shared" si="2"/>
        <v>632400000</v>
      </c>
      <c r="F7" s="31"/>
      <c r="G7" s="31"/>
      <c r="H7" s="31"/>
    </row>
    <row r="8" spans="1:8" ht="12.75" x14ac:dyDescent="0.35">
      <c r="A8" s="31"/>
      <c r="B8" s="38" t="s">
        <v>137</v>
      </c>
      <c r="C8" s="39">
        <f t="shared" si="0"/>
        <v>3374036000</v>
      </c>
      <c r="D8" s="39">
        <f t="shared" si="1"/>
        <v>3036632400</v>
      </c>
      <c r="E8" s="39">
        <f t="shared" si="2"/>
        <v>337403600</v>
      </c>
      <c r="F8" s="31"/>
      <c r="G8" s="31"/>
      <c r="H8" s="31"/>
    </row>
    <row r="9" spans="1:8" ht="12.75" x14ac:dyDescent="0.35">
      <c r="A9" s="31"/>
      <c r="B9" s="38" t="s">
        <v>138</v>
      </c>
      <c r="C9" s="39">
        <f t="shared" si="0"/>
        <v>4517102000</v>
      </c>
      <c r="D9" s="39">
        <f t="shared" si="1"/>
        <v>4065391800</v>
      </c>
      <c r="E9" s="39">
        <f t="shared" si="2"/>
        <v>451710200</v>
      </c>
      <c r="F9" s="31"/>
      <c r="G9" s="31"/>
      <c r="H9" s="31"/>
    </row>
    <row r="10" spans="1:8" ht="12.75" x14ac:dyDescent="0.35">
      <c r="A10" s="31"/>
      <c r="B10" s="38" t="s">
        <v>139</v>
      </c>
      <c r="C10" s="39">
        <f t="shared" si="0"/>
        <v>4250493000</v>
      </c>
      <c r="D10" s="39">
        <f t="shared" si="1"/>
        <v>3825443700</v>
      </c>
      <c r="E10" s="39">
        <f t="shared" si="2"/>
        <v>425049300</v>
      </c>
      <c r="F10" s="31"/>
      <c r="G10" s="31"/>
      <c r="H10" s="31"/>
    </row>
    <row r="11" spans="1:8" ht="12.75" x14ac:dyDescent="0.35">
      <c r="A11" s="31"/>
      <c r="B11" s="38" t="s">
        <v>140</v>
      </c>
      <c r="C11" s="39">
        <f t="shared" si="0"/>
        <v>4499797000</v>
      </c>
      <c r="D11" s="39">
        <f t="shared" si="1"/>
        <v>4049817300</v>
      </c>
      <c r="E11" s="39">
        <f t="shared" si="2"/>
        <v>449979700</v>
      </c>
      <c r="F11" s="31"/>
      <c r="G11" s="31"/>
      <c r="H11" s="31"/>
    </row>
    <row r="12" spans="1:8" ht="12.75" x14ac:dyDescent="0.35">
      <c r="A12" s="31"/>
      <c r="B12" s="38" t="s">
        <v>141</v>
      </c>
      <c r="C12" s="39">
        <f t="shared" si="0"/>
        <v>4881432000</v>
      </c>
      <c r="D12" s="39">
        <f t="shared" si="1"/>
        <v>4393288800</v>
      </c>
      <c r="E12" s="39">
        <f t="shared" si="2"/>
        <v>488143200</v>
      </c>
      <c r="F12" s="31"/>
      <c r="G12" s="31"/>
      <c r="H12" s="31"/>
    </row>
    <row r="13" spans="1:8" ht="12.75" x14ac:dyDescent="0.35">
      <c r="A13" s="31"/>
      <c r="B13" s="38" t="s">
        <v>142</v>
      </c>
      <c r="C13" s="39">
        <f t="shared" si="0"/>
        <v>3799923000</v>
      </c>
      <c r="D13" s="39">
        <f t="shared" si="1"/>
        <v>3419930700</v>
      </c>
      <c r="E13" s="39">
        <f t="shared" si="2"/>
        <v>379992300</v>
      </c>
      <c r="F13" s="31"/>
      <c r="G13" s="31"/>
      <c r="H13" s="31"/>
    </row>
    <row r="14" spans="1:8" ht="12.75" x14ac:dyDescent="0.35">
      <c r="A14" s="31"/>
      <c r="B14" s="38" t="s">
        <v>143</v>
      </c>
      <c r="C14" s="39">
        <f t="shared" si="0"/>
        <v>5531500000</v>
      </c>
      <c r="D14" s="39">
        <f t="shared" si="1"/>
        <v>4978350000</v>
      </c>
      <c r="E14" s="39">
        <f t="shared" si="2"/>
        <v>553150000</v>
      </c>
      <c r="F14" s="31"/>
      <c r="G14" s="31"/>
      <c r="H14" s="31"/>
    </row>
    <row r="15" spans="1:8" ht="12.75" x14ac:dyDescent="0.35">
      <c r="A15" s="31"/>
      <c r="B15" s="38" t="s">
        <v>144</v>
      </c>
      <c r="C15" s="39">
        <f t="shared" si="0"/>
        <v>2204195000</v>
      </c>
      <c r="D15" s="39">
        <f t="shared" si="1"/>
        <v>1983775500</v>
      </c>
      <c r="E15" s="39">
        <f t="shared" si="2"/>
        <v>220419500</v>
      </c>
      <c r="F15" s="31"/>
      <c r="G15" s="31"/>
      <c r="H15" s="31"/>
    </row>
    <row r="16" spans="1:8" ht="12.75" x14ac:dyDescent="0.35">
      <c r="A16" s="31"/>
      <c r="B16" s="38" t="s">
        <v>145</v>
      </c>
      <c r="C16" s="39">
        <f t="shared" si="0"/>
        <v>4499000000</v>
      </c>
      <c r="D16" s="39">
        <f t="shared" si="1"/>
        <v>4049100000</v>
      </c>
      <c r="E16" s="39">
        <f t="shared" si="2"/>
        <v>449900000</v>
      </c>
      <c r="F16" s="31"/>
      <c r="G16" s="31"/>
      <c r="H16" s="31"/>
    </row>
    <row r="17" spans="1:8" ht="12.75" x14ac:dyDescent="0.35">
      <c r="A17" s="31"/>
      <c r="B17" s="38" t="s">
        <v>149</v>
      </c>
      <c r="C17" s="39">
        <f t="shared" si="0"/>
        <v>569760000</v>
      </c>
      <c r="D17" s="39">
        <f t="shared" si="1"/>
        <v>512784000</v>
      </c>
      <c r="E17" s="39">
        <f t="shared" si="2"/>
        <v>56976000</v>
      </c>
      <c r="F17" s="31"/>
      <c r="G17" s="31"/>
      <c r="H17" s="31"/>
    </row>
    <row r="18" spans="1:8" ht="12.75" x14ac:dyDescent="0.35">
      <c r="A18" s="31"/>
      <c r="B18" s="38" t="s">
        <v>146</v>
      </c>
      <c r="C18" s="39">
        <f t="shared" si="0"/>
        <v>6195922000</v>
      </c>
      <c r="D18" s="39">
        <f t="shared" si="1"/>
        <v>5576329800</v>
      </c>
      <c r="E18" s="39">
        <f t="shared" si="2"/>
        <v>619592200</v>
      </c>
      <c r="F18" s="31"/>
      <c r="G18" s="31"/>
      <c r="H18" s="31"/>
    </row>
    <row r="19" spans="1:8" ht="12.75" x14ac:dyDescent="0.35">
      <c r="A19" s="31"/>
      <c r="B19" s="38" t="s">
        <v>147</v>
      </c>
      <c r="C19" s="39">
        <f t="shared" si="0"/>
        <v>3838118000</v>
      </c>
      <c r="D19" s="39">
        <f t="shared" si="1"/>
        <v>3454306200</v>
      </c>
      <c r="E19" s="39">
        <f t="shared" si="2"/>
        <v>383811800</v>
      </c>
      <c r="F19" s="31"/>
      <c r="G19" s="31"/>
      <c r="H19" s="31"/>
    </row>
    <row r="20" spans="1:8" ht="12.75" x14ac:dyDescent="0.35">
      <c r="A20" s="31"/>
      <c r="B20" s="38" t="s">
        <v>150</v>
      </c>
      <c r="C20" s="39">
        <f t="shared" si="0"/>
        <v>16426000000</v>
      </c>
      <c r="D20" s="39">
        <f t="shared" si="1"/>
        <v>14783400000</v>
      </c>
      <c r="E20" s="39">
        <f t="shared" si="2"/>
        <v>1642600000</v>
      </c>
      <c r="F20" s="31"/>
      <c r="G20" s="31"/>
      <c r="H20" s="31"/>
    </row>
    <row r="21" spans="1:8" ht="12.75" x14ac:dyDescent="0.35">
      <c r="A21" s="31"/>
      <c r="B21" s="40" t="s">
        <v>168</v>
      </c>
      <c r="C21" s="41">
        <f t="shared" ref="C21:D21" si="3">SUM(C6:C20)</f>
        <v>73239272000</v>
      </c>
      <c r="D21" s="41">
        <f t="shared" si="3"/>
        <v>65915344800</v>
      </c>
      <c r="E21" s="41">
        <f t="shared" si="2"/>
        <v>7323927200</v>
      </c>
      <c r="F21" s="31"/>
      <c r="G21" s="31"/>
      <c r="H21" s="31"/>
    </row>
    <row r="22" spans="1:8" ht="12.75" x14ac:dyDescent="0.35">
      <c r="A22" s="31"/>
      <c r="B22" s="42"/>
      <c r="C22" s="43"/>
      <c r="D22" s="43"/>
      <c r="E22" s="43"/>
      <c r="F22" s="31"/>
      <c r="G22" s="31"/>
      <c r="H22" s="31"/>
    </row>
    <row r="23" spans="1:8" ht="12.75" x14ac:dyDescent="0.35">
      <c r="A23" s="31"/>
      <c r="B23" s="44" t="s">
        <v>33</v>
      </c>
      <c r="C23" s="45"/>
      <c r="D23" s="45"/>
      <c r="E23" s="43"/>
      <c r="F23" s="31"/>
      <c r="G23" s="31"/>
      <c r="H23" s="31"/>
    </row>
    <row r="24" spans="1:8" ht="12.75" x14ac:dyDescent="0.35">
      <c r="A24" s="35"/>
      <c r="B24" s="46" t="s">
        <v>8</v>
      </c>
      <c r="C24" s="47" t="s">
        <v>1</v>
      </c>
      <c r="D24" s="47" t="s">
        <v>1</v>
      </c>
      <c r="E24" s="48"/>
      <c r="F24" s="35"/>
      <c r="G24" s="35"/>
      <c r="H24" s="35"/>
    </row>
    <row r="25" spans="1:8" ht="12.75" x14ac:dyDescent="0.35">
      <c r="A25" s="31"/>
      <c r="B25" s="38" t="s">
        <v>135</v>
      </c>
      <c r="C25" s="39">
        <v>0</v>
      </c>
      <c r="D25" s="39">
        <f t="shared" ref="D25:D39" si="4">IF(C25=0,0,(C25-(C25*10%)))</f>
        <v>0</v>
      </c>
      <c r="E25" s="49"/>
      <c r="F25" s="31"/>
      <c r="G25" s="31"/>
      <c r="H25" s="31"/>
    </row>
    <row r="26" spans="1:8" ht="12.75" x14ac:dyDescent="0.35">
      <c r="A26" s="31"/>
      <c r="B26" s="38" t="s">
        <v>136</v>
      </c>
      <c r="C26" s="39">
        <v>0</v>
      </c>
      <c r="D26" s="39">
        <f t="shared" si="4"/>
        <v>0</v>
      </c>
      <c r="E26" s="49"/>
      <c r="F26" s="31"/>
      <c r="G26" s="31"/>
      <c r="H26" s="31"/>
    </row>
    <row r="27" spans="1:8" ht="12.75" x14ac:dyDescent="0.35">
      <c r="A27" s="31"/>
      <c r="B27" s="38" t="s">
        <v>137</v>
      </c>
      <c r="C27" s="39">
        <v>0</v>
      </c>
      <c r="D27" s="39">
        <f t="shared" si="4"/>
        <v>0</v>
      </c>
      <c r="E27" s="49"/>
      <c r="F27" s="31"/>
      <c r="G27" s="31"/>
      <c r="H27" s="31"/>
    </row>
    <row r="28" spans="1:8" ht="12.75" x14ac:dyDescent="0.35">
      <c r="A28" s="31"/>
      <c r="B28" s="38" t="s">
        <v>138</v>
      </c>
      <c r="C28" s="39">
        <v>0</v>
      </c>
      <c r="D28" s="39">
        <f t="shared" si="4"/>
        <v>0</v>
      </c>
      <c r="E28" s="49"/>
      <c r="F28" s="31"/>
      <c r="G28" s="31"/>
      <c r="H28" s="31"/>
    </row>
    <row r="29" spans="1:8" ht="12.75" x14ac:dyDescent="0.35">
      <c r="A29" s="31"/>
      <c r="B29" s="38" t="s">
        <v>139</v>
      </c>
      <c r="C29" s="39">
        <v>0</v>
      </c>
      <c r="D29" s="39">
        <f t="shared" si="4"/>
        <v>0</v>
      </c>
      <c r="E29" s="49"/>
      <c r="F29" s="31"/>
      <c r="G29" s="31"/>
      <c r="H29" s="31"/>
    </row>
    <row r="30" spans="1:8" ht="12.75" x14ac:dyDescent="0.35">
      <c r="A30" s="31"/>
      <c r="B30" s="38" t="s">
        <v>140</v>
      </c>
      <c r="C30" s="39">
        <v>0</v>
      </c>
      <c r="D30" s="39">
        <f t="shared" si="4"/>
        <v>0</v>
      </c>
      <c r="E30" s="49"/>
      <c r="F30" s="31"/>
      <c r="G30" s="31"/>
      <c r="H30" s="31"/>
    </row>
    <row r="31" spans="1:8" ht="12.75" x14ac:dyDescent="0.35">
      <c r="A31" s="31"/>
      <c r="B31" s="38" t="s">
        <v>141</v>
      </c>
      <c r="C31" s="39">
        <v>0</v>
      </c>
      <c r="D31" s="39">
        <f t="shared" si="4"/>
        <v>0</v>
      </c>
      <c r="E31" s="49"/>
      <c r="F31" s="31"/>
      <c r="G31" s="31"/>
      <c r="H31" s="31"/>
    </row>
    <row r="32" spans="1:8" ht="12.75" x14ac:dyDescent="0.35">
      <c r="A32" s="31"/>
      <c r="B32" s="38" t="s">
        <v>142</v>
      </c>
      <c r="C32" s="39">
        <v>0</v>
      </c>
      <c r="D32" s="39">
        <f t="shared" si="4"/>
        <v>0</v>
      </c>
      <c r="E32" s="49"/>
      <c r="F32" s="31"/>
      <c r="G32" s="31"/>
      <c r="H32" s="31"/>
    </row>
    <row r="33" spans="1:8" ht="12.75" x14ac:dyDescent="0.35">
      <c r="A33" s="31"/>
      <c r="B33" s="38" t="s">
        <v>143</v>
      </c>
      <c r="C33" s="39">
        <v>0</v>
      </c>
      <c r="D33" s="39">
        <f t="shared" si="4"/>
        <v>0</v>
      </c>
      <c r="E33" s="49"/>
      <c r="F33" s="31"/>
      <c r="G33" s="31"/>
      <c r="H33" s="31"/>
    </row>
    <row r="34" spans="1:8" ht="12.75" x14ac:dyDescent="0.35">
      <c r="A34" s="31"/>
      <c r="B34" s="38" t="s">
        <v>144</v>
      </c>
      <c r="C34" s="39">
        <v>0</v>
      </c>
      <c r="D34" s="39">
        <f t="shared" si="4"/>
        <v>0</v>
      </c>
      <c r="E34" s="49"/>
      <c r="F34" s="31"/>
      <c r="G34" s="31"/>
      <c r="H34" s="31"/>
    </row>
    <row r="35" spans="1:8" ht="12.75" x14ac:dyDescent="0.35">
      <c r="A35" s="31"/>
      <c r="B35" s="38" t="s">
        <v>145</v>
      </c>
      <c r="C35" s="39">
        <v>0</v>
      </c>
      <c r="D35" s="39">
        <f t="shared" si="4"/>
        <v>0</v>
      </c>
      <c r="E35" s="49"/>
      <c r="F35" s="31"/>
      <c r="G35" s="31"/>
      <c r="H35" s="31"/>
    </row>
    <row r="36" spans="1:8" ht="12.75" x14ac:dyDescent="0.35">
      <c r="A36" s="31"/>
      <c r="B36" s="38" t="s">
        <v>149</v>
      </c>
      <c r="C36" s="39">
        <v>0</v>
      </c>
      <c r="D36" s="39">
        <f t="shared" si="4"/>
        <v>0</v>
      </c>
      <c r="E36" s="49"/>
      <c r="F36" s="31"/>
      <c r="G36" s="31"/>
      <c r="H36" s="31"/>
    </row>
    <row r="37" spans="1:8" ht="12.75" x14ac:dyDescent="0.35">
      <c r="A37" s="31"/>
      <c r="B37" s="38" t="s">
        <v>146</v>
      </c>
      <c r="C37" s="39">
        <v>0</v>
      </c>
      <c r="D37" s="39">
        <f t="shared" si="4"/>
        <v>0</v>
      </c>
      <c r="E37" s="49"/>
      <c r="F37" s="31"/>
      <c r="G37" s="31"/>
      <c r="H37" s="31"/>
    </row>
    <row r="38" spans="1:8" ht="12.75" x14ac:dyDescent="0.35">
      <c r="A38" s="31"/>
      <c r="B38" s="38" t="s">
        <v>147</v>
      </c>
      <c r="C38" s="39">
        <v>0</v>
      </c>
      <c r="D38" s="39">
        <f t="shared" si="4"/>
        <v>0</v>
      </c>
      <c r="E38" s="49"/>
      <c r="F38" s="31"/>
      <c r="G38" s="31"/>
      <c r="H38" s="31"/>
    </row>
    <row r="39" spans="1:8" ht="12.75" x14ac:dyDescent="0.35">
      <c r="A39" s="31"/>
      <c r="B39" s="38" t="s">
        <v>150</v>
      </c>
      <c r="C39" s="39">
        <v>800000000</v>
      </c>
      <c r="D39" s="39">
        <f t="shared" si="4"/>
        <v>720000000</v>
      </c>
      <c r="E39" s="49"/>
      <c r="F39" s="31"/>
      <c r="G39" s="31"/>
      <c r="H39" s="31"/>
    </row>
    <row r="40" spans="1:8" ht="12.75" x14ac:dyDescent="0.35">
      <c r="A40" s="50"/>
      <c r="B40" s="51" t="s">
        <v>168</v>
      </c>
      <c r="C40" s="52">
        <f t="shared" ref="C40:D40" si="5">SUM(C25:C39)</f>
        <v>800000000</v>
      </c>
      <c r="D40" s="52">
        <f t="shared" si="5"/>
        <v>720000000</v>
      </c>
      <c r="E40" s="53"/>
      <c r="F40" s="50"/>
      <c r="G40" s="50"/>
      <c r="H40" s="50"/>
    </row>
    <row r="41" spans="1:8" ht="12.75" x14ac:dyDescent="0.35">
      <c r="A41" s="31"/>
      <c r="B41" s="31"/>
      <c r="C41" s="32"/>
      <c r="D41" s="32"/>
      <c r="E41" s="32"/>
      <c r="F41" s="31"/>
      <c r="G41" s="31"/>
      <c r="H41" s="31"/>
    </row>
    <row r="42" spans="1:8" ht="12.75" x14ac:dyDescent="0.35">
      <c r="A42" s="31"/>
      <c r="B42" s="44" t="s">
        <v>16</v>
      </c>
      <c r="C42" s="45"/>
      <c r="D42" s="45"/>
      <c r="E42" s="43"/>
      <c r="F42" s="31"/>
      <c r="G42" s="31"/>
      <c r="H42" s="31"/>
    </row>
    <row r="43" spans="1:8" ht="12.75" x14ac:dyDescent="0.35">
      <c r="A43" s="35"/>
      <c r="B43" s="46" t="s">
        <v>8</v>
      </c>
      <c r="C43" s="47" t="s">
        <v>1</v>
      </c>
      <c r="D43" s="47" t="s">
        <v>1</v>
      </c>
      <c r="E43" s="48"/>
      <c r="F43" s="35"/>
      <c r="G43" s="35"/>
      <c r="H43" s="35"/>
    </row>
    <row r="44" spans="1:8" ht="12.75" x14ac:dyDescent="0.35">
      <c r="A44" s="31"/>
      <c r="B44" s="38" t="s">
        <v>135</v>
      </c>
      <c r="C44" s="39">
        <v>2327994000</v>
      </c>
      <c r="D44" s="39">
        <f t="shared" ref="D44:D58" si="6">IF(C44=0,0,(C44-(C44*10%)))</f>
        <v>2095194600</v>
      </c>
      <c r="E44" s="49"/>
      <c r="F44" s="31"/>
      <c r="G44" s="31"/>
      <c r="H44" s="31"/>
    </row>
    <row r="45" spans="1:8" ht="12.75" x14ac:dyDescent="0.35">
      <c r="A45" s="31"/>
      <c r="B45" s="38" t="s">
        <v>136</v>
      </c>
      <c r="C45" s="39">
        <v>2824000000</v>
      </c>
      <c r="D45" s="39">
        <f t="shared" si="6"/>
        <v>2541600000</v>
      </c>
      <c r="E45" s="49"/>
      <c r="F45" s="31"/>
      <c r="G45" s="31"/>
      <c r="H45" s="31"/>
    </row>
    <row r="46" spans="1:8" ht="12.75" x14ac:dyDescent="0.35">
      <c r="A46" s="31"/>
      <c r="B46" s="38" t="s">
        <v>137</v>
      </c>
      <c r="C46" s="39">
        <v>1214036000</v>
      </c>
      <c r="D46" s="39">
        <f t="shared" si="6"/>
        <v>1092632400</v>
      </c>
      <c r="E46" s="49"/>
      <c r="F46" s="31"/>
      <c r="G46" s="31"/>
      <c r="H46" s="31"/>
    </row>
    <row r="47" spans="1:8" ht="12.75" x14ac:dyDescent="0.35">
      <c r="A47" s="31"/>
      <c r="B47" s="38" t="s">
        <v>138</v>
      </c>
      <c r="C47" s="39">
        <v>1972102000</v>
      </c>
      <c r="D47" s="39">
        <f t="shared" si="6"/>
        <v>1774891800</v>
      </c>
      <c r="E47" s="49"/>
      <c r="F47" s="31"/>
      <c r="G47" s="31"/>
      <c r="H47" s="31"/>
    </row>
    <row r="48" spans="1:8" ht="12.75" x14ac:dyDescent="0.35">
      <c r="A48" s="31"/>
      <c r="B48" s="38" t="s">
        <v>139</v>
      </c>
      <c r="C48" s="39">
        <v>1767893000</v>
      </c>
      <c r="D48" s="39">
        <f t="shared" si="6"/>
        <v>1591103700</v>
      </c>
      <c r="E48" s="49"/>
      <c r="F48" s="31"/>
      <c r="G48" s="31"/>
      <c r="H48" s="31"/>
    </row>
    <row r="49" spans="1:8" ht="12.75" x14ac:dyDescent="0.35">
      <c r="A49" s="31"/>
      <c r="B49" s="38" t="s">
        <v>140</v>
      </c>
      <c r="C49" s="39">
        <v>1765637000</v>
      </c>
      <c r="D49" s="39">
        <f t="shared" si="6"/>
        <v>1589073300</v>
      </c>
      <c r="E49" s="49"/>
      <c r="F49" s="31"/>
      <c r="G49" s="31"/>
      <c r="H49" s="31"/>
    </row>
    <row r="50" spans="1:8" ht="12.75" x14ac:dyDescent="0.35">
      <c r="A50" s="31"/>
      <c r="B50" s="38" t="s">
        <v>141</v>
      </c>
      <c r="C50" s="39">
        <v>2357530000</v>
      </c>
      <c r="D50" s="39">
        <f t="shared" si="6"/>
        <v>2121777000</v>
      </c>
      <c r="E50" s="49"/>
      <c r="F50" s="31"/>
      <c r="G50" s="31"/>
      <c r="H50" s="31"/>
    </row>
    <row r="51" spans="1:8" ht="12.75" x14ac:dyDescent="0.35">
      <c r="A51" s="31"/>
      <c r="B51" s="38" t="s">
        <v>142</v>
      </c>
      <c r="C51" s="39">
        <v>1489923000</v>
      </c>
      <c r="D51" s="39">
        <f t="shared" si="6"/>
        <v>1340930700</v>
      </c>
      <c r="E51" s="49"/>
      <c r="F51" s="31"/>
      <c r="G51" s="31"/>
      <c r="H51" s="31"/>
    </row>
    <row r="52" spans="1:8" ht="12.75" x14ac:dyDescent="0.35">
      <c r="A52" s="31"/>
      <c r="B52" s="38" t="s">
        <v>143</v>
      </c>
      <c r="C52" s="39">
        <v>2747500000</v>
      </c>
      <c r="D52" s="39">
        <f t="shared" si="6"/>
        <v>2472750000</v>
      </c>
      <c r="E52" s="49"/>
      <c r="F52" s="31"/>
      <c r="G52" s="31"/>
      <c r="H52" s="31"/>
    </row>
    <row r="53" spans="1:8" ht="12.75" x14ac:dyDescent="0.35">
      <c r="A53" s="31"/>
      <c r="B53" s="38" t="s">
        <v>144</v>
      </c>
      <c r="C53" s="39">
        <v>1909195000</v>
      </c>
      <c r="D53" s="39">
        <f t="shared" si="6"/>
        <v>1718275500</v>
      </c>
      <c r="E53" s="49"/>
      <c r="F53" s="31"/>
      <c r="G53" s="31"/>
      <c r="H53" s="31"/>
    </row>
    <row r="54" spans="1:8" ht="12.75" x14ac:dyDescent="0.35">
      <c r="A54" s="31"/>
      <c r="B54" s="38" t="s">
        <v>145</v>
      </c>
      <c r="C54" s="39">
        <v>2019000000</v>
      </c>
      <c r="D54" s="39">
        <f t="shared" si="6"/>
        <v>1817100000</v>
      </c>
      <c r="E54" s="49"/>
      <c r="F54" s="31"/>
      <c r="G54" s="31"/>
      <c r="H54" s="31"/>
    </row>
    <row r="55" spans="1:8" ht="12.75" x14ac:dyDescent="0.35">
      <c r="A55" s="31"/>
      <c r="B55" s="38" t="s">
        <v>149</v>
      </c>
      <c r="C55" s="39">
        <v>569760000</v>
      </c>
      <c r="D55" s="39">
        <f t="shared" si="6"/>
        <v>512784000</v>
      </c>
      <c r="E55" s="49"/>
      <c r="F55" s="31"/>
      <c r="G55" s="31"/>
      <c r="H55" s="31"/>
    </row>
    <row r="56" spans="1:8" ht="12.75" x14ac:dyDescent="0.35">
      <c r="A56" s="31"/>
      <c r="B56" s="38" t="s">
        <v>146</v>
      </c>
      <c r="C56" s="39">
        <v>3635922000</v>
      </c>
      <c r="D56" s="39">
        <f t="shared" si="6"/>
        <v>3272329800</v>
      </c>
      <c r="E56" s="49"/>
      <c r="F56" s="31"/>
      <c r="G56" s="31"/>
      <c r="H56" s="31"/>
    </row>
    <row r="57" spans="1:8" ht="12.75" x14ac:dyDescent="0.35">
      <c r="A57" s="31"/>
      <c r="B57" s="38" t="s">
        <v>147</v>
      </c>
      <c r="C57" s="39">
        <v>2298803000</v>
      </c>
      <c r="D57" s="39">
        <f t="shared" si="6"/>
        <v>2068922700</v>
      </c>
      <c r="E57" s="49"/>
      <c r="F57" s="31"/>
      <c r="G57" s="31"/>
      <c r="H57" s="31"/>
    </row>
    <row r="58" spans="1:8" ht="12.75" x14ac:dyDescent="0.35">
      <c r="A58" s="31"/>
      <c r="B58" s="38" t="s">
        <v>150</v>
      </c>
      <c r="C58" s="39">
        <v>11626000000</v>
      </c>
      <c r="D58" s="39">
        <f t="shared" si="6"/>
        <v>10463400000</v>
      </c>
      <c r="E58" s="49"/>
      <c r="F58" s="31"/>
      <c r="G58" s="31"/>
      <c r="H58" s="31"/>
    </row>
    <row r="59" spans="1:8" ht="12.75" x14ac:dyDescent="0.35">
      <c r="A59" s="50"/>
      <c r="B59" s="51" t="s">
        <v>168</v>
      </c>
      <c r="C59" s="52">
        <f t="shared" ref="C59:D59" si="7">SUM(C44:C58)</f>
        <v>40525295000</v>
      </c>
      <c r="D59" s="52">
        <f t="shared" si="7"/>
        <v>36472765500</v>
      </c>
      <c r="E59" s="53"/>
      <c r="F59" s="50"/>
      <c r="G59" s="50"/>
      <c r="H59" s="50"/>
    </row>
    <row r="60" spans="1:8" ht="12.75" x14ac:dyDescent="0.35">
      <c r="A60" s="31"/>
      <c r="B60" s="31"/>
      <c r="C60" s="32"/>
      <c r="D60" s="32"/>
      <c r="E60" s="32"/>
      <c r="F60" s="31"/>
      <c r="G60" s="31"/>
      <c r="H60" s="31"/>
    </row>
    <row r="61" spans="1:8" ht="12.75" x14ac:dyDescent="0.35">
      <c r="A61" s="31"/>
      <c r="B61" s="44" t="s">
        <v>35</v>
      </c>
      <c r="C61" s="45"/>
      <c r="D61" s="45"/>
      <c r="E61" s="43"/>
      <c r="F61" s="31"/>
      <c r="G61" s="31"/>
      <c r="H61" s="31"/>
    </row>
    <row r="62" spans="1:8" ht="12.75" x14ac:dyDescent="0.35">
      <c r="A62" s="35"/>
      <c r="B62" s="46" t="s">
        <v>8</v>
      </c>
      <c r="C62" s="47" t="s">
        <v>1</v>
      </c>
      <c r="D62" s="47" t="s">
        <v>1</v>
      </c>
      <c r="E62" s="48"/>
      <c r="F62" s="35"/>
      <c r="G62" s="35"/>
      <c r="H62" s="35"/>
    </row>
    <row r="63" spans="1:8" ht="13.5" x14ac:dyDescent="0.45">
      <c r="A63" s="31"/>
      <c r="B63" s="38" t="s">
        <v>135</v>
      </c>
      <c r="C63" s="39">
        <v>0</v>
      </c>
      <c r="D63" s="54">
        <f t="shared" ref="D63:D77" si="8">IF(C63=0,0,(C63-(C63*10%)))</f>
        <v>0</v>
      </c>
      <c r="E63" s="55"/>
      <c r="F63" s="31"/>
      <c r="G63" s="31"/>
      <c r="H63" s="31"/>
    </row>
    <row r="64" spans="1:8" ht="13.5" x14ac:dyDescent="0.45">
      <c r="A64" s="31"/>
      <c r="B64" s="38" t="s">
        <v>136</v>
      </c>
      <c r="C64" s="39">
        <v>3500000000</v>
      </c>
      <c r="D64" s="54">
        <f t="shared" si="8"/>
        <v>3150000000</v>
      </c>
      <c r="E64" s="55"/>
      <c r="F64" s="31"/>
      <c r="G64" s="31"/>
      <c r="H64" s="31"/>
    </row>
    <row r="65" spans="1:8" ht="13.5" x14ac:dyDescent="0.45">
      <c r="A65" s="31"/>
      <c r="B65" s="38" t="s">
        <v>137</v>
      </c>
      <c r="C65" s="39">
        <v>2160000000</v>
      </c>
      <c r="D65" s="54">
        <f t="shared" si="8"/>
        <v>1944000000</v>
      </c>
      <c r="E65" s="55"/>
      <c r="F65" s="31"/>
      <c r="G65" s="31"/>
      <c r="H65" s="31"/>
    </row>
    <row r="66" spans="1:8" ht="13.5" x14ac:dyDescent="0.45">
      <c r="A66" s="31"/>
      <c r="B66" s="38" t="s">
        <v>138</v>
      </c>
      <c r="C66" s="39">
        <v>2545000000</v>
      </c>
      <c r="D66" s="54">
        <f t="shared" si="8"/>
        <v>2290500000</v>
      </c>
      <c r="E66" s="55"/>
      <c r="F66" s="31"/>
      <c r="G66" s="31"/>
      <c r="H66" s="31"/>
    </row>
    <row r="67" spans="1:8" ht="13.5" x14ac:dyDescent="0.45">
      <c r="A67" s="31"/>
      <c r="B67" s="38" t="s">
        <v>139</v>
      </c>
      <c r="C67" s="39">
        <v>2482600000</v>
      </c>
      <c r="D67" s="54">
        <f t="shared" si="8"/>
        <v>2234340000</v>
      </c>
      <c r="E67" s="55"/>
      <c r="F67" s="31"/>
      <c r="G67" s="31"/>
      <c r="H67" s="31"/>
    </row>
    <row r="68" spans="1:8" ht="13.5" x14ac:dyDescent="0.45">
      <c r="A68" s="31"/>
      <c r="B68" s="38" t="s">
        <v>140</v>
      </c>
      <c r="C68" s="39">
        <v>2734160000</v>
      </c>
      <c r="D68" s="54">
        <f t="shared" si="8"/>
        <v>2460744000</v>
      </c>
      <c r="E68" s="55"/>
      <c r="F68" s="31"/>
      <c r="G68" s="31"/>
      <c r="H68" s="31"/>
    </row>
    <row r="69" spans="1:8" ht="13.5" x14ac:dyDescent="0.45">
      <c r="A69" s="31"/>
      <c r="B69" s="38" t="s">
        <v>141</v>
      </c>
      <c r="C69" s="39">
        <v>2523902000</v>
      </c>
      <c r="D69" s="54">
        <f t="shared" si="8"/>
        <v>2271511800</v>
      </c>
      <c r="E69" s="55"/>
      <c r="F69" s="31"/>
      <c r="G69" s="31"/>
      <c r="H69" s="31"/>
    </row>
    <row r="70" spans="1:8" ht="13.5" x14ac:dyDescent="0.45">
      <c r="A70" s="31"/>
      <c r="B70" s="38" t="s">
        <v>142</v>
      </c>
      <c r="C70" s="39">
        <v>2310000000</v>
      </c>
      <c r="D70" s="54">
        <f t="shared" si="8"/>
        <v>2079000000</v>
      </c>
      <c r="E70" s="55"/>
      <c r="F70" s="31"/>
      <c r="G70" s="31"/>
      <c r="H70" s="31"/>
    </row>
    <row r="71" spans="1:8" ht="13.5" x14ac:dyDescent="0.45">
      <c r="A71" s="31"/>
      <c r="B71" s="38" t="s">
        <v>143</v>
      </c>
      <c r="C71" s="39">
        <v>2784000000</v>
      </c>
      <c r="D71" s="54">
        <f t="shared" si="8"/>
        <v>2505600000</v>
      </c>
      <c r="E71" s="55"/>
      <c r="F71" s="31"/>
      <c r="G71" s="31"/>
      <c r="H71" s="31"/>
    </row>
    <row r="72" spans="1:8" ht="13.5" x14ac:dyDescent="0.45">
      <c r="A72" s="31"/>
      <c r="B72" s="38" t="s">
        <v>144</v>
      </c>
      <c r="C72" s="39">
        <v>295000000</v>
      </c>
      <c r="D72" s="54">
        <f t="shared" si="8"/>
        <v>265500000</v>
      </c>
      <c r="E72" s="55"/>
      <c r="F72" s="31"/>
      <c r="G72" s="31"/>
      <c r="H72" s="31"/>
    </row>
    <row r="73" spans="1:8" ht="13.5" x14ac:dyDescent="0.45">
      <c r="A73" s="31"/>
      <c r="B73" s="38" t="s">
        <v>145</v>
      </c>
      <c r="C73" s="39">
        <v>2480000000</v>
      </c>
      <c r="D73" s="54">
        <f t="shared" si="8"/>
        <v>2232000000</v>
      </c>
      <c r="E73" s="55"/>
      <c r="F73" s="31"/>
      <c r="G73" s="31"/>
      <c r="H73" s="31"/>
    </row>
    <row r="74" spans="1:8" ht="13.5" x14ac:dyDescent="0.45">
      <c r="A74" s="31"/>
      <c r="B74" s="38" t="s">
        <v>149</v>
      </c>
      <c r="C74" s="39">
        <v>0</v>
      </c>
      <c r="D74" s="54">
        <f t="shared" si="8"/>
        <v>0</v>
      </c>
      <c r="E74" s="55"/>
      <c r="F74" s="31"/>
      <c r="G74" s="31"/>
      <c r="H74" s="31"/>
    </row>
    <row r="75" spans="1:8" ht="13.5" x14ac:dyDescent="0.45">
      <c r="A75" s="31"/>
      <c r="B75" s="38" t="s">
        <v>146</v>
      </c>
      <c r="C75" s="39">
        <v>2560000000</v>
      </c>
      <c r="D75" s="54">
        <f t="shared" si="8"/>
        <v>2304000000</v>
      </c>
      <c r="E75" s="55"/>
      <c r="F75" s="31"/>
      <c r="G75" s="31"/>
      <c r="H75" s="31"/>
    </row>
    <row r="76" spans="1:8" ht="13.5" x14ac:dyDescent="0.45">
      <c r="A76" s="31"/>
      <c r="B76" s="38" t="s">
        <v>147</v>
      </c>
      <c r="C76" s="39">
        <v>1539315000</v>
      </c>
      <c r="D76" s="54">
        <f t="shared" si="8"/>
        <v>1385383500</v>
      </c>
      <c r="E76" s="55"/>
      <c r="F76" s="31"/>
      <c r="G76" s="31"/>
      <c r="H76" s="31"/>
    </row>
    <row r="77" spans="1:8" ht="13.5" x14ac:dyDescent="0.45">
      <c r="A77" s="31"/>
      <c r="B77" s="38" t="s">
        <v>150</v>
      </c>
      <c r="C77" s="39">
        <v>4000000000</v>
      </c>
      <c r="D77" s="54">
        <f t="shared" si="8"/>
        <v>3600000000</v>
      </c>
      <c r="E77" s="55"/>
      <c r="F77" s="31"/>
      <c r="G77" s="31"/>
      <c r="H77" s="31"/>
    </row>
    <row r="78" spans="1:8" ht="12.75" x14ac:dyDescent="0.35">
      <c r="A78" s="50"/>
      <c r="B78" s="51" t="s">
        <v>168</v>
      </c>
      <c r="C78" s="52">
        <f t="shared" ref="C78:D78" si="9">SUM(C63:C77)</f>
        <v>31913977000</v>
      </c>
      <c r="D78" s="52">
        <f t="shared" si="9"/>
        <v>28722579300</v>
      </c>
      <c r="E78" s="53"/>
      <c r="F78" s="50"/>
      <c r="G78" s="50"/>
      <c r="H78" s="50"/>
    </row>
    <row r="79" spans="1:8" ht="12.75" x14ac:dyDescent="0.35">
      <c r="A79" s="31"/>
      <c r="B79" s="31"/>
      <c r="C79" s="32"/>
      <c r="D79" s="32"/>
      <c r="E79" s="32"/>
      <c r="F79" s="31"/>
      <c r="G79" s="31"/>
      <c r="H79" s="3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U1002"/>
  <sheetViews>
    <sheetView showGridLines="0" workbookViewId="0">
      <pane ySplit="2" topLeftCell="A3" activePane="bottomLeft" state="frozen"/>
      <selection activeCell="B5" sqref="B5"/>
      <selection pane="bottomLeft" activeCell="B5" sqref="B5"/>
    </sheetView>
  </sheetViews>
  <sheetFormatPr defaultColWidth="12.59765625" defaultRowHeight="15.75" customHeight="1" x14ac:dyDescent="0.35"/>
  <cols>
    <col min="1" max="1" width="2.59765625" customWidth="1"/>
    <col min="2" max="2" width="34" customWidth="1"/>
    <col min="3" max="3" width="9" customWidth="1"/>
    <col min="4" max="4" width="2.59765625" customWidth="1"/>
    <col min="5" max="5" width="50" customWidth="1"/>
    <col min="6" max="6" width="17.46484375" customWidth="1"/>
    <col min="7" max="7" width="2.59765625" customWidth="1"/>
    <col min="8" max="8" width="17.265625" customWidth="1"/>
  </cols>
  <sheetData>
    <row r="1" spans="1:21" ht="15.75" customHeight="1" x14ac:dyDescent="0.45">
      <c r="A1" s="56"/>
      <c r="B1" s="56"/>
      <c r="C1" s="57"/>
      <c r="D1" s="56"/>
      <c r="E1" s="56"/>
      <c r="F1" s="57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</row>
    <row r="2" spans="1:21" ht="15.75" customHeight="1" x14ac:dyDescent="0.45">
      <c r="A2" s="56"/>
      <c r="B2" s="58" t="s">
        <v>172</v>
      </c>
      <c r="C2" s="58" t="s">
        <v>173</v>
      </c>
      <c r="D2" s="56"/>
      <c r="E2" s="58" t="s">
        <v>174</v>
      </c>
      <c r="F2" s="58" t="s">
        <v>175</v>
      </c>
      <c r="G2" s="56"/>
      <c r="H2" s="58" t="s">
        <v>176</v>
      </c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</row>
    <row r="3" spans="1:21" ht="15.75" customHeight="1" x14ac:dyDescent="0.45">
      <c r="A3" s="56"/>
      <c r="B3" s="59" t="s">
        <v>56</v>
      </c>
      <c r="C3" s="58" t="s">
        <v>150</v>
      </c>
      <c r="D3" s="56"/>
      <c r="E3" s="59" t="s">
        <v>9</v>
      </c>
      <c r="F3" s="58" t="s">
        <v>10</v>
      </c>
      <c r="G3" s="56"/>
      <c r="H3" s="58" t="s">
        <v>10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</row>
    <row r="4" spans="1:21" ht="15.75" customHeight="1" x14ac:dyDescent="0.45">
      <c r="A4" s="56"/>
      <c r="B4" s="60" t="s">
        <v>71</v>
      </c>
      <c r="C4" s="58" t="s">
        <v>136</v>
      </c>
      <c r="D4" s="56"/>
      <c r="E4" s="59" t="s">
        <v>15</v>
      </c>
      <c r="F4" s="58" t="s">
        <v>16</v>
      </c>
      <c r="G4" s="56"/>
      <c r="H4" s="58" t="s">
        <v>62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</row>
    <row r="5" spans="1:21" ht="15.75" customHeight="1" x14ac:dyDescent="0.45">
      <c r="A5" s="56"/>
      <c r="B5" s="60" t="s">
        <v>83</v>
      </c>
      <c r="C5" s="58" t="s">
        <v>135</v>
      </c>
      <c r="D5" s="56"/>
      <c r="E5" s="59" t="s">
        <v>98</v>
      </c>
      <c r="F5" s="58" t="s">
        <v>12</v>
      </c>
      <c r="G5" s="56"/>
      <c r="H5" s="58" t="s">
        <v>33</v>
      </c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</row>
    <row r="6" spans="1:21" ht="15.75" customHeight="1" x14ac:dyDescent="0.45">
      <c r="A6" s="56"/>
      <c r="B6" s="60" t="s">
        <v>84</v>
      </c>
      <c r="C6" s="58" t="s">
        <v>137</v>
      </c>
      <c r="D6" s="56"/>
      <c r="E6" s="59" t="s">
        <v>99</v>
      </c>
      <c r="F6" s="58" t="s">
        <v>12</v>
      </c>
      <c r="G6" s="56"/>
      <c r="H6" s="58" t="s">
        <v>16</v>
      </c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</row>
    <row r="7" spans="1:21" ht="15.75" customHeight="1" x14ac:dyDescent="0.45">
      <c r="A7" s="56"/>
      <c r="B7" s="60" t="s">
        <v>87</v>
      </c>
      <c r="C7" s="58" t="s">
        <v>138</v>
      </c>
      <c r="D7" s="56"/>
      <c r="E7" s="59" t="s">
        <v>100</v>
      </c>
      <c r="F7" s="58" t="s">
        <v>12</v>
      </c>
      <c r="G7" s="56"/>
      <c r="H7" s="58" t="s">
        <v>114</v>
      </c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</row>
    <row r="8" spans="1:21" ht="15.75" customHeight="1" x14ac:dyDescent="0.45">
      <c r="A8" s="56"/>
      <c r="B8" s="60" t="s">
        <v>88</v>
      </c>
      <c r="C8" s="58" t="s">
        <v>139</v>
      </c>
      <c r="D8" s="56"/>
      <c r="E8" s="59" t="s">
        <v>101</v>
      </c>
      <c r="F8" s="58" t="s">
        <v>12</v>
      </c>
      <c r="G8" s="56"/>
      <c r="H8" s="58" t="s">
        <v>31</v>
      </c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</row>
    <row r="9" spans="1:21" ht="15.75" customHeight="1" x14ac:dyDescent="0.45">
      <c r="A9" s="56"/>
      <c r="B9" s="60" t="s">
        <v>89</v>
      </c>
      <c r="C9" s="58" t="s">
        <v>140</v>
      </c>
      <c r="D9" s="56"/>
      <c r="E9" s="59" t="s">
        <v>102</v>
      </c>
      <c r="F9" s="58" t="s">
        <v>12</v>
      </c>
      <c r="G9" s="56"/>
      <c r="H9" s="58" t="s">
        <v>67</v>
      </c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</row>
    <row r="10" spans="1:21" ht="15.75" customHeight="1" x14ac:dyDescent="0.45">
      <c r="A10" s="56"/>
      <c r="B10" s="60" t="s">
        <v>91</v>
      </c>
      <c r="C10" s="58" t="s">
        <v>141</v>
      </c>
      <c r="D10" s="56"/>
      <c r="E10" s="59" t="s">
        <v>103</v>
      </c>
      <c r="F10" s="58" t="s">
        <v>12</v>
      </c>
      <c r="G10" s="56"/>
      <c r="H10" s="58" t="s">
        <v>35</v>
      </c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</row>
    <row r="11" spans="1:21" ht="15.75" customHeight="1" x14ac:dyDescent="0.45">
      <c r="A11" s="56"/>
      <c r="B11" s="60" t="s">
        <v>93</v>
      </c>
      <c r="C11" s="58" t="s">
        <v>142</v>
      </c>
      <c r="D11" s="56"/>
      <c r="E11" s="59" t="s">
        <v>104</v>
      </c>
      <c r="F11" s="58" t="s">
        <v>12</v>
      </c>
      <c r="G11" s="56"/>
      <c r="H11" s="61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</row>
    <row r="12" spans="1:21" ht="15.75" customHeight="1" x14ac:dyDescent="0.45">
      <c r="A12" s="56"/>
      <c r="B12" s="60" t="s">
        <v>94</v>
      </c>
      <c r="C12" s="58" t="s">
        <v>143</v>
      </c>
      <c r="D12" s="56"/>
      <c r="E12" s="59" t="s">
        <v>105</v>
      </c>
      <c r="F12" s="58" t="s">
        <v>12</v>
      </c>
      <c r="G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</row>
    <row r="13" spans="1:21" ht="15.75" customHeight="1" x14ac:dyDescent="0.45">
      <c r="A13" s="56"/>
      <c r="B13" s="60" t="s">
        <v>95</v>
      </c>
      <c r="C13" s="58" t="s">
        <v>144</v>
      </c>
      <c r="D13" s="56"/>
      <c r="E13" s="59" t="s">
        <v>106</v>
      </c>
      <c r="F13" s="58" t="s">
        <v>12</v>
      </c>
      <c r="G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</row>
    <row r="14" spans="1:21" ht="15.75" customHeight="1" x14ac:dyDescent="0.45">
      <c r="A14" s="56"/>
      <c r="B14" s="60" t="s">
        <v>96</v>
      </c>
      <c r="C14" s="58" t="s">
        <v>145</v>
      </c>
      <c r="D14" s="56"/>
      <c r="E14" s="59" t="s">
        <v>107</v>
      </c>
      <c r="F14" s="58" t="s">
        <v>12</v>
      </c>
      <c r="G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</row>
    <row r="15" spans="1:21" ht="15.75" customHeight="1" x14ac:dyDescent="0.45">
      <c r="A15" s="56"/>
      <c r="B15" s="60" t="s">
        <v>126</v>
      </c>
      <c r="C15" s="58" t="s">
        <v>149</v>
      </c>
      <c r="D15" s="56"/>
      <c r="E15" s="59" t="s">
        <v>108</v>
      </c>
      <c r="F15" s="58" t="s">
        <v>12</v>
      </c>
      <c r="G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</row>
    <row r="16" spans="1:21" ht="15.75" customHeight="1" x14ac:dyDescent="0.45">
      <c r="A16" s="56"/>
      <c r="B16" s="60" t="s">
        <v>132</v>
      </c>
      <c r="C16" s="58" t="s">
        <v>146</v>
      </c>
      <c r="D16" s="56"/>
      <c r="E16" s="59" t="s">
        <v>109</v>
      </c>
      <c r="F16" s="58" t="s">
        <v>12</v>
      </c>
      <c r="G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</row>
    <row r="17" spans="1:21" ht="15.75" customHeight="1" x14ac:dyDescent="0.45">
      <c r="A17" s="56"/>
      <c r="B17" s="60" t="s">
        <v>133</v>
      </c>
      <c r="C17" s="58" t="s">
        <v>147</v>
      </c>
      <c r="D17" s="56"/>
      <c r="E17" s="59" t="s">
        <v>110</v>
      </c>
      <c r="F17" s="58" t="s">
        <v>12</v>
      </c>
      <c r="G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</row>
    <row r="18" spans="1:21" ht="15.75" customHeight="1" x14ac:dyDescent="0.45">
      <c r="A18" s="56"/>
      <c r="B18" s="56"/>
      <c r="C18" s="57"/>
      <c r="D18" s="56"/>
      <c r="E18" s="59" t="s">
        <v>111</v>
      </c>
      <c r="F18" s="58" t="s">
        <v>12</v>
      </c>
      <c r="G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</row>
    <row r="19" spans="1:21" ht="15.75" customHeight="1" x14ac:dyDescent="0.45">
      <c r="A19" s="56"/>
      <c r="B19" s="56"/>
      <c r="C19" s="57"/>
      <c r="D19" s="56"/>
      <c r="E19" s="59" t="s">
        <v>112</v>
      </c>
      <c r="F19" s="58" t="s">
        <v>12</v>
      </c>
      <c r="G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</row>
    <row r="20" spans="1:21" ht="15.75" customHeight="1" x14ac:dyDescent="0.45">
      <c r="A20" s="56"/>
      <c r="B20" s="56"/>
      <c r="C20" s="57"/>
      <c r="D20" s="56"/>
      <c r="E20" s="59" t="s">
        <v>115</v>
      </c>
      <c r="F20" s="58" t="s">
        <v>12</v>
      </c>
      <c r="G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</row>
    <row r="21" spans="1:21" ht="15.75" customHeight="1" x14ac:dyDescent="0.45">
      <c r="A21" s="56"/>
      <c r="B21" s="56"/>
      <c r="C21" s="57"/>
      <c r="D21" s="56"/>
      <c r="E21" s="59" t="s">
        <v>17</v>
      </c>
      <c r="F21" s="58" t="s">
        <v>10</v>
      </c>
      <c r="G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</row>
    <row r="22" spans="1:21" ht="15.75" customHeight="1" x14ac:dyDescent="0.45">
      <c r="A22" s="56"/>
      <c r="B22" s="56"/>
      <c r="C22" s="57"/>
      <c r="D22" s="56"/>
      <c r="E22" s="59" t="s">
        <v>18</v>
      </c>
      <c r="F22" s="58" t="s">
        <v>10</v>
      </c>
      <c r="G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</row>
    <row r="23" spans="1:21" ht="15.75" customHeight="1" x14ac:dyDescent="0.45">
      <c r="A23" s="56"/>
      <c r="B23" s="56"/>
      <c r="C23" s="57"/>
      <c r="D23" s="56"/>
      <c r="E23" s="59" t="s">
        <v>19</v>
      </c>
      <c r="F23" s="58" t="s">
        <v>10</v>
      </c>
      <c r="G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</row>
    <row r="24" spans="1:21" ht="15.75" customHeight="1" x14ac:dyDescent="0.45">
      <c r="A24" s="56"/>
      <c r="B24" s="56"/>
      <c r="C24" s="57"/>
      <c r="D24" s="56"/>
      <c r="E24" s="59" t="s">
        <v>58</v>
      </c>
      <c r="F24" s="58" t="s">
        <v>10</v>
      </c>
      <c r="G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</row>
    <row r="25" spans="1:21" ht="15.75" customHeight="1" x14ac:dyDescent="0.45">
      <c r="A25" s="56"/>
      <c r="B25" s="56"/>
      <c r="C25" s="57"/>
      <c r="D25" s="56"/>
      <c r="E25" s="59" t="s">
        <v>20</v>
      </c>
      <c r="F25" s="58" t="s">
        <v>10</v>
      </c>
      <c r="G25" s="56"/>
      <c r="H25" s="61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</row>
    <row r="26" spans="1:21" ht="15.75" customHeight="1" x14ac:dyDescent="0.45">
      <c r="A26" s="56"/>
      <c r="B26" s="56"/>
      <c r="C26" s="57"/>
      <c r="D26" s="56"/>
      <c r="E26" s="59" t="s">
        <v>59</v>
      </c>
      <c r="F26" s="58" t="s">
        <v>10</v>
      </c>
      <c r="G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</row>
    <row r="27" spans="1:21" ht="15.75" customHeight="1" x14ac:dyDescent="0.45">
      <c r="A27" s="56"/>
      <c r="B27" s="56"/>
      <c r="C27" s="57"/>
      <c r="D27" s="56"/>
      <c r="E27" s="59" t="s">
        <v>21</v>
      </c>
      <c r="F27" s="58" t="s">
        <v>10</v>
      </c>
      <c r="G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</row>
    <row r="28" spans="1:21" ht="15.75" customHeight="1" x14ac:dyDescent="0.45">
      <c r="A28" s="56"/>
      <c r="B28" s="56"/>
      <c r="C28" s="57"/>
      <c r="D28" s="56"/>
      <c r="E28" s="59" t="s">
        <v>22</v>
      </c>
      <c r="F28" s="58" t="s">
        <v>10</v>
      </c>
      <c r="G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</row>
    <row r="29" spans="1:21" ht="15.75" customHeight="1" x14ac:dyDescent="0.45">
      <c r="A29" s="56"/>
      <c r="B29" s="56"/>
      <c r="C29" s="57"/>
      <c r="D29" s="56"/>
      <c r="E29" s="59" t="s">
        <v>23</v>
      </c>
      <c r="F29" s="58" t="s">
        <v>10</v>
      </c>
      <c r="G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</row>
    <row r="30" spans="1:21" ht="15.75" customHeight="1" x14ac:dyDescent="0.45">
      <c r="A30" s="56"/>
      <c r="B30" s="56"/>
      <c r="C30" s="57"/>
      <c r="D30" s="56"/>
      <c r="E30" s="59" t="s">
        <v>24</v>
      </c>
      <c r="F30" s="58" t="s">
        <v>10</v>
      </c>
      <c r="G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</row>
    <row r="31" spans="1:21" ht="13.5" x14ac:dyDescent="0.45">
      <c r="A31" s="56"/>
      <c r="B31" s="56"/>
      <c r="C31" s="57"/>
      <c r="D31" s="56"/>
      <c r="E31" s="59" t="s">
        <v>60</v>
      </c>
      <c r="F31" s="58" t="s">
        <v>10</v>
      </c>
      <c r="G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</row>
    <row r="32" spans="1:21" ht="13.5" x14ac:dyDescent="0.45">
      <c r="A32" s="56"/>
      <c r="B32" s="56"/>
      <c r="C32" s="57"/>
      <c r="D32" s="56"/>
      <c r="E32" s="59" t="s">
        <v>25</v>
      </c>
      <c r="F32" s="58" t="s">
        <v>10</v>
      </c>
      <c r="G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</row>
    <row r="33" spans="1:21" ht="13.5" x14ac:dyDescent="0.45">
      <c r="A33" s="56"/>
      <c r="B33" s="56"/>
      <c r="C33" s="57"/>
      <c r="D33" s="56"/>
      <c r="E33" s="59" t="s">
        <v>26</v>
      </c>
      <c r="F33" s="58" t="s">
        <v>10</v>
      </c>
      <c r="G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</row>
    <row r="34" spans="1:21" ht="13.5" x14ac:dyDescent="0.45">
      <c r="A34" s="56"/>
      <c r="B34" s="56"/>
      <c r="C34" s="57"/>
      <c r="D34" s="56"/>
      <c r="E34" s="59" t="s">
        <v>27</v>
      </c>
      <c r="F34" s="58" t="s">
        <v>10</v>
      </c>
      <c r="G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</row>
    <row r="35" spans="1:21" ht="13.5" x14ac:dyDescent="0.45">
      <c r="A35" s="56"/>
      <c r="B35" s="56"/>
      <c r="C35" s="57"/>
      <c r="D35" s="56"/>
      <c r="E35" s="59" t="s">
        <v>28</v>
      </c>
      <c r="F35" s="58" t="s">
        <v>10</v>
      </c>
      <c r="G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</row>
    <row r="36" spans="1:21" ht="13.5" x14ac:dyDescent="0.45">
      <c r="A36" s="56"/>
      <c r="B36" s="56"/>
      <c r="C36" s="57"/>
      <c r="D36" s="56"/>
      <c r="E36" s="59" t="s">
        <v>73</v>
      </c>
      <c r="F36" s="58" t="s">
        <v>10</v>
      </c>
      <c r="G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</row>
    <row r="37" spans="1:21" ht="13.5" x14ac:dyDescent="0.45">
      <c r="A37" s="56"/>
      <c r="B37" s="56"/>
      <c r="C37" s="57"/>
      <c r="D37" s="56"/>
      <c r="E37" s="59" t="s">
        <v>74</v>
      </c>
      <c r="F37" s="58" t="s">
        <v>10</v>
      </c>
      <c r="G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</row>
    <row r="38" spans="1:21" ht="13.5" x14ac:dyDescent="0.45">
      <c r="A38" s="56"/>
      <c r="B38" s="56"/>
      <c r="C38" s="57"/>
      <c r="D38" s="56"/>
      <c r="E38" s="59" t="s">
        <v>75</v>
      </c>
      <c r="F38" s="58" t="s">
        <v>10</v>
      </c>
      <c r="G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</row>
    <row r="39" spans="1:21" ht="13.5" x14ac:dyDescent="0.45">
      <c r="A39" s="56"/>
      <c r="B39" s="56"/>
      <c r="C39" s="57"/>
      <c r="D39" s="56"/>
      <c r="E39" s="59" t="s">
        <v>29</v>
      </c>
      <c r="F39" s="58" t="s">
        <v>10</v>
      </c>
      <c r="G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</row>
    <row r="40" spans="1:21" ht="13.5" x14ac:dyDescent="0.45">
      <c r="A40" s="56"/>
      <c r="B40" s="56"/>
      <c r="C40" s="57"/>
      <c r="D40" s="56"/>
      <c r="E40" s="59" t="s">
        <v>76</v>
      </c>
      <c r="F40" s="58" t="s">
        <v>10</v>
      </c>
      <c r="G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</row>
    <row r="41" spans="1:21" ht="13.5" x14ac:dyDescent="0.45">
      <c r="A41" s="56"/>
      <c r="B41" s="56"/>
      <c r="C41" s="57"/>
      <c r="D41" s="56"/>
      <c r="E41" s="59" t="s">
        <v>77</v>
      </c>
      <c r="F41" s="58" t="s">
        <v>10</v>
      </c>
      <c r="G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</row>
    <row r="42" spans="1:21" ht="13.5" x14ac:dyDescent="0.45">
      <c r="A42" s="56"/>
      <c r="B42" s="56"/>
      <c r="C42" s="57"/>
      <c r="D42" s="56"/>
      <c r="E42" s="59" t="s">
        <v>113</v>
      </c>
      <c r="F42" s="58" t="s">
        <v>114</v>
      </c>
      <c r="G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</row>
    <row r="43" spans="1:21" ht="13.5" x14ac:dyDescent="0.45">
      <c r="A43" s="56"/>
      <c r="B43" s="56"/>
      <c r="C43" s="57"/>
      <c r="D43" s="56"/>
      <c r="E43" s="59" t="s">
        <v>61</v>
      </c>
      <c r="F43" s="58" t="s">
        <v>62</v>
      </c>
      <c r="G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</row>
    <row r="44" spans="1:21" ht="13.5" x14ac:dyDescent="0.45">
      <c r="A44" s="56"/>
      <c r="B44" s="56"/>
      <c r="C44" s="57"/>
      <c r="D44" s="56"/>
      <c r="E44" s="59" t="s">
        <v>63</v>
      </c>
      <c r="F44" s="58" t="s">
        <v>62</v>
      </c>
      <c r="G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</row>
    <row r="45" spans="1:21" ht="13.5" x14ac:dyDescent="0.45">
      <c r="A45" s="56"/>
      <c r="B45" s="56"/>
      <c r="C45" s="57"/>
      <c r="D45" s="56"/>
      <c r="E45" s="59" t="s">
        <v>92</v>
      </c>
      <c r="F45" s="58" t="s">
        <v>62</v>
      </c>
      <c r="G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</row>
    <row r="46" spans="1:21" ht="13.5" x14ac:dyDescent="0.45">
      <c r="A46" s="56"/>
      <c r="B46" s="56"/>
      <c r="C46" s="57"/>
      <c r="D46" s="56"/>
      <c r="E46" s="59" t="s">
        <v>85</v>
      </c>
      <c r="F46" s="58" t="s">
        <v>62</v>
      </c>
      <c r="G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</row>
    <row r="47" spans="1:21" ht="13.5" x14ac:dyDescent="0.45">
      <c r="A47" s="56"/>
      <c r="B47" s="56"/>
      <c r="C47" s="57"/>
      <c r="D47" s="56"/>
      <c r="E47" s="59" t="s">
        <v>127</v>
      </c>
      <c r="F47" s="58" t="s">
        <v>62</v>
      </c>
      <c r="G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</row>
    <row r="48" spans="1:21" ht="13.5" x14ac:dyDescent="0.45">
      <c r="A48" s="56"/>
      <c r="B48" s="56"/>
      <c r="C48" s="57"/>
      <c r="D48" s="56"/>
      <c r="E48" s="59" t="s">
        <v>128</v>
      </c>
      <c r="F48" s="58" t="s">
        <v>62</v>
      </c>
      <c r="G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</row>
    <row r="49" spans="1:21" ht="13.5" x14ac:dyDescent="0.45">
      <c r="A49" s="56"/>
      <c r="B49" s="56"/>
      <c r="C49" s="57"/>
      <c r="D49" s="56"/>
      <c r="E49" s="59" t="s">
        <v>129</v>
      </c>
      <c r="F49" s="58" t="s">
        <v>62</v>
      </c>
      <c r="G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</row>
    <row r="50" spans="1:21" ht="13.5" x14ac:dyDescent="0.45">
      <c r="A50" s="56"/>
      <c r="B50" s="56"/>
      <c r="C50" s="57"/>
      <c r="D50" s="56"/>
      <c r="E50" s="59" t="s">
        <v>130</v>
      </c>
      <c r="F50" s="58" t="s">
        <v>62</v>
      </c>
      <c r="G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</row>
    <row r="51" spans="1:21" ht="13.5" x14ac:dyDescent="0.45">
      <c r="A51" s="56"/>
      <c r="B51" s="56"/>
      <c r="C51" s="57"/>
      <c r="D51" s="56"/>
      <c r="E51" s="59" t="s">
        <v>131</v>
      </c>
      <c r="F51" s="58" t="s">
        <v>62</v>
      </c>
      <c r="G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</row>
    <row r="52" spans="1:21" ht="13.5" x14ac:dyDescent="0.45">
      <c r="A52" s="56"/>
      <c r="B52" s="56"/>
      <c r="C52" s="57"/>
      <c r="D52" s="56"/>
      <c r="E52" s="59" t="s">
        <v>64</v>
      </c>
      <c r="F52" s="58" t="s">
        <v>62</v>
      </c>
      <c r="G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</row>
    <row r="53" spans="1:21" ht="13.5" x14ac:dyDescent="0.45">
      <c r="A53" s="56"/>
      <c r="B53" s="56"/>
      <c r="C53" s="57"/>
      <c r="D53" s="56"/>
      <c r="E53" s="59" t="s">
        <v>65</v>
      </c>
      <c r="F53" s="58" t="s">
        <v>62</v>
      </c>
      <c r="G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</row>
    <row r="54" spans="1:21" ht="13.5" x14ac:dyDescent="0.45">
      <c r="A54" s="56"/>
      <c r="B54" s="56"/>
      <c r="C54" s="57"/>
      <c r="D54" s="56"/>
      <c r="E54" s="59" t="s">
        <v>78</v>
      </c>
      <c r="F54" s="58" t="s">
        <v>62</v>
      </c>
      <c r="G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</row>
    <row r="55" spans="1:21" ht="13.5" x14ac:dyDescent="0.45">
      <c r="A55" s="56"/>
      <c r="B55" s="56"/>
      <c r="C55" s="57"/>
      <c r="D55" s="56"/>
      <c r="E55" s="59" t="s">
        <v>79</v>
      </c>
      <c r="F55" s="58" t="s">
        <v>62</v>
      </c>
      <c r="G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</row>
    <row r="56" spans="1:21" ht="13.5" x14ac:dyDescent="0.45">
      <c r="A56" s="56"/>
      <c r="B56" s="56"/>
      <c r="C56" s="57"/>
      <c r="D56" s="56"/>
      <c r="E56" s="59" t="s">
        <v>81</v>
      </c>
      <c r="F56" s="58" t="s">
        <v>62</v>
      </c>
      <c r="G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</row>
    <row r="57" spans="1:21" ht="13.5" x14ac:dyDescent="0.45">
      <c r="A57" s="56"/>
      <c r="B57" s="56"/>
      <c r="C57" s="57"/>
      <c r="D57" s="56"/>
      <c r="E57" s="59" t="s">
        <v>90</v>
      </c>
      <c r="F57" s="58" t="s">
        <v>62</v>
      </c>
      <c r="G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</row>
    <row r="58" spans="1:21" ht="13.5" x14ac:dyDescent="0.45">
      <c r="A58" s="56"/>
      <c r="B58" s="56"/>
      <c r="C58" s="57"/>
      <c r="D58" s="56"/>
      <c r="E58" s="59" t="s">
        <v>30</v>
      </c>
      <c r="F58" s="58" t="s">
        <v>31</v>
      </c>
      <c r="G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</row>
    <row r="59" spans="1:21" ht="13.5" x14ac:dyDescent="0.45">
      <c r="A59" s="56"/>
      <c r="B59" s="56"/>
      <c r="C59" s="57"/>
      <c r="D59" s="56"/>
      <c r="E59" s="59" t="s">
        <v>66</v>
      </c>
      <c r="F59" s="58" t="s">
        <v>67</v>
      </c>
      <c r="G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</row>
    <row r="60" spans="1:21" ht="13.5" x14ac:dyDescent="0.45">
      <c r="A60" s="56"/>
      <c r="B60" s="56"/>
      <c r="C60" s="57"/>
      <c r="D60" s="56"/>
      <c r="E60" s="59" t="s">
        <v>32</v>
      </c>
      <c r="F60" s="58" t="s">
        <v>33</v>
      </c>
      <c r="G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</row>
    <row r="61" spans="1:21" ht="13.5" x14ac:dyDescent="0.45">
      <c r="A61" s="56"/>
      <c r="B61" s="56"/>
      <c r="C61" s="57"/>
      <c r="D61" s="56"/>
      <c r="E61" s="59" t="s">
        <v>116</v>
      </c>
      <c r="F61" s="58" t="s">
        <v>33</v>
      </c>
      <c r="G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</row>
    <row r="62" spans="1:21" ht="13.5" x14ac:dyDescent="0.45">
      <c r="A62" s="56"/>
      <c r="B62" s="56"/>
      <c r="C62" s="57"/>
      <c r="D62" s="56"/>
      <c r="E62" s="59" t="s">
        <v>117</v>
      </c>
      <c r="F62" s="58" t="s">
        <v>33</v>
      </c>
      <c r="G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</row>
    <row r="63" spans="1:21" ht="13.5" x14ac:dyDescent="0.45">
      <c r="A63" s="56"/>
      <c r="B63" s="56"/>
      <c r="C63" s="57"/>
      <c r="D63" s="56"/>
      <c r="E63" s="59" t="s">
        <v>34</v>
      </c>
      <c r="F63" s="58" t="s">
        <v>35</v>
      </c>
      <c r="G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</row>
    <row r="64" spans="1:21" ht="13.5" x14ac:dyDescent="0.45">
      <c r="A64" s="56"/>
      <c r="B64" s="56"/>
      <c r="C64" s="57"/>
      <c r="D64" s="56"/>
      <c r="E64" s="59" t="s">
        <v>118</v>
      </c>
      <c r="F64" s="58" t="s">
        <v>33</v>
      </c>
      <c r="G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</row>
    <row r="65" spans="1:21" ht="13.5" x14ac:dyDescent="0.45">
      <c r="A65" s="56"/>
      <c r="B65" s="56"/>
      <c r="C65" s="57"/>
      <c r="D65" s="56"/>
      <c r="E65" s="59" t="s">
        <v>119</v>
      </c>
      <c r="F65" s="58" t="s">
        <v>33</v>
      </c>
      <c r="G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</row>
    <row r="66" spans="1:21" ht="13.5" x14ac:dyDescent="0.45">
      <c r="A66" s="56"/>
      <c r="B66" s="56"/>
      <c r="C66" s="57"/>
      <c r="D66" s="56"/>
      <c r="E66" s="59" t="s">
        <v>120</v>
      </c>
      <c r="F66" s="58" t="s">
        <v>33</v>
      </c>
      <c r="G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</row>
    <row r="67" spans="1:21" ht="13.5" x14ac:dyDescent="0.45">
      <c r="A67" s="56"/>
      <c r="B67" s="56"/>
      <c r="C67" s="57"/>
      <c r="D67" s="56"/>
      <c r="E67" s="59" t="s">
        <v>121</v>
      </c>
      <c r="F67" s="58" t="s">
        <v>33</v>
      </c>
      <c r="G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</row>
    <row r="68" spans="1:21" ht="13.5" x14ac:dyDescent="0.45">
      <c r="A68" s="56"/>
      <c r="B68" s="56"/>
      <c r="C68" s="57"/>
      <c r="D68" s="56"/>
      <c r="E68" s="59" t="s">
        <v>122</v>
      </c>
      <c r="F68" s="58" t="s">
        <v>33</v>
      </c>
      <c r="G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</row>
    <row r="69" spans="1:21" ht="13.5" x14ac:dyDescent="0.45">
      <c r="A69" s="56"/>
      <c r="B69" s="56"/>
      <c r="C69" s="57"/>
      <c r="D69" s="56"/>
      <c r="E69" s="59" t="s">
        <v>68</v>
      </c>
      <c r="F69" s="58" t="s">
        <v>35</v>
      </c>
      <c r="G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</row>
    <row r="70" spans="1:21" ht="13.5" x14ac:dyDescent="0.45">
      <c r="A70" s="56"/>
      <c r="B70" s="56"/>
      <c r="C70" s="57"/>
      <c r="D70" s="56"/>
      <c r="E70" s="59" t="s">
        <v>123</v>
      </c>
      <c r="F70" s="58" t="s">
        <v>12</v>
      </c>
      <c r="G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</row>
    <row r="71" spans="1:21" ht="13.5" x14ac:dyDescent="0.45">
      <c r="A71" s="56"/>
      <c r="B71" s="56"/>
      <c r="C71" s="57"/>
      <c r="D71" s="56"/>
      <c r="E71" s="59" t="s">
        <v>36</v>
      </c>
      <c r="F71" s="58" t="s">
        <v>16</v>
      </c>
      <c r="G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</row>
    <row r="72" spans="1:21" ht="13.5" x14ac:dyDescent="0.45">
      <c r="A72" s="56"/>
      <c r="B72" s="56"/>
      <c r="C72" s="57"/>
      <c r="D72" s="56"/>
      <c r="E72" s="59" t="s">
        <v>37</v>
      </c>
      <c r="F72" s="58" t="s">
        <v>16</v>
      </c>
      <c r="G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</row>
    <row r="73" spans="1:21" ht="13.5" x14ac:dyDescent="0.45">
      <c r="A73" s="56"/>
      <c r="B73" s="56"/>
      <c r="C73" s="57"/>
      <c r="D73" s="56"/>
      <c r="E73" s="59" t="s">
        <v>38</v>
      </c>
      <c r="F73" s="58" t="s">
        <v>16</v>
      </c>
      <c r="G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</row>
    <row r="74" spans="1:21" ht="13.5" x14ac:dyDescent="0.45">
      <c r="A74" s="56"/>
      <c r="B74" s="56"/>
      <c r="C74" s="57"/>
      <c r="D74" s="56"/>
      <c r="E74" s="59" t="s">
        <v>39</v>
      </c>
      <c r="F74" s="58" t="s">
        <v>16</v>
      </c>
      <c r="G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</row>
    <row r="75" spans="1:21" ht="13.5" x14ac:dyDescent="0.45">
      <c r="A75" s="56"/>
      <c r="B75" s="56"/>
      <c r="C75" s="57"/>
      <c r="D75" s="56"/>
      <c r="E75" s="59" t="s">
        <v>40</v>
      </c>
      <c r="F75" s="58" t="s">
        <v>16</v>
      </c>
      <c r="G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</row>
    <row r="76" spans="1:21" ht="13.5" x14ac:dyDescent="0.45">
      <c r="A76" s="56"/>
      <c r="B76" s="56"/>
      <c r="C76" s="57"/>
      <c r="D76" s="56"/>
      <c r="E76" s="59" t="s">
        <v>41</v>
      </c>
      <c r="F76" s="58" t="s">
        <v>16</v>
      </c>
      <c r="G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</row>
    <row r="77" spans="1:21" ht="13.5" x14ac:dyDescent="0.45">
      <c r="A77" s="56"/>
      <c r="B77" s="56"/>
      <c r="C77" s="57"/>
      <c r="D77" s="56"/>
      <c r="E77" s="59" t="s">
        <v>86</v>
      </c>
      <c r="F77" s="58" t="s">
        <v>16</v>
      </c>
      <c r="G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</row>
    <row r="78" spans="1:21" ht="13.5" x14ac:dyDescent="0.45">
      <c r="A78" s="56"/>
      <c r="B78" s="56"/>
      <c r="C78" s="57"/>
      <c r="D78" s="56"/>
      <c r="E78" s="59" t="s">
        <v>42</v>
      </c>
      <c r="F78" s="58" t="s">
        <v>16</v>
      </c>
      <c r="G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</row>
    <row r="79" spans="1:21" ht="13.5" x14ac:dyDescent="0.45">
      <c r="A79" s="56"/>
      <c r="B79" s="56"/>
      <c r="C79" s="57"/>
      <c r="D79" s="56"/>
      <c r="E79" s="59" t="s">
        <v>82</v>
      </c>
      <c r="F79" s="58" t="s">
        <v>12</v>
      </c>
      <c r="G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</row>
    <row r="80" spans="1:21" ht="13.5" x14ac:dyDescent="0.45">
      <c r="A80" s="56"/>
      <c r="B80" s="56"/>
      <c r="C80" s="57"/>
      <c r="D80" s="56"/>
      <c r="E80" s="59" t="s">
        <v>69</v>
      </c>
      <c r="F80" s="58" t="s">
        <v>12</v>
      </c>
      <c r="G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</row>
    <row r="81" spans="1:21" ht="13.5" x14ac:dyDescent="0.45">
      <c r="A81" s="56"/>
      <c r="B81" s="56"/>
      <c r="C81" s="57"/>
      <c r="D81" s="56"/>
      <c r="E81" s="59" t="s">
        <v>124</v>
      </c>
      <c r="F81" s="58" t="s">
        <v>12</v>
      </c>
      <c r="G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</row>
    <row r="82" spans="1:21" ht="13.5" x14ac:dyDescent="0.45">
      <c r="A82" s="56"/>
      <c r="B82" s="56"/>
      <c r="C82" s="57"/>
      <c r="D82" s="56"/>
      <c r="E82" s="59" t="s">
        <v>70</v>
      </c>
      <c r="F82" s="58" t="s">
        <v>12</v>
      </c>
      <c r="G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</row>
    <row r="83" spans="1:21" ht="13.5" x14ac:dyDescent="0.45">
      <c r="A83" s="56"/>
      <c r="B83" s="56"/>
      <c r="C83" s="57"/>
      <c r="D83" s="56"/>
      <c r="E83" s="59" t="s">
        <v>43</v>
      </c>
      <c r="F83" s="58" t="s">
        <v>12</v>
      </c>
      <c r="G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</row>
    <row r="84" spans="1:21" ht="13.5" x14ac:dyDescent="0.45">
      <c r="A84" s="56"/>
      <c r="B84" s="56"/>
      <c r="C84" s="57"/>
      <c r="D84" s="56"/>
      <c r="E84" s="59" t="s">
        <v>44</v>
      </c>
      <c r="F84" s="58" t="s">
        <v>12</v>
      </c>
      <c r="G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</row>
    <row r="85" spans="1:21" ht="13.5" x14ac:dyDescent="0.45">
      <c r="A85" s="56"/>
      <c r="B85" s="56"/>
      <c r="C85" s="57"/>
      <c r="D85" s="56"/>
      <c r="E85" s="59" t="s">
        <v>45</v>
      </c>
      <c r="F85" s="58" t="s">
        <v>12</v>
      </c>
      <c r="G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</row>
    <row r="86" spans="1:21" ht="13.5" x14ac:dyDescent="0.45">
      <c r="A86" s="56"/>
      <c r="B86" s="56"/>
      <c r="C86" s="57"/>
      <c r="D86" s="56"/>
      <c r="E86" s="59" t="s">
        <v>47</v>
      </c>
      <c r="F86" s="58" t="s">
        <v>12</v>
      </c>
      <c r="G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</row>
    <row r="87" spans="1:21" ht="13.5" x14ac:dyDescent="0.45">
      <c r="A87" s="56"/>
      <c r="B87" s="56"/>
      <c r="C87" s="57"/>
      <c r="D87" s="56"/>
      <c r="E87" s="59" t="s">
        <v>48</v>
      </c>
      <c r="F87" s="58" t="s">
        <v>12</v>
      </c>
      <c r="G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</row>
    <row r="88" spans="1:21" ht="13.5" x14ac:dyDescent="0.45">
      <c r="A88" s="56"/>
      <c r="B88" s="56"/>
      <c r="C88" s="57"/>
      <c r="D88" s="56"/>
      <c r="E88" s="59" t="s">
        <v>49</v>
      </c>
      <c r="F88" s="58" t="s">
        <v>12</v>
      </c>
      <c r="G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</row>
    <row r="89" spans="1:21" ht="13.5" x14ac:dyDescent="0.45">
      <c r="A89" s="56"/>
      <c r="B89" s="56"/>
      <c r="C89" s="57"/>
      <c r="D89" s="56"/>
      <c r="E89" s="59" t="s">
        <v>51</v>
      </c>
      <c r="F89" s="58" t="s">
        <v>12</v>
      </c>
      <c r="G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</row>
    <row r="90" spans="1:21" ht="13.5" x14ac:dyDescent="0.45">
      <c r="A90" s="56"/>
      <c r="B90" s="56"/>
      <c r="C90" s="57"/>
      <c r="D90" s="56"/>
      <c r="E90" s="59" t="s">
        <v>52</v>
      </c>
      <c r="F90" s="58" t="s">
        <v>16</v>
      </c>
      <c r="G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</row>
    <row r="91" spans="1:21" ht="13.5" x14ac:dyDescent="0.45">
      <c r="A91" s="56"/>
      <c r="B91" s="56"/>
      <c r="C91" s="57"/>
      <c r="D91" s="56"/>
      <c r="E91" s="59" t="s">
        <v>54</v>
      </c>
      <c r="F91" s="58" t="s">
        <v>16</v>
      </c>
      <c r="G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</row>
    <row r="92" spans="1:21" ht="13.5" x14ac:dyDescent="0.45">
      <c r="A92" s="56"/>
      <c r="B92" s="56"/>
      <c r="C92" s="57"/>
      <c r="D92" s="56"/>
      <c r="E92" s="59" t="s">
        <v>55</v>
      </c>
      <c r="F92" s="58" t="s">
        <v>12</v>
      </c>
      <c r="G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</row>
    <row r="93" spans="1:21" ht="13.5" x14ac:dyDescent="0.45">
      <c r="A93" s="56"/>
      <c r="B93" s="56"/>
      <c r="C93" s="57"/>
      <c r="D93" s="56"/>
      <c r="E93" s="59" t="s">
        <v>46</v>
      </c>
      <c r="F93" s="58" t="s">
        <v>12</v>
      </c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</row>
    <row r="94" spans="1:21" ht="13.5" x14ac:dyDescent="0.45">
      <c r="A94" s="56"/>
      <c r="B94" s="56"/>
      <c r="C94" s="57"/>
      <c r="D94" s="56"/>
      <c r="E94" s="59" t="s">
        <v>50</v>
      </c>
      <c r="F94" s="58" t="s">
        <v>12</v>
      </c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</row>
    <row r="95" spans="1:21" ht="13.5" x14ac:dyDescent="0.45">
      <c r="A95" s="56"/>
      <c r="B95" s="56"/>
      <c r="C95" s="57"/>
      <c r="D95" s="56"/>
      <c r="E95" s="59" t="s">
        <v>57</v>
      </c>
      <c r="F95" s="58" t="s">
        <v>12</v>
      </c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</row>
    <row r="96" spans="1:21" ht="13.5" x14ac:dyDescent="0.45">
      <c r="A96" s="56"/>
      <c r="B96" s="56"/>
      <c r="C96" s="57"/>
      <c r="D96" s="56"/>
      <c r="E96" s="59" t="s">
        <v>11</v>
      </c>
      <c r="F96" s="58" t="s">
        <v>12</v>
      </c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</row>
    <row r="97" spans="1:21" ht="13.5" x14ac:dyDescent="0.45">
      <c r="A97" s="56"/>
      <c r="B97" s="56"/>
      <c r="C97" s="57"/>
      <c r="D97" s="56"/>
      <c r="E97" s="59" t="s">
        <v>14</v>
      </c>
      <c r="F97" s="58" t="s">
        <v>12</v>
      </c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</row>
    <row r="98" spans="1:21" ht="13.5" x14ac:dyDescent="0.45">
      <c r="A98" s="56"/>
      <c r="B98" s="56"/>
      <c r="C98" s="57"/>
      <c r="D98" s="56"/>
      <c r="E98" s="59" t="s">
        <v>72</v>
      </c>
      <c r="F98" s="58" t="s">
        <v>12</v>
      </c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</row>
    <row r="99" spans="1:21" ht="13.5" x14ac:dyDescent="0.45">
      <c r="A99" s="56"/>
      <c r="B99" s="56"/>
      <c r="C99" s="57"/>
      <c r="D99" s="56"/>
      <c r="E99" s="59" t="s">
        <v>80</v>
      </c>
      <c r="F99" s="58" t="s">
        <v>62</v>
      </c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</row>
    <row r="100" spans="1:21" ht="13.5" x14ac:dyDescent="0.45">
      <c r="A100" s="56"/>
      <c r="B100" s="56"/>
      <c r="C100" s="57"/>
      <c r="D100" s="56"/>
      <c r="E100" s="59" t="s">
        <v>125</v>
      </c>
      <c r="F100" s="58" t="s">
        <v>12</v>
      </c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</row>
    <row r="101" spans="1:21" ht="13.5" x14ac:dyDescent="0.45">
      <c r="A101" s="56"/>
      <c r="B101" s="56"/>
      <c r="C101" s="57"/>
      <c r="D101" s="56"/>
      <c r="E101" s="59" t="s">
        <v>97</v>
      </c>
      <c r="F101" s="58" t="s">
        <v>12</v>
      </c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</row>
    <row r="102" spans="1:21" ht="13.5" x14ac:dyDescent="0.45">
      <c r="A102" s="56"/>
      <c r="B102" s="56"/>
      <c r="C102" s="57"/>
      <c r="D102" s="56"/>
      <c r="E102" s="59" t="s">
        <v>13</v>
      </c>
      <c r="F102" s="58" t="s">
        <v>12</v>
      </c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</row>
    <row r="103" spans="1:21" ht="13.5" x14ac:dyDescent="0.45">
      <c r="A103" s="56"/>
      <c r="B103" s="56"/>
      <c r="C103" s="57"/>
      <c r="D103" s="56"/>
      <c r="E103" s="59" t="s">
        <v>53</v>
      </c>
      <c r="F103" s="58" t="s">
        <v>12</v>
      </c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</row>
    <row r="104" spans="1:21" ht="13.5" x14ac:dyDescent="0.45">
      <c r="A104" s="56"/>
      <c r="B104" s="56"/>
      <c r="C104" s="57"/>
      <c r="D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</row>
    <row r="105" spans="1:21" ht="13.5" x14ac:dyDescent="0.45">
      <c r="A105" s="56"/>
      <c r="B105" s="56"/>
      <c r="C105" s="57"/>
      <c r="D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</row>
    <row r="106" spans="1:21" ht="13.5" x14ac:dyDescent="0.45">
      <c r="A106" s="56"/>
      <c r="B106" s="56"/>
      <c r="C106" s="57"/>
      <c r="D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</row>
    <row r="107" spans="1:21" ht="13.5" x14ac:dyDescent="0.45">
      <c r="A107" s="56"/>
      <c r="B107" s="56"/>
      <c r="C107" s="57"/>
      <c r="D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</row>
    <row r="108" spans="1:21" ht="13.5" x14ac:dyDescent="0.45">
      <c r="A108" s="56"/>
      <c r="B108" s="56"/>
      <c r="C108" s="57"/>
      <c r="D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</row>
    <row r="109" spans="1:21" ht="13.5" x14ac:dyDescent="0.45">
      <c r="A109" s="56"/>
      <c r="B109" s="56"/>
      <c r="C109" s="57"/>
      <c r="D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</row>
    <row r="110" spans="1:21" ht="13.5" x14ac:dyDescent="0.45">
      <c r="A110" s="56"/>
      <c r="B110" s="56"/>
      <c r="C110" s="57"/>
      <c r="D110" s="56"/>
      <c r="E110" s="56"/>
      <c r="F110" s="57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</row>
    <row r="111" spans="1:21" ht="13.5" x14ac:dyDescent="0.45">
      <c r="A111" s="56"/>
      <c r="B111" s="56"/>
      <c r="C111" s="57"/>
      <c r="D111" s="56"/>
      <c r="E111" s="56"/>
      <c r="F111" s="57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</row>
    <row r="112" spans="1:21" ht="13.5" x14ac:dyDescent="0.45">
      <c r="A112" s="56"/>
      <c r="B112" s="56"/>
      <c r="C112" s="57"/>
      <c r="D112" s="56"/>
      <c r="E112" s="56"/>
      <c r="F112" s="57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</row>
    <row r="113" spans="1:21" ht="13.5" x14ac:dyDescent="0.45">
      <c r="A113" s="56"/>
      <c r="B113" s="56"/>
      <c r="C113" s="57"/>
      <c r="D113" s="56"/>
      <c r="E113" s="56"/>
      <c r="F113" s="57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</row>
    <row r="114" spans="1:21" ht="13.5" x14ac:dyDescent="0.45">
      <c r="A114" s="56"/>
      <c r="B114" s="56"/>
      <c r="C114" s="57"/>
      <c r="D114" s="56"/>
      <c r="E114" s="56"/>
      <c r="F114" s="57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</row>
    <row r="115" spans="1:21" ht="13.5" x14ac:dyDescent="0.45">
      <c r="A115" s="56"/>
      <c r="B115" s="56"/>
      <c r="C115" s="57"/>
      <c r="D115" s="56"/>
      <c r="E115" s="56"/>
      <c r="F115" s="57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</row>
    <row r="116" spans="1:21" ht="13.5" x14ac:dyDescent="0.45">
      <c r="A116" s="56"/>
      <c r="B116" s="56"/>
      <c r="C116" s="57"/>
      <c r="D116" s="56"/>
      <c r="E116" s="56"/>
      <c r="F116" s="57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</row>
    <row r="117" spans="1:21" ht="13.5" x14ac:dyDescent="0.45">
      <c r="A117" s="56"/>
      <c r="B117" s="56"/>
      <c r="C117" s="57"/>
      <c r="D117" s="56"/>
      <c r="E117" s="56"/>
      <c r="F117" s="57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</row>
    <row r="118" spans="1:21" ht="13.5" x14ac:dyDescent="0.45">
      <c r="A118" s="56"/>
      <c r="B118" s="56"/>
      <c r="C118" s="57"/>
      <c r="D118" s="56"/>
      <c r="E118" s="56"/>
      <c r="F118" s="57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</row>
    <row r="119" spans="1:21" ht="13.5" x14ac:dyDescent="0.45">
      <c r="A119" s="56"/>
      <c r="B119" s="56"/>
      <c r="C119" s="57"/>
      <c r="D119" s="56"/>
      <c r="E119" s="56"/>
      <c r="F119" s="57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</row>
    <row r="120" spans="1:21" ht="13.5" x14ac:dyDescent="0.45">
      <c r="A120" s="56"/>
      <c r="B120" s="56"/>
      <c r="C120" s="57"/>
      <c r="D120" s="56"/>
      <c r="E120" s="56"/>
      <c r="F120" s="57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</row>
    <row r="121" spans="1:21" ht="13.5" x14ac:dyDescent="0.45">
      <c r="A121" s="56"/>
      <c r="B121" s="56"/>
      <c r="C121" s="57"/>
      <c r="D121" s="56"/>
      <c r="E121" s="56"/>
      <c r="F121" s="57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</row>
    <row r="122" spans="1:21" ht="13.5" x14ac:dyDescent="0.45">
      <c r="A122" s="56"/>
      <c r="B122" s="56"/>
      <c r="C122" s="57"/>
      <c r="D122" s="56"/>
      <c r="E122" s="56"/>
      <c r="F122" s="57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</row>
    <row r="123" spans="1:21" ht="13.5" x14ac:dyDescent="0.45">
      <c r="A123" s="56"/>
      <c r="B123" s="56"/>
      <c r="C123" s="57"/>
      <c r="D123" s="56"/>
      <c r="E123" s="56"/>
      <c r="F123" s="57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</row>
    <row r="124" spans="1:21" ht="13.5" x14ac:dyDescent="0.45">
      <c r="A124" s="56"/>
      <c r="B124" s="56"/>
      <c r="C124" s="57"/>
      <c r="D124" s="56"/>
      <c r="E124" s="56"/>
      <c r="F124" s="57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</row>
    <row r="125" spans="1:21" ht="13.5" x14ac:dyDescent="0.45">
      <c r="A125" s="56"/>
      <c r="B125" s="56"/>
      <c r="C125" s="57"/>
      <c r="D125" s="56"/>
      <c r="E125" s="56"/>
      <c r="F125" s="57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</row>
    <row r="126" spans="1:21" ht="13.5" x14ac:dyDescent="0.45">
      <c r="A126" s="56"/>
      <c r="B126" s="56"/>
      <c r="C126" s="57"/>
      <c r="D126" s="56"/>
      <c r="E126" s="56"/>
      <c r="F126" s="57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</row>
    <row r="127" spans="1:21" ht="13.5" x14ac:dyDescent="0.45">
      <c r="A127" s="56"/>
      <c r="B127" s="56"/>
      <c r="C127" s="57"/>
      <c r="D127" s="56"/>
      <c r="E127" s="56"/>
      <c r="F127" s="57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</row>
    <row r="128" spans="1:21" ht="13.5" x14ac:dyDescent="0.45">
      <c r="A128" s="56"/>
      <c r="B128" s="56"/>
      <c r="C128" s="57"/>
      <c r="D128" s="56"/>
      <c r="E128" s="56"/>
      <c r="F128" s="57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</row>
    <row r="129" spans="1:21" ht="13.5" x14ac:dyDescent="0.45">
      <c r="A129" s="56"/>
      <c r="B129" s="56"/>
      <c r="C129" s="57"/>
      <c r="D129" s="56"/>
      <c r="E129" s="56"/>
      <c r="F129" s="57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</row>
    <row r="130" spans="1:21" ht="13.5" x14ac:dyDescent="0.45">
      <c r="A130" s="56"/>
      <c r="B130" s="56"/>
      <c r="C130" s="57"/>
      <c r="D130" s="56"/>
      <c r="E130" s="56"/>
      <c r="F130" s="57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</row>
    <row r="131" spans="1:21" ht="13.5" x14ac:dyDescent="0.45">
      <c r="A131" s="56"/>
      <c r="B131" s="56"/>
      <c r="C131" s="57"/>
      <c r="D131" s="56"/>
      <c r="E131" s="56"/>
      <c r="F131" s="57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</row>
    <row r="132" spans="1:21" ht="13.5" x14ac:dyDescent="0.45">
      <c r="A132" s="56"/>
      <c r="B132" s="56"/>
      <c r="C132" s="57"/>
      <c r="D132" s="56"/>
      <c r="E132" s="56"/>
      <c r="F132" s="57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</row>
    <row r="133" spans="1:21" ht="13.5" x14ac:dyDescent="0.45">
      <c r="A133" s="56"/>
      <c r="B133" s="56"/>
      <c r="C133" s="57"/>
      <c r="D133" s="56"/>
      <c r="E133" s="56"/>
      <c r="F133" s="57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</row>
    <row r="134" spans="1:21" ht="13.5" x14ac:dyDescent="0.45">
      <c r="A134" s="56"/>
      <c r="B134" s="56"/>
      <c r="C134" s="57"/>
      <c r="D134" s="56"/>
      <c r="E134" s="56"/>
      <c r="F134" s="57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</row>
    <row r="135" spans="1:21" ht="13.5" x14ac:dyDescent="0.45">
      <c r="A135" s="56"/>
      <c r="B135" s="56"/>
      <c r="C135" s="57"/>
      <c r="D135" s="56"/>
      <c r="E135" s="56"/>
      <c r="F135" s="57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</row>
    <row r="136" spans="1:21" ht="13.5" x14ac:dyDescent="0.45">
      <c r="A136" s="56"/>
      <c r="B136" s="56"/>
      <c r="C136" s="57"/>
      <c r="D136" s="56"/>
      <c r="E136" s="56"/>
      <c r="F136" s="57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</row>
    <row r="137" spans="1:21" ht="13.5" x14ac:dyDescent="0.45">
      <c r="A137" s="56"/>
      <c r="B137" s="56"/>
      <c r="C137" s="57"/>
      <c r="D137" s="56"/>
      <c r="E137" s="56"/>
      <c r="F137" s="57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</row>
    <row r="138" spans="1:21" ht="13.5" x14ac:dyDescent="0.45">
      <c r="A138" s="56"/>
      <c r="B138" s="56"/>
      <c r="C138" s="57"/>
      <c r="D138" s="56"/>
      <c r="E138" s="56"/>
      <c r="F138" s="57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</row>
    <row r="139" spans="1:21" ht="13.5" x14ac:dyDescent="0.45">
      <c r="A139" s="56"/>
      <c r="B139" s="56"/>
      <c r="C139" s="57"/>
      <c r="D139" s="56"/>
      <c r="E139" s="56"/>
      <c r="F139" s="57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</row>
    <row r="140" spans="1:21" ht="13.5" x14ac:dyDescent="0.45">
      <c r="A140" s="56"/>
      <c r="B140" s="56"/>
      <c r="C140" s="57"/>
      <c r="D140" s="56"/>
      <c r="E140" s="56"/>
      <c r="F140" s="57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</row>
    <row r="141" spans="1:21" ht="13.5" x14ac:dyDescent="0.45">
      <c r="A141" s="56"/>
      <c r="B141" s="56"/>
      <c r="C141" s="57"/>
      <c r="D141" s="56"/>
      <c r="E141" s="56"/>
      <c r="F141" s="57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</row>
    <row r="142" spans="1:21" ht="13.5" x14ac:dyDescent="0.45">
      <c r="A142" s="56"/>
      <c r="B142" s="56"/>
      <c r="C142" s="57"/>
      <c r="D142" s="56"/>
      <c r="E142" s="56"/>
      <c r="F142" s="57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</row>
    <row r="143" spans="1:21" ht="13.5" x14ac:dyDescent="0.45">
      <c r="A143" s="56"/>
      <c r="B143" s="56"/>
      <c r="C143" s="57"/>
      <c r="D143" s="56"/>
      <c r="E143" s="56"/>
      <c r="F143" s="57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</row>
    <row r="144" spans="1:21" ht="13.5" x14ac:dyDescent="0.45">
      <c r="A144" s="56"/>
      <c r="B144" s="56"/>
      <c r="C144" s="57"/>
      <c r="D144" s="56"/>
      <c r="E144" s="56"/>
      <c r="F144" s="57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</row>
    <row r="145" spans="1:21" ht="13.5" x14ac:dyDescent="0.45">
      <c r="A145" s="56"/>
      <c r="B145" s="56"/>
      <c r="C145" s="57"/>
      <c r="D145" s="56"/>
      <c r="E145" s="56"/>
      <c r="F145" s="57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</row>
    <row r="146" spans="1:21" ht="13.5" x14ac:dyDescent="0.45">
      <c r="A146" s="56"/>
      <c r="B146" s="56"/>
      <c r="C146" s="57"/>
      <c r="D146" s="56"/>
      <c r="E146" s="56"/>
      <c r="F146" s="57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</row>
    <row r="147" spans="1:21" ht="13.5" x14ac:dyDescent="0.45">
      <c r="A147" s="56"/>
      <c r="B147" s="56"/>
      <c r="C147" s="57"/>
      <c r="D147" s="56"/>
      <c r="E147" s="56"/>
      <c r="F147" s="57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</row>
    <row r="148" spans="1:21" ht="13.5" x14ac:dyDescent="0.45">
      <c r="A148" s="56"/>
      <c r="B148" s="56"/>
      <c r="C148" s="57"/>
      <c r="D148" s="56"/>
      <c r="E148" s="56"/>
      <c r="F148" s="57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</row>
    <row r="149" spans="1:21" ht="13.5" x14ac:dyDescent="0.45">
      <c r="A149" s="56"/>
      <c r="B149" s="56"/>
      <c r="C149" s="57"/>
      <c r="D149" s="56"/>
      <c r="E149" s="56"/>
      <c r="F149" s="57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</row>
    <row r="150" spans="1:21" ht="13.5" x14ac:dyDescent="0.45">
      <c r="A150" s="56"/>
      <c r="B150" s="56"/>
      <c r="C150" s="57"/>
      <c r="D150" s="56"/>
      <c r="E150" s="56"/>
      <c r="F150" s="57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</row>
    <row r="151" spans="1:21" ht="13.5" x14ac:dyDescent="0.45">
      <c r="A151" s="56"/>
      <c r="B151" s="56"/>
      <c r="C151" s="57"/>
      <c r="D151" s="56"/>
      <c r="E151" s="56"/>
      <c r="F151" s="57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</row>
    <row r="152" spans="1:21" ht="13.5" x14ac:dyDescent="0.45">
      <c r="A152" s="56"/>
      <c r="B152" s="56"/>
      <c r="C152" s="57"/>
      <c r="D152" s="56"/>
      <c r="E152" s="56"/>
      <c r="F152" s="57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</row>
    <row r="153" spans="1:21" ht="13.5" x14ac:dyDescent="0.45">
      <c r="A153" s="56"/>
      <c r="B153" s="56"/>
      <c r="C153" s="57"/>
      <c r="D153" s="56"/>
      <c r="E153" s="56"/>
      <c r="F153" s="57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</row>
    <row r="154" spans="1:21" ht="13.5" x14ac:dyDescent="0.45">
      <c r="A154" s="56"/>
      <c r="B154" s="56"/>
      <c r="C154" s="57"/>
      <c r="D154" s="56"/>
      <c r="E154" s="56"/>
      <c r="F154" s="57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</row>
    <row r="155" spans="1:21" ht="13.5" x14ac:dyDescent="0.45">
      <c r="A155" s="56"/>
      <c r="B155" s="56"/>
      <c r="C155" s="57"/>
      <c r="D155" s="56"/>
      <c r="E155" s="56"/>
      <c r="F155" s="57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</row>
    <row r="156" spans="1:21" ht="13.5" x14ac:dyDescent="0.45">
      <c r="A156" s="56"/>
      <c r="B156" s="56"/>
      <c r="C156" s="57"/>
      <c r="D156" s="56"/>
      <c r="E156" s="56"/>
      <c r="F156" s="57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</row>
    <row r="157" spans="1:21" ht="13.5" x14ac:dyDescent="0.45">
      <c r="A157" s="56"/>
      <c r="B157" s="56"/>
      <c r="C157" s="57"/>
      <c r="D157" s="56"/>
      <c r="E157" s="56"/>
      <c r="F157" s="57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</row>
    <row r="158" spans="1:21" ht="13.5" x14ac:dyDescent="0.45">
      <c r="A158" s="56"/>
      <c r="B158" s="56"/>
      <c r="C158" s="57"/>
      <c r="D158" s="56"/>
      <c r="E158" s="56"/>
      <c r="F158" s="57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</row>
    <row r="159" spans="1:21" ht="13.5" x14ac:dyDescent="0.45">
      <c r="A159" s="56"/>
      <c r="B159" s="56"/>
      <c r="C159" s="57"/>
      <c r="D159" s="56"/>
      <c r="E159" s="56"/>
      <c r="F159" s="57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</row>
    <row r="160" spans="1:21" ht="13.5" x14ac:dyDescent="0.45">
      <c r="A160" s="56"/>
      <c r="B160" s="56"/>
      <c r="C160" s="57"/>
      <c r="D160" s="56"/>
      <c r="E160" s="56"/>
      <c r="F160" s="57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</row>
    <row r="161" spans="1:21" ht="13.5" x14ac:dyDescent="0.45">
      <c r="A161" s="56"/>
      <c r="B161" s="56"/>
      <c r="C161" s="57"/>
      <c r="D161" s="56"/>
      <c r="E161" s="56"/>
      <c r="F161" s="57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</row>
    <row r="162" spans="1:21" ht="13.5" x14ac:dyDescent="0.45">
      <c r="A162" s="56"/>
      <c r="B162" s="56"/>
      <c r="C162" s="57"/>
      <c r="D162" s="56"/>
      <c r="E162" s="56"/>
      <c r="F162" s="57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</row>
    <row r="163" spans="1:21" ht="13.5" x14ac:dyDescent="0.45">
      <c r="A163" s="56"/>
      <c r="B163" s="56"/>
      <c r="C163" s="57"/>
      <c r="D163" s="56"/>
      <c r="E163" s="56"/>
      <c r="F163" s="57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</row>
    <row r="164" spans="1:21" ht="13.5" x14ac:dyDescent="0.45">
      <c r="A164" s="56"/>
      <c r="B164" s="56"/>
      <c r="C164" s="57"/>
      <c r="D164" s="56"/>
      <c r="E164" s="56"/>
      <c r="F164" s="57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</row>
    <row r="165" spans="1:21" ht="13.5" x14ac:dyDescent="0.45">
      <c r="A165" s="56"/>
      <c r="B165" s="56"/>
      <c r="C165" s="57"/>
      <c r="D165" s="56"/>
      <c r="E165" s="56"/>
      <c r="F165" s="57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</row>
    <row r="166" spans="1:21" ht="13.5" x14ac:dyDescent="0.45">
      <c r="A166" s="56"/>
      <c r="B166" s="56"/>
      <c r="C166" s="57"/>
      <c r="D166" s="56"/>
      <c r="E166" s="56"/>
      <c r="F166" s="57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</row>
    <row r="167" spans="1:21" ht="13.5" x14ac:dyDescent="0.45">
      <c r="A167" s="56"/>
      <c r="B167" s="56"/>
      <c r="C167" s="57"/>
      <c r="D167" s="56"/>
      <c r="E167" s="56"/>
      <c r="F167" s="57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</row>
    <row r="168" spans="1:21" ht="13.5" x14ac:dyDescent="0.45">
      <c r="A168" s="56"/>
      <c r="B168" s="56"/>
      <c r="C168" s="57"/>
      <c r="D168" s="56"/>
      <c r="E168" s="56"/>
      <c r="F168" s="57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</row>
    <row r="169" spans="1:21" ht="13.5" x14ac:dyDescent="0.45">
      <c r="A169" s="56"/>
      <c r="B169" s="56"/>
      <c r="C169" s="57"/>
      <c r="D169" s="56"/>
      <c r="E169" s="56"/>
      <c r="F169" s="57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</row>
    <row r="170" spans="1:21" ht="13.5" x14ac:dyDescent="0.45">
      <c r="A170" s="56"/>
      <c r="B170" s="56"/>
      <c r="C170" s="57"/>
      <c r="D170" s="56"/>
      <c r="E170" s="56"/>
      <c r="F170" s="57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</row>
    <row r="171" spans="1:21" ht="13.5" x14ac:dyDescent="0.45">
      <c r="A171" s="56"/>
      <c r="B171" s="56"/>
      <c r="C171" s="57"/>
      <c r="D171" s="56"/>
      <c r="E171" s="56"/>
      <c r="F171" s="57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</row>
    <row r="172" spans="1:21" ht="13.5" x14ac:dyDescent="0.45">
      <c r="A172" s="56"/>
      <c r="B172" s="56"/>
      <c r="C172" s="57"/>
      <c r="D172" s="56"/>
      <c r="E172" s="56"/>
      <c r="F172" s="57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</row>
    <row r="173" spans="1:21" ht="13.5" x14ac:dyDescent="0.45">
      <c r="A173" s="56"/>
      <c r="B173" s="56"/>
      <c r="C173" s="57"/>
      <c r="D173" s="56"/>
      <c r="E173" s="56"/>
      <c r="F173" s="57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</row>
    <row r="174" spans="1:21" ht="13.5" x14ac:dyDescent="0.45">
      <c r="A174" s="56"/>
      <c r="B174" s="56"/>
      <c r="C174" s="57"/>
      <c r="D174" s="56"/>
      <c r="E174" s="56"/>
      <c r="F174" s="57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</row>
    <row r="175" spans="1:21" ht="13.5" x14ac:dyDescent="0.45">
      <c r="A175" s="56"/>
      <c r="B175" s="56"/>
      <c r="C175" s="57"/>
      <c r="D175" s="56"/>
      <c r="E175" s="56"/>
      <c r="F175" s="57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</row>
    <row r="176" spans="1:21" ht="13.5" x14ac:dyDescent="0.45">
      <c r="A176" s="56"/>
      <c r="B176" s="56"/>
      <c r="C176" s="57"/>
      <c r="D176" s="56"/>
      <c r="E176" s="56"/>
      <c r="F176" s="57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</row>
    <row r="177" spans="1:21" ht="13.5" x14ac:dyDescent="0.45">
      <c r="A177" s="56"/>
      <c r="B177" s="56"/>
      <c r="C177" s="57"/>
      <c r="D177" s="56"/>
      <c r="E177" s="56"/>
      <c r="F177" s="57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</row>
    <row r="178" spans="1:21" ht="13.5" x14ac:dyDescent="0.45">
      <c r="A178" s="56"/>
      <c r="B178" s="56"/>
      <c r="C178" s="57"/>
      <c r="D178" s="56"/>
      <c r="E178" s="56"/>
      <c r="F178" s="57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</row>
    <row r="179" spans="1:21" ht="13.5" x14ac:dyDescent="0.45">
      <c r="A179" s="56"/>
      <c r="B179" s="56"/>
      <c r="C179" s="57"/>
      <c r="D179" s="56"/>
      <c r="E179" s="56"/>
      <c r="F179" s="57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</row>
    <row r="180" spans="1:21" ht="13.5" x14ac:dyDescent="0.45">
      <c r="A180" s="56"/>
      <c r="B180" s="56"/>
      <c r="C180" s="57"/>
      <c r="D180" s="56"/>
      <c r="E180" s="56"/>
      <c r="F180" s="57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</row>
    <row r="181" spans="1:21" ht="13.5" x14ac:dyDescent="0.45">
      <c r="A181" s="56"/>
      <c r="B181" s="56"/>
      <c r="C181" s="57"/>
      <c r="D181" s="56"/>
      <c r="E181" s="56"/>
      <c r="F181" s="57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</row>
    <row r="182" spans="1:21" ht="13.5" x14ac:dyDescent="0.45">
      <c r="A182" s="56"/>
      <c r="B182" s="56"/>
      <c r="C182" s="57"/>
      <c r="D182" s="56"/>
      <c r="E182" s="56"/>
      <c r="F182" s="57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</row>
    <row r="183" spans="1:21" ht="13.5" x14ac:dyDescent="0.45">
      <c r="A183" s="56"/>
      <c r="B183" s="56"/>
      <c r="C183" s="57"/>
      <c r="D183" s="56"/>
      <c r="E183" s="56"/>
      <c r="F183" s="57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</row>
    <row r="184" spans="1:21" ht="13.5" x14ac:dyDescent="0.45">
      <c r="A184" s="56"/>
      <c r="B184" s="56"/>
      <c r="C184" s="57"/>
      <c r="D184" s="56"/>
      <c r="E184" s="56"/>
      <c r="F184" s="57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</row>
    <row r="185" spans="1:21" ht="13.5" x14ac:dyDescent="0.45">
      <c r="A185" s="56"/>
      <c r="B185" s="56"/>
      <c r="C185" s="57"/>
      <c r="D185" s="56"/>
      <c r="E185" s="56"/>
      <c r="F185" s="57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</row>
    <row r="186" spans="1:21" ht="13.5" x14ac:dyDescent="0.45">
      <c r="A186" s="56"/>
      <c r="B186" s="56"/>
      <c r="C186" s="57"/>
      <c r="D186" s="56"/>
      <c r="E186" s="56"/>
      <c r="F186" s="57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</row>
    <row r="187" spans="1:21" ht="13.5" x14ac:dyDescent="0.45">
      <c r="A187" s="56"/>
      <c r="B187" s="56"/>
      <c r="C187" s="57"/>
      <c r="D187" s="56"/>
      <c r="E187" s="56"/>
      <c r="F187" s="57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</row>
    <row r="188" spans="1:21" ht="13.5" x14ac:dyDescent="0.45">
      <c r="A188" s="56"/>
      <c r="B188" s="56"/>
      <c r="C188" s="57"/>
      <c r="D188" s="56"/>
      <c r="E188" s="56"/>
      <c r="F188" s="57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</row>
    <row r="189" spans="1:21" ht="13.5" x14ac:dyDescent="0.45">
      <c r="A189" s="56"/>
      <c r="B189" s="56"/>
      <c r="C189" s="57"/>
      <c r="D189" s="56"/>
      <c r="E189" s="56"/>
      <c r="F189" s="57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</row>
    <row r="190" spans="1:21" ht="13.5" x14ac:dyDescent="0.45">
      <c r="A190" s="56"/>
      <c r="B190" s="56"/>
      <c r="C190" s="57"/>
      <c r="D190" s="56"/>
      <c r="E190" s="56"/>
      <c r="F190" s="57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</row>
    <row r="191" spans="1:21" ht="13.5" x14ac:dyDescent="0.45">
      <c r="A191" s="56"/>
      <c r="B191" s="56"/>
      <c r="C191" s="57"/>
      <c r="D191" s="56"/>
      <c r="E191" s="56"/>
      <c r="F191" s="57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</row>
    <row r="192" spans="1:21" ht="13.5" x14ac:dyDescent="0.45">
      <c r="A192" s="56"/>
      <c r="B192" s="56"/>
      <c r="C192" s="57"/>
      <c r="D192" s="56"/>
      <c r="E192" s="56"/>
      <c r="F192" s="57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</row>
    <row r="193" spans="1:21" ht="13.5" x14ac:dyDescent="0.45">
      <c r="A193" s="56"/>
      <c r="B193" s="56"/>
      <c r="C193" s="57"/>
      <c r="D193" s="56"/>
      <c r="E193" s="56"/>
      <c r="F193" s="57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</row>
    <row r="194" spans="1:21" ht="13.5" x14ac:dyDescent="0.45">
      <c r="A194" s="56"/>
      <c r="B194" s="56"/>
      <c r="C194" s="57"/>
      <c r="D194" s="56"/>
      <c r="E194" s="56"/>
      <c r="F194" s="57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</row>
    <row r="195" spans="1:21" ht="13.5" x14ac:dyDescent="0.45">
      <c r="A195" s="56"/>
      <c r="B195" s="56"/>
      <c r="C195" s="57"/>
      <c r="D195" s="56"/>
      <c r="E195" s="56"/>
      <c r="F195" s="57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</row>
    <row r="196" spans="1:21" ht="13.5" x14ac:dyDescent="0.45">
      <c r="A196" s="56"/>
      <c r="B196" s="56"/>
      <c r="C196" s="57"/>
      <c r="D196" s="56"/>
      <c r="E196" s="56"/>
      <c r="F196" s="57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</row>
    <row r="197" spans="1:21" ht="13.5" x14ac:dyDescent="0.45">
      <c r="A197" s="56"/>
      <c r="B197" s="56"/>
      <c r="C197" s="57"/>
      <c r="D197" s="56"/>
      <c r="E197" s="56"/>
      <c r="F197" s="57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</row>
    <row r="198" spans="1:21" ht="13.5" x14ac:dyDescent="0.45">
      <c r="A198" s="56"/>
      <c r="B198" s="56"/>
      <c r="C198" s="57"/>
      <c r="D198" s="56"/>
      <c r="E198" s="56"/>
      <c r="F198" s="57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</row>
    <row r="199" spans="1:21" ht="13.5" x14ac:dyDescent="0.45">
      <c r="A199" s="56"/>
      <c r="B199" s="56"/>
      <c r="C199" s="57"/>
      <c r="D199" s="56"/>
      <c r="E199" s="56"/>
      <c r="F199" s="57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</row>
    <row r="200" spans="1:21" ht="13.5" x14ac:dyDescent="0.45">
      <c r="A200" s="56"/>
      <c r="B200" s="56"/>
      <c r="C200" s="57"/>
      <c r="D200" s="56"/>
      <c r="E200" s="56"/>
      <c r="F200" s="57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</row>
    <row r="201" spans="1:21" ht="13.5" x14ac:dyDescent="0.45">
      <c r="A201" s="56"/>
      <c r="B201" s="56"/>
      <c r="C201" s="57"/>
      <c r="D201" s="56"/>
      <c r="E201" s="56"/>
      <c r="F201" s="57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</row>
    <row r="202" spans="1:21" ht="13.5" x14ac:dyDescent="0.45">
      <c r="A202" s="56"/>
      <c r="B202" s="56"/>
      <c r="C202" s="57"/>
      <c r="D202" s="56"/>
      <c r="E202" s="56"/>
      <c r="F202" s="57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</row>
    <row r="203" spans="1:21" ht="13.5" x14ac:dyDescent="0.45">
      <c r="A203" s="56"/>
      <c r="B203" s="56"/>
      <c r="C203" s="57"/>
      <c r="D203" s="56"/>
      <c r="E203" s="56"/>
      <c r="F203" s="57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</row>
    <row r="204" spans="1:21" ht="13.5" x14ac:dyDescent="0.45">
      <c r="A204" s="56"/>
      <c r="B204" s="56"/>
      <c r="C204" s="57"/>
      <c r="D204" s="56"/>
      <c r="E204" s="56"/>
      <c r="F204" s="57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</row>
    <row r="205" spans="1:21" ht="13.5" x14ac:dyDescent="0.45">
      <c r="A205" s="56"/>
      <c r="B205" s="56"/>
      <c r="C205" s="57"/>
      <c r="D205" s="56"/>
      <c r="E205" s="56"/>
      <c r="F205" s="57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</row>
    <row r="206" spans="1:21" ht="13.5" x14ac:dyDescent="0.45">
      <c r="A206" s="56"/>
      <c r="B206" s="56"/>
      <c r="C206" s="57"/>
      <c r="D206" s="56"/>
      <c r="E206" s="56"/>
      <c r="F206" s="57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</row>
    <row r="207" spans="1:21" ht="13.5" x14ac:dyDescent="0.45">
      <c r="A207" s="56"/>
      <c r="B207" s="56"/>
      <c r="C207" s="57"/>
      <c r="D207" s="56"/>
      <c r="E207" s="56"/>
      <c r="F207" s="57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</row>
    <row r="208" spans="1:21" ht="13.5" x14ac:dyDescent="0.45">
      <c r="A208" s="56"/>
      <c r="B208" s="56"/>
      <c r="C208" s="57"/>
      <c r="D208" s="56"/>
      <c r="E208" s="56"/>
      <c r="F208" s="57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</row>
    <row r="209" spans="1:21" ht="13.5" x14ac:dyDescent="0.45">
      <c r="A209" s="56"/>
      <c r="B209" s="56"/>
      <c r="C209" s="57"/>
      <c r="D209" s="56"/>
      <c r="E209" s="56"/>
      <c r="F209" s="57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</row>
    <row r="210" spans="1:21" ht="13.5" x14ac:dyDescent="0.45">
      <c r="A210" s="56"/>
      <c r="B210" s="56"/>
      <c r="C210" s="57"/>
      <c r="D210" s="56"/>
      <c r="E210" s="56"/>
      <c r="F210" s="57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</row>
    <row r="211" spans="1:21" ht="13.5" x14ac:dyDescent="0.45">
      <c r="A211" s="56"/>
      <c r="B211" s="56"/>
      <c r="C211" s="57"/>
      <c r="D211" s="56"/>
      <c r="E211" s="56"/>
      <c r="F211" s="57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</row>
    <row r="212" spans="1:21" ht="13.5" x14ac:dyDescent="0.45">
      <c r="A212" s="56"/>
      <c r="B212" s="56"/>
      <c r="C212" s="57"/>
      <c r="D212" s="56"/>
      <c r="E212" s="56"/>
      <c r="F212" s="57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</row>
    <row r="213" spans="1:21" ht="13.5" x14ac:dyDescent="0.45">
      <c r="A213" s="56"/>
      <c r="B213" s="56"/>
      <c r="C213" s="57"/>
      <c r="D213" s="56"/>
      <c r="E213" s="56"/>
      <c r="F213" s="57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</row>
    <row r="214" spans="1:21" ht="13.5" x14ac:dyDescent="0.45">
      <c r="A214" s="56"/>
      <c r="B214" s="56"/>
      <c r="C214" s="57"/>
      <c r="D214" s="56"/>
      <c r="E214" s="56"/>
      <c r="F214" s="57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</row>
    <row r="215" spans="1:21" ht="13.5" x14ac:dyDescent="0.45">
      <c r="A215" s="56"/>
      <c r="B215" s="56"/>
      <c r="C215" s="57"/>
      <c r="D215" s="56"/>
      <c r="E215" s="56"/>
      <c r="F215" s="57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</row>
    <row r="216" spans="1:21" ht="13.5" x14ac:dyDescent="0.45">
      <c r="A216" s="56"/>
      <c r="B216" s="56"/>
      <c r="C216" s="57"/>
      <c r="D216" s="56"/>
      <c r="E216" s="56"/>
      <c r="F216" s="57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</row>
    <row r="217" spans="1:21" ht="13.5" x14ac:dyDescent="0.45">
      <c r="A217" s="56"/>
      <c r="B217" s="56"/>
      <c r="C217" s="57"/>
      <c r="D217" s="56"/>
      <c r="E217" s="56"/>
      <c r="F217" s="57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</row>
    <row r="218" spans="1:21" ht="13.5" x14ac:dyDescent="0.45">
      <c r="A218" s="56"/>
      <c r="B218" s="56"/>
      <c r="C218" s="57"/>
      <c r="D218" s="56"/>
      <c r="E218" s="56"/>
      <c r="F218" s="57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</row>
    <row r="219" spans="1:21" ht="13.5" x14ac:dyDescent="0.45">
      <c r="A219" s="56"/>
      <c r="B219" s="56"/>
      <c r="C219" s="57"/>
      <c r="D219" s="56"/>
      <c r="E219" s="56"/>
      <c r="F219" s="57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</row>
    <row r="220" spans="1:21" ht="13.5" x14ac:dyDescent="0.45">
      <c r="A220" s="56"/>
      <c r="B220" s="56"/>
      <c r="C220" s="57"/>
      <c r="D220" s="56"/>
      <c r="E220" s="56"/>
      <c r="F220" s="57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</row>
    <row r="221" spans="1:21" ht="13.5" x14ac:dyDescent="0.45">
      <c r="A221" s="56"/>
      <c r="B221" s="56"/>
      <c r="C221" s="57"/>
      <c r="D221" s="56"/>
      <c r="E221" s="56"/>
      <c r="F221" s="57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</row>
    <row r="222" spans="1:21" ht="13.5" x14ac:dyDescent="0.45">
      <c r="A222" s="56"/>
      <c r="B222" s="56"/>
      <c r="C222" s="57"/>
      <c r="D222" s="56"/>
      <c r="E222" s="56"/>
      <c r="F222" s="57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</row>
    <row r="223" spans="1:21" ht="13.5" x14ac:dyDescent="0.45">
      <c r="A223" s="56"/>
      <c r="B223" s="56"/>
      <c r="C223" s="57"/>
      <c r="D223" s="56"/>
      <c r="E223" s="56"/>
      <c r="F223" s="57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</row>
    <row r="224" spans="1:21" ht="13.5" x14ac:dyDescent="0.45">
      <c r="A224" s="56"/>
      <c r="B224" s="56"/>
      <c r="C224" s="57"/>
      <c r="D224" s="56"/>
      <c r="E224" s="56"/>
      <c r="F224" s="57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</row>
    <row r="225" spans="1:21" ht="13.5" x14ac:dyDescent="0.45">
      <c r="A225" s="56"/>
      <c r="B225" s="56"/>
      <c r="C225" s="57"/>
      <c r="D225" s="56"/>
      <c r="E225" s="56"/>
      <c r="F225" s="57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</row>
    <row r="226" spans="1:21" ht="13.5" x14ac:dyDescent="0.45">
      <c r="A226" s="56"/>
      <c r="B226" s="56"/>
      <c r="C226" s="57"/>
      <c r="D226" s="56"/>
      <c r="E226" s="56"/>
      <c r="F226" s="57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</row>
    <row r="227" spans="1:21" ht="13.5" x14ac:dyDescent="0.45">
      <c r="A227" s="56"/>
      <c r="B227" s="56"/>
      <c r="C227" s="57"/>
      <c r="D227" s="56"/>
      <c r="E227" s="56"/>
      <c r="F227" s="57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</row>
    <row r="228" spans="1:21" ht="13.5" x14ac:dyDescent="0.45">
      <c r="A228" s="56"/>
      <c r="B228" s="56"/>
      <c r="C228" s="57"/>
      <c r="D228" s="56"/>
      <c r="E228" s="56"/>
      <c r="F228" s="57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</row>
    <row r="229" spans="1:21" ht="13.5" x14ac:dyDescent="0.45">
      <c r="A229" s="56"/>
      <c r="B229" s="56"/>
      <c r="C229" s="57"/>
      <c r="D229" s="56"/>
      <c r="E229" s="56"/>
      <c r="F229" s="57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</row>
    <row r="230" spans="1:21" ht="13.5" x14ac:dyDescent="0.45">
      <c r="A230" s="56"/>
      <c r="B230" s="56"/>
      <c r="C230" s="57"/>
      <c r="D230" s="56"/>
      <c r="E230" s="56"/>
      <c r="F230" s="57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</row>
    <row r="231" spans="1:21" ht="13.5" x14ac:dyDescent="0.45">
      <c r="A231" s="56"/>
      <c r="B231" s="56"/>
      <c r="C231" s="57"/>
      <c r="D231" s="56"/>
      <c r="E231" s="56"/>
      <c r="F231" s="57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</row>
    <row r="232" spans="1:21" ht="13.5" x14ac:dyDescent="0.45">
      <c r="A232" s="56"/>
      <c r="B232" s="56"/>
      <c r="C232" s="57"/>
      <c r="D232" s="56"/>
      <c r="E232" s="56"/>
      <c r="F232" s="57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</row>
    <row r="233" spans="1:21" ht="13.5" x14ac:dyDescent="0.45">
      <c r="A233" s="56"/>
      <c r="B233" s="56"/>
      <c r="C233" s="57"/>
      <c r="D233" s="56"/>
      <c r="E233" s="56"/>
      <c r="F233" s="57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</row>
    <row r="234" spans="1:21" ht="13.5" x14ac:dyDescent="0.45">
      <c r="A234" s="56"/>
      <c r="B234" s="56"/>
      <c r="C234" s="57"/>
      <c r="D234" s="56"/>
      <c r="E234" s="56"/>
      <c r="F234" s="57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</row>
    <row r="235" spans="1:21" ht="13.5" x14ac:dyDescent="0.45">
      <c r="A235" s="56"/>
      <c r="B235" s="56"/>
      <c r="C235" s="57"/>
      <c r="D235" s="56"/>
      <c r="E235" s="56"/>
      <c r="F235" s="57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</row>
    <row r="236" spans="1:21" ht="13.5" x14ac:dyDescent="0.45">
      <c r="A236" s="56"/>
      <c r="B236" s="56"/>
      <c r="C236" s="57"/>
      <c r="D236" s="56"/>
      <c r="E236" s="56"/>
      <c r="F236" s="57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</row>
    <row r="237" spans="1:21" ht="13.5" x14ac:dyDescent="0.45">
      <c r="A237" s="56"/>
      <c r="B237" s="56"/>
      <c r="C237" s="57"/>
      <c r="D237" s="56"/>
      <c r="E237" s="56"/>
      <c r="F237" s="57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</row>
    <row r="238" spans="1:21" ht="13.5" x14ac:dyDescent="0.45">
      <c r="A238" s="56"/>
      <c r="B238" s="56"/>
      <c r="C238" s="57"/>
      <c r="D238" s="56"/>
      <c r="E238" s="56"/>
      <c r="F238" s="57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</row>
    <row r="239" spans="1:21" ht="13.5" x14ac:dyDescent="0.45">
      <c r="A239" s="56"/>
      <c r="B239" s="56"/>
      <c r="C239" s="57"/>
      <c r="D239" s="56"/>
      <c r="E239" s="56"/>
      <c r="F239" s="57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</row>
    <row r="240" spans="1:21" ht="13.5" x14ac:dyDescent="0.45">
      <c r="A240" s="56"/>
      <c r="B240" s="56"/>
      <c r="C240" s="57"/>
      <c r="D240" s="56"/>
      <c r="E240" s="56"/>
      <c r="F240" s="57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</row>
    <row r="241" spans="1:21" ht="13.5" x14ac:dyDescent="0.45">
      <c r="A241" s="56"/>
      <c r="B241" s="56"/>
      <c r="C241" s="57"/>
      <c r="D241" s="56"/>
      <c r="E241" s="56"/>
      <c r="F241" s="57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</row>
    <row r="242" spans="1:21" ht="13.5" x14ac:dyDescent="0.45">
      <c r="A242" s="56"/>
      <c r="B242" s="56"/>
      <c r="C242" s="57"/>
      <c r="D242" s="56"/>
      <c r="E242" s="56"/>
      <c r="F242" s="57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</row>
    <row r="243" spans="1:21" ht="13.5" x14ac:dyDescent="0.45">
      <c r="A243" s="56"/>
      <c r="B243" s="56"/>
      <c r="C243" s="57"/>
      <c r="D243" s="56"/>
      <c r="E243" s="56"/>
      <c r="F243" s="57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</row>
    <row r="244" spans="1:21" ht="13.5" x14ac:dyDescent="0.45">
      <c r="A244" s="56"/>
      <c r="B244" s="56"/>
      <c r="C244" s="57"/>
      <c r="D244" s="56"/>
      <c r="E244" s="56"/>
      <c r="F244" s="57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</row>
    <row r="245" spans="1:21" ht="13.5" x14ac:dyDescent="0.45">
      <c r="A245" s="56"/>
      <c r="B245" s="56"/>
      <c r="C245" s="57"/>
      <c r="D245" s="56"/>
      <c r="E245" s="56"/>
      <c r="F245" s="57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</row>
    <row r="246" spans="1:21" ht="13.5" x14ac:dyDescent="0.45">
      <c r="A246" s="56"/>
      <c r="B246" s="56"/>
      <c r="C246" s="57"/>
      <c r="D246" s="56"/>
      <c r="E246" s="56"/>
      <c r="F246" s="57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</row>
    <row r="247" spans="1:21" ht="13.5" x14ac:dyDescent="0.45">
      <c r="A247" s="56"/>
      <c r="B247" s="56"/>
      <c r="C247" s="57"/>
      <c r="D247" s="56"/>
      <c r="E247" s="56"/>
      <c r="F247" s="57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</row>
    <row r="248" spans="1:21" ht="13.5" x14ac:dyDescent="0.45">
      <c r="A248" s="56"/>
      <c r="B248" s="56"/>
      <c r="C248" s="57"/>
      <c r="D248" s="56"/>
      <c r="E248" s="56"/>
      <c r="F248" s="57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</row>
    <row r="249" spans="1:21" ht="13.5" x14ac:dyDescent="0.45">
      <c r="A249" s="56"/>
      <c r="B249" s="56"/>
      <c r="C249" s="57"/>
      <c r="D249" s="56"/>
      <c r="E249" s="56"/>
      <c r="F249" s="57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</row>
    <row r="250" spans="1:21" ht="13.5" x14ac:dyDescent="0.45">
      <c r="A250" s="56"/>
      <c r="B250" s="56"/>
      <c r="C250" s="57"/>
      <c r="D250" s="56"/>
      <c r="E250" s="56"/>
      <c r="F250" s="57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</row>
    <row r="251" spans="1:21" ht="13.5" x14ac:dyDescent="0.45">
      <c r="A251" s="56"/>
      <c r="B251" s="56"/>
      <c r="C251" s="57"/>
      <c r="D251" s="56"/>
      <c r="E251" s="56"/>
      <c r="F251" s="57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</row>
    <row r="252" spans="1:21" ht="13.5" x14ac:dyDescent="0.45">
      <c r="A252" s="56"/>
      <c r="B252" s="56"/>
      <c r="C252" s="57"/>
      <c r="D252" s="56"/>
      <c r="E252" s="56"/>
      <c r="F252" s="57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</row>
    <row r="253" spans="1:21" ht="13.5" x14ac:dyDescent="0.45">
      <c r="A253" s="56"/>
      <c r="B253" s="56"/>
      <c r="C253" s="57"/>
      <c r="D253" s="56"/>
      <c r="E253" s="56"/>
      <c r="F253" s="57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</row>
    <row r="254" spans="1:21" ht="13.5" x14ac:dyDescent="0.45">
      <c r="A254" s="56"/>
      <c r="B254" s="56"/>
      <c r="C254" s="57"/>
      <c r="D254" s="56"/>
      <c r="E254" s="56"/>
      <c r="F254" s="57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</row>
    <row r="255" spans="1:21" ht="13.5" x14ac:dyDescent="0.45">
      <c r="A255" s="56"/>
      <c r="B255" s="56"/>
      <c r="C255" s="57"/>
      <c r="D255" s="56"/>
      <c r="E255" s="56"/>
      <c r="F255" s="57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</row>
    <row r="256" spans="1:21" ht="13.5" x14ac:dyDescent="0.45">
      <c r="A256" s="56"/>
      <c r="B256" s="56"/>
      <c r="C256" s="57"/>
      <c r="D256" s="56"/>
      <c r="E256" s="56"/>
      <c r="F256" s="57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</row>
    <row r="257" spans="1:21" ht="13.5" x14ac:dyDescent="0.45">
      <c r="A257" s="56"/>
      <c r="B257" s="56"/>
      <c r="C257" s="57"/>
      <c r="D257" s="56"/>
      <c r="E257" s="56"/>
      <c r="F257" s="57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</row>
    <row r="258" spans="1:21" ht="13.5" x14ac:dyDescent="0.45">
      <c r="A258" s="56"/>
      <c r="B258" s="56"/>
      <c r="C258" s="57"/>
      <c r="D258" s="56"/>
      <c r="E258" s="56"/>
      <c r="F258" s="57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</row>
    <row r="259" spans="1:21" ht="13.5" x14ac:dyDescent="0.45">
      <c r="A259" s="56"/>
      <c r="B259" s="56"/>
      <c r="C259" s="57"/>
      <c r="D259" s="56"/>
      <c r="E259" s="56"/>
      <c r="F259" s="57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</row>
    <row r="260" spans="1:21" ht="13.5" x14ac:dyDescent="0.45">
      <c r="A260" s="56"/>
      <c r="B260" s="56"/>
      <c r="C260" s="57"/>
      <c r="D260" s="56"/>
      <c r="E260" s="56"/>
      <c r="F260" s="57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</row>
    <row r="261" spans="1:21" ht="13.5" x14ac:dyDescent="0.45">
      <c r="A261" s="56"/>
      <c r="B261" s="56"/>
      <c r="C261" s="57"/>
      <c r="D261" s="56"/>
      <c r="E261" s="56"/>
      <c r="F261" s="57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</row>
    <row r="262" spans="1:21" ht="13.5" x14ac:dyDescent="0.45">
      <c r="A262" s="56"/>
      <c r="B262" s="56"/>
      <c r="C262" s="57"/>
      <c r="D262" s="56"/>
      <c r="E262" s="56"/>
      <c r="F262" s="57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</row>
    <row r="263" spans="1:21" ht="13.5" x14ac:dyDescent="0.45">
      <c r="A263" s="56"/>
      <c r="B263" s="56"/>
      <c r="C263" s="57"/>
      <c r="D263" s="56"/>
      <c r="E263" s="56"/>
      <c r="F263" s="57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</row>
    <row r="264" spans="1:21" ht="13.5" x14ac:dyDescent="0.45">
      <c r="A264" s="56"/>
      <c r="B264" s="56"/>
      <c r="C264" s="57"/>
      <c r="D264" s="56"/>
      <c r="E264" s="56"/>
      <c r="F264" s="57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</row>
    <row r="265" spans="1:21" ht="13.5" x14ac:dyDescent="0.45">
      <c r="A265" s="56"/>
      <c r="B265" s="56"/>
      <c r="C265" s="57"/>
      <c r="D265" s="56"/>
      <c r="E265" s="56"/>
      <c r="F265" s="57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</row>
    <row r="266" spans="1:21" ht="13.5" x14ac:dyDescent="0.45">
      <c r="A266" s="56"/>
      <c r="B266" s="56"/>
      <c r="C266" s="57"/>
      <c r="D266" s="56"/>
      <c r="E266" s="56"/>
      <c r="F266" s="57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</row>
    <row r="267" spans="1:21" ht="13.5" x14ac:dyDescent="0.45">
      <c r="A267" s="56"/>
      <c r="B267" s="56"/>
      <c r="C267" s="57"/>
      <c r="D267" s="56"/>
      <c r="E267" s="56"/>
      <c r="F267" s="57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</row>
    <row r="268" spans="1:21" ht="13.5" x14ac:dyDescent="0.45">
      <c r="A268" s="56"/>
      <c r="B268" s="56"/>
      <c r="C268" s="57"/>
      <c r="D268" s="56"/>
      <c r="E268" s="56"/>
      <c r="F268" s="57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</row>
    <row r="269" spans="1:21" ht="13.5" x14ac:dyDescent="0.45">
      <c r="A269" s="56"/>
      <c r="B269" s="56"/>
      <c r="C269" s="57"/>
      <c r="D269" s="56"/>
      <c r="E269" s="56"/>
      <c r="F269" s="57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</row>
    <row r="270" spans="1:21" ht="13.5" x14ac:dyDescent="0.45">
      <c r="A270" s="56"/>
      <c r="B270" s="56"/>
      <c r="C270" s="57"/>
      <c r="D270" s="56"/>
      <c r="E270" s="56"/>
      <c r="F270" s="57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</row>
    <row r="271" spans="1:21" ht="13.5" x14ac:dyDescent="0.45">
      <c r="A271" s="56"/>
      <c r="B271" s="56"/>
      <c r="C271" s="57"/>
      <c r="D271" s="56"/>
      <c r="E271" s="56"/>
      <c r="F271" s="57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</row>
    <row r="272" spans="1:21" ht="13.5" x14ac:dyDescent="0.45">
      <c r="A272" s="56"/>
      <c r="B272" s="56"/>
      <c r="C272" s="57"/>
      <c r="D272" s="56"/>
      <c r="E272" s="56"/>
      <c r="F272" s="57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</row>
    <row r="273" spans="1:21" ht="13.5" x14ac:dyDescent="0.45">
      <c r="A273" s="56"/>
      <c r="B273" s="56"/>
      <c r="C273" s="57"/>
      <c r="D273" s="56"/>
      <c r="E273" s="56"/>
      <c r="F273" s="57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</row>
    <row r="274" spans="1:21" ht="13.5" x14ac:dyDescent="0.45">
      <c r="A274" s="56"/>
      <c r="B274" s="56"/>
      <c r="C274" s="57"/>
      <c r="D274" s="56"/>
      <c r="E274" s="56"/>
      <c r="F274" s="57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</row>
    <row r="275" spans="1:21" ht="13.5" x14ac:dyDescent="0.45">
      <c r="A275" s="56"/>
      <c r="B275" s="56"/>
      <c r="C275" s="57"/>
      <c r="D275" s="56"/>
      <c r="E275" s="56"/>
      <c r="F275" s="57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</row>
    <row r="276" spans="1:21" ht="13.5" x14ac:dyDescent="0.45">
      <c r="A276" s="56"/>
      <c r="B276" s="56"/>
      <c r="C276" s="57"/>
      <c r="D276" s="56"/>
      <c r="E276" s="56"/>
      <c r="F276" s="57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</row>
    <row r="277" spans="1:21" ht="13.5" x14ac:dyDescent="0.45">
      <c r="A277" s="56"/>
      <c r="B277" s="56"/>
      <c r="C277" s="57"/>
      <c r="D277" s="56"/>
      <c r="E277" s="56"/>
      <c r="F277" s="57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</row>
    <row r="278" spans="1:21" ht="13.5" x14ac:dyDescent="0.45">
      <c r="A278" s="56"/>
      <c r="B278" s="56"/>
      <c r="C278" s="57"/>
      <c r="D278" s="56"/>
      <c r="E278" s="56"/>
      <c r="F278" s="57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</row>
    <row r="279" spans="1:21" ht="13.5" x14ac:dyDescent="0.45">
      <c r="A279" s="56"/>
      <c r="B279" s="56"/>
      <c r="C279" s="57"/>
      <c r="D279" s="56"/>
      <c r="E279" s="56"/>
      <c r="F279" s="57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</row>
    <row r="280" spans="1:21" ht="13.5" x14ac:dyDescent="0.45">
      <c r="A280" s="56"/>
      <c r="B280" s="56"/>
      <c r="C280" s="57"/>
      <c r="D280" s="56"/>
      <c r="E280" s="56"/>
      <c r="F280" s="57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</row>
    <row r="281" spans="1:21" ht="13.5" x14ac:dyDescent="0.45">
      <c r="A281" s="56"/>
      <c r="B281" s="56"/>
      <c r="C281" s="57"/>
      <c r="D281" s="56"/>
      <c r="E281" s="56"/>
      <c r="F281" s="57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</row>
    <row r="282" spans="1:21" ht="13.5" x14ac:dyDescent="0.45">
      <c r="A282" s="56"/>
      <c r="B282" s="56"/>
      <c r="C282" s="57"/>
      <c r="D282" s="56"/>
      <c r="E282" s="56"/>
      <c r="F282" s="57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</row>
    <row r="283" spans="1:21" ht="13.5" x14ac:dyDescent="0.45">
      <c r="A283" s="56"/>
      <c r="B283" s="56"/>
      <c r="C283" s="57"/>
      <c r="D283" s="56"/>
      <c r="E283" s="56"/>
      <c r="F283" s="57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</row>
    <row r="284" spans="1:21" ht="13.5" x14ac:dyDescent="0.45">
      <c r="A284" s="56"/>
      <c r="B284" s="56"/>
      <c r="C284" s="57"/>
      <c r="D284" s="56"/>
      <c r="E284" s="56"/>
      <c r="F284" s="57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</row>
    <row r="285" spans="1:21" ht="13.5" x14ac:dyDescent="0.45">
      <c r="A285" s="56"/>
      <c r="B285" s="56"/>
      <c r="C285" s="57"/>
      <c r="D285" s="56"/>
      <c r="E285" s="56"/>
      <c r="F285" s="57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</row>
    <row r="286" spans="1:21" ht="13.5" x14ac:dyDescent="0.45">
      <c r="A286" s="56"/>
      <c r="B286" s="56"/>
      <c r="C286" s="57"/>
      <c r="D286" s="56"/>
      <c r="E286" s="56"/>
      <c r="F286" s="57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</row>
    <row r="287" spans="1:21" ht="13.5" x14ac:dyDescent="0.45">
      <c r="A287" s="56"/>
      <c r="B287" s="56"/>
      <c r="C287" s="57"/>
      <c r="D287" s="56"/>
      <c r="E287" s="56"/>
      <c r="F287" s="57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</row>
    <row r="288" spans="1:21" ht="13.5" x14ac:dyDescent="0.45">
      <c r="A288" s="56"/>
      <c r="B288" s="56"/>
      <c r="C288" s="57"/>
      <c r="D288" s="56"/>
      <c r="E288" s="56"/>
      <c r="F288" s="57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</row>
    <row r="289" spans="1:21" ht="13.5" x14ac:dyDescent="0.45">
      <c r="A289" s="56"/>
      <c r="B289" s="56"/>
      <c r="C289" s="57"/>
      <c r="D289" s="56"/>
      <c r="E289" s="56"/>
      <c r="F289" s="57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</row>
    <row r="290" spans="1:21" ht="13.5" x14ac:dyDescent="0.45">
      <c r="A290" s="56"/>
      <c r="B290" s="56"/>
      <c r="C290" s="57"/>
      <c r="D290" s="56"/>
      <c r="E290" s="56"/>
      <c r="F290" s="57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</row>
    <row r="291" spans="1:21" ht="13.5" x14ac:dyDescent="0.45">
      <c r="A291" s="56"/>
      <c r="B291" s="56"/>
      <c r="C291" s="57"/>
      <c r="D291" s="56"/>
      <c r="E291" s="56"/>
      <c r="F291" s="57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</row>
    <row r="292" spans="1:21" ht="13.5" x14ac:dyDescent="0.45">
      <c r="A292" s="56"/>
      <c r="B292" s="56"/>
      <c r="C292" s="57"/>
      <c r="D292" s="56"/>
      <c r="E292" s="56"/>
      <c r="F292" s="57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</row>
    <row r="293" spans="1:21" ht="13.5" x14ac:dyDescent="0.45">
      <c r="A293" s="56"/>
      <c r="B293" s="56"/>
      <c r="C293" s="57"/>
      <c r="D293" s="56"/>
      <c r="E293" s="56"/>
      <c r="F293" s="57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</row>
    <row r="294" spans="1:21" ht="13.5" x14ac:dyDescent="0.45">
      <c r="A294" s="56"/>
      <c r="B294" s="56"/>
      <c r="C294" s="57"/>
      <c r="D294" s="56"/>
      <c r="E294" s="56"/>
      <c r="F294" s="57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</row>
    <row r="295" spans="1:21" ht="13.5" x14ac:dyDescent="0.45">
      <c r="A295" s="56"/>
      <c r="B295" s="56"/>
      <c r="C295" s="57"/>
      <c r="D295" s="56"/>
      <c r="E295" s="56"/>
      <c r="F295" s="57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</row>
    <row r="296" spans="1:21" ht="13.5" x14ac:dyDescent="0.45">
      <c r="A296" s="56"/>
      <c r="B296" s="56"/>
      <c r="C296" s="57"/>
      <c r="D296" s="56"/>
      <c r="E296" s="56"/>
      <c r="F296" s="57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</row>
    <row r="297" spans="1:21" ht="13.5" x14ac:dyDescent="0.45">
      <c r="A297" s="56"/>
      <c r="B297" s="56"/>
      <c r="C297" s="57"/>
      <c r="D297" s="56"/>
      <c r="E297" s="56"/>
      <c r="F297" s="57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</row>
    <row r="298" spans="1:21" ht="13.5" x14ac:dyDescent="0.45">
      <c r="A298" s="56"/>
      <c r="B298" s="56"/>
      <c r="C298" s="57"/>
      <c r="D298" s="56"/>
      <c r="E298" s="56"/>
      <c r="F298" s="57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</row>
    <row r="299" spans="1:21" ht="13.5" x14ac:dyDescent="0.45">
      <c r="A299" s="56"/>
      <c r="B299" s="56"/>
      <c r="C299" s="57"/>
      <c r="D299" s="56"/>
      <c r="E299" s="56"/>
      <c r="F299" s="57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</row>
    <row r="300" spans="1:21" ht="13.5" x14ac:dyDescent="0.45">
      <c r="A300" s="56"/>
      <c r="B300" s="56"/>
      <c r="C300" s="57"/>
      <c r="D300" s="56"/>
      <c r="E300" s="56"/>
      <c r="F300" s="57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</row>
    <row r="301" spans="1:21" ht="13.5" x14ac:dyDescent="0.45">
      <c r="A301" s="56"/>
      <c r="B301" s="56"/>
      <c r="C301" s="57"/>
      <c r="D301" s="56"/>
      <c r="E301" s="56"/>
      <c r="F301" s="57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</row>
    <row r="302" spans="1:21" ht="13.5" x14ac:dyDescent="0.45">
      <c r="A302" s="56"/>
      <c r="B302" s="56"/>
      <c r="C302" s="57"/>
      <c r="D302" s="56"/>
      <c r="E302" s="56"/>
      <c r="F302" s="57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</row>
    <row r="303" spans="1:21" ht="13.5" x14ac:dyDescent="0.45">
      <c r="A303" s="56"/>
      <c r="B303" s="56"/>
      <c r="C303" s="57"/>
      <c r="D303" s="56"/>
      <c r="E303" s="56"/>
      <c r="F303" s="57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</row>
    <row r="304" spans="1:21" ht="13.5" x14ac:dyDescent="0.45">
      <c r="A304" s="56"/>
      <c r="B304" s="56"/>
      <c r="C304" s="57"/>
      <c r="D304" s="56"/>
      <c r="E304" s="56"/>
      <c r="F304" s="57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</row>
    <row r="305" spans="1:21" ht="13.5" x14ac:dyDescent="0.45">
      <c r="A305" s="56"/>
      <c r="B305" s="56"/>
      <c r="C305" s="57"/>
      <c r="D305" s="56"/>
      <c r="E305" s="56"/>
      <c r="F305" s="57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</row>
    <row r="306" spans="1:21" ht="13.5" x14ac:dyDescent="0.45">
      <c r="A306" s="56"/>
      <c r="B306" s="56"/>
      <c r="C306" s="57"/>
      <c r="D306" s="56"/>
      <c r="E306" s="56"/>
      <c r="F306" s="57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</row>
    <row r="307" spans="1:21" ht="13.5" x14ac:dyDescent="0.45">
      <c r="A307" s="56"/>
      <c r="B307" s="56"/>
      <c r="C307" s="57"/>
      <c r="D307" s="56"/>
      <c r="E307" s="56"/>
      <c r="F307" s="57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</row>
    <row r="308" spans="1:21" ht="13.5" x14ac:dyDescent="0.45">
      <c r="A308" s="56"/>
      <c r="B308" s="56"/>
      <c r="C308" s="57"/>
      <c r="D308" s="56"/>
      <c r="E308" s="56"/>
      <c r="F308" s="57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</row>
    <row r="309" spans="1:21" ht="13.5" x14ac:dyDescent="0.45">
      <c r="A309" s="56"/>
      <c r="B309" s="56"/>
      <c r="C309" s="57"/>
      <c r="D309" s="56"/>
      <c r="E309" s="56"/>
      <c r="F309" s="57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</row>
    <row r="310" spans="1:21" ht="13.5" x14ac:dyDescent="0.45">
      <c r="A310" s="56"/>
      <c r="B310" s="56"/>
      <c r="C310" s="57"/>
      <c r="D310" s="56"/>
      <c r="E310" s="56"/>
      <c r="F310" s="57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</row>
    <row r="311" spans="1:21" ht="13.5" x14ac:dyDescent="0.45">
      <c r="A311" s="56"/>
      <c r="B311" s="56"/>
      <c r="C311" s="57"/>
      <c r="D311" s="56"/>
      <c r="E311" s="56"/>
      <c r="F311" s="57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</row>
    <row r="312" spans="1:21" ht="13.5" x14ac:dyDescent="0.45">
      <c r="A312" s="56"/>
      <c r="B312" s="56"/>
      <c r="C312" s="57"/>
      <c r="D312" s="56"/>
      <c r="E312" s="56"/>
      <c r="F312" s="57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</row>
    <row r="313" spans="1:21" ht="13.5" x14ac:dyDescent="0.45">
      <c r="A313" s="56"/>
      <c r="B313" s="56"/>
      <c r="C313" s="57"/>
      <c r="D313" s="56"/>
      <c r="E313" s="56"/>
      <c r="F313" s="57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</row>
    <row r="314" spans="1:21" ht="13.5" x14ac:dyDescent="0.45">
      <c r="A314" s="56"/>
      <c r="B314" s="56"/>
      <c r="C314" s="57"/>
      <c r="D314" s="56"/>
      <c r="E314" s="56"/>
      <c r="F314" s="57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</row>
    <row r="315" spans="1:21" ht="13.5" x14ac:dyDescent="0.45">
      <c r="A315" s="56"/>
      <c r="B315" s="56"/>
      <c r="C315" s="57"/>
      <c r="D315" s="56"/>
      <c r="E315" s="56"/>
      <c r="F315" s="57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</row>
    <row r="316" spans="1:21" ht="13.5" x14ac:dyDescent="0.45">
      <c r="A316" s="56"/>
      <c r="B316" s="56"/>
      <c r="C316" s="57"/>
      <c r="D316" s="56"/>
      <c r="E316" s="56"/>
      <c r="F316" s="57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</row>
    <row r="317" spans="1:21" ht="13.5" x14ac:dyDescent="0.45">
      <c r="A317" s="56"/>
      <c r="B317" s="56"/>
      <c r="C317" s="57"/>
      <c r="D317" s="56"/>
      <c r="E317" s="56"/>
      <c r="F317" s="57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</row>
    <row r="318" spans="1:21" ht="13.5" x14ac:dyDescent="0.45">
      <c r="A318" s="56"/>
      <c r="B318" s="56"/>
      <c r="C318" s="57"/>
      <c r="D318" s="56"/>
      <c r="E318" s="56"/>
      <c r="F318" s="57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</row>
    <row r="319" spans="1:21" ht="13.5" x14ac:dyDescent="0.45">
      <c r="A319" s="56"/>
      <c r="B319" s="56"/>
      <c r="C319" s="57"/>
      <c r="D319" s="56"/>
      <c r="E319" s="56"/>
      <c r="F319" s="57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</row>
    <row r="320" spans="1:21" ht="13.5" x14ac:dyDescent="0.45">
      <c r="A320" s="56"/>
      <c r="B320" s="56"/>
      <c r="C320" s="57"/>
      <c r="D320" s="56"/>
      <c r="E320" s="56"/>
      <c r="F320" s="57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</row>
    <row r="321" spans="1:21" ht="13.5" x14ac:dyDescent="0.45">
      <c r="A321" s="56"/>
      <c r="B321" s="56"/>
      <c r="C321" s="57"/>
      <c r="D321" s="56"/>
      <c r="E321" s="56"/>
      <c r="F321" s="57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</row>
    <row r="322" spans="1:21" ht="13.5" x14ac:dyDescent="0.45">
      <c r="A322" s="56"/>
      <c r="B322" s="56"/>
      <c r="C322" s="57"/>
      <c r="D322" s="56"/>
      <c r="E322" s="56"/>
      <c r="F322" s="57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</row>
    <row r="323" spans="1:21" ht="13.5" x14ac:dyDescent="0.45">
      <c r="A323" s="56"/>
      <c r="B323" s="56"/>
      <c r="C323" s="57"/>
      <c r="D323" s="56"/>
      <c r="E323" s="56"/>
      <c r="F323" s="57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</row>
    <row r="324" spans="1:21" ht="13.5" x14ac:dyDescent="0.45">
      <c r="A324" s="56"/>
      <c r="B324" s="56"/>
      <c r="C324" s="57"/>
      <c r="D324" s="56"/>
      <c r="E324" s="56"/>
      <c r="F324" s="57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</row>
    <row r="325" spans="1:21" ht="13.5" x14ac:dyDescent="0.45">
      <c r="A325" s="56"/>
      <c r="B325" s="56"/>
      <c r="C325" s="57"/>
      <c r="D325" s="56"/>
      <c r="E325" s="56"/>
      <c r="F325" s="57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</row>
    <row r="326" spans="1:21" ht="13.5" x14ac:dyDescent="0.45">
      <c r="A326" s="56"/>
      <c r="B326" s="56"/>
      <c r="C326" s="57"/>
      <c r="D326" s="56"/>
      <c r="E326" s="56"/>
      <c r="F326" s="57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</row>
    <row r="327" spans="1:21" ht="13.5" x14ac:dyDescent="0.45">
      <c r="A327" s="56"/>
      <c r="B327" s="56"/>
      <c r="C327" s="57"/>
      <c r="D327" s="56"/>
      <c r="E327" s="56"/>
      <c r="F327" s="57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</row>
    <row r="328" spans="1:21" ht="13.5" x14ac:dyDescent="0.45">
      <c r="A328" s="56"/>
      <c r="B328" s="56"/>
      <c r="C328" s="57"/>
      <c r="D328" s="56"/>
      <c r="E328" s="56"/>
      <c r="F328" s="57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</row>
    <row r="329" spans="1:21" ht="13.5" x14ac:dyDescent="0.45">
      <c r="A329" s="56"/>
      <c r="B329" s="56"/>
      <c r="C329" s="57"/>
      <c r="D329" s="56"/>
      <c r="E329" s="56"/>
      <c r="F329" s="57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</row>
    <row r="330" spans="1:21" ht="13.5" x14ac:dyDescent="0.45">
      <c r="A330" s="56"/>
      <c r="B330" s="56"/>
      <c r="C330" s="57"/>
      <c r="D330" s="56"/>
      <c r="E330" s="56"/>
      <c r="F330" s="57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</row>
    <row r="331" spans="1:21" ht="13.5" x14ac:dyDescent="0.45">
      <c r="A331" s="56"/>
      <c r="B331" s="56"/>
      <c r="C331" s="57"/>
      <c r="D331" s="56"/>
      <c r="E331" s="56"/>
      <c r="F331" s="57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</row>
    <row r="332" spans="1:21" ht="13.5" x14ac:dyDescent="0.45">
      <c r="A332" s="56"/>
      <c r="B332" s="56"/>
      <c r="C332" s="57"/>
      <c r="D332" s="56"/>
      <c r="E332" s="56"/>
      <c r="F332" s="57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</row>
    <row r="333" spans="1:21" ht="13.5" x14ac:dyDescent="0.45">
      <c r="A333" s="56"/>
      <c r="B333" s="56"/>
      <c r="C333" s="57"/>
      <c r="D333" s="56"/>
      <c r="E333" s="56"/>
      <c r="F333" s="57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</row>
    <row r="334" spans="1:21" ht="13.5" x14ac:dyDescent="0.45">
      <c r="A334" s="56"/>
      <c r="B334" s="56"/>
      <c r="C334" s="57"/>
      <c r="D334" s="56"/>
      <c r="E334" s="56"/>
      <c r="F334" s="57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</row>
    <row r="335" spans="1:21" ht="13.5" x14ac:dyDescent="0.45">
      <c r="A335" s="56"/>
      <c r="B335" s="56"/>
      <c r="C335" s="57"/>
      <c r="D335" s="56"/>
      <c r="E335" s="56"/>
      <c r="F335" s="57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</row>
    <row r="336" spans="1:21" ht="13.5" x14ac:dyDescent="0.45">
      <c r="A336" s="56"/>
      <c r="B336" s="56"/>
      <c r="C336" s="57"/>
      <c r="D336" s="56"/>
      <c r="E336" s="56"/>
      <c r="F336" s="57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</row>
    <row r="337" spans="1:21" ht="13.5" x14ac:dyDescent="0.45">
      <c r="A337" s="56"/>
      <c r="B337" s="56"/>
      <c r="C337" s="57"/>
      <c r="D337" s="56"/>
      <c r="E337" s="56"/>
      <c r="F337" s="57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</row>
    <row r="338" spans="1:21" ht="13.5" x14ac:dyDescent="0.45">
      <c r="A338" s="56"/>
      <c r="B338" s="56"/>
      <c r="C338" s="57"/>
      <c r="D338" s="56"/>
      <c r="E338" s="56"/>
      <c r="F338" s="57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</row>
    <row r="339" spans="1:21" ht="13.5" x14ac:dyDescent="0.45">
      <c r="A339" s="56"/>
      <c r="B339" s="56"/>
      <c r="C339" s="57"/>
      <c r="D339" s="56"/>
      <c r="E339" s="56"/>
      <c r="F339" s="57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</row>
    <row r="340" spans="1:21" ht="13.5" x14ac:dyDescent="0.45">
      <c r="A340" s="56"/>
      <c r="B340" s="56"/>
      <c r="C340" s="57"/>
      <c r="D340" s="56"/>
      <c r="E340" s="56"/>
      <c r="F340" s="57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</row>
    <row r="341" spans="1:21" ht="13.5" x14ac:dyDescent="0.45">
      <c r="A341" s="56"/>
      <c r="B341" s="56"/>
      <c r="C341" s="57"/>
      <c r="D341" s="56"/>
      <c r="E341" s="56"/>
      <c r="F341" s="57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</row>
    <row r="342" spans="1:21" ht="13.5" x14ac:dyDescent="0.45">
      <c r="A342" s="56"/>
      <c r="B342" s="56"/>
      <c r="C342" s="57"/>
      <c r="D342" s="56"/>
      <c r="E342" s="56"/>
      <c r="F342" s="57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</row>
    <row r="343" spans="1:21" ht="13.5" x14ac:dyDescent="0.45">
      <c r="A343" s="56"/>
      <c r="B343" s="56"/>
      <c r="C343" s="57"/>
      <c r="D343" s="56"/>
      <c r="E343" s="56"/>
      <c r="F343" s="57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</row>
    <row r="344" spans="1:21" ht="13.5" x14ac:dyDescent="0.45">
      <c r="A344" s="56"/>
      <c r="B344" s="56"/>
      <c r="C344" s="57"/>
      <c r="D344" s="56"/>
      <c r="E344" s="56"/>
      <c r="F344" s="57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</row>
    <row r="345" spans="1:21" ht="13.5" x14ac:dyDescent="0.45">
      <c r="A345" s="56"/>
      <c r="B345" s="56"/>
      <c r="C345" s="57"/>
      <c r="D345" s="56"/>
      <c r="E345" s="56"/>
      <c r="F345" s="57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</row>
    <row r="346" spans="1:21" ht="13.5" x14ac:dyDescent="0.45">
      <c r="A346" s="56"/>
      <c r="B346" s="56"/>
      <c r="C346" s="57"/>
      <c r="D346" s="56"/>
      <c r="E346" s="56"/>
      <c r="F346" s="57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</row>
    <row r="347" spans="1:21" ht="13.5" x14ac:dyDescent="0.45">
      <c r="A347" s="56"/>
      <c r="B347" s="56"/>
      <c r="C347" s="57"/>
      <c r="D347" s="56"/>
      <c r="E347" s="56"/>
      <c r="F347" s="57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</row>
    <row r="348" spans="1:21" ht="13.5" x14ac:dyDescent="0.45">
      <c r="A348" s="56"/>
      <c r="B348" s="56"/>
      <c r="C348" s="57"/>
      <c r="D348" s="56"/>
      <c r="E348" s="56"/>
      <c r="F348" s="57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</row>
    <row r="349" spans="1:21" ht="13.5" x14ac:dyDescent="0.45">
      <c r="A349" s="56"/>
      <c r="B349" s="56"/>
      <c r="C349" s="57"/>
      <c r="D349" s="56"/>
      <c r="E349" s="56"/>
      <c r="F349" s="57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</row>
    <row r="350" spans="1:21" ht="13.5" x14ac:dyDescent="0.45">
      <c r="A350" s="56"/>
      <c r="B350" s="56"/>
      <c r="C350" s="57"/>
      <c r="D350" s="56"/>
      <c r="E350" s="56"/>
      <c r="F350" s="57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</row>
    <row r="351" spans="1:21" ht="13.5" x14ac:dyDescent="0.45">
      <c r="A351" s="56"/>
      <c r="B351" s="56"/>
      <c r="C351" s="57"/>
      <c r="D351" s="56"/>
      <c r="E351" s="56"/>
      <c r="F351" s="57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</row>
    <row r="352" spans="1:21" ht="13.5" x14ac:dyDescent="0.45">
      <c r="A352" s="56"/>
      <c r="B352" s="56"/>
      <c r="C352" s="57"/>
      <c r="D352" s="56"/>
      <c r="E352" s="56"/>
      <c r="F352" s="57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</row>
    <row r="353" spans="1:21" ht="13.5" x14ac:dyDescent="0.45">
      <c r="A353" s="56"/>
      <c r="B353" s="56"/>
      <c r="C353" s="57"/>
      <c r="D353" s="56"/>
      <c r="E353" s="56"/>
      <c r="F353" s="57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</row>
    <row r="354" spans="1:21" ht="13.5" x14ac:dyDescent="0.45">
      <c r="A354" s="56"/>
      <c r="B354" s="56"/>
      <c r="C354" s="57"/>
      <c r="D354" s="56"/>
      <c r="E354" s="56"/>
      <c r="F354" s="57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</row>
    <row r="355" spans="1:21" ht="13.5" x14ac:dyDescent="0.45">
      <c r="A355" s="56"/>
      <c r="B355" s="56"/>
      <c r="C355" s="57"/>
      <c r="D355" s="56"/>
      <c r="E355" s="56"/>
      <c r="F355" s="57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</row>
    <row r="356" spans="1:21" ht="13.5" x14ac:dyDescent="0.45">
      <c r="A356" s="56"/>
      <c r="B356" s="56"/>
      <c r="C356" s="57"/>
      <c r="D356" s="56"/>
      <c r="E356" s="56"/>
      <c r="F356" s="57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</row>
    <row r="357" spans="1:21" ht="13.5" x14ac:dyDescent="0.45">
      <c r="A357" s="56"/>
      <c r="B357" s="56"/>
      <c r="C357" s="57"/>
      <c r="D357" s="56"/>
      <c r="E357" s="56"/>
      <c r="F357" s="57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</row>
    <row r="358" spans="1:21" ht="13.5" x14ac:dyDescent="0.45">
      <c r="A358" s="56"/>
      <c r="B358" s="56"/>
      <c r="C358" s="57"/>
      <c r="D358" s="56"/>
      <c r="E358" s="56"/>
      <c r="F358" s="57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</row>
    <row r="359" spans="1:21" ht="13.5" x14ac:dyDescent="0.45">
      <c r="A359" s="56"/>
      <c r="B359" s="56"/>
      <c r="C359" s="57"/>
      <c r="D359" s="56"/>
      <c r="E359" s="56"/>
      <c r="F359" s="57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</row>
    <row r="360" spans="1:21" ht="13.5" x14ac:dyDescent="0.45">
      <c r="A360" s="56"/>
      <c r="B360" s="56"/>
      <c r="C360" s="57"/>
      <c r="D360" s="56"/>
      <c r="E360" s="56"/>
      <c r="F360" s="57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</row>
    <row r="361" spans="1:21" ht="13.5" x14ac:dyDescent="0.45">
      <c r="A361" s="56"/>
      <c r="B361" s="56"/>
      <c r="C361" s="57"/>
      <c r="D361" s="56"/>
      <c r="E361" s="56"/>
      <c r="F361" s="57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</row>
    <row r="362" spans="1:21" ht="13.5" x14ac:dyDescent="0.45">
      <c r="A362" s="56"/>
      <c r="B362" s="56"/>
      <c r="C362" s="57"/>
      <c r="D362" s="56"/>
      <c r="E362" s="56"/>
      <c r="F362" s="57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</row>
    <row r="363" spans="1:21" ht="13.5" x14ac:dyDescent="0.45">
      <c r="A363" s="56"/>
      <c r="B363" s="56"/>
      <c r="C363" s="57"/>
      <c r="D363" s="56"/>
      <c r="E363" s="56"/>
      <c r="F363" s="57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</row>
    <row r="364" spans="1:21" ht="13.5" x14ac:dyDescent="0.45">
      <c r="A364" s="56"/>
      <c r="B364" s="56"/>
      <c r="C364" s="57"/>
      <c r="D364" s="56"/>
      <c r="E364" s="56"/>
      <c r="F364" s="57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</row>
    <row r="365" spans="1:21" ht="13.5" x14ac:dyDescent="0.45">
      <c r="A365" s="56"/>
      <c r="B365" s="56"/>
      <c r="C365" s="57"/>
      <c r="D365" s="56"/>
      <c r="E365" s="56"/>
      <c r="F365" s="57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</row>
    <row r="366" spans="1:21" ht="13.5" x14ac:dyDescent="0.45">
      <c r="A366" s="56"/>
      <c r="B366" s="56"/>
      <c r="C366" s="57"/>
      <c r="D366" s="56"/>
      <c r="E366" s="56"/>
      <c r="F366" s="57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</row>
    <row r="367" spans="1:21" ht="13.5" x14ac:dyDescent="0.45">
      <c r="A367" s="56"/>
      <c r="B367" s="56"/>
      <c r="C367" s="57"/>
      <c r="D367" s="56"/>
      <c r="E367" s="56"/>
      <c r="F367" s="57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</row>
    <row r="368" spans="1:21" ht="13.5" x14ac:dyDescent="0.45">
      <c r="A368" s="56"/>
      <c r="B368" s="56"/>
      <c r="C368" s="57"/>
      <c r="D368" s="56"/>
      <c r="E368" s="56"/>
      <c r="F368" s="57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</row>
    <row r="369" spans="1:21" ht="13.5" x14ac:dyDescent="0.45">
      <c r="A369" s="56"/>
      <c r="B369" s="56"/>
      <c r="C369" s="57"/>
      <c r="D369" s="56"/>
      <c r="E369" s="56"/>
      <c r="F369" s="57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</row>
    <row r="370" spans="1:21" ht="13.5" x14ac:dyDescent="0.45">
      <c r="A370" s="56"/>
      <c r="B370" s="56"/>
      <c r="C370" s="57"/>
      <c r="D370" s="56"/>
      <c r="E370" s="56"/>
      <c r="F370" s="57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</row>
    <row r="371" spans="1:21" ht="13.5" x14ac:dyDescent="0.45">
      <c r="A371" s="56"/>
      <c r="B371" s="56"/>
      <c r="C371" s="57"/>
      <c r="D371" s="56"/>
      <c r="E371" s="56"/>
      <c r="F371" s="57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</row>
    <row r="372" spans="1:21" ht="13.5" x14ac:dyDescent="0.45">
      <c r="A372" s="56"/>
      <c r="B372" s="56"/>
      <c r="C372" s="57"/>
      <c r="D372" s="56"/>
      <c r="E372" s="56"/>
      <c r="F372" s="57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</row>
    <row r="373" spans="1:21" ht="13.5" x14ac:dyDescent="0.45">
      <c r="A373" s="56"/>
      <c r="B373" s="56"/>
      <c r="C373" s="57"/>
      <c r="D373" s="56"/>
      <c r="E373" s="56"/>
      <c r="F373" s="57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</row>
    <row r="374" spans="1:21" ht="13.5" x14ac:dyDescent="0.45">
      <c r="A374" s="56"/>
      <c r="B374" s="56"/>
      <c r="C374" s="57"/>
      <c r="D374" s="56"/>
      <c r="E374" s="56"/>
      <c r="F374" s="57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</row>
    <row r="375" spans="1:21" ht="13.5" x14ac:dyDescent="0.45">
      <c r="A375" s="56"/>
      <c r="B375" s="56"/>
      <c r="C375" s="57"/>
      <c r="D375" s="56"/>
      <c r="E375" s="56"/>
      <c r="F375" s="57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</row>
    <row r="376" spans="1:21" ht="13.5" x14ac:dyDescent="0.45">
      <c r="A376" s="56"/>
      <c r="B376" s="56"/>
      <c r="C376" s="57"/>
      <c r="D376" s="56"/>
      <c r="E376" s="56"/>
      <c r="F376" s="57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</row>
    <row r="377" spans="1:21" ht="13.5" x14ac:dyDescent="0.45">
      <c r="A377" s="56"/>
      <c r="B377" s="56"/>
      <c r="C377" s="57"/>
      <c r="D377" s="56"/>
      <c r="E377" s="56"/>
      <c r="F377" s="57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</row>
    <row r="378" spans="1:21" ht="13.5" x14ac:dyDescent="0.45">
      <c r="A378" s="56"/>
      <c r="B378" s="56"/>
      <c r="C378" s="57"/>
      <c r="D378" s="56"/>
      <c r="E378" s="56"/>
      <c r="F378" s="57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</row>
    <row r="379" spans="1:21" ht="13.5" x14ac:dyDescent="0.45">
      <c r="A379" s="56"/>
      <c r="B379" s="56"/>
      <c r="C379" s="57"/>
      <c r="D379" s="56"/>
      <c r="E379" s="56"/>
      <c r="F379" s="57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</row>
    <row r="380" spans="1:21" ht="13.5" x14ac:dyDescent="0.45">
      <c r="A380" s="56"/>
      <c r="B380" s="56"/>
      <c r="C380" s="57"/>
      <c r="D380" s="56"/>
      <c r="E380" s="56"/>
      <c r="F380" s="57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</row>
    <row r="381" spans="1:21" ht="13.5" x14ac:dyDescent="0.45">
      <c r="A381" s="56"/>
      <c r="B381" s="56"/>
      <c r="C381" s="57"/>
      <c r="D381" s="56"/>
      <c r="E381" s="56"/>
      <c r="F381" s="57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</row>
    <row r="382" spans="1:21" ht="13.5" x14ac:dyDescent="0.45">
      <c r="A382" s="56"/>
      <c r="B382" s="56"/>
      <c r="C382" s="57"/>
      <c r="D382" s="56"/>
      <c r="E382" s="56"/>
      <c r="F382" s="57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</row>
    <row r="383" spans="1:21" ht="13.5" x14ac:dyDescent="0.45">
      <c r="A383" s="56"/>
      <c r="B383" s="56"/>
      <c r="C383" s="57"/>
      <c r="D383" s="56"/>
      <c r="E383" s="56"/>
      <c r="F383" s="57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</row>
    <row r="384" spans="1:21" ht="13.5" x14ac:dyDescent="0.45">
      <c r="A384" s="56"/>
      <c r="B384" s="56"/>
      <c r="C384" s="57"/>
      <c r="D384" s="56"/>
      <c r="E384" s="56"/>
      <c r="F384" s="57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</row>
    <row r="385" spans="1:21" ht="13.5" x14ac:dyDescent="0.45">
      <c r="A385" s="56"/>
      <c r="B385" s="56"/>
      <c r="C385" s="57"/>
      <c r="D385" s="56"/>
      <c r="E385" s="56"/>
      <c r="F385" s="57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</row>
    <row r="386" spans="1:21" ht="13.5" x14ac:dyDescent="0.45">
      <c r="A386" s="56"/>
      <c r="B386" s="56"/>
      <c r="C386" s="57"/>
      <c r="D386" s="56"/>
      <c r="E386" s="56"/>
      <c r="F386" s="57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</row>
    <row r="387" spans="1:21" ht="13.5" x14ac:dyDescent="0.45">
      <c r="A387" s="56"/>
      <c r="B387" s="56"/>
      <c r="C387" s="57"/>
      <c r="D387" s="56"/>
      <c r="E387" s="56"/>
      <c r="F387" s="57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</row>
    <row r="388" spans="1:21" ht="13.5" x14ac:dyDescent="0.45">
      <c r="A388" s="56"/>
      <c r="B388" s="56"/>
      <c r="C388" s="57"/>
      <c r="D388" s="56"/>
      <c r="E388" s="56"/>
      <c r="F388" s="57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</row>
    <row r="389" spans="1:21" ht="13.5" x14ac:dyDescent="0.45">
      <c r="A389" s="56"/>
      <c r="B389" s="56"/>
      <c r="C389" s="57"/>
      <c r="D389" s="56"/>
      <c r="E389" s="56"/>
      <c r="F389" s="57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</row>
    <row r="390" spans="1:21" ht="13.5" x14ac:dyDescent="0.45">
      <c r="A390" s="56"/>
      <c r="B390" s="56"/>
      <c r="C390" s="57"/>
      <c r="D390" s="56"/>
      <c r="E390" s="56"/>
      <c r="F390" s="57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</row>
    <row r="391" spans="1:21" ht="13.5" x14ac:dyDescent="0.45">
      <c r="A391" s="56"/>
      <c r="B391" s="56"/>
      <c r="C391" s="57"/>
      <c r="D391" s="56"/>
      <c r="E391" s="56"/>
      <c r="F391" s="57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</row>
    <row r="392" spans="1:21" ht="13.5" x14ac:dyDescent="0.45">
      <c r="A392" s="56"/>
      <c r="B392" s="56"/>
      <c r="C392" s="57"/>
      <c r="D392" s="56"/>
      <c r="E392" s="56"/>
      <c r="F392" s="57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</row>
    <row r="393" spans="1:21" ht="13.5" x14ac:dyDescent="0.45">
      <c r="A393" s="56"/>
      <c r="B393" s="56"/>
      <c r="C393" s="57"/>
      <c r="D393" s="56"/>
      <c r="E393" s="56"/>
      <c r="F393" s="57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</row>
    <row r="394" spans="1:21" ht="13.5" x14ac:dyDescent="0.45">
      <c r="A394" s="56"/>
      <c r="B394" s="56"/>
      <c r="C394" s="57"/>
      <c r="D394" s="56"/>
      <c r="E394" s="56"/>
      <c r="F394" s="57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</row>
    <row r="395" spans="1:21" ht="13.5" x14ac:dyDescent="0.45">
      <c r="A395" s="56"/>
      <c r="B395" s="56"/>
      <c r="C395" s="57"/>
      <c r="D395" s="56"/>
      <c r="E395" s="56"/>
      <c r="F395" s="57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</row>
    <row r="396" spans="1:21" ht="13.5" x14ac:dyDescent="0.45">
      <c r="A396" s="56"/>
      <c r="B396" s="56"/>
      <c r="C396" s="57"/>
      <c r="D396" s="56"/>
      <c r="E396" s="56"/>
      <c r="F396" s="57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</row>
    <row r="397" spans="1:21" ht="13.5" x14ac:dyDescent="0.45">
      <c r="A397" s="56"/>
      <c r="B397" s="56"/>
      <c r="C397" s="57"/>
      <c r="D397" s="56"/>
      <c r="E397" s="56"/>
      <c r="F397" s="57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</row>
    <row r="398" spans="1:21" ht="13.5" x14ac:dyDescent="0.45">
      <c r="A398" s="56"/>
      <c r="B398" s="56"/>
      <c r="C398" s="57"/>
      <c r="D398" s="56"/>
      <c r="E398" s="56"/>
      <c r="F398" s="57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</row>
    <row r="399" spans="1:21" ht="13.5" x14ac:dyDescent="0.45">
      <c r="A399" s="56"/>
      <c r="B399" s="56"/>
      <c r="C399" s="57"/>
      <c r="D399" s="56"/>
      <c r="E399" s="56"/>
      <c r="F399" s="57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</row>
    <row r="400" spans="1:21" ht="13.5" x14ac:dyDescent="0.45">
      <c r="A400" s="56"/>
      <c r="B400" s="56"/>
      <c r="C400" s="57"/>
      <c r="D400" s="56"/>
      <c r="E400" s="56"/>
      <c r="F400" s="57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</row>
    <row r="401" spans="1:21" ht="13.5" x14ac:dyDescent="0.45">
      <c r="A401" s="56"/>
      <c r="B401" s="56"/>
      <c r="C401" s="57"/>
      <c r="D401" s="56"/>
      <c r="E401" s="56"/>
      <c r="F401" s="57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</row>
    <row r="402" spans="1:21" ht="13.5" x14ac:dyDescent="0.45">
      <c r="A402" s="56"/>
      <c r="B402" s="56"/>
      <c r="C402" s="57"/>
      <c r="D402" s="56"/>
      <c r="E402" s="56"/>
      <c r="F402" s="57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</row>
    <row r="403" spans="1:21" ht="13.5" x14ac:dyDescent="0.45">
      <c r="A403" s="56"/>
      <c r="B403" s="56"/>
      <c r="C403" s="57"/>
      <c r="D403" s="56"/>
      <c r="E403" s="56"/>
      <c r="F403" s="57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</row>
    <row r="404" spans="1:21" ht="13.5" x14ac:dyDescent="0.45">
      <c r="A404" s="56"/>
      <c r="B404" s="56"/>
      <c r="C404" s="57"/>
      <c r="D404" s="56"/>
      <c r="E404" s="56"/>
      <c r="F404" s="57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</row>
    <row r="405" spans="1:21" ht="13.5" x14ac:dyDescent="0.45">
      <c r="A405" s="56"/>
      <c r="B405" s="56"/>
      <c r="C405" s="57"/>
      <c r="D405" s="56"/>
      <c r="E405" s="56"/>
      <c r="F405" s="57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</row>
    <row r="406" spans="1:21" ht="13.5" x14ac:dyDescent="0.45">
      <c r="A406" s="56"/>
      <c r="B406" s="56"/>
      <c r="C406" s="57"/>
      <c r="D406" s="56"/>
      <c r="E406" s="56"/>
      <c r="F406" s="57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</row>
    <row r="407" spans="1:21" ht="13.5" x14ac:dyDescent="0.45">
      <c r="A407" s="56"/>
      <c r="B407" s="56"/>
      <c r="C407" s="57"/>
      <c r="D407" s="56"/>
      <c r="E407" s="56"/>
      <c r="F407" s="57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</row>
    <row r="408" spans="1:21" ht="13.5" x14ac:dyDescent="0.45">
      <c r="A408" s="56"/>
      <c r="B408" s="56"/>
      <c r="C408" s="57"/>
      <c r="D408" s="56"/>
      <c r="E408" s="56"/>
      <c r="F408" s="57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</row>
    <row r="409" spans="1:21" ht="13.5" x14ac:dyDescent="0.45">
      <c r="A409" s="56"/>
      <c r="B409" s="56"/>
      <c r="C409" s="57"/>
      <c r="D409" s="56"/>
      <c r="E409" s="56"/>
      <c r="F409" s="57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</row>
    <row r="410" spans="1:21" ht="13.5" x14ac:dyDescent="0.45">
      <c r="A410" s="56"/>
      <c r="B410" s="56"/>
      <c r="C410" s="57"/>
      <c r="D410" s="56"/>
      <c r="E410" s="56"/>
      <c r="F410" s="57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</row>
    <row r="411" spans="1:21" ht="13.5" x14ac:dyDescent="0.45">
      <c r="A411" s="56"/>
      <c r="B411" s="56"/>
      <c r="C411" s="57"/>
      <c r="D411" s="56"/>
      <c r="E411" s="56"/>
      <c r="F411" s="57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</row>
    <row r="412" spans="1:21" ht="13.5" x14ac:dyDescent="0.45">
      <c r="A412" s="56"/>
      <c r="B412" s="56"/>
      <c r="C412" s="57"/>
      <c r="D412" s="56"/>
      <c r="E412" s="56"/>
      <c r="F412" s="57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</row>
    <row r="413" spans="1:21" ht="13.5" x14ac:dyDescent="0.45">
      <c r="A413" s="56"/>
      <c r="B413" s="56"/>
      <c r="C413" s="57"/>
      <c r="D413" s="56"/>
      <c r="E413" s="56"/>
      <c r="F413" s="57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</row>
    <row r="414" spans="1:21" ht="13.5" x14ac:dyDescent="0.45">
      <c r="A414" s="56"/>
      <c r="B414" s="56"/>
      <c r="C414" s="57"/>
      <c r="D414" s="56"/>
      <c r="E414" s="56"/>
      <c r="F414" s="57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</row>
    <row r="415" spans="1:21" ht="13.5" x14ac:dyDescent="0.45">
      <c r="A415" s="56"/>
      <c r="B415" s="56"/>
      <c r="C415" s="57"/>
      <c r="D415" s="56"/>
      <c r="E415" s="56"/>
      <c r="F415" s="57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</row>
    <row r="416" spans="1:21" ht="13.5" x14ac:dyDescent="0.45">
      <c r="A416" s="56"/>
      <c r="B416" s="56"/>
      <c r="C416" s="57"/>
      <c r="D416" s="56"/>
      <c r="E416" s="56"/>
      <c r="F416" s="57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</row>
    <row r="417" spans="1:21" ht="13.5" x14ac:dyDescent="0.45">
      <c r="A417" s="56"/>
      <c r="B417" s="56"/>
      <c r="C417" s="57"/>
      <c r="D417" s="56"/>
      <c r="E417" s="56"/>
      <c r="F417" s="57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</row>
    <row r="418" spans="1:21" ht="13.5" x14ac:dyDescent="0.45">
      <c r="A418" s="56"/>
      <c r="B418" s="56"/>
      <c r="C418" s="57"/>
      <c r="D418" s="56"/>
      <c r="E418" s="56"/>
      <c r="F418" s="57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</row>
    <row r="419" spans="1:21" ht="13.5" x14ac:dyDescent="0.45">
      <c r="A419" s="56"/>
      <c r="B419" s="56"/>
      <c r="C419" s="57"/>
      <c r="D419" s="56"/>
      <c r="E419" s="56"/>
      <c r="F419" s="57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</row>
    <row r="420" spans="1:21" ht="13.5" x14ac:dyDescent="0.45">
      <c r="A420" s="56"/>
      <c r="B420" s="56"/>
      <c r="C420" s="57"/>
      <c r="D420" s="56"/>
      <c r="E420" s="56"/>
      <c r="F420" s="57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</row>
    <row r="421" spans="1:21" ht="13.5" x14ac:dyDescent="0.45">
      <c r="A421" s="56"/>
      <c r="B421" s="56"/>
      <c r="C421" s="57"/>
      <c r="D421" s="56"/>
      <c r="E421" s="56"/>
      <c r="F421" s="57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</row>
    <row r="422" spans="1:21" ht="13.5" x14ac:dyDescent="0.45">
      <c r="A422" s="56"/>
      <c r="B422" s="56"/>
      <c r="C422" s="57"/>
      <c r="D422" s="56"/>
      <c r="E422" s="56"/>
      <c r="F422" s="57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</row>
    <row r="423" spans="1:21" ht="13.5" x14ac:dyDescent="0.45">
      <c r="A423" s="56"/>
      <c r="B423" s="56"/>
      <c r="C423" s="57"/>
      <c r="D423" s="56"/>
      <c r="E423" s="56"/>
      <c r="F423" s="57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</row>
    <row r="424" spans="1:21" ht="13.5" x14ac:dyDescent="0.45">
      <c r="A424" s="56"/>
      <c r="B424" s="56"/>
      <c r="C424" s="57"/>
      <c r="D424" s="56"/>
      <c r="E424" s="56"/>
      <c r="F424" s="57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</row>
    <row r="425" spans="1:21" ht="13.5" x14ac:dyDescent="0.45">
      <c r="A425" s="56"/>
      <c r="B425" s="56"/>
      <c r="C425" s="57"/>
      <c r="D425" s="56"/>
      <c r="E425" s="56"/>
      <c r="F425" s="57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</row>
    <row r="426" spans="1:21" ht="13.5" x14ac:dyDescent="0.45">
      <c r="A426" s="56"/>
      <c r="B426" s="56"/>
      <c r="C426" s="57"/>
      <c r="D426" s="56"/>
      <c r="E426" s="56"/>
      <c r="F426" s="57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</row>
    <row r="427" spans="1:21" ht="13.5" x14ac:dyDescent="0.45">
      <c r="A427" s="56"/>
      <c r="B427" s="56"/>
      <c r="C427" s="57"/>
      <c r="D427" s="56"/>
      <c r="E427" s="56"/>
      <c r="F427" s="57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</row>
    <row r="428" spans="1:21" ht="13.5" x14ac:dyDescent="0.45">
      <c r="A428" s="56"/>
      <c r="B428" s="56"/>
      <c r="C428" s="57"/>
      <c r="D428" s="56"/>
      <c r="E428" s="56"/>
      <c r="F428" s="57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</row>
    <row r="429" spans="1:21" ht="13.5" x14ac:dyDescent="0.45">
      <c r="A429" s="56"/>
      <c r="B429" s="56"/>
      <c r="C429" s="57"/>
      <c r="D429" s="56"/>
      <c r="E429" s="56"/>
      <c r="F429" s="57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</row>
    <row r="430" spans="1:21" ht="13.5" x14ac:dyDescent="0.45">
      <c r="A430" s="56"/>
      <c r="B430" s="56"/>
      <c r="C430" s="57"/>
      <c r="D430" s="56"/>
      <c r="E430" s="56"/>
      <c r="F430" s="57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</row>
    <row r="431" spans="1:21" ht="13.5" x14ac:dyDescent="0.45">
      <c r="A431" s="56"/>
      <c r="B431" s="56"/>
      <c r="C431" s="57"/>
      <c r="D431" s="56"/>
      <c r="E431" s="56"/>
      <c r="F431" s="57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</row>
    <row r="432" spans="1:21" ht="13.5" x14ac:dyDescent="0.45">
      <c r="A432" s="56"/>
      <c r="B432" s="56"/>
      <c r="C432" s="57"/>
      <c r="D432" s="56"/>
      <c r="E432" s="56"/>
      <c r="F432" s="57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</row>
    <row r="433" spans="1:21" ht="13.5" x14ac:dyDescent="0.45">
      <c r="A433" s="56"/>
      <c r="B433" s="56"/>
      <c r="C433" s="57"/>
      <c r="D433" s="56"/>
      <c r="E433" s="56"/>
      <c r="F433" s="57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</row>
    <row r="434" spans="1:21" ht="13.5" x14ac:dyDescent="0.45">
      <c r="A434" s="56"/>
      <c r="B434" s="56"/>
      <c r="C434" s="57"/>
      <c r="D434" s="56"/>
      <c r="E434" s="56"/>
      <c r="F434" s="57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</row>
    <row r="435" spans="1:21" ht="13.5" x14ac:dyDescent="0.45">
      <c r="A435" s="56"/>
      <c r="B435" s="56"/>
      <c r="C435" s="57"/>
      <c r="D435" s="56"/>
      <c r="E435" s="56"/>
      <c r="F435" s="57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</row>
    <row r="436" spans="1:21" ht="13.5" x14ac:dyDescent="0.45">
      <c r="A436" s="56"/>
      <c r="B436" s="56"/>
      <c r="C436" s="57"/>
      <c r="D436" s="56"/>
      <c r="E436" s="56"/>
      <c r="F436" s="57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</row>
    <row r="437" spans="1:21" ht="13.5" x14ac:dyDescent="0.45">
      <c r="A437" s="56"/>
      <c r="B437" s="56"/>
      <c r="C437" s="57"/>
      <c r="D437" s="56"/>
      <c r="E437" s="56"/>
      <c r="F437" s="57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</row>
    <row r="438" spans="1:21" ht="13.5" x14ac:dyDescent="0.45">
      <c r="A438" s="56"/>
      <c r="B438" s="56"/>
      <c r="C438" s="57"/>
      <c r="D438" s="56"/>
      <c r="E438" s="56"/>
      <c r="F438" s="57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</row>
    <row r="439" spans="1:21" ht="13.5" x14ac:dyDescent="0.45">
      <c r="A439" s="56"/>
      <c r="B439" s="56"/>
      <c r="C439" s="57"/>
      <c r="D439" s="56"/>
      <c r="E439" s="56"/>
      <c r="F439" s="57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</row>
    <row r="440" spans="1:21" ht="13.5" x14ac:dyDescent="0.45">
      <c r="A440" s="56"/>
      <c r="B440" s="56"/>
      <c r="C440" s="57"/>
      <c r="D440" s="56"/>
      <c r="E440" s="56"/>
      <c r="F440" s="57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</row>
    <row r="441" spans="1:21" ht="13.5" x14ac:dyDescent="0.45">
      <c r="A441" s="56"/>
      <c r="B441" s="56"/>
      <c r="C441" s="57"/>
      <c r="D441" s="56"/>
      <c r="E441" s="56"/>
      <c r="F441" s="57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</row>
    <row r="442" spans="1:21" ht="13.5" x14ac:dyDescent="0.45">
      <c r="A442" s="56"/>
      <c r="B442" s="56"/>
      <c r="C442" s="57"/>
      <c r="D442" s="56"/>
      <c r="E442" s="56"/>
      <c r="F442" s="57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</row>
    <row r="443" spans="1:21" ht="13.5" x14ac:dyDescent="0.45">
      <c r="A443" s="56"/>
      <c r="B443" s="56"/>
      <c r="C443" s="57"/>
      <c r="D443" s="56"/>
      <c r="E443" s="56"/>
      <c r="F443" s="57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</row>
    <row r="444" spans="1:21" ht="13.5" x14ac:dyDescent="0.45">
      <c r="A444" s="56"/>
      <c r="B444" s="56"/>
      <c r="C444" s="57"/>
      <c r="D444" s="56"/>
      <c r="E444" s="56"/>
      <c r="F444" s="57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</row>
    <row r="445" spans="1:21" ht="13.5" x14ac:dyDescent="0.45">
      <c r="A445" s="56"/>
      <c r="B445" s="56"/>
      <c r="C445" s="57"/>
      <c r="D445" s="56"/>
      <c r="E445" s="56"/>
      <c r="F445" s="57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</row>
    <row r="446" spans="1:21" ht="13.5" x14ac:dyDescent="0.45">
      <c r="A446" s="56"/>
      <c r="B446" s="56"/>
      <c r="C446" s="57"/>
      <c r="D446" s="56"/>
      <c r="E446" s="56"/>
      <c r="F446" s="57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</row>
    <row r="447" spans="1:21" ht="13.5" x14ac:dyDescent="0.45">
      <c r="A447" s="56"/>
      <c r="B447" s="56"/>
      <c r="C447" s="57"/>
      <c r="D447" s="56"/>
      <c r="E447" s="56"/>
      <c r="F447" s="57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</row>
    <row r="448" spans="1:21" ht="13.5" x14ac:dyDescent="0.45">
      <c r="A448" s="56"/>
      <c r="B448" s="56"/>
      <c r="C448" s="57"/>
      <c r="D448" s="56"/>
      <c r="E448" s="56"/>
      <c r="F448" s="57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</row>
    <row r="449" spans="1:21" ht="13.5" x14ac:dyDescent="0.45">
      <c r="A449" s="56"/>
      <c r="B449" s="56"/>
      <c r="C449" s="57"/>
      <c r="D449" s="56"/>
      <c r="E449" s="56"/>
      <c r="F449" s="57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</row>
    <row r="450" spans="1:21" ht="13.5" x14ac:dyDescent="0.45">
      <c r="A450" s="56"/>
      <c r="B450" s="56"/>
      <c r="C450" s="57"/>
      <c r="D450" s="56"/>
      <c r="E450" s="56"/>
      <c r="F450" s="57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</row>
    <row r="451" spans="1:21" ht="13.5" x14ac:dyDescent="0.45">
      <c r="A451" s="56"/>
      <c r="B451" s="56"/>
      <c r="C451" s="57"/>
      <c r="D451" s="56"/>
      <c r="E451" s="56"/>
      <c r="F451" s="57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</row>
    <row r="452" spans="1:21" ht="13.5" x14ac:dyDescent="0.45">
      <c r="A452" s="56"/>
      <c r="B452" s="56"/>
      <c r="C452" s="57"/>
      <c r="D452" s="56"/>
      <c r="E452" s="56"/>
      <c r="F452" s="57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</row>
    <row r="453" spans="1:21" ht="13.5" x14ac:dyDescent="0.45">
      <c r="A453" s="56"/>
      <c r="B453" s="56"/>
      <c r="C453" s="57"/>
      <c r="D453" s="56"/>
      <c r="E453" s="56"/>
      <c r="F453" s="57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</row>
    <row r="454" spans="1:21" ht="13.5" x14ac:dyDescent="0.45">
      <c r="A454" s="56"/>
      <c r="B454" s="56"/>
      <c r="C454" s="57"/>
      <c r="D454" s="56"/>
      <c r="E454" s="56"/>
      <c r="F454" s="57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</row>
    <row r="455" spans="1:21" ht="13.5" x14ac:dyDescent="0.45">
      <c r="A455" s="56"/>
      <c r="B455" s="56"/>
      <c r="C455" s="57"/>
      <c r="D455" s="56"/>
      <c r="E455" s="56"/>
      <c r="F455" s="57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</row>
    <row r="456" spans="1:21" ht="13.5" x14ac:dyDescent="0.45">
      <c r="A456" s="56"/>
      <c r="B456" s="56"/>
      <c r="C456" s="57"/>
      <c r="D456" s="56"/>
      <c r="E456" s="56"/>
      <c r="F456" s="57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</row>
    <row r="457" spans="1:21" ht="13.5" x14ac:dyDescent="0.45">
      <c r="A457" s="56"/>
      <c r="B457" s="56"/>
      <c r="C457" s="57"/>
      <c r="D457" s="56"/>
      <c r="E457" s="56"/>
      <c r="F457" s="57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</row>
    <row r="458" spans="1:21" ht="13.5" x14ac:dyDescent="0.45">
      <c r="A458" s="56"/>
      <c r="B458" s="56"/>
      <c r="C458" s="57"/>
      <c r="D458" s="56"/>
      <c r="E458" s="56"/>
      <c r="F458" s="57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</row>
    <row r="459" spans="1:21" ht="13.5" x14ac:dyDescent="0.45">
      <c r="A459" s="56"/>
      <c r="B459" s="56"/>
      <c r="C459" s="57"/>
      <c r="D459" s="56"/>
      <c r="E459" s="56"/>
      <c r="F459" s="57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</row>
    <row r="460" spans="1:21" ht="13.5" x14ac:dyDescent="0.45">
      <c r="A460" s="56"/>
      <c r="B460" s="56"/>
      <c r="C460" s="57"/>
      <c r="D460" s="56"/>
      <c r="E460" s="56"/>
      <c r="F460" s="57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</row>
    <row r="461" spans="1:21" ht="13.5" x14ac:dyDescent="0.45">
      <c r="A461" s="56"/>
      <c r="B461" s="56"/>
      <c r="C461" s="57"/>
      <c r="D461" s="56"/>
      <c r="E461" s="56"/>
      <c r="F461" s="57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</row>
    <row r="462" spans="1:21" ht="13.5" x14ac:dyDescent="0.45">
      <c r="A462" s="56"/>
      <c r="B462" s="56"/>
      <c r="C462" s="57"/>
      <c r="D462" s="56"/>
      <c r="E462" s="56"/>
      <c r="F462" s="57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</row>
    <row r="463" spans="1:21" ht="13.5" x14ac:dyDescent="0.45">
      <c r="A463" s="56"/>
      <c r="B463" s="56"/>
      <c r="C463" s="57"/>
      <c r="D463" s="56"/>
      <c r="E463" s="56"/>
      <c r="F463" s="57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</row>
    <row r="464" spans="1:21" ht="13.5" x14ac:dyDescent="0.45">
      <c r="A464" s="56"/>
      <c r="B464" s="56"/>
      <c r="C464" s="57"/>
      <c r="D464" s="56"/>
      <c r="E464" s="56"/>
      <c r="F464" s="57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</row>
    <row r="465" spans="1:21" ht="13.5" x14ac:dyDescent="0.45">
      <c r="A465" s="56"/>
      <c r="B465" s="56"/>
      <c r="C465" s="57"/>
      <c r="D465" s="56"/>
      <c r="E465" s="56"/>
      <c r="F465" s="57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</row>
    <row r="466" spans="1:21" ht="13.5" x14ac:dyDescent="0.45">
      <c r="A466" s="56"/>
      <c r="B466" s="56"/>
      <c r="C466" s="57"/>
      <c r="D466" s="56"/>
      <c r="E466" s="56"/>
      <c r="F466" s="57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</row>
    <row r="467" spans="1:21" ht="13.5" x14ac:dyDescent="0.45">
      <c r="A467" s="56"/>
      <c r="B467" s="56"/>
      <c r="C467" s="57"/>
      <c r="D467" s="56"/>
      <c r="E467" s="56"/>
      <c r="F467" s="57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</row>
    <row r="468" spans="1:21" ht="13.5" x14ac:dyDescent="0.45">
      <c r="A468" s="56"/>
      <c r="B468" s="56"/>
      <c r="C468" s="57"/>
      <c r="D468" s="56"/>
      <c r="E468" s="56"/>
      <c r="F468" s="57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</row>
    <row r="469" spans="1:21" ht="13.5" x14ac:dyDescent="0.45">
      <c r="A469" s="56"/>
      <c r="B469" s="56"/>
      <c r="C469" s="57"/>
      <c r="D469" s="56"/>
      <c r="E469" s="56"/>
      <c r="F469" s="57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</row>
    <row r="470" spans="1:21" ht="13.5" x14ac:dyDescent="0.45">
      <c r="A470" s="56"/>
      <c r="B470" s="56"/>
      <c r="C470" s="57"/>
      <c r="D470" s="56"/>
      <c r="E470" s="56"/>
      <c r="F470" s="57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</row>
    <row r="471" spans="1:21" ht="13.5" x14ac:dyDescent="0.45">
      <c r="A471" s="56"/>
      <c r="B471" s="56"/>
      <c r="C471" s="57"/>
      <c r="D471" s="56"/>
      <c r="E471" s="56"/>
      <c r="F471" s="57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</row>
    <row r="472" spans="1:21" ht="13.5" x14ac:dyDescent="0.45">
      <c r="A472" s="56"/>
      <c r="B472" s="56"/>
      <c r="C472" s="57"/>
      <c r="D472" s="56"/>
      <c r="E472" s="56"/>
      <c r="F472" s="57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</row>
    <row r="473" spans="1:21" ht="13.5" x14ac:dyDescent="0.45">
      <c r="A473" s="56"/>
      <c r="B473" s="56"/>
      <c r="C473" s="57"/>
      <c r="D473" s="56"/>
      <c r="E473" s="56"/>
      <c r="F473" s="57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</row>
    <row r="474" spans="1:21" ht="13.5" x14ac:dyDescent="0.45">
      <c r="A474" s="56"/>
      <c r="B474" s="56"/>
      <c r="C474" s="57"/>
      <c r="D474" s="56"/>
      <c r="E474" s="56"/>
      <c r="F474" s="57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</row>
    <row r="475" spans="1:21" ht="13.5" x14ac:dyDescent="0.45">
      <c r="A475" s="56"/>
      <c r="B475" s="56"/>
      <c r="C475" s="57"/>
      <c r="D475" s="56"/>
      <c r="E475" s="56"/>
      <c r="F475" s="57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</row>
    <row r="476" spans="1:21" ht="13.5" x14ac:dyDescent="0.45">
      <c r="A476" s="56"/>
      <c r="B476" s="56"/>
      <c r="C476" s="57"/>
      <c r="D476" s="56"/>
      <c r="E476" s="56"/>
      <c r="F476" s="57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</row>
    <row r="477" spans="1:21" ht="13.5" x14ac:dyDescent="0.45">
      <c r="A477" s="56"/>
      <c r="B477" s="56"/>
      <c r="C477" s="57"/>
      <c r="D477" s="56"/>
      <c r="E477" s="56"/>
      <c r="F477" s="57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</row>
    <row r="478" spans="1:21" ht="13.5" x14ac:dyDescent="0.45">
      <c r="A478" s="56"/>
      <c r="B478" s="56"/>
      <c r="C478" s="57"/>
      <c r="D478" s="56"/>
      <c r="E478" s="56"/>
      <c r="F478" s="57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</row>
    <row r="479" spans="1:21" ht="13.5" x14ac:dyDescent="0.45">
      <c r="A479" s="56"/>
      <c r="B479" s="56"/>
      <c r="C479" s="57"/>
      <c r="D479" s="56"/>
      <c r="E479" s="56"/>
      <c r="F479" s="57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</row>
    <row r="480" spans="1:21" ht="13.5" x14ac:dyDescent="0.45">
      <c r="A480" s="56"/>
      <c r="B480" s="56"/>
      <c r="C480" s="57"/>
      <c r="D480" s="56"/>
      <c r="E480" s="56"/>
      <c r="F480" s="57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</row>
    <row r="481" spans="1:21" ht="13.5" x14ac:dyDescent="0.45">
      <c r="A481" s="56"/>
      <c r="B481" s="56"/>
      <c r="C481" s="57"/>
      <c r="D481" s="56"/>
      <c r="E481" s="56"/>
      <c r="F481" s="57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</row>
    <row r="482" spans="1:21" ht="13.5" x14ac:dyDescent="0.45">
      <c r="A482" s="56"/>
      <c r="B482" s="56"/>
      <c r="C482" s="57"/>
      <c r="D482" s="56"/>
      <c r="E482" s="56"/>
      <c r="F482" s="57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</row>
    <row r="483" spans="1:21" ht="13.5" x14ac:dyDescent="0.45">
      <c r="A483" s="56"/>
      <c r="B483" s="56"/>
      <c r="C483" s="57"/>
      <c r="D483" s="56"/>
      <c r="E483" s="56"/>
      <c r="F483" s="57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</row>
    <row r="484" spans="1:21" ht="13.5" x14ac:dyDescent="0.45">
      <c r="A484" s="56"/>
      <c r="B484" s="56"/>
      <c r="C484" s="57"/>
      <c r="D484" s="56"/>
      <c r="E484" s="56"/>
      <c r="F484" s="57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</row>
    <row r="485" spans="1:21" ht="13.5" x14ac:dyDescent="0.45">
      <c r="A485" s="56"/>
      <c r="B485" s="56"/>
      <c r="C485" s="57"/>
      <c r="D485" s="56"/>
      <c r="E485" s="56"/>
      <c r="F485" s="57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</row>
    <row r="486" spans="1:21" ht="13.5" x14ac:dyDescent="0.45">
      <c r="A486" s="56"/>
      <c r="B486" s="56"/>
      <c r="C486" s="57"/>
      <c r="D486" s="56"/>
      <c r="E486" s="56"/>
      <c r="F486" s="57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</row>
    <row r="487" spans="1:21" ht="13.5" x14ac:dyDescent="0.45">
      <c r="A487" s="56"/>
      <c r="B487" s="56"/>
      <c r="C487" s="57"/>
      <c r="D487" s="56"/>
      <c r="E487" s="56"/>
      <c r="F487" s="57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</row>
    <row r="488" spans="1:21" ht="13.5" x14ac:dyDescent="0.45">
      <c r="A488" s="56"/>
      <c r="B488" s="56"/>
      <c r="C488" s="57"/>
      <c r="D488" s="56"/>
      <c r="E488" s="56"/>
      <c r="F488" s="57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</row>
    <row r="489" spans="1:21" ht="13.5" x14ac:dyDescent="0.45">
      <c r="A489" s="56"/>
      <c r="B489" s="56"/>
      <c r="C489" s="57"/>
      <c r="D489" s="56"/>
      <c r="E489" s="56"/>
      <c r="F489" s="57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</row>
    <row r="490" spans="1:21" ht="13.5" x14ac:dyDescent="0.45">
      <c r="A490" s="56"/>
      <c r="B490" s="56"/>
      <c r="C490" s="57"/>
      <c r="D490" s="56"/>
      <c r="E490" s="56"/>
      <c r="F490" s="57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</row>
    <row r="491" spans="1:21" ht="13.5" x14ac:dyDescent="0.45">
      <c r="A491" s="56"/>
      <c r="B491" s="56"/>
      <c r="C491" s="57"/>
      <c r="D491" s="56"/>
      <c r="E491" s="56"/>
      <c r="F491" s="57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</row>
    <row r="492" spans="1:21" ht="13.5" x14ac:dyDescent="0.45">
      <c r="A492" s="56"/>
      <c r="B492" s="56"/>
      <c r="C492" s="57"/>
      <c r="D492" s="56"/>
      <c r="E492" s="56"/>
      <c r="F492" s="57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</row>
    <row r="493" spans="1:21" ht="13.5" x14ac:dyDescent="0.45">
      <c r="A493" s="56"/>
      <c r="B493" s="56"/>
      <c r="C493" s="57"/>
      <c r="D493" s="56"/>
      <c r="E493" s="56"/>
      <c r="F493" s="57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</row>
    <row r="494" spans="1:21" ht="13.5" x14ac:dyDescent="0.45">
      <c r="A494" s="56"/>
      <c r="B494" s="56"/>
      <c r="C494" s="57"/>
      <c r="D494" s="56"/>
      <c r="E494" s="56"/>
      <c r="F494" s="57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</row>
    <row r="495" spans="1:21" ht="13.5" x14ac:dyDescent="0.45">
      <c r="A495" s="56"/>
      <c r="B495" s="56"/>
      <c r="C495" s="57"/>
      <c r="D495" s="56"/>
      <c r="E495" s="56"/>
      <c r="F495" s="57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</row>
    <row r="496" spans="1:21" ht="13.5" x14ac:dyDescent="0.45">
      <c r="A496" s="56"/>
      <c r="B496" s="56"/>
      <c r="C496" s="57"/>
      <c r="D496" s="56"/>
      <c r="E496" s="56"/>
      <c r="F496" s="57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</row>
    <row r="497" spans="1:21" ht="13.5" x14ac:dyDescent="0.45">
      <c r="A497" s="56"/>
      <c r="B497" s="56"/>
      <c r="C497" s="57"/>
      <c r="D497" s="56"/>
      <c r="E497" s="56"/>
      <c r="F497" s="57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</row>
    <row r="498" spans="1:21" ht="13.5" x14ac:dyDescent="0.45">
      <c r="A498" s="56"/>
      <c r="B498" s="56"/>
      <c r="C498" s="57"/>
      <c r="D498" s="56"/>
      <c r="E498" s="56"/>
      <c r="F498" s="57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</row>
    <row r="499" spans="1:21" ht="13.5" x14ac:dyDescent="0.45">
      <c r="A499" s="56"/>
      <c r="B499" s="56"/>
      <c r="C499" s="57"/>
      <c r="D499" s="56"/>
      <c r="E499" s="56"/>
      <c r="F499" s="57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</row>
    <row r="500" spans="1:21" ht="13.5" x14ac:dyDescent="0.45">
      <c r="A500" s="56"/>
      <c r="B500" s="56"/>
      <c r="C500" s="57"/>
      <c r="D500" s="56"/>
      <c r="E500" s="56"/>
      <c r="F500" s="57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</row>
    <row r="501" spans="1:21" ht="13.5" x14ac:dyDescent="0.45">
      <c r="A501" s="56"/>
      <c r="B501" s="56"/>
      <c r="C501" s="57"/>
      <c r="D501" s="56"/>
      <c r="E501" s="56"/>
      <c r="F501" s="57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</row>
    <row r="502" spans="1:21" ht="13.5" x14ac:dyDescent="0.45">
      <c r="A502" s="56"/>
      <c r="B502" s="56"/>
      <c r="C502" s="57"/>
      <c r="D502" s="56"/>
      <c r="E502" s="56"/>
      <c r="F502" s="57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</row>
    <row r="503" spans="1:21" ht="13.5" x14ac:dyDescent="0.45">
      <c r="A503" s="56"/>
      <c r="B503" s="56"/>
      <c r="C503" s="57"/>
      <c r="D503" s="56"/>
      <c r="E503" s="56"/>
      <c r="F503" s="57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</row>
    <row r="504" spans="1:21" ht="13.5" x14ac:dyDescent="0.45">
      <c r="A504" s="56"/>
      <c r="B504" s="56"/>
      <c r="C504" s="57"/>
      <c r="D504" s="56"/>
      <c r="E504" s="56"/>
      <c r="F504" s="57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</row>
    <row r="505" spans="1:21" ht="13.5" x14ac:dyDescent="0.45">
      <c r="A505" s="56"/>
      <c r="B505" s="56"/>
      <c r="C505" s="57"/>
      <c r="D505" s="56"/>
      <c r="E505" s="56"/>
      <c r="F505" s="57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</row>
    <row r="506" spans="1:21" ht="13.5" x14ac:dyDescent="0.45">
      <c r="A506" s="56"/>
      <c r="B506" s="56"/>
      <c r="C506" s="57"/>
      <c r="D506" s="56"/>
      <c r="E506" s="56"/>
      <c r="F506" s="57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</row>
    <row r="507" spans="1:21" ht="13.5" x14ac:dyDescent="0.45">
      <c r="A507" s="56"/>
      <c r="B507" s="56"/>
      <c r="C507" s="57"/>
      <c r="D507" s="56"/>
      <c r="E507" s="56"/>
      <c r="F507" s="57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</row>
    <row r="508" spans="1:21" ht="13.5" x14ac:dyDescent="0.45">
      <c r="A508" s="56"/>
      <c r="B508" s="56"/>
      <c r="C508" s="57"/>
      <c r="D508" s="56"/>
      <c r="E508" s="56"/>
      <c r="F508" s="57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</row>
    <row r="509" spans="1:21" ht="13.5" x14ac:dyDescent="0.45">
      <c r="A509" s="56"/>
      <c r="B509" s="56"/>
      <c r="C509" s="57"/>
      <c r="D509" s="56"/>
      <c r="E509" s="56"/>
      <c r="F509" s="57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</row>
    <row r="510" spans="1:21" ht="13.5" x14ac:dyDescent="0.45">
      <c r="A510" s="56"/>
      <c r="B510" s="56"/>
      <c r="C510" s="57"/>
      <c r="D510" s="56"/>
      <c r="E510" s="56"/>
      <c r="F510" s="57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</row>
    <row r="511" spans="1:21" ht="13.5" x14ac:dyDescent="0.45">
      <c r="A511" s="56"/>
      <c r="B511" s="56"/>
      <c r="C511" s="57"/>
      <c r="D511" s="56"/>
      <c r="E511" s="56"/>
      <c r="F511" s="57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</row>
    <row r="512" spans="1:21" ht="13.5" x14ac:dyDescent="0.45">
      <c r="A512" s="56"/>
      <c r="B512" s="56"/>
      <c r="C512" s="57"/>
      <c r="D512" s="56"/>
      <c r="E512" s="56"/>
      <c r="F512" s="57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</row>
    <row r="513" spans="1:21" ht="13.5" x14ac:dyDescent="0.45">
      <c r="A513" s="56"/>
      <c r="B513" s="56"/>
      <c r="C513" s="57"/>
      <c r="D513" s="56"/>
      <c r="E513" s="56"/>
      <c r="F513" s="57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</row>
    <row r="514" spans="1:21" ht="13.5" x14ac:dyDescent="0.45">
      <c r="A514" s="56"/>
      <c r="B514" s="56"/>
      <c r="C514" s="57"/>
      <c r="D514" s="56"/>
      <c r="E514" s="56"/>
      <c r="F514" s="57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</row>
    <row r="515" spans="1:21" ht="13.5" x14ac:dyDescent="0.45">
      <c r="A515" s="56"/>
      <c r="B515" s="56"/>
      <c r="C515" s="57"/>
      <c r="D515" s="56"/>
      <c r="E515" s="56"/>
      <c r="F515" s="57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</row>
    <row r="516" spans="1:21" ht="13.5" x14ac:dyDescent="0.45">
      <c r="A516" s="56"/>
      <c r="B516" s="56"/>
      <c r="C516" s="57"/>
      <c r="D516" s="56"/>
      <c r="E516" s="56"/>
      <c r="F516" s="57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</row>
    <row r="517" spans="1:21" ht="13.5" x14ac:dyDescent="0.45">
      <c r="A517" s="56"/>
      <c r="B517" s="56"/>
      <c r="C517" s="57"/>
      <c r="D517" s="56"/>
      <c r="E517" s="56"/>
      <c r="F517" s="57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</row>
    <row r="518" spans="1:21" ht="13.5" x14ac:dyDescent="0.45">
      <c r="A518" s="56"/>
      <c r="B518" s="56"/>
      <c r="C518" s="57"/>
      <c r="D518" s="56"/>
      <c r="E518" s="56"/>
      <c r="F518" s="57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</row>
    <row r="519" spans="1:21" ht="13.5" x14ac:dyDescent="0.45">
      <c r="A519" s="56"/>
      <c r="B519" s="56"/>
      <c r="C519" s="57"/>
      <c r="D519" s="56"/>
      <c r="E519" s="56"/>
      <c r="F519" s="57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</row>
    <row r="520" spans="1:21" ht="13.5" x14ac:dyDescent="0.45">
      <c r="A520" s="56"/>
      <c r="B520" s="56"/>
      <c r="C520" s="57"/>
      <c r="D520" s="56"/>
      <c r="E520" s="56"/>
      <c r="F520" s="57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</row>
    <row r="521" spans="1:21" ht="13.5" x14ac:dyDescent="0.45">
      <c r="A521" s="56"/>
      <c r="B521" s="56"/>
      <c r="C521" s="57"/>
      <c r="D521" s="56"/>
      <c r="E521" s="56"/>
      <c r="F521" s="57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</row>
    <row r="522" spans="1:21" ht="13.5" x14ac:dyDescent="0.45">
      <c r="A522" s="56"/>
      <c r="B522" s="56"/>
      <c r="C522" s="57"/>
      <c r="D522" s="56"/>
      <c r="E522" s="56"/>
      <c r="F522" s="57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</row>
    <row r="523" spans="1:21" ht="13.5" x14ac:dyDescent="0.45">
      <c r="A523" s="56"/>
      <c r="B523" s="56"/>
      <c r="C523" s="57"/>
      <c r="D523" s="56"/>
      <c r="E523" s="56"/>
      <c r="F523" s="57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</row>
    <row r="524" spans="1:21" ht="13.5" x14ac:dyDescent="0.45">
      <c r="A524" s="56"/>
      <c r="B524" s="56"/>
      <c r="C524" s="57"/>
      <c r="D524" s="56"/>
      <c r="E524" s="56"/>
      <c r="F524" s="57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</row>
    <row r="525" spans="1:21" ht="13.5" x14ac:dyDescent="0.45">
      <c r="A525" s="56"/>
      <c r="B525" s="56"/>
      <c r="C525" s="57"/>
      <c r="D525" s="56"/>
      <c r="E525" s="56"/>
      <c r="F525" s="57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</row>
    <row r="526" spans="1:21" ht="13.5" x14ac:dyDescent="0.45">
      <c r="A526" s="56"/>
      <c r="B526" s="56"/>
      <c r="C526" s="57"/>
      <c r="D526" s="56"/>
      <c r="E526" s="56"/>
      <c r="F526" s="57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</row>
    <row r="527" spans="1:21" ht="13.5" x14ac:dyDescent="0.45">
      <c r="A527" s="56"/>
      <c r="B527" s="56"/>
      <c r="C527" s="57"/>
      <c r="D527" s="56"/>
      <c r="E527" s="56"/>
      <c r="F527" s="57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</row>
    <row r="528" spans="1:21" ht="13.5" x14ac:dyDescent="0.45">
      <c r="A528" s="56"/>
      <c r="B528" s="56"/>
      <c r="C528" s="57"/>
      <c r="D528" s="56"/>
      <c r="E528" s="56"/>
      <c r="F528" s="57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</row>
    <row r="529" spans="1:21" ht="13.5" x14ac:dyDescent="0.45">
      <c r="A529" s="56"/>
      <c r="B529" s="56"/>
      <c r="C529" s="57"/>
      <c r="D529" s="56"/>
      <c r="E529" s="56"/>
      <c r="F529" s="57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</row>
    <row r="530" spans="1:21" ht="13.5" x14ac:dyDescent="0.45">
      <c r="A530" s="56"/>
      <c r="B530" s="56"/>
      <c r="C530" s="57"/>
      <c r="D530" s="56"/>
      <c r="E530" s="56"/>
      <c r="F530" s="57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</row>
    <row r="531" spans="1:21" ht="13.5" x14ac:dyDescent="0.45">
      <c r="A531" s="56"/>
      <c r="B531" s="56"/>
      <c r="C531" s="57"/>
      <c r="D531" s="56"/>
      <c r="E531" s="56"/>
      <c r="F531" s="57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</row>
    <row r="532" spans="1:21" ht="13.5" x14ac:dyDescent="0.45">
      <c r="A532" s="56"/>
      <c r="B532" s="56"/>
      <c r="C532" s="57"/>
      <c r="D532" s="56"/>
      <c r="E532" s="56"/>
      <c r="F532" s="57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</row>
    <row r="533" spans="1:21" ht="13.5" x14ac:dyDescent="0.45">
      <c r="A533" s="56"/>
      <c r="B533" s="56"/>
      <c r="C533" s="57"/>
      <c r="D533" s="56"/>
      <c r="E533" s="56"/>
      <c r="F533" s="57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</row>
    <row r="534" spans="1:21" ht="13.5" x14ac:dyDescent="0.45">
      <c r="A534" s="56"/>
      <c r="B534" s="56"/>
      <c r="C534" s="57"/>
      <c r="D534" s="56"/>
      <c r="E534" s="56"/>
      <c r="F534" s="57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</row>
    <row r="535" spans="1:21" ht="13.5" x14ac:dyDescent="0.45">
      <c r="A535" s="56"/>
      <c r="B535" s="56"/>
      <c r="C535" s="57"/>
      <c r="D535" s="56"/>
      <c r="E535" s="56"/>
      <c r="F535" s="57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</row>
    <row r="536" spans="1:21" ht="13.5" x14ac:dyDescent="0.45">
      <c r="A536" s="56"/>
      <c r="B536" s="56"/>
      <c r="C536" s="57"/>
      <c r="D536" s="56"/>
      <c r="E536" s="56"/>
      <c r="F536" s="57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</row>
    <row r="537" spans="1:21" ht="13.5" x14ac:dyDescent="0.45">
      <c r="A537" s="56"/>
      <c r="B537" s="56"/>
      <c r="C537" s="57"/>
      <c r="D537" s="56"/>
      <c r="E537" s="56"/>
      <c r="F537" s="57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</row>
    <row r="538" spans="1:21" ht="13.5" x14ac:dyDescent="0.45">
      <c r="A538" s="56"/>
      <c r="B538" s="56"/>
      <c r="C538" s="57"/>
      <c r="D538" s="56"/>
      <c r="E538" s="56"/>
      <c r="F538" s="57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</row>
    <row r="539" spans="1:21" ht="13.5" x14ac:dyDescent="0.45">
      <c r="A539" s="56"/>
      <c r="B539" s="56"/>
      <c r="C539" s="57"/>
      <c r="D539" s="56"/>
      <c r="E539" s="56"/>
      <c r="F539" s="57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</row>
    <row r="540" spans="1:21" ht="13.5" x14ac:dyDescent="0.45">
      <c r="A540" s="56"/>
      <c r="B540" s="56"/>
      <c r="C540" s="57"/>
      <c r="D540" s="56"/>
      <c r="E540" s="56"/>
      <c r="F540" s="57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</row>
    <row r="541" spans="1:21" ht="13.5" x14ac:dyDescent="0.45">
      <c r="A541" s="56"/>
      <c r="B541" s="56"/>
      <c r="C541" s="57"/>
      <c r="D541" s="56"/>
      <c r="E541" s="56"/>
      <c r="F541" s="57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</row>
    <row r="542" spans="1:21" ht="13.5" x14ac:dyDescent="0.45">
      <c r="A542" s="56"/>
      <c r="B542" s="56"/>
      <c r="C542" s="57"/>
      <c r="D542" s="56"/>
      <c r="E542" s="56"/>
      <c r="F542" s="57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</row>
    <row r="543" spans="1:21" ht="13.5" x14ac:dyDescent="0.45">
      <c r="A543" s="56"/>
      <c r="B543" s="56"/>
      <c r="C543" s="57"/>
      <c r="D543" s="56"/>
      <c r="E543" s="56"/>
      <c r="F543" s="57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</row>
    <row r="544" spans="1:21" ht="13.5" x14ac:dyDescent="0.45">
      <c r="A544" s="56"/>
      <c r="B544" s="56"/>
      <c r="C544" s="57"/>
      <c r="D544" s="56"/>
      <c r="E544" s="56"/>
      <c r="F544" s="57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</row>
    <row r="545" spans="1:21" ht="13.5" x14ac:dyDescent="0.45">
      <c r="A545" s="56"/>
      <c r="B545" s="56"/>
      <c r="C545" s="57"/>
      <c r="D545" s="56"/>
      <c r="E545" s="56"/>
      <c r="F545" s="57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</row>
    <row r="546" spans="1:21" ht="13.5" x14ac:dyDescent="0.45">
      <c r="A546" s="56"/>
      <c r="B546" s="56"/>
      <c r="C546" s="57"/>
      <c r="D546" s="56"/>
      <c r="E546" s="56"/>
      <c r="F546" s="57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</row>
    <row r="547" spans="1:21" ht="13.5" x14ac:dyDescent="0.45">
      <c r="A547" s="56"/>
      <c r="B547" s="56"/>
      <c r="C547" s="57"/>
      <c r="D547" s="56"/>
      <c r="E547" s="56"/>
      <c r="F547" s="57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</row>
    <row r="548" spans="1:21" ht="13.5" x14ac:dyDescent="0.45">
      <c r="A548" s="56"/>
      <c r="B548" s="56"/>
      <c r="C548" s="57"/>
      <c r="D548" s="56"/>
      <c r="E548" s="56"/>
      <c r="F548" s="57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</row>
    <row r="549" spans="1:21" ht="13.5" x14ac:dyDescent="0.45">
      <c r="A549" s="56"/>
      <c r="B549" s="56"/>
      <c r="C549" s="57"/>
      <c r="D549" s="56"/>
      <c r="E549" s="56"/>
      <c r="F549" s="57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</row>
    <row r="550" spans="1:21" ht="13.5" x14ac:dyDescent="0.45">
      <c r="A550" s="56"/>
      <c r="B550" s="56"/>
      <c r="C550" s="57"/>
      <c r="D550" s="56"/>
      <c r="E550" s="56"/>
      <c r="F550" s="57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</row>
    <row r="551" spans="1:21" ht="13.5" x14ac:dyDescent="0.45">
      <c r="A551" s="56"/>
      <c r="B551" s="56"/>
      <c r="C551" s="57"/>
      <c r="D551" s="56"/>
      <c r="E551" s="56"/>
      <c r="F551" s="57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</row>
    <row r="552" spans="1:21" ht="13.5" x14ac:dyDescent="0.45">
      <c r="A552" s="56"/>
      <c r="B552" s="56"/>
      <c r="C552" s="57"/>
      <c r="D552" s="56"/>
      <c r="E552" s="56"/>
      <c r="F552" s="57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</row>
    <row r="553" spans="1:21" ht="13.5" x14ac:dyDescent="0.45">
      <c r="A553" s="56"/>
      <c r="B553" s="56"/>
      <c r="C553" s="57"/>
      <c r="D553" s="56"/>
      <c r="E553" s="56"/>
      <c r="F553" s="57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</row>
    <row r="554" spans="1:21" ht="13.5" x14ac:dyDescent="0.45">
      <c r="A554" s="56"/>
      <c r="B554" s="56"/>
      <c r="C554" s="57"/>
      <c r="D554" s="56"/>
      <c r="E554" s="56"/>
      <c r="F554" s="57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</row>
    <row r="555" spans="1:21" ht="13.5" x14ac:dyDescent="0.45">
      <c r="A555" s="56"/>
      <c r="B555" s="56"/>
      <c r="C555" s="57"/>
      <c r="D555" s="56"/>
      <c r="E555" s="56"/>
      <c r="F555" s="57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</row>
    <row r="556" spans="1:21" ht="13.5" x14ac:dyDescent="0.45">
      <c r="A556" s="56"/>
      <c r="B556" s="56"/>
      <c r="C556" s="57"/>
      <c r="D556" s="56"/>
      <c r="E556" s="56"/>
      <c r="F556" s="57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</row>
    <row r="557" spans="1:21" ht="13.5" x14ac:dyDescent="0.45">
      <c r="A557" s="56"/>
      <c r="B557" s="56"/>
      <c r="C557" s="57"/>
      <c r="D557" s="56"/>
      <c r="E557" s="56"/>
      <c r="F557" s="57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</row>
    <row r="558" spans="1:21" ht="13.5" x14ac:dyDescent="0.45">
      <c r="A558" s="56"/>
      <c r="B558" s="56"/>
      <c r="C558" s="57"/>
      <c r="D558" s="56"/>
      <c r="E558" s="56"/>
      <c r="F558" s="57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</row>
    <row r="559" spans="1:21" ht="13.5" x14ac:dyDescent="0.45">
      <c r="A559" s="56"/>
      <c r="B559" s="56"/>
      <c r="C559" s="57"/>
      <c r="D559" s="56"/>
      <c r="E559" s="56"/>
      <c r="F559" s="57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</row>
    <row r="560" spans="1:21" ht="13.5" x14ac:dyDescent="0.45">
      <c r="A560" s="56"/>
      <c r="B560" s="56"/>
      <c r="C560" s="57"/>
      <c r="D560" s="56"/>
      <c r="E560" s="56"/>
      <c r="F560" s="57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</row>
    <row r="561" spans="1:21" ht="13.5" x14ac:dyDescent="0.45">
      <c r="A561" s="56"/>
      <c r="B561" s="56"/>
      <c r="C561" s="57"/>
      <c r="D561" s="56"/>
      <c r="E561" s="56"/>
      <c r="F561" s="57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</row>
    <row r="562" spans="1:21" ht="13.5" x14ac:dyDescent="0.45">
      <c r="A562" s="56"/>
      <c r="B562" s="56"/>
      <c r="C562" s="57"/>
      <c r="D562" s="56"/>
      <c r="E562" s="56"/>
      <c r="F562" s="57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</row>
    <row r="563" spans="1:21" ht="13.5" x14ac:dyDescent="0.45">
      <c r="A563" s="56"/>
      <c r="B563" s="56"/>
      <c r="C563" s="57"/>
      <c r="D563" s="56"/>
      <c r="E563" s="56"/>
      <c r="F563" s="57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</row>
    <row r="564" spans="1:21" ht="13.5" x14ac:dyDescent="0.45">
      <c r="A564" s="56"/>
      <c r="B564" s="56"/>
      <c r="C564" s="57"/>
      <c r="D564" s="56"/>
      <c r="E564" s="56"/>
      <c r="F564" s="57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</row>
    <row r="565" spans="1:21" ht="13.5" x14ac:dyDescent="0.45">
      <c r="A565" s="56"/>
      <c r="B565" s="56"/>
      <c r="C565" s="57"/>
      <c r="D565" s="56"/>
      <c r="E565" s="56"/>
      <c r="F565" s="57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</row>
    <row r="566" spans="1:21" ht="13.5" x14ac:dyDescent="0.45">
      <c r="A566" s="56"/>
      <c r="B566" s="56"/>
      <c r="C566" s="57"/>
      <c r="D566" s="56"/>
      <c r="E566" s="56"/>
      <c r="F566" s="57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</row>
    <row r="567" spans="1:21" ht="13.5" x14ac:dyDescent="0.45">
      <c r="A567" s="56"/>
      <c r="B567" s="56"/>
      <c r="C567" s="57"/>
      <c r="D567" s="56"/>
      <c r="E567" s="56"/>
      <c r="F567" s="57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</row>
    <row r="568" spans="1:21" ht="13.5" x14ac:dyDescent="0.45">
      <c r="A568" s="56"/>
      <c r="B568" s="56"/>
      <c r="C568" s="57"/>
      <c r="D568" s="56"/>
      <c r="E568" s="56"/>
      <c r="F568" s="57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</row>
    <row r="569" spans="1:21" ht="13.5" x14ac:dyDescent="0.45">
      <c r="A569" s="56"/>
      <c r="B569" s="56"/>
      <c r="C569" s="57"/>
      <c r="D569" s="56"/>
      <c r="E569" s="56"/>
      <c r="F569" s="57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</row>
    <row r="570" spans="1:21" ht="13.5" x14ac:dyDescent="0.45">
      <c r="A570" s="56"/>
      <c r="B570" s="56"/>
      <c r="C570" s="57"/>
      <c r="D570" s="56"/>
      <c r="E570" s="56"/>
      <c r="F570" s="57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</row>
    <row r="571" spans="1:21" ht="13.5" x14ac:dyDescent="0.45">
      <c r="A571" s="56"/>
      <c r="B571" s="56"/>
      <c r="C571" s="57"/>
      <c r="D571" s="56"/>
      <c r="E571" s="56"/>
      <c r="F571" s="57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</row>
    <row r="572" spans="1:21" ht="13.5" x14ac:dyDescent="0.45">
      <c r="A572" s="56"/>
      <c r="B572" s="56"/>
      <c r="C572" s="57"/>
      <c r="D572" s="56"/>
      <c r="E572" s="56"/>
      <c r="F572" s="57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</row>
    <row r="573" spans="1:21" ht="13.5" x14ac:dyDescent="0.45">
      <c r="A573" s="56"/>
      <c r="B573" s="56"/>
      <c r="C573" s="57"/>
      <c r="D573" s="56"/>
      <c r="E573" s="56"/>
      <c r="F573" s="57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</row>
    <row r="574" spans="1:21" ht="13.5" x14ac:dyDescent="0.45">
      <c r="A574" s="56"/>
      <c r="B574" s="56"/>
      <c r="C574" s="57"/>
      <c r="D574" s="56"/>
      <c r="E574" s="56"/>
      <c r="F574" s="57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</row>
    <row r="575" spans="1:21" ht="13.5" x14ac:dyDescent="0.45">
      <c r="A575" s="56"/>
      <c r="B575" s="56"/>
      <c r="C575" s="57"/>
      <c r="D575" s="56"/>
      <c r="E575" s="56"/>
      <c r="F575" s="57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</row>
    <row r="576" spans="1:21" ht="13.5" x14ac:dyDescent="0.45">
      <c r="A576" s="56"/>
      <c r="B576" s="56"/>
      <c r="C576" s="57"/>
      <c r="D576" s="56"/>
      <c r="E576" s="56"/>
      <c r="F576" s="57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</row>
    <row r="577" spans="1:21" ht="13.5" x14ac:dyDescent="0.45">
      <c r="A577" s="56"/>
      <c r="B577" s="56"/>
      <c r="C577" s="57"/>
      <c r="D577" s="56"/>
      <c r="E577" s="56"/>
      <c r="F577" s="57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</row>
    <row r="578" spans="1:21" ht="13.5" x14ac:dyDescent="0.45">
      <c r="A578" s="56"/>
      <c r="B578" s="56"/>
      <c r="C578" s="57"/>
      <c r="D578" s="56"/>
      <c r="E578" s="56"/>
      <c r="F578" s="57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</row>
    <row r="579" spans="1:21" ht="13.5" x14ac:dyDescent="0.45">
      <c r="A579" s="56"/>
      <c r="B579" s="56"/>
      <c r="C579" s="57"/>
      <c r="D579" s="56"/>
      <c r="E579" s="56"/>
      <c r="F579" s="57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</row>
    <row r="580" spans="1:21" ht="13.5" x14ac:dyDescent="0.45">
      <c r="A580" s="56"/>
      <c r="B580" s="56"/>
      <c r="C580" s="57"/>
      <c r="D580" s="56"/>
      <c r="E580" s="56"/>
      <c r="F580" s="57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</row>
    <row r="581" spans="1:21" ht="13.5" x14ac:dyDescent="0.45">
      <c r="A581" s="56"/>
      <c r="B581" s="56"/>
      <c r="C581" s="57"/>
      <c r="D581" s="56"/>
      <c r="E581" s="56"/>
      <c r="F581" s="57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</row>
    <row r="582" spans="1:21" ht="13.5" x14ac:dyDescent="0.45">
      <c r="A582" s="56"/>
      <c r="B582" s="56"/>
      <c r="C582" s="57"/>
      <c r="D582" s="56"/>
      <c r="E582" s="56"/>
      <c r="F582" s="57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</row>
    <row r="583" spans="1:21" ht="13.5" x14ac:dyDescent="0.45">
      <c r="A583" s="56"/>
      <c r="B583" s="56"/>
      <c r="C583" s="57"/>
      <c r="D583" s="56"/>
      <c r="E583" s="56"/>
      <c r="F583" s="57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</row>
    <row r="584" spans="1:21" ht="13.5" x14ac:dyDescent="0.45">
      <c r="A584" s="56"/>
      <c r="B584" s="56"/>
      <c r="C584" s="57"/>
      <c r="D584" s="56"/>
      <c r="E584" s="56"/>
      <c r="F584" s="57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</row>
    <row r="585" spans="1:21" ht="13.5" x14ac:dyDescent="0.45">
      <c r="A585" s="56"/>
      <c r="B585" s="56"/>
      <c r="C585" s="57"/>
      <c r="D585" s="56"/>
      <c r="E585" s="56"/>
      <c r="F585" s="57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</row>
    <row r="586" spans="1:21" ht="13.5" x14ac:dyDescent="0.45">
      <c r="A586" s="56"/>
      <c r="B586" s="56"/>
      <c r="C586" s="57"/>
      <c r="D586" s="56"/>
      <c r="E586" s="56"/>
      <c r="F586" s="57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</row>
    <row r="587" spans="1:21" ht="13.5" x14ac:dyDescent="0.45">
      <c r="A587" s="56"/>
      <c r="B587" s="56"/>
      <c r="C587" s="57"/>
      <c r="D587" s="56"/>
      <c r="E587" s="56"/>
      <c r="F587" s="57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</row>
    <row r="588" spans="1:21" ht="13.5" x14ac:dyDescent="0.45">
      <c r="A588" s="56"/>
      <c r="B588" s="56"/>
      <c r="C588" s="57"/>
      <c r="D588" s="56"/>
      <c r="E588" s="56"/>
      <c r="F588" s="57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</row>
    <row r="589" spans="1:21" ht="13.5" x14ac:dyDescent="0.45">
      <c r="A589" s="56"/>
      <c r="B589" s="56"/>
      <c r="C589" s="57"/>
      <c r="D589" s="56"/>
      <c r="E589" s="56"/>
      <c r="F589" s="57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</row>
    <row r="590" spans="1:21" ht="13.5" x14ac:dyDescent="0.45">
      <c r="A590" s="56"/>
      <c r="B590" s="56"/>
      <c r="C590" s="57"/>
      <c r="D590" s="56"/>
      <c r="E590" s="56"/>
      <c r="F590" s="57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</row>
    <row r="591" spans="1:21" ht="13.5" x14ac:dyDescent="0.45">
      <c r="A591" s="56"/>
      <c r="B591" s="56"/>
      <c r="C591" s="57"/>
      <c r="D591" s="56"/>
      <c r="E591" s="56"/>
      <c r="F591" s="57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</row>
    <row r="592" spans="1:21" ht="13.5" x14ac:dyDescent="0.45">
      <c r="A592" s="56"/>
      <c r="B592" s="56"/>
      <c r="C592" s="57"/>
      <c r="D592" s="56"/>
      <c r="E592" s="56"/>
      <c r="F592" s="57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</row>
    <row r="593" spans="1:21" ht="13.5" x14ac:dyDescent="0.45">
      <c r="A593" s="56"/>
      <c r="B593" s="56"/>
      <c r="C593" s="57"/>
      <c r="D593" s="56"/>
      <c r="E593" s="56"/>
      <c r="F593" s="57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</row>
    <row r="594" spans="1:21" ht="13.5" x14ac:dyDescent="0.45">
      <c r="A594" s="56"/>
      <c r="B594" s="56"/>
      <c r="C594" s="57"/>
      <c r="D594" s="56"/>
      <c r="E594" s="56"/>
      <c r="F594" s="57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</row>
    <row r="595" spans="1:21" ht="13.5" x14ac:dyDescent="0.45">
      <c r="A595" s="56"/>
      <c r="B595" s="56"/>
      <c r="C595" s="57"/>
      <c r="D595" s="56"/>
      <c r="E595" s="56"/>
      <c r="F595" s="57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</row>
    <row r="596" spans="1:21" ht="13.5" x14ac:dyDescent="0.45">
      <c r="A596" s="56"/>
      <c r="B596" s="56"/>
      <c r="C596" s="57"/>
      <c r="D596" s="56"/>
      <c r="E596" s="56"/>
      <c r="F596" s="57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</row>
    <row r="597" spans="1:21" ht="13.5" x14ac:dyDescent="0.45">
      <c r="A597" s="56"/>
      <c r="B597" s="56"/>
      <c r="C597" s="57"/>
      <c r="D597" s="56"/>
      <c r="E597" s="56"/>
      <c r="F597" s="57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</row>
    <row r="598" spans="1:21" ht="13.5" x14ac:dyDescent="0.45">
      <c r="A598" s="56"/>
      <c r="B598" s="56"/>
      <c r="C598" s="57"/>
      <c r="D598" s="56"/>
      <c r="E598" s="56"/>
      <c r="F598" s="57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</row>
    <row r="599" spans="1:21" ht="13.5" x14ac:dyDescent="0.45">
      <c r="A599" s="56"/>
      <c r="B599" s="56"/>
      <c r="C599" s="57"/>
      <c r="D599" s="56"/>
      <c r="E599" s="56"/>
      <c r="F599" s="57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</row>
    <row r="600" spans="1:21" ht="13.5" x14ac:dyDescent="0.45">
      <c r="A600" s="56"/>
      <c r="B600" s="56"/>
      <c r="C600" s="57"/>
      <c r="D600" s="56"/>
      <c r="E600" s="56"/>
      <c r="F600" s="57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</row>
    <row r="601" spans="1:21" ht="13.5" x14ac:dyDescent="0.45">
      <c r="A601" s="56"/>
      <c r="B601" s="56"/>
      <c r="C601" s="57"/>
      <c r="D601" s="56"/>
      <c r="E601" s="56"/>
      <c r="F601" s="57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</row>
    <row r="602" spans="1:21" ht="13.5" x14ac:dyDescent="0.45">
      <c r="A602" s="56"/>
      <c r="B602" s="56"/>
      <c r="C602" s="57"/>
      <c r="D602" s="56"/>
      <c r="E602" s="56"/>
      <c r="F602" s="57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</row>
    <row r="603" spans="1:21" ht="13.5" x14ac:dyDescent="0.45">
      <c r="A603" s="56"/>
      <c r="B603" s="56"/>
      <c r="C603" s="57"/>
      <c r="D603" s="56"/>
      <c r="E603" s="56"/>
      <c r="F603" s="57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</row>
    <row r="604" spans="1:21" ht="13.5" x14ac:dyDescent="0.45">
      <c r="A604" s="56"/>
      <c r="B604" s="56"/>
      <c r="C604" s="57"/>
      <c r="D604" s="56"/>
      <c r="E604" s="56"/>
      <c r="F604" s="57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</row>
    <row r="605" spans="1:21" ht="13.5" x14ac:dyDescent="0.45">
      <c r="A605" s="56"/>
      <c r="B605" s="56"/>
      <c r="C605" s="57"/>
      <c r="D605" s="56"/>
      <c r="E605" s="56"/>
      <c r="F605" s="57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</row>
    <row r="606" spans="1:21" ht="13.5" x14ac:dyDescent="0.45">
      <c r="A606" s="56"/>
      <c r="B606" s="56"/>
      <c r="C606" s="57"/>
      <c r="D606" s="56"/>
      <c r="E606" s="56"/>
      <c r="F606" s="57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</row>
    <row r="607" spans="1:21" ht="13.5" x14ac:dyDescent="0.45">
      <c r="A607" s="56"/>
      <c r="B607" s="56"/>
      <c r="C607" s="57"/>
      <c r="D607" s="56"/>
      <c r="E607" s="56"/>
      <c r="F607" s="57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</row>
    <row r="608" spans="1:21" ht="13.5" x14ac:dyDescent="0.45">
      <c r="A608" s="56"/>
      <c r="B608" s="56"/>
      <c r="C608" s="57"/>
      <c r="D608" s="56"/>
      <c r="E608" s="56"/>
      <c r="F608" s="57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</row>
    <row r="609" spans="1:21" ht="13.5" x14ac:dyDescent="0.45">
      <c r="A609" s="56"/>
      <c r="B609" s="56"/>
      <c r="C609" s="57"/>
      <c r="D609" s="56"/>
      <c r="E609" s="56"/>
      <c r="F609" s="57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</row>
    <row r="610" spans="1:21" ht="13.5" x14ac:dyDescent="0.45">
      <c r="A610" s="56"/>
      <c r="B610" s="56"/>
      <c r="C610" s="57"/>
      <c r="D610" s="56"/>
      <c r="E610" s="56"/>
      <c r="F610" s="57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</row>
    <row r="611" spans="1:21" ht="13.5" x14ac:dyDescent="0.45">
      <c r="A611" s="56"/>
      <c r="B611" s="56"/>
      <c r="C611" s="57"/>
      <c r="D611" s="56"/>
      <c r="E611" s="56"/>
      <c r="F611" s="57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</row>
    <row r="612" spans="1:21" ht="13.5" x14ac:dyDescent="0.45">
      <c r="A612" s="56"/>
      <c r="B612" s="56"/>
      <c r="C612" s="57"/>
      <c r="D612" s="56"/>
      <c r="E612" s="56"/>
      <c r="F612" s="57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</row>
    <row r="613" spans="1:21" ht="13.5" x14ac:dyDescent="0.45">
      <c r="A613" s="56"/>
      <c r="B613" s="56"/>
      <c r="C613" s="57"/>
      <c r="D613" s="56"/>
      <c r="E613" s="56"/>
      <c r="F613" s="57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</row>
    <row r="614" spans="1:21" ht="13.5" x14ac:dyDescent="0.45">
      <c r="A614" s="56"/>
      <c r="B614" s="56"/>
      <c r="C614" s="57"/>
      <c r="D614" s="56"/>
      <c r="E614" s="56"/>
      <c r="F614" s="57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</row>
    <row r="615" spans="1:21" ht="13.5" x14ac:dyDescent="0.45">
      <c r="A615" s="56"/>
      <c r="B615" s="56"/>
      <c r="C615" s="57"/>
      <c r="D615" s="56"/>
      <c r="E615" s="56"/>
      <c r="F615" s="57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</row>
    <row r="616" spans="1:21" ht="13.5" x14ac:dyDescent="0.45">
      <c r="A616" s="56"/>
      <c r="B616" s="56"/>
      <c r="C616" s="57"/>
      <c r="D616" s="56"/>
      <c r="E616" s="56"/>
      <c r="F616" s="57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</row>
    <row r="617" spans="1:21" ht="13.5" x14ac:dyDescent="0.45">
      <c r="A617" s="56"/>
      <c r="B617" s="56"/>
      <c r="C617" s="57"/>
      <c r="D617" s="56"/>
      <c r="E617" s="56"/>
      <c r="F617" s="57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</row>
    <row r="618" spans="1:21" ht="13.5" x14ac:dyDescent="0.45">
      <c r="A618" s="56"/>
      <c r="B618" s="56"/>
      <c r="C618" s="57"/>
      <c r="D618" s="56"/>
      <c r="E618" s="56"/>
      <c r="F618" s="57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</row>
    <row r="619" spans="1:21" ht="13.5" x14ac:dyDescent="0.45">
      <c r="A619" s="56"/>
      <c r="B619" s="56"/>
      <c r="C619" s="57"/>
      <c r="D619" s="56"/>
      <c r="E619" s="56"/>
      <c r="F619" s="57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</row>
    <row r="620" spans="1:21" ht="13.5" x14ac:dyDescent="0.45">
      <c r="A620" s="56"/>
      <c r="B620" s="56"/>
      <c r="C620" s="57"/>
      <c r="D620" s="56"/>
      <c r="E620" s="56"/>
      <c r="F620" s="57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</row>
    <row r="621" spans="1:21" ht="13.5" x14ac:dyDescent="0.45">
      <c r="A621" s="56"/>
      <c r="B621" s="56"/>
      <c r="C621" s="57"/>
      <c r="D621" s="56"/>
      <c r="E621" s="56"/>
      <c r="F621" s="57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</row>
    <row r="622" spans="1:21" ht="13.5" x14ac:dyDescent="0.45">
      <c r="A622" s="56"/>
      <c r="B622" s="56"/>
      <c r="C622" s="57"/>
      <c r="D622" s="56"/>
      <c r="E622" s="56"/>
      <c r="F622" s="57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</row>
    <row r="623" spans="1:21" ht="13.5" x14ac:dyDescent="0.45">
      <c r="A623" s="56"/>
      <c r="B623" s="56"/>
      <c r="C623" s="57"/>
      <c r="D623" s="56"/>
      <c r="E623" s="56"/>
      <c r="F623" s="57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</row>
    <row r="624" spans="1:21" ht="13.5" x14ac:dyDescent="0.45">
      <c r="A624" s="56"/>
      <c r="B624" s="56"/>
      <c r="C624" s="57"/>
      <c r="D624" s="56"/>
      <c r="E624" s="56"/>
      <c r="F624" s="57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</row>
    <row r="625" spans="1:21" ht="13.5" x14ac:dyDescent="0.45">
      <c r="A625" s="56"/>
      <c r="B625" s="56"/>
      <c r="C625" s="57"/>
      <c r="D625" s="56"/>
      <c r="E625" s="56"/>
      <c r="F625" s="57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</row>
    <row r="626" spans="1:21" ht="13.5" x14ac:dyDescent="0.45">
      <c r="A626" s="56"/>
      <c r="B626" s="56"/>
      <c r="C626" s="57"/>
      <c r="D626" s="56"/>
      <c r="E626" s="56"/>
      <c r="F626" s="57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</row>
    <row r="627" spans="1:21" ht="13.5" x14ac:dyDescent="0.45">
      <c r="A627" s="56"/>
      <c r="B627" s="56"/>
      <c r="C627" s="57"/>
      <c r="D627" s="56"/>
      <c r="E627" s="56"/>
      <c r="F627" s="57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</row>
    <row r="628" spans="1:21" ht="13.5" x14ac:dyDescent="0.45">
      <c r="A628" s="56"/>
      <c r="B628" s="56"/>
      <c r="C628" s="57"/>
      <c r="D628" s="56"/>
      <c r="E628" s="56"/>
      <c r="F628" s="57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</row>
    <row r="629" spans="1:21" ht="13.5" x14ac:dyDescent="0.45">
      <c r="A629" s="56"/>
      <c r="B629" s="56"/>
      <c r="C629" s="57"/>
      <c r="D629" s="56"/>
      <c r="E629" s="56"/>
      <c r="F629" s="57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</row>
    <row r="630" spans="1:21" ht="13.5" x14ac:dyDescent="0.45">
      <c r="A630" s="56"/>
      <c r="B630" s="56"/>
      <c r="C630" s="57"/>
      <c r="D630" s="56"/>
      <c r="E630" s="56"/>
      <c r="F630" s="57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</row>
    <row r="631" spans="1:21" ht="13.5" x14ac:dyDescent="0.45">
      <c r="A631" s="56"/>
      <c r="B631" s="56"/>
      <c r="C631" s="57"/>
      <c r="D631" s="56"/>
      <c r="E631" s="56"/>
      <c r="F631" s="57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</row>
    <row r="632" spans="1:21" ht="13.5" x14ac:dyDescent="0.45">
      <c r="A632" s="56"/>
      <c r="B632" s="56"/>
      <c r="C632" s="57"/>
      <c r="D632" s="56"/>
      <c r="E632" s="56"/>
      <c r="F632" s="57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</row>
    <row r="633" spans="1:21" ht="13.5" x14ac:dyDescent="0.45">
      <c r="A633" s="56"/>
      <c r="B633" s="56"/>
      <c r="C633" s="57"/>
      <c r="D633" s="56"/>
      <c r="E633" s="56"/>
      <c r="F633" s="57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</row>
    <row r="634" spans="1:21" ht="13.5" x14ac:dyDescent="0.45">
      <c r="A634" s="56"/>
      <c r="B634" s="56"/>
      <c r="C634" s="57"/>
      <c r="D634" s="56"/>
      <c r="E634" s="56"/>
      <c r="F634" s="57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</row>
    <row r="635" spans="1:21" ht="13.5" x14ac:dyDescent="0.45">
      <c r="A635" s="56"/>
      <c r="B635" s="56"/>
      <c r="C635" s="57"/>
      <c r="D635" s="56"/>
      <c r="E635" s="56"/>
      <c r="F635" s="57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</row>
    <row r="636" spans="1:21" ht="13.5" x14ac:dyDescent="0.45">
      <c r="A636" s="56"/>
      <c r="B636" s="56"/>
      <c r="C636" s="57"/>
      <c r="D636" s="56"/>
      <c r="E636" s="56"/>
      <c r="F636" s="57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</row>
    <row r="637" spans="1:21" ht="13.5" x14ac:dyDescent="0.45">
      <c r="A637" s="56"/>
      <c r="B637" s="56"/>
      <c r="C637" s="57"/>
      <c r="D637" s="56"/>
      <c r="E637" s="56"/>
      <c r="F637" s="57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</row>
    <row r="638" spans="1:21" ht="13.5" x14ac:dyDescent="0.45">
      <c r="A638" s="56"/>
      <c r="B638" s="56"/>
      <c r="C638" s="57"/>
      <c r="D638" s="56"/>
      <c r="E638" s="56"/>
      <c r="F638" s="57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</row>
    <row r="639" spans="1:21" ht="13.5" x14ac:dyDescent="0.45">
      <c r="A639" s="56"/>
      <c r="B639" s="56"/>
      <c r="C639" s="57"/>
      <c r="D639" s="56"/>
      <c r="E639" s="56"/>
      <c r="F639" s="57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</row>
    <row r="640" spans="1:21" ht="13.5" x14ac:dyDescent="0.45">
      <c r="A640" s="56"/>
      <c r="B640" s="56"/>
      <c r="C640" s="57"/>
      <c r="D640" s="56"/>
      <c r="E640" s="56"/>
      <c r="F640" s="57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</row>
    <row r="641" spans="1:21" ht="13.5" x14ac:dyDescent="0.45">
      <c r="A641" s="56"/>
      <c r="B641" s="56"/>
      <c r="C641" s="57"/>
      <c r="D641" s="56"/>
      <c r="E641" s="56"/>
      <c r="F641" s="57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</row>
    <row r="642" spans="1:21" ht="13.5" x14ac:dyDescent="0.45">
      <c r="A642" s="56"/>
      <c r="B642" s="56"/>
      <c r="C642" s="57"/>
      <c r="D642" s="56"/>
      <c r="E642" s="56"/>
      <c r="F642" s="57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</row>
    <row r="643" spans="1:21" ht="13.5" x14ac:dyDescent="0.45">
      <c r="A643" s="56"/>
      <c r="B643" s="56"/>
      <c r="C643" s="57"/>
      <c r="D643" s="56"/>
      <c r="E643" s="56"/>
      <c r="F643" s="57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</row>
    <row r="644" spans="1:21" ht="13.5" x14ac:dyDescent="0.45">
      <c r="A644" s="56"/>
      <c r="B644" s="56"/>
      <c r="C644" s="57"/>
      <c r="D644" s="56"/>
      <c r="E644" s="56"/>
      <c r="F644" s="57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</row>
    <row r="645" spans="1:21" ht="13.5" x14ac:dyDescent="0.45">
      <c r="A645" s="56"/>
      <c r="B645" s="56"/>
      <c r="C645" s="57"/>
      <c r="D645" s="56"/>
      <c r="E645" s="56"/>
      <c r="F645" s="57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</row>
    <row r="646" spans="1:21" ht="13.5" x14ac:dyDescent="0.45">
      <c r="A646" s="56"/>
      <c r="B646" s="56"/>
      <c r="C646" s="57"/>
      <c r="D646" s="56"/>
      <c r="E646" s="56"/>
      <c r="F646" s="57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</row>
    <row r="647" spans="1:21" ht="13.5" x14ac:dyDescent="0.45">
      <c r="A647" s="56"/>
      <c r="B647" s="56"/>
      <c r="C647" s="57"/>
      <c r="D647" s="56"/>
      <c r="E647" s="56"/>
      <c r="F647" s="57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</row>
    <row r="648" spans="1:21" ht="13.5" x14ac:dyDescent="0.45">
      <c r="A648" s="56"/>
      <c r="B648" s="56"/>
      <c r="C648" s="57"/>
      <c r="D648" s="56"/>
      <c r="E648" s="56"/>
      <c r="F648" s="57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</row>
    <row r="649" spans="1:21" ht="13.5" x14ac:dyDescent="0.45">
      <c r="A649" s="56"/>
      <c r="B649" s="56"/>
      <c r="C649" s="57"/>
      <c r="D649" s="56"/>
      <c r="E649" s="56"/>
      <c r="F649" s="57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</row>
    <row r="650" spans="1:21" ht="13.5" x14ac:dyDescent="0.45">
      <c r="A650" s="56"/>
      <c r="B650" s="56"/>
      <c r="C650" s="57"/>
      <c r="D650" s="56"/>
      <c r="E650" s="56"/>
      <c r="F650" s="57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</row>
    <row r="651" spans="1:21" ht="13.5" x14ac:dyDescent="0.45">
      <c r="A651" s="56"/>
      <c r="B651" s="56"/>
      <c r="C651" s="57"/>
      <c r="D651" s="56"/>
      <c r="E651" s="56"/>
      <c r="F651" s="57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</row>
    <row r="652" spans="1:21" ht="13.5" x14ac:dyDescent="0.45">
      <c r="A652" s="56"/>
      <c r="B652" s="56"/>
      <c r="C652" s="57"/>
      <c r="D652" s="56"/>
      <c r="E652" s="56"/>
      <c r="F652" s="57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</row>
    <row r="653" spans="1:21" ht="13.5" x14ac:dyDescent="0.45">
      <c r="A653" s="56"/>
      <c r="B653" s="56"/>
      <c r="C653" s="57"/>
      <c r="D653" s="56"/>
      <c r="E653" s="56"/>
      <c r="F653" s="57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</row>
    <row r="654" spans="1:21" ht="13.5" x14ac:dyDescent="0.45">
      <c r="A654" s="56"/>
      <c r="B654" s="56"/>
      <c r="C654" s="57"/>
      <c r="D654" s="56"/>
      <c r="E654" s="56"/>
      <c r="F654" s="57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</row>
    <row r="655" spans="1:21" ht="13.5" x14ac:dyDescent="0.45">
      <c r="A655" s="56"/>
      <c r="B655" s="56"/>
      <c r="C655" s="57"/>
      <c r="D655" s="56"/>
      <c r="E655" s="56"/>
      <c r="F655" s="57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</row>
    <row r="656" spans="1:21" ht="13.5" x14ac:dyDescent="0.45">
      <c r="A656" s="56"/>
      <c r="B656" s="56"/>
      <c r="C656" s="57"/>
      <c r="D656" s="56"/>
      <c r="E656" s="56"/>
      <c r="F656" s="57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</row>
    <row r="657" spans="1:21" ht="13.5" x14ac:dyDescent="0.45">
      <c r="A657" s="56"/>
      <c r="B657" s="56"/>
      <c r="C657" s="57"/>
      <c r="D657" s="56"/>
      <c r="E657" s="56"/>
      <c r="F657" s="57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</row>
    <row r="658" spans="1:21" ht="13.5" x14ac:dyDescent="0.45">
      <c r="A658" s="56"/>
      <c r="B658" s="56"/>
      <c r="C658" s="57"/>
      <c r="D658" s="56"/>
      <c r="E658" s="56"/>
      <c r="F658" s="57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</row>
    <row r="659" spans="1:21" ht="13.5" x14ac:dyDescent="0.45">
      <c r="A659" s="56"/>
      <c r="B659" s="56"/>
      <c r="C659" s="57"/>
      <c r="D659" s="56"/>
      <c r="E659" s="56"/>
      <c r="F659" s="57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</row>
    <row r="660" spans="1:21" ht="13.5" x14ac:dyDescent="0.45">
      <c r="A660" s="56"/>
      <c r="B660" s="56"/>
      <c r="C660" s="57"/>
      <c r="D660" s="56"/>
      <c r="E660" s="56"/>
      <c r="F660" s="57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</row>
    <row r="661" spans="1:21" ht="13.5" x14ac:dyDescent="0.45">
      <c r="A661" s="56"/>
      <c r="B661" s="56"/>
      <c r="C661" s="57"/>
      <c r="D661" s="56"/>
      <c r="E661" s="56"/>
      <c r="F661" s="57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</row>
    <row r="662" spans="1:21" ht="13.5" x14ac:dyDescent="0.45">
      <c r="A662" s="56"/>
      <c r="B662" s="56"/>
      <c r="C662" s="57"/>
      <c r="D662" s="56"/>
      <c r="E662" s="56"/>
      <c r="F662" s="57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</row>
    <row r="663" spans="1:21" ht="13.5" x14ac:dyDescent="0.45">
      <c r="A663" s="56"/>
      <c r="B663" s="56"/>
      <c r="C663" s="57"/>
      <c r="D663" s="56"/>
      <c r="E663" s="56"/>
      <c r="F663" s="57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</row>
    <row r="664" spans="1:21" ht="13.5" x14ac:dyDescent="0.45">
      <c r="A664" s="56"/>
      <c r="B664" s="56"/>
      <c r="C664" s="57"/>
      <c r="D664" s="56"/>
      <c r="E664" s="56"/>
      <c r="F664" s="57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</row>
    <row r="665" spans="1:21" ht="13.5" x14ac:dyDescent="0.45">
      <c r="A665" s="56"/>
      <c r="B665" s="56"/>
      <c r="C665" s="57"/>
      <c r="D665" s="56"/>
      <c r="E665" s="56"/>
      <c r="F665" s="57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</row>
    <row r="666" spans="1:21" ht="13.5" x14ac:dyDescent="0.45">
      <c r="A666" s="56"/>
      <c r="B666" s="56"/>
      <c r="C666" s="57"/>
      <c r="D666" s="56"/>
      <c r="E666" s="56"/>
      <c r="F666" s="57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</row>
    <row r="667" spans="1:21" ht="13.5" x14ac:dyDescent="0.45">
      <c r="A667" s="56"/>
      <c r="B667" s="56"/>
      <c r="C667" s="57"/>
      <c r="D667" s="56"/>
      <c r="E667" s="56"/>
      <c r="F667" s="57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</row>
    <row r="668" spans="1:21" ht="13.5" x14ac:dyDescent="0.45">
      <c r="A668" s="56"/>
      <c r="B668" s="56"/>
      <c r="C668" s="57"/>
      <c r="D668" s="56"/>
      <c r="E668" s="56"/>
      <c r="F668" s="57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</row>
    <row r="669" spans="1:21" ht="13.5" x14ac:dyDescent="0.45">
      <c r="A669" s="56"/>
      <c r="B669" s="56"/>
      <c r="C669" s="57"/>
      <c r="D669" s="56"/>
      <c r="E669" s="56"/>
      <c r="F669" s="57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</row>
    <row r="670" spans="1:21" ht="13.5" x14ac:dyDescent="0.45">
      <c r="A670" s="56"/>
      <c r="B670" s="56"/>
      <c r="C670" s="57"/>
      <c r="D670" s="56"/>
      <c r="E670" s="56"/>
      <c r="F670" s="57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</row>
    <row r="671" spans="1:21" ht="13.5" x14ac:dyDescent="0.45">
      <c r="A671" s="56"/>
      <c r="B671" s="56"/>
      <c r="C671" s="57"/>
      <c r="D671" s="56"/>
      <c r="E671" s="56"/>
      <c r="F671" s="57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</row>
    <row r="672" spans="1:21" ht="13.5" x14ac:dyDescent="0.45">
      <c r="A672" s="56"/>
      <c r="B672" s="56"/>
      <c r="C672" s="57"/>
      <c r="D672" s="56"/>
      <c r="E672" s="56"/>
      <c r="F672" s="57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</row>
    <row r="673" spans="1:21" ht="13.5" x14ac:dyDescent="0.45">
      <c r="A673" s="56"/>
      <c r="B673" s="56"/>
      <c r="C673" s="57"/>
      <c r="D673" s="56"/>
      <c r="E673" s="56"/>
      <c r="F673" s="57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</row>
    <row r="674" spans="1:21" ht="13.5" x14ac:dyDescent="0.45">
      <c r="A674" s="56"/>
      <c r="B674" s="56"/>
      <c r="C674" s="57"/>
      <c r="D674" s="56"/>
      <c r="E674" s="56"/>
      <c r="F674" s="57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</row>
    <row r="675" spans="1:21" ht="13.5" x14ac:dyDescent="0.45">
      <c r="A675" s="56"/>
      <c r="B675" s="56"/>
      <c r="C675" s="57"/>
      <c r="D675" s="56"/>
      <c r="E675" s="56"/>
      <c r="F675" s="57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</row>
    <row r="676" spans="1:21" ht="13.5" x14ac:dyDescent="0.45">
      <c r="A676" s="56"/>
      <c r="B676" s="56"/>
      <c r="C676" s="57"/>
      <c r="D676" s="56"/>
      <c r="E676" s="56"/>
      <c r="F676" s="57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</row>
    <row r="677" spans="1:21" ht="13.5" x14ac:dyDescent="0.45">
      <c r="A677" s="56"/>
      <c r="B677" s="56"/>
      <c r="C677" s="57"/>
      <c r="D677" s="56"/>
      <c r="E677" s="56"/>
      <c r="F677" s="57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</row>
    <row r="678" spans="1:21" ht="13.5" x14ac:dyDescent="0.45">
      <c r="A678" s="56"/>
      <c r="B678" s="56"/>
      <c r="C678" s="57"/>
      <c r="D678" s="56"/>
      <c r="E678" s="56"/>
      <c r="F678" s="57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</row>
    <row r="679" spans="1:21" ht="13.5" x14ac:dyDescent="0.45">
      <c r="A679" s="56"/>
      <c r="B679" s="56"/>
      <c r="C679" s="57"/>
      <c r="D679" s="56"/>
      <c r="E679" s="56"/>
      <c r="F679" s="57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</row>
    <row r="680" spans="1:21" ht="13.5" x14ac:dyDescent="0.45">
      <c r="A680" s="56"/>
      <c r="B680" s="56"/>
      <c r="C680" s="57"/>
      <c r="D680" s="56"/>
      <c r="E680" s="56"/>
      <c r="F680" s="57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</row>
    <row r="681" spans="1:21" ht="13.5" x14ac:dyDescent="0.45">
      <c r="A681" s="56"/>
      <c r="B681" s="56"/>
      <c r="C681" s="57"/>
      <c r="D681" s="56"/>
      <c r="E681" s="56"/>
      <c r="F681" s="57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</row>
    <row r="682" spans="1:21" ht="13.5" x14ac:dyDescent="0.45">
      <c r="A682" s="56"/>
      <c r="B682" s="56"/>
      <c r="C682" s="57"/>
      <c r="D682" s="56"/>
      <c r="E682" s="56"/>
      <c r="F682" s="57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</row>
    <row r="683" spans="1:21" ht="13.5" x14ac:dyDescent="0.45">
      <c r="A683" s="56"/>
      <c r="B683" s="56"/>
      <c r="C683" s="57"/>
      <c r="D683" s="56"/>
      <c r="E683" s="56"/>
      <c r="F683" s="57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</row>
    <row r="684" spans="1:21" ht="13.5" x14ac:dyDescent="0.45">
      <c r="A684" s="56"/>
      <c r="B684" s="56"/>
      <c r="C684" s="57"/>
      <c r="D684" s="56"/>
      <c r="E684" s="56"/>
      <c r="F684" s="57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</row>
    <row r="685" spans="1:21" ht="13.5" x14ac:dyDescent="0.45">
      <c r="A685" s="56"/>
      <c r="B685" s="56"/>
      <c r="C685" s="57"/>
      <c r="D685" s="56"/>
      <c r="E685" s="56"/>
      <c r="F685" s="57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</row>
    <row r="686" spans="1:21" ht="13.5" x14ac:dyDescent="0.45">
      <c r="A686" s="56"/>
      <c r="B686" s="56"/>
      <c r="C686" s="57"/>
      <c r="D686" s="56"/>
      <c r="E686" s="56"/>
      <c r="F686" s="57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</row>
    <row r="687" spans="1:21" ht="13.5" x14ac:dyDescent="0.45">
      <c r="A687" s="56"/>
      <c r="B687" s="56"/>
      <c r="C687" s="57"/>
      <c r="D687" s="56"/>
      <c r="E687" s="56"/>
      <c r="F687" s="57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</row>
    <row r="688" spans="1:21" ht="13.5" x14ac:dyDescent="0.45">
      <c r="A688" s="56"/>
      <c r="B688" s="56"/>
      <c r="C688" s="57"/>
      <c r="D688" s="56"/>
      <c r="E688" s="56"/>
      <c r="F688" s="57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</row>
    <row r="689" spans="1:21" ht="13.5" x14ac:dyDescent="0.45">
      <c r="A689" s="56"/>
      <c r="B689" s="56"/>
      <c r="C689" s="57"/>
      <c r="D689" s="56"/>
      <c r="E689" s="56"/>
      <c r="F689" s="57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</row>
    <row r="690" spans="1:21" ht="13.5" x14ac:dyDescent="0.45">
      <c r="A690" s="56"/>
      <c r="B690" s="56"/>
      <c r="C690" s="57"/>
      <c r="D690" s="56"/>
      <c r="E690" s="56"/>
      <c r="F690" s="57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</row>
    <row r="691" spans="1:21" ht="13.5" x14ac:dyDescent="0.45">
      <c r="A691" s="56"/>
      <c r="B691" s="56"/>
      <c r="C691" s="57"/>
      <c r="D691" s="56"/>
      <c r="E691" s="56"/>
      <c r="F691" s="57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</row>
    <row r="692" spans="1:21" ht="13.5" x14ac:dyDescent="0.45">
      <c r="A692" s="56"/>
      <c r="B692" s="56"/>
      <c r="C692" s="57"/>
      <c r="D692" s="56"/>
      <c r="E692" s="56"/>
      <c r="F692" s="57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</row>
    <row r="693" spans="1:21" ht="13.5" x14ac:dyDescent="0.45">
      <c r="A693" s="56"/>
      <c r="B693" s="56"/>
      <c r="C693" s="57"/>
      <c r="D693" s="56"/>
      <c r="E693" s="56"/>
      <c r="F693" s="57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</row>
    <row r="694" spans="1:21" ht="13.5" x14ac:dyDescent="0.45">
      <c r="A694" s="56"/>
      <c r="B694" s="56"/>
      <c r="C694" s="57"/>
      <c r="D694" s="56"/>
      <c r="E694" s="56"/>
      <c r="F694" s="57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</row>
    <row r="695" spans="1:21" ht="13.5" x14ac:dyDescent="0.45">
      <c r="A695" s="56"/>
      <c r="B695" s="56"/>
      <c r="C695" s="57"/>
      <c r="D695" s="56"/>
      <c r="E695" s="56"/>
      <c r="F695" s="57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</row>
    <row r="696" spans="1:21" ht="13.5" x14ac:dyDescent="0.45">
      <c r="A696" s="56"/>
      <c r="B696" s="56"/>
      <c r="C696" s="57"/>
      <c r="D696" s="56"/>
      <c r="E696" s="56"/>
      <c r="F696" s="57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</row>
    <row r="697" spans="1:21" ht="13.5" x14ac:dyDescent="0.45">
      <c r="A697" s="56"/>
      <c r="B697" s="56"/>
      <c r="C697" s="57"/>
      <c r="D697" s="56"/>
      <c r="E697" s="56"/>
      <c r="F697" s="57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</row>
    <row r="698" spans="1:21" ht="13.5" x14ac:dyDescent="0.45">
      <c r="A698" s="56"/>
      <c r="B698" s="56"/>
      <c r="C698" s="57"/>
      <c r="D698" s="56"/>
      <c r="E698" s="56"/>
      <c r="F698" s="57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</row>
    <row r="699" spans="1:21" ht="13.5" x14ac:dyDescent="0.45">
      <c r="A699" s="56"/>
      <c r="B699" s="56"/>
      <c r="C699" s="57"/>
      <c r="D699" s="56"/>
      <c r="E699" s="56"/>
      <c r="F699" s="57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</row>
    <row r="700" spans="1:21" ht="13.5" x14ac:dyDescent="0.45">
      <c r="A700" s="56"/>
      <c r="B700" s="56"/>
      <c r="C700" s="57"/>
      <c r="D700" s="56"/>
      <c r="E700" s="56"/>
      <c r="F700" s="57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</row>
    <row r="701" spans="1:21" ht="13.5" x14ac:dyDescent="0.45">
      <c r="A701" s="56"/>
      <c r="B701" s="56"/>
      <c r="C701" s="57"/>
      <c r="D701" s="56"/>
      <c r="E701" s="56"/>
      <c r="F701" s="57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</row>
    <row r="702" spans="1:21" ht="13.5" x14ac:dyDescent="0.45">
      <c r="A702" s="56"/>
      <c r="B702" s="56"/>
      <c r="C702" s="57"/>
      <c r="D702" s="56"/>
      <c r="E702" s="56"/>
      <c r="F702" s="57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</row>
    <row r="703" spans="1:21" ht="13.5" x14ac:dyDescent="0.45">
      <c r="A703" s="56"/>
      <c r="B703" s="56"/>
      <c r="C703" s="57"/>
      <c r="D703" s="56"/>
      <c r="E703" s="56"/>
      <c r="F703" s="57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</row>
    <row r="704" spans="1:21" ht="13.5" x14ac:dyDescent="0.45">
      <c r="A704" s="56"/>
      <c r="B704" s="56"/>
      <c r="C704" s="57"/>
      <c r="D704" s="56"/>
      <c r="E704" s="56"/>
      <c r="F704" s="57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</row>
    <row r="705" spans="1:21" ht="13.5" x14ac:dyDescent="0.45">
      <c r="A705" s="56"/>
      <c r="B705" s="56"/>
      <c r="C705" s="57"/>
      <c r="D705" s="56"/>
      <c r="E705" s="56"/>
      <c r="F705" s="57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</row>
    <row r="706" spans="1:21" ht="13.5" x14ac:dyDescent="0.45">
      <c r="A706" s="56"/>
      <c r="B706" s="56"/>
      <c r="C706" s="57"/>
      <c r="D706" s="56"/>
      <c r="E706" s="56"/>
      <c r="F706" s="57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</row>
    <row r="707" spans="1:21" ht="13.5" x14ac:dyDescent="0.45">
      <c r="A707" s="56"/>
      <c r="B707" s="56"/>
      <c r="C707" s="57"/>
      <c r="D707" s="56"/>
      <c r="E707" s="56"/>
      <c r="F707" s="57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</row>
    <row r="708" spans="1:21" ht="13.5" x14ac:dyDescent="0.45">
      <c r="A708" s="56"/>
      <c r="B708" s="56"/>
      <c r="C708" s="57"/>
      <c r="D708" s="56"/>
      <c r="E708" s="56"/>
      <c r="F708" s="57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</row>
    <row r="709" spans="1:21" ht="13.5" x14ac:dyDescent="0.45">
      <c r="A709" s="56"/>
      <c r="B709" s="56"/>
      <c r="C709" s="57"/>
      <c r="D709" s="56"/>
      <c r="E709" s="56"/>
      <c r="F709" s="57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</row>
    <row r="710" spans="1:21" ht="13.5" x14ac:dyDescent="0.45">
      <c r="A710" s="56"/>
      <c r="B710" s="56"/>
      <c r="C710" s="57"/>
      <c r="D710" s="56"/>
      <c r="E710" s="56"/>
      <c r="F710" s="57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</row>
    <row r="711" spans="1:21" ht="13.5" x14ac:dyDescent="0.45">
      <c r="A711" s="56"/>
      <c r="B711" s="56"/>
      <c r="C711" s="57"/>
      <c r="D711" s="56"/>
      <c r="E711" s="56"/>
      <c r="F711" s="57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</row>
    <row r="712" spans="1:21" ht="13.5" x14ac:dyDescent="0.45">
      <c r="A712" s="56"/>
      <c r="B712" s="56"/>
      <c r="C712" s="57"/>
      <c r="D712" s="56"/>
      <c r="E712" s="56"/>
      <c r="F712" s="57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</row>
    <row r="713" spans="1:21" ht="13.5" x14ac:dyDescent="0.45">
      <c r="A713" s="56"/>
      <c r="B713" s="56"/>
      <c r="C713" s="57"/>
      <c r="D713" s="56"/>
      <c r="E713" s="56"/>
      <c r="F713" s="57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</row>
    <row r="714" spans="1:21" ht="13.5" x14ac:dyDescent="0.45">
      <c r="A714" s="56"/>
      <c r="B714" s="56"/>
      <c r="C714" s="57"/>
      <c r="D714" s="56"/>
      <c r="E714" s="56"/>
      <c r="F714" s="57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</row>
    <row r="715" spans="1:21" ht="13.5" x14ac:dyDescent="0.45">
      <c r="A715" s="56"/>
      <c r="B715" s="56"/>
      <c r="C715" s="57"/>
      <c r="D715" s="56"/>
      <c r="E715" s="56"/>
      <c r="F715" s="57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</row>
    <row r="716" spans="1:21" ht="13.5" x14ac:dyDescent="0.45">
      <c r="A716" s="56"/>
      <c r="B716" s="56"/>
      <c r="C716" s="57"/>
      <c r="D716" s="56"/>
      <c r="E716" s="56"/>
      <c r="F716" s="57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</row>
    <row r="717" spans="1:21" ht="13.5" x14ac:dyDescent="0.45">
      <c r="A717" s="56"/>
      <c r="B717" s="56"/>
      <c r="C717" s="57"/>
      <c r="D717" s="56"/>
      <c r="E717" s="56"/>
      <c r="F717" s="57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</row>
    <row r="718" spans="1:21" ht="13.5" x14ac:dyDescent="0.45">
      <c r="A718" s="56"/>
      <c r="B718" s="56"/>
      <c r="C718" s="57"/>
      <c r="D718" s="56"/>
      <c r="E718" s="56"/>
      <c r="F718" s="57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</row>
    <row r="719" spans="1:21" ht="13.5" x14ac:dyDescent="0.45">
      <c r="A719" s="56"/>
      <c r="B719" s="56"/>
      <c r="C719" s="57"/>
      <c r="D719" s="56"/>
      <c r="E719" s="56"/>
      <c r="F719" s="57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</row>
    <row r="720" spans="1:21" ht="13.5" x14ac:dyDescent="0.45">
      <c r="A720" s="56"/>
      <c r="B720" s="56"/>
      <c r="C720" s="57"/>
      <c r="D720" s="56"/>
      <c r="E720" s="56"/>
      <c r="F720" s="57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</row>
    <row r="721" spans="1:21" ht="13.5" x14ac:dyDescent="0.45">
      <c r="A721" s="56"/>
      <c r="B721" s="56"/>
      <c r="C721" s="57"/>
      <c r="D721" s="56"/>
      <c r="E721" s="56"/>
      <c r="F721" s="57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</row>
    <row r="722" spans="1:21" ht="13.5" x14ac:dyDescent="0.45">
      <c r="A722" s="56"/>
      <c r="B722" s="56"/>
      <c r="C722" s="57"/>
      <c r="D722" s="56"/>
      <c r="E722" s="56"/>
      <c r="F722" s="57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</row>
    <row r="723" spans="1:21" ht="13.5" x14ac:dyDescent="0.45">
      <c r="A723" s="56"/>
      <c r="B723" s="56"/>
      <c r="C723" s="57"/>
      <c r="D723" s="56"/>
      <c r="E723" s="56"/>
      <c r="F723" s="57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</row>
    <row r="724" spans="1:21" ht="13.5" x14ac:dyDescent="0.45">
      <c r="A724" s="56"/>
      <c r="B724" s="56"/>
      <c r="C724" s="57"/>
      <c r="D724" s="56"/>
      <c r="E724" s="56"/>
      <c r="F724" s="57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</row>
    <row r="725" spans="1:21" ht="13.5" x14ac:dyDescent="0.45">
      <c r="A725" s="56"/>
      <c r="B725" s="56"/>
      <c r="C725" s="57"/>
      <c r="D725" s="56"/>
      <c r="E725" s="56"/>
      <c r="F725" s="57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</row>
    <row r="726" spans="1:21" ht="13.5" x14ac:dyDescent="0.45">
      <c r="A726" s="56"/>
      <c r="B726" s="56"/>
      <c r="C726" s="57"/>
      <c r="D726" s="56"/>
      <c r="E726" s="56"/>
      <c r="F726" s="57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</row>
    <row r="727" spans="1:21" ht="13.5" x14ac:dyDescent="0.45">
      <c r="A727" s="56"/>
      <c r="B727" s="56"/>
      <c r="C727" s="57"/>
      <c r="D727" s="56"/>
      <c r="E727" s="56"/>
      <c r="F727" s="57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</row>
    <row r="728" spans="1:21" ht="13.5" x14ac:dyDescent="0.45">
      <c r="A728" s="56"/>
      <c r="B728" s="56"/>
      <c r="C728" s="57"/>
      <c r="D728" s="56"/>
      <c r="E728" s="56"/>
      <c r="F728" s="57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</row>
    <row r="729" spans="1:21" ht="13.5" x14ac:dyDescent="0.45">
      <c r="A729" s="56"/>
      <c r="B729" s="56"/>
      <c r="C729" s="57"/>
      <c r="D729" s="56"/>
      <c r="E729" s="56"/>
      <c r="F729" s="57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</row>
    <row r="730" spans="1:21" ht="13.5" x14ac:dyDescent="0.45">
      <c r="A730" s="56"/>
      <c r="B730" s="56"/>
      <c r="C730" s="57"/>
      <c r="D730" s="56"/>
      <c r="E730" s="56"/>
      <c r="F730" s="57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</row>
    <row r="731" spans="1:21" ht="13.5" x14ac:dyDescent="0.45">
      <c r="A731" s="56"/>
      <c r="B731" s="56"/>
      <c r="C731" s="57"/>
      <c r="D731" s="56"/>
      <c r="E731" s="56"/>
      <c r="F731" s="57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</row>
    <row r="732" spans="1:21" ht="13.5" x14ac:dyDescent="0.45">
      <c r="A732" s="56"/>
      <c r="B732" s="56"/>
      <c r="C732" s="57"/>
      <c r="D732" s="56"/>
      <c r="E732" s="56"/>
      <c r="F732" s="57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</row>
    <row r="733" spans="1:21" ht="13.5" x14ac:dyDescent="0.45">
      <c r="A733" s="56"/>
      <c r="B733" s="56"/>
      <c r="C733" s="57"/>
      <c r="D733" s="56"/>
      <c r="E733" s="56"/>
      <c r="F733" s="57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</row>
    <row r="734" spans="1:21" ht="13.5" x14ac:dyDescent="0.45">
      <c r="A734" s="56"/>
      <c r="B734" s="56"/>
      <c r="C734" s="57"/>
      <c r="D734" s="56"/>
      <c r="E734" s="56"/>
      <c r="F734" s="57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</row>
    <row r="735" spans="1:21" ht="13.5" x14ac:dyDescent="0.45">
      <c r="A735" s="56"/>
      <c r="B735" s="56"/>
      <c r="C735" s="57"/>
      <c r="D735" s="56"/>
      <c r="E735" s="56"/>
      <c r="F735" s="57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</row>
    <row r="736" spans="1:21" ht="13.5" x14ac:dyDescent="0.45">
      <c r="A736" s="56"/>
      <c r="B736" s="56"/>
      <c r="C736" s="57"/>
      <c r="D736" s="56"/>
      <c r="E736" s="56"/>
      <c r="F736" s="57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</row>
    <row r="737" spans="1:21" ht="13.5" x14ac:dyDescent="0.45">
      <c r="A737" s="56"/>
      <c r="B737" s="56"/>
      <c r="C737" s="57"/>
      <c r="D737" s="56"/>
      <c r="E737" s="56"/>
      <c r="F737" s="57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</row>
    <row r="738" spans="1:21" ht="13.5" x14ac:dyDescent="0.45">
      <c r="A738" s="56"/>
      <c r="B738" s="56"/>
      <c r="C738" s="57"/>
      <c r="D738" s="56"/>
      <c r="E738" s="56"/>
      <c r="F738" s="57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</row>
    <row r="739" spans="1:21" ht="13.5" x14ac:dyDescent="0.45">
      <c r="A739" s="56"/>
      <c r="B739" s="56"/>
      <c r="C739" s="57"/>
      <c r="D739" s="56"/>
      <c r="E739" s="56"/>
      <c r="F739" s="57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</row>
    <row r="740" spans="1:21" ht="13.5" x14ac:dyDescent="0.45">
      <c r="A740" s="56"/>
      <c r="B740" s="56"/>
      <c r="C740" s="57"/>
      <c r="D740" s="56"/>
      <c r="E740" s="56"/>
      <c r="F740" s="57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</row>
    <row r="741" spans="1:21" ht="13.5" x14ac:dyDescent="0.45">
      <c r="A741" s="56"/>
      <c r="B741" s="56"/>
      <c r="C741" s="57"/>
      <c r="D741" s="56"/>
      <c r="E741" s="56"/>
      <c r="F741" s="57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</row>
    <row r="742" spans="1:21" ht="13.5" x14ac:dyDescent="0.45">
      <c r="A742" s="56"/>
      <c r="B742" s="56"/>
      <c r="C742" s="57"/>
      <c r="D742" s="56"/>
      <c r="E742" s="56"/>
      <c r="F742" s="57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</row>
    <row r="743" spans="1:21" ht="13.5" x14ac:dyDescent="0.45">
      <c r="A743" s="56"/>
      <c r="B743" s="56"/>
      <c r="C743" s="57"/>
      <c r="D743" s="56"/>
      <c r="E743" s="56"/>
      <c r="F743" s="57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</row>
    <row r="744" spans="1:21" ht="13.5" x14ac:dyDescent="0.45">
      <c r="A744" s="56"/>
      <c r="B744" s="56"/>
      <c r="C744" s="57"/>
      <c r="D744" s="56"/>
      <c r="E744" s="56"/>
      <c r="F744" s="57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</row>
    <row r="745" spans="1:21" ht="13.5" x14ac:dyDescent="0.45">
      <c r="A745" s="56"/>
      <c r="B745" s="56"/>
      <c r="C745" s="57"/>
      <c r="D745" s="56"/>
      <c r="E745" s="56"/>
      <c r="F745" s="57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</row>
    <row r="746" spans="1:21" ht="13.5" x14ac:dyDescent="0.45">
      <c r="A746" s="56"/>
      <c r="B746" s="56"/>
      <c r="C746" s="57"/>
      <c r="D746" s="56"/>
      <c r="E746" s="56"/>
      <c r="F746" s="57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</row>
    <row r="747" spans="1:21" ht="13.5" x14ac:dyDescent="0.45">
      <c r="A747" s="56"/>
      <c r="B747" s="56"/>
      <c r="C747" s="57"/>
      <c r="D747" s="56"/>
      <c r="E747" s="56"/>
      <c r="F747" s="57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</row>
    <row r="748" spans="1:21" ht="13.5" x14ac:dyDescent="0.45">
      <c r="A748" s="56"/>
      <c r="B748" s="56"/>
      <c r="C748" s="57"/>
      <c r="D748" s="56"/>
      <c r="E748" s="56"/>
      <c r="F748" s="57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</row>
    <row r="749" spans="1:21" ht="13.5" x14ac:dyDescent="0.45">
      <c r="A749" s="56"/>
      <c r="B749" s="56"/>
      <c r="C749" s="57"/>
      <c r="D749" s="56"/>
      <c r="E749" s="56"/>
      <c r="F749" s="57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</row>
    <row r="750" spans="1:21" ht="13.5" x14ac:dyDescent="0.45">
      <c r="A750" s="56"/>
      <c r="B750" s="56"/>
      <c r="C750" s="57"/>
      <c r="D750" s="56"/>
      <c r="E750" s="56"/>
      <c r="F750" s="57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</row>
    <row r="751" spans="1:21" ht="13.5" x14ac:dyDescent="0.45">
      <c r="A751" s="56"/>
      <c r="B751" s="56"/>
      <c r="C751" s="57"/>
      <c r="D751" s="56"/>
      <c r="E751" s="56"/>
      <c r="F751" s="57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</row>
    <row r="752" spans="1:21" ht="13.5" x14ac:dyDescent="0.45">
      <c r="A752" s="56"/>
      <c r="B752" s="56"/>
      <c r="C752" s="57"/>
      <c r="D752" s="56"/>
      <c r="E752" s="56"/>
      <c r="F752" s="57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</row>
    <row r="753" spans="1:21" ht="13.5" x14ac:dyDescent="0.45">
      <c r="A753" s="56"/>
      <c r="B753" s="56"/>
      <c r="C753" s="57"/>
      <c r="D753" s="56"/>
      <c r="E753" s="56"/>
      <c r="F753" s="57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</row>
    <row r="754" spans="1:21" ht="13.5" x14ac:dyDescent="0.45">
      <c r="A754" s="56"/>
      <c r="B754" s="56"/>
      <c r="C754" s="57"/>
      <c r="D754" s="56"/>
      <c r="E754" s="56"/>
      <c r="F754" s="57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</row>
    <row r="755" spans="1:21" ht="13.5" x14ac:dyDescent="0.45">
      <c r="A755" s="56"/>
      <c r="B755" s="56"/>
      <c r="C755" s="57"/>
      <c r="D755" s="56"/>
      <c r="E755" s="56"/>
      <c r="F755" s="57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</row>
    <row r="756" spans="1:21" ht="13.5" x14ac:dyDescent="0.45">
      <c r="A756" s="56"/>
      <c r="B756" s="56"/>
      <c r="C756" s="57"/>
      <c r="D756" s="56"/>
      <c r="E756" s="56"/>
      <c r="F756" s="57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</row>
    <row r="757" spans="1:21" ht="13.5" x14ac:dyDescent="0.45">
      <c r="A757" s="56"/>
      <c r="B757" s="56"/>
      <c r="C757" s="57"/>
      <c r="D757" s="56"/>
      <c r="E757" s="56"/>
      <c r="F757" s="57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</row>
    <row r="758" spans="1:21" ht="13.5" x14ac:dyDescent="0.45">
      <c r="A758" s="56"/>
      <c r="B758" s="56"/>
      <c r="C758" s="57"/>
      <c r="D758" s="56"/>
      <c r="E758" s="56"/>
      <c r="F758" s="57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</row>
    <row r="759" spans="1:21" ht="13.5" x14ac:dyDescent="0.45">
      <c r="A759" s="56"/>
      <c r="B759" s="56"/>
      <c r="C759" s="57"/>
      <c r="D759" s="56"/>
      <c r="E759" s="56"/>
      <c r="F759" s="57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</row>
    <row r="760" spans="1:21" ht="13.5" x14ac:dyDescent="0.45">
      <c r="A760" s="56"/>
      <c r="B760" s="56"/>
      <c r="C760" s="57"/>
      <c r="D760" s="56"/>
      <c r="E760" s="56"/>
      <c r="F760" s="57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</row>
    <row r="761" spans="1:21" ht="13.5" x14ac:dyDescent="0.45">
      <c r="A761" s="56"/>
      <c r="B761" s="56"/>
      <c r="C761" s="57"/>
      <c r="D761" s="56"/>
      <c r="E761" s="56"/>
      <c r="F761" s="57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</row>
    <row r="762" spans="1:21" ht="13.5" x14ac:dyDescent="0.45">
      <c r="A762" s="56"/>
      <c r="B762" s="56"/>
      <c r="C762" s="57"/>
      <c r="D762" s="56"/>
      <c r="E762" s="56"/>
      <c r="F762" s="57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</row>
    <row r="763" spans="1:21" ht="13.5" x14ac:dyDescent="0.45">
      <c r="A763" s="56"/>
      <c r="B763" s="56"/>
      <c r="C763" s="57"/>
      <c r="D763" s="56"/>
      <c r="E763" s="56"/>
      <c r="F763" s="57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</row>
    <row r="764" spans="1:21" ht="13.5" x14ac:dyDescent="0.45">
      <c r="A764" s="56"/>
      <c r="B764" s="56"/>
      <c r="C764" s="57"/>
      <c r="D764" s="56"/>
      <c r="E764" s="56"/>
      <c r="F764" s="57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</row>
    <row r="765" spans="1:21" ht="13.5" x14ac:dyDescent="0.45">
      <c r="A765" s="56"/>
      <c r="B765" s="56"/>
      <c r="C765" s="57"/>
      <c r="D765" s="56"/>
      <c r="E765" s="56"/>
      <c r="F765" s="57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</row>
    <row r="766" spans="1:21" ht="13.5" x14ac:dyDescent="0.45">
      <c r="A766" s="56"/>
      <c r="B766" s="56"/>
      <c r="C766" s="57"/>
      <c r="D766" s="56"/>
      <c r="E766" s="56"/>
      <c r="F766" s="57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</row>
    <row r="767" spans="1:21" ht="13.5" x14ac:dyDescent="0.45">
      <c r="A767" s="56"/>
      <c r="B767" s="56"/>
      <c r="C767" s="57"/>
      <c r="D767" s="56"/>
      <c r="E767" s="56"/>
      <c r="F767" s="57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</row>
    <row r="768" spans="1:21" ht="13.5" x14ac:dyDescent="0.45">
      <c r="A768" s="56"/>
      <c r="B768" s="56"/>
      <c r="C768" s="57"/>
      <c r="D768" s="56"/>
      <c r="E768" s="56"/>
      <c r="F768" s="57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</row>
    <row r="769" spans="1:21" ht="13.5" x14ac:dyDescent="0.45">
      <c r="A769" s="56"/>
      <c r="B769" s="56"/>
      <c r="C769" s="57"/>
      <c r="D769" s="56"/>
      <c r="E769" s="56"/>
      <c r="F769" s="57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</row>
    <row r="770" spans="1:21" ht="13.5" x14ac:dyDescent="0.45">
      <c r="A770" s="56"/>
      <c r="B770" s="56"/>
      <c r="C770" s="57"/>
      <c r="D770" s="56"/>
      <c r="E770" s="56"/>
      <c r="F770" s="57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</row>
    <row r="771" spans="1:21" ht="13.5" x14ac:dyDescent="0.45">
      <c r="A771" s="56"/>
      <c r="B771" s="56"/>
      <c r="C771" s="57"/>
      <c r="D771" s="56"/>
      <c r="E771" s="56"/>
      <c r="F771" s="57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</row>
    <row r="772" spans="1:21" ht="13.5" x14ac:dyDescent="0.45">
      <c r="A772" s="56"/>
      <c r="B772" s="56"/>
      <c r="C772" s="57"/>
      <c r="D772" s="56"/>
      <c r="E772" s="56"/>
      <c r="F772" s="57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</row>
    <row r="773" spans="1:21" ht="13.5" x14ac:dyDescent="0.45">
      <c r="A773" s="56"/>
      <c r="B773" s="56"/>
      <c r="C773" s="57"/>
      <c r="D773" s="56"/>
      <c r="E773" s="56"/>
      <c r="F773" s="57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</row>
    <row r="774" spans="1:21" ht="13.5" x14ac:dyDescent="0.45">
      <c r="A774" s="56"/>
      <c r="B774" s="56"/>
      <c r="C774" s="57"/>
      <c r="D774" s="56"/>
      <c r="E774" s="56"/>
      <c r="F774" s="57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</row>
    <row r="775" spans="1:21" ht="13.5" x14ac:dyDescent="0.45">
      <c r="A775" s="56"/>
      <c r="B775" s="56"/>
      <c r="C775" s="57"/>
      <c r="D775" s="56"/>
      <c r="E775" s="56"/>
      <c r="F775" s="57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</row>
    <row r="776" spans="1:21" ht="13.5" x14ac:dyDescent="0.45">
      <c r="A776" s="56"/>
      <c r="B776" s="56"/>
      <c r="C776" s="57"/>
      <c r="D776" s="56"/>
      <c r="E776" s="56"/>
      <c r="F776" s="57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</row>
    <row r="777" spans="1:21" ht="13.5" x14ac:dyDescent="0.45">
      <c r="A777" s="56"/>
      <c r="B777" s="56"/>
      <c r="C777" s="57"/>
      <c r="D777" s="56"/>
      <c r="E777" s="56"/>
      <c r="F777" s="57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</row>
    <row r="778" spans="1:21" ht="13.5" x14ac:dyDescent="0.45">
      <c r="A778" s="56"/>
      <c r="B778" s="56"/>
      <c r="C778" s="57"/>
      <c r="D778" s="56"/>
      <c r="E778" s="56"/>
      <c r="F778" s="57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</row>
    <row r="779" spans="1:21" ht="13.5" x14ac:dyDescent="0.45">
      <c r="A779" s="56"/>
      <c r="B779" s="56"/>
      <c r="C779" s="57"/>
      <c r="D779" s="56"/>
      <c r="E779" s="56"/>
      <c r="F779" s="57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</row>
    <row r="780" spans="1:21" ht="13.5" x14ac:dyDescent="0.45">
      <c r="A780" s="56"/>
      <c r="B780" s="56"/>
      <c r="C780" s="57"/>
      <c r="D780" s="56"/>
      <c r="E780" s="56"/>
      <c r="F780" s="57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</row>
    <row r="781" spans="1:21" ht="13.5" x14ac:dyDescent="0.45">
      <c r="A781" s="56"/>
      <c r="B781" s="56"/>
      <c r="C781" s="57"/>
      <c r="D781" s="56"/>
      <c r="E781" s="56"/>
      <c r="F781" s="57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</row>
    <row r="782" spans="1:21" ht="13.5" x14ac:dyDescent="0.45">
      <c r="A782" s="56"/>
      <c r="B782" s="56"/>
      <c r="C782" s="57"/>
      <c r="D782" s="56"/>
      <c r="E782" s="56"/>
      <c r="F782" s="57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</row>
    <row r="783" spans="1:21" ht="13.5" x14ac:dyDescent="0.45">
      <c r="A783" s="56"/>
      <c r="B783" s="56"/>
      <c r="C783" s="57"/>
      <c r="D783" s="56"/>
      <c r="E783" s="56"/>
      <c r="F783" s="57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</row>
    <row r="784" spans="1:21" ht="13.5" x14ac:dyDescent="0.45">
      <c r="A784" s="56"/>
      <c r="B784" s="56"/>
      <c r="C784" s="57"/>
      <c r="D784" s="56"/>
      <c r="E784" s="56"/>
      <c r="F784" s="57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</row>
    <row r="785" spans="1:21" ht="13.5" x14ac:dyDescent="0.45">
      <c r="A785" s="56"/>
      <c r="B785" s="56"/>
      <c r="C785" s="57"/>
      <c r="D785" s="56"/>
      <c r="E785" s="56"/>
      <c r="F785" s="57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</row>
    <row r="786" spans="1:21" ht="13.5" x14ac:dyDescent="0.45">
      <c r="A786" s="56"/>
      <c r="B786" s="56"/>
      <c r="C786" s="57"/>
      <c r="D786" s="56"/>
      <c r="E786" s="56"/>
      <c r="F786" s="57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</row>
    <row r="787" spans="1:21" ht="13.5" x14ac:dyDescent="0.45">
      <c r="A787" s="56"/>
      <c r="B787" s="56"/>
      <c r="C787" s="57"/>
      <c r="D787" s="56"/>
      <c r="E787" s="56"/>
      <c r="F787" s="57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</row>
    <row r="788" spans="1:21" ht="13.5" x14ac:dyDescent="0.45">
      <c r="A788" s="56"/>
      <c r="B788" s="56"/>
      <c r="C788" s="57"/>
      <c r="D788" s="56"/>
      <c r="E788" s="56"/>
      <c r="F788" s="57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</row>
    <row r="789" spans="1:21" ht="13.5" x14ac:dyDescent="0.45">
      <c r="A789" s="56"/>
      <c r="B789" s="56"/>
      <c r="C789" s="57"/>
      <c r="D789" s="56"/>
      <c r="E789" s="56"/>
      <c r="F789" s="57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</row>
    <row r="790" spans="1:21" ht="13.5" x14ac:dyDescent="0.45">
      <c r="A790" s="56"/>
      <c r="B790" s="56"/>
      <c r="C790" s="57"/>
      <c r="D790" s="56"/>
      <c r="E790" s="56"/>
      <c r="F790" s="57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</row>
    <row r="791" spans="1:21" ht="13.5" x14ac:dyDescent="0.45">
      <c r="A791" s="56"/>
      <c r="B791" s="56"/>
      <c r="C791" s="57"/>
      <c r="D791" s="56"/>
      <c r="E791" s="56"/>
      <c r="F791" s="57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</row>
    <row r="792" spans="1:21" ht="13.5" x14ac:dyDescent="0.45">
      <c r="A792" s="56"/>
      <c r="B792" s="56"/>
      <c r="C792" s="57"/>
      <c r="D792" s="56"/>
      <c r="E792" s="56"/>
      <c r="F792" s="57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</row>
    <row r="793" spans="1:21" ht="13.5" x14ac:dyDescent="0.45">
      <c r="A793" s="56"/>
      <c r="B793" s="56"/>
      <c r="C793" s="57"/>
      <c r="D793" s="56"/>
      <c r="E793" s="56"/>
      <c r="F793" s="57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</row>
    <row r="794" spans="1:21" ht="13.5" x14ac:dyDescent="0.45">
      <c r="A794" s="56"/>
      <c r="B794" s="56"/>
      <c r="C794" s="57"/>
      <c r="D794" s="56"/>
      <c r="E794" s="56"/>
      <c r="F794" s="57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</row>
    <row r="795" spans="1:21" ht="13.5" x14ac:dyDescent="0.45">
      <c r="A795" s="56"/>
      <c r="B795" s="56"/>
      <c r="C795" s="57"/>
      <c r="D795" s="56"/>
      <c r="E795" s="56"/>
      <c r="F795" s="57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</row>
    <row r="796" spans="1:21" ht="13.5" x14ac:dyDescent="0.45">
      <c r="A796" s="56"/>
      <c r="B796" s="56"/>
      <c r="C796" s="57"/>
      <c r="D796" s="56"/>
      <c r="E796" s="56"/>
      <c r="F796" s="57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</row>
    <row r="797" spans="1:21" ht="13.5" x14ac:dyDescent="0.45">
      <c r="A797" s="56"/>
      <c r="B797" s="56"/>
      <c r="C797" s="57"/>
      <c r="D797" s="56"/>
      <c r="E797" s="56"/>
      <c r="F797" s="57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</row>
    <row r="798" spans="1:21" ht="13.5" x14ac:dyDescent="0.45">
      <c r="A798" s="56"/>
      <c r="B798" s="56"/>
      <c r="C798" s="57"/>
      <c r="D798" s="56"/>
      <c r="E798" s="56"/>
      <c r="F798" s="57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</row>
    <row r="799" spans="1:21" ht="13.5" x14ac:dyDescent="0.45">
      <c r="A799" s="56"/>
      <c r="B799" s="56"/>
      <c r="C799" s="57"/>
      <c r="D799" s="56"/>
      <c r="E799" s="56"/>
      <c r="F799" s="57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</row>
    <row r="800" spans="1:21" ht="13.5" x14ac:dyDescent="0.45">
      <c r="A800" s="56"/>
      <c r="B800" s="56"/>
      <c r="C800" s="57"/>
      <c r="D800" s="56"/>
      <c r="E800" s="56"/>
      <c r="F800" s="57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</row>
    <row r="801" spans="1:21" ht="13.5" x14ac:dyDescent="0.45">
      <c r="A801" s="56"/>
      <c r="B801" s="56"/>
      <c r="C801" s="57"/>
      <c r="D801" s="56"/>
      <c r="E801" s="56"/>
      <c r="F801" s="57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</row>
    <row r="802" spans="1:21" ht="13.5" x14ac:dyDescent="0.45">
      <c r="A802" s="56"/>
      <c r="B802" s="56"/>
      <c r="C802" s="57"/>
      <c r="D802" s="56"/>
      <c r="E802" s="56"/>
      <c r="F802" s="57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</row>
    <row r="803" spans="1:21" ht="13.5" x14ac:dyDescent="0.45">
      <c r="A803" s="56"/>
      <c r="B803" s="56"/>
      <c r="C803" s="57"/>
      <c r="D803" s="56"/>
      <c r="E803" s="56"/>
      <c r="F803" s="57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</row>
    <row r="804" spans="1:21" ht="13.5" x14ac:dyDescent="0.45">
      <c r="A804" s="56"/>
      <c r="B804" s="56"/>
      <c r="C804" s="57"/>
      <c r="D804" s="56"/>
      <c r="E804" s="56"/>
      <c r="F804" s="57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</row>
    <row r="805" spans="1:21" ht="13.5" x14ac:dyDescent="0.45">
      <c r="A805" s="56"/>
      <c r="B805" s="56"/>
      <c r="C805" s="57"/>
      <c r="D805" s="56"/>
      <c r="E805" s="56"/>
      <c r="F805" s="57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</row>
    <row r="806" spans="1:21" ht="13.5" x14ac:dyDescent="0.45">
      <c r="A806" s="56"/>
      <c r="B806" s="56"/>
      <c r="C806" s="57"/>
      <c r="D806" s="56"/>
      <c r="E806" s="56"/>
      <c r="F806" s="57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</row>
    <row r="807" spans="1:21" ht="13.5" x14ac:dyDescent="0.45">
      <c r="A807" s="56"/>
      <c r="B807" s="56"/>
      <c r="C807" s="57"/>
      <c r="D807" s="56"/>
      <c r="E807" s="56"/>
      <c r="F807" s="57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</row>
    <row r="808" spans="1:21" ht="13.5" x14ac:dyDescent="0.45">
      <c r="A808" s="56"/>
      <c r="B808" s="56"/>
      <c r="C808" s="57"/>
      <c r="D808" s="56"/>
      <c r="E808" s="56"/>
      <c r="F808" s="57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</row>
    <row r="809" spans="1:21" ht="13.5" x14ac:dyDescent="0.45">
      <c r="A809" s="56"/>
      <c r="B809" s="56"/>
      <c r="C809" s="57"/>
      <c r="D809" s="56"/>
      <c r="E809" s="56"/>
      <c r="F809" s="57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</row>
    <row r="810" spans="1:21" ht="13.5" x14ac:dyDescent="0.45">
      <c r="A810" s="56"/>
      <c r="B810" s="56"/>
      <c r="C810" s="57"/>
      <c r="D810" s="56"/>
      <c r="E810" s="56"/>
      <c r="F810" s="57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</row>
    <row r="811" spans="1:21" ht="13.5" x14ac:dyDescent="0.45">
      <c r="A811" s="56"/>
      <c r="B811" s="56"/>
      <c r="C811" s="57"/>
      <c r="D811" s="56"/>
      <c r="E811" s="56"/>
      <c r="F811" s="57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</row>
    <row r="812" spans="1:21" ht="13.5" x14ac:dyDescent="0.45">
      <c r="A812" s="56"/>
      <c r="B812" s="56"/>
      <c r="C812" s="57"/>
      <c r="D812" s="56"/>
      <c r="E812" s="56"/>
      <c r="F812" s="57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</row>
    <row r="813" spans="1:21" ht="13.5" x14ac:dyDescent="0.45">
      <c r="A813" s="56"/>
      <c r="B813" s="56"/>
      <c r="C813" s="57"/>
      <c r="D813" s="56"/>
      <c r="E813" s="56"/>
      <c r="F813" s="57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</row>
    <row r="814" spans="1:21" ht="13.5" x14ac:dyDescent="0.45">
      <c r="A814" s="56"/>
      <c r="B814" s="56"/>
      <c r="C814" s="57"/>
      <c r="D814" s="56"/>
      <c r="E814" s="56"/>
      <c r="F814" s="57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</row>
    <row r="815" spans="1:21" ht="13.5" x14ac:dyDescent="0.45">
      <c r="A815" s="56"/>
      <c r="B815" s="56"/>
      <c r="C815" s="57"/>
      <c r="D815" s="56"/>
      <c r="E815" s="56"/>
      <c r="F815" s="57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</row>
    <row r="816" spans="1:21" ht="13.5" x14ac:dyDescent="0.45">
      <c r="A816" s="56"/>
      <c r="B816" s="56"/>
      <c r="C816" s="57"/>
      <c r="D816" s="56"/>
      <c r="E816" s="56"/>
      <c r="F816" s="57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</row>
    <row r="817" spans="1:21" ht="13.5" x14ac:dyDescent="0.45">
      <c r="A817" s="56"/>
      <c r="B817" s="56"/>
      <c r="C817" s="57"/>
      <c r="D817" s="56"/>
      <c r="E817" s="56"/>
      <c r="F817" s="57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</row>
    <row r="818" spans="1:21" ht="13.5" x14ac:dyDescent="0.45">
      <c r="A818" s="56"/>
      <c r="B818" s="56"/>
      <c r="C818" s="57"/>
      <c r="D818" s="56"/>
      <c r="E818" s="56"/>
      <c r="F818" s="57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</row>
    <row r="819" spans="1:21" ht="13.5" x14ac:dyDescent="0.45">
      <c r="A819" s="56"/>
      <c r="B819" s="56"/>
      <c r="C819" s="57"/>
      <c r="D819" s="56"/>
      <c r="E819" s="56"/>
      <c r="F819" s="57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</row>
    <row r="820" spans="1:21" ht="13.5" x14ac:dyDescent="0.45">
      <c r="A820" s="56"/>
      <c r="B820" s="56"/>
      <c r="C820" s="57"/>
      <c r="D820" s="56"/>
      <c r="E820" s="56"/>
      <c r="F820" s="57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</row>
    <row r="821" spans="1:21" ht="13.5" x14ac:dyDescent="0.45">
      <c r="A821" s="56"/>
      <c r="B821" s="56"/>
      <c r="C821" s="57"/>
      <c r="D821" s="56"/>
      <c r="E821" s="56"/>
      <c r="F821" s="57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</row>
    <row r="822" spans="1:21" ht="13.5" x14ac:dyDescent="0.45">
      <c r="A822" s="56"/>
      <c r="B822" s="56"/>
      <c r="C822" s="57"/>
      <c r="D822" s="56"/>
      <c r="E822" s="56"/>
      <c r="F822" s="57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</row>
    <row r="823" spans="1:21" ht="13.5" x14ac:dyDescent="0.45">
      <c r="A823" s="56"/>
      <c r="B823" s="56"/>
      <c r="C823" s="57"/>
      <c r="D823" s="56"/>
      <c r="E823" s="56"/>
      <c r="F823" s="57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</row>
    <row r="824" spans="1:21" ht="13.5" x14ac:dyDescent="0.45">
      <c r="A824" s="56"/>
      <c r="B824" s="56"/>
      <c r="C824" s="57"/>
      <c r="D824" s="56"/>
      <c r="E824" s="56"/>
      <c r="F824" s="57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</row>
    <row r="825" spans="1:21" ht="13.5" x14ac:dyDescent="0.45">
      <c r="A825" s="56"/>
      <c r="B825" s="56"/>
      <c r="C825" s="57"/>
      <c r="D825" s="56"/>
      <c r="E825" s="56"/>
      <c r="F825" s="57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</row>
    <row r="826" spans="1:21" ht="13.5" x14ac:dyDescent="0.45">
      <c r="A826" s="56"/>
      <c r="B826" s="56"/>
      <c r="C826" s="57"/>
      <c r="D826" s="56"/>
      <c r="E826" s="56"/>
      <c r="F826" s="57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</row>
    <row r="827" spans="1:21" ht="13.5" x14ac:dyDescent="0.45">
      <c r="A827" s="56"/>
      <c r="B827" s="56"/>
      <c r="C827" s="57"/>
      <c r="D827" s="56"/>
      <c r="E827" s="56"/>
      <c r="F827" s="57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</row>
    <row r="828" spans="1:21" ht="13.5" x14ac:dyDescent="0.45">
      <c r="A828" s="56"/>
      <c r="B828" s="56"/>
      <c r="C828" s="57"/>
      <c r="D828" s="56"/>
      <c r="E828" s="56"/>
      <c r="F828" s="57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</row>
    <row r="829" spans="1:21" ht="13.5" x14ac:dyDescent="0.45">
      <c r="A829" s="56"/>
      <c r="B829" s="56"/>
      <c r="C829" s="57"/>
      <c r="D829" s="56"/>
      <c r="E829" s="56"/>
      <c r="F829" s="57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</row>
    <row r="830" spans="1:21" ht="13.5" x14ac:dyDescent="0.45">
      <c r="A830" s="56"/>
      <c r="B830" s="56"/>
      <c r="C830" s="57"/>
      <c r="D830" s="56"/>
      <c r="E830" s="56"/>
      <c r="F830" s="57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</row>
    <row r="831" spans="1:21" ht="13.5" x14ac:dyDescent="0.45">
      <c r="A831" s="56"/>
      <c r="B831" s="56"/>
      <c r="C831" s="57"/>
      <c r="D831" s="56"/>
      <c r="E831" s="56"/>
      <c r="F831" s="57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</row>
    <row r="832" spans="1:21" ht="13.5" x14ac:dyDescent="0.45">
      <c r="A832" s="56"/>
      <c r="B832" s="56"/>
      <c r="C832" s="57"/>
      <c r="D832" s="56"/>
      <c r="E832" s="56"/>
      <c r="F832" s="57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</row>
    <row r="833" spans="1:21" ht="13.5" x14ac:dyDescent="0.45">
      <c r="A833" s="56"/>
      <c r="B833" s="56"/>
      <c r="C833" s="57"/>
      <c r="D833" s="56"/>
      <c r="E833" s="56"/>
      <c r="F833" s="57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</row>
    <row r="834" spans="1:21" ht="13.5" x14ac:dyDescent="0.45">
      <c r="A834" s="56"/>
      <c r="B834" s="56"/>
      <c r="C834" s="57"/>
      <c r="D834" s="56"/>
      <c r="E834" s="56"/>
      <c r="F834" s="57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</row>
    <row r="835" spans="1:21" ht="13.5" x14ac:dyDescent="0.45">
      <c r="A835" s="56"/>
      <c r="B835" s="56"/>
      <c r="C835" s="57"/>
      <c r="D835" s="56"/>
      <c r="E835" s="56"/>
      <c r="F835" s="57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</row>
    <row r="836" spans="1:21" ht="13.5" x14ac:dyDescent="0.45">
      <c r="A836" s="56"/>
      <c r="B836" s="56"/>
      <c r="C836" s="57"/>
      <c r="D836" s="56"/>
      <c r="E836" s="56"/>
      <c r="F836" s="57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</row>
    <row r="837" spans="1:21" ht="13.5" x14ac:dyDescent="0.45">
      <c r="A837" s="56"/>
      <c r="B837" s="56"/>
      <c r="C837" s="57"/>
      <c r="D837" s="56"/>
      <c r="E837" s="56"/>
      <c r="F837" s="57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</row>
    <row r="838" spans="1:21" ht="13.5" x14ac:dyDescent="0.45">
      <c r="A838" s="56"/>
      <c r="B838" s="56"/>
      <c r="C838" s="57"/>
      <c r="D838" s="56"/>
      <c r="E838" s="56"/>
      <c r="F838" s="57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</row>
    <row r="839" spans="1:21" ht="13.5" x14ac:dyDescent="0.45">
      <c r="A839" s="56"/>
      <c r="B839" s="56"/>
      <c r="C839" s="57"/>
      <c r="D839" s="56"/>
      <c r="E839" s="56"/>
      <c r="F839" s="57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</row>
    <row r="840" spans="1:21" ht="13.5" x14ac:dyDescent="0.45">
      <c r="A840" s="56"/>
      <c r="B840" s="56"/>
      <c r="C840" s="57"/>
      <c r="D840" s="56"/>
      <c r="E840" s="56"/>
      <c r="F840" s="57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</row>
    <row r="841" spans="1:21" ht="13.5" x14ac:dyDescent="0.45">
      <c r="A841" s="56"/>
      <c r="B841" s="56"/>
      <c r="C841" s="57"/>
      <c r="D841" s="56"/>
      <c r="E841" s="56"/>
      <c r="F841" s="57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</row>
    <row r="842" spans="1:21" ht="13.5" x14ac:dyDescent="0.45">
      <c r="A842" s="56"/>
      <c r="B842" s="56"/>
      <c r="C842" s="57"/>
      <c r="D842" s="56"/>
      <c r="E842" s="56"/>
      <c r="F842" s="57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</row>
    <row r="843" spans="1:21" ht="13.5" x14ac:dyDescent="0.45">
      <c r="A843" s="56"/>
      <c r="B843" s="56"/>
      <c r="C843" s="57"/>
      <c r="D843" s="56"/>
      <c r="E843" s="56"/>
      <c r="F843" s="57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</row>
    <row r="844" spans="1:21" ht="13.5" x14ac:dyDescent="0.45">
      <c r="A844" s="56"/>
      <c r="B844" s="56"/>
      <c r="C844" s="57"/>
      <c r="D844" s="56"/>
      <c r="E844" s="56"/>
      <c r="F844" s="57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</row>
    <row r="845" spans="1:21" ht="13.5" x14ac:dyDescent="0.45">
      <c r="A845" s="56"/>
      <c r="B845" s="56"/>
      <c r="C845" s="57"/>
      <c r="D845" s="56"/>
      <c r="E845" s="56"/>
      <c r="F845" s="57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</row>
    <row r="846" spans="1:21" ht="13.5" x14ac:dyDescent="0.45">
      <c r="A846" s="56"/>
      <c r="B846" s="56"/>
      <c r="C846" s="57"/>
      <c r="D846" s="56"/>
      <c r="E846" s="56"/>
      <c r="F846" s="57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</row>
    <row r="847" spans="1:21" ht="13.5" x14ac:dyDescent="0.45">
      <c r="A847" s="56"/>
      <c r="B847" s="56"/>
      <c r="C847" s="57"/>
      <c r="D847" s="56"/>
      <c r="E847" s="56"/>
      <c r="F847" s="57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</row>
    <row r="848" spans="1:21" ht="13.5" x14ac:dyDescent="0.45">
      <c r="A848" s="56"/>
      <c r="B848" s="56"/>
      <c r="C848" s="57"/>
      <c r="D848" s="56"/>
      <c r="E848" s="56"/>
      <c r="F848" s="57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</row>
    <row r="849" spans="1:21" ht="13.5" x14ac:dyDescent="0.45">
      <c r="A849" s="56"/>
      <c r="B849" s="56"/>
      <c r="C849" s="57"/>
      <c r="D849" s="56"/>
      <c r="E849" s="56"/>
      <c r="F849" s="57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</row>
    <row r="850" spans="1:21" ht="13.5" x14ac:dyDescent="0.45">
      <c r="A850" s="56"/>
      <c r="B850" s="56"/>
      <c r="C850" s="57"/>
      <c r="D850" s="56"/>
      <c r="E850" s="56"/>
      <c r="F850" s="57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</row>
    <row r="851" spans="1:21" ht="13.5" x14ac:dyDescent="0.45">
      <c r="A851" s="56"/>
      <c r="B851" s="56"/>
      <c r="C851" s="57"/>
      <c r="D851" s="56"/>
      <c r="E851" s="56"/>
      <c r="F851" s="57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</row>
    <row r="852" spans="1:21" ht="13.5" x14ac:dyDescent="0.45">
      <c r="A852" s="56"/>
      <c r="B852" s="56"/>
      <c r="C852" s="57"/>
      <c r="D852" s="56"/>
      <c r="E852" s="56"/>
      <c r="F852" s="57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</row>
    <row r="853" spans="1:21" ht="13.5" x14ac:dyDescent="0.45">
      <c r="A853" s="56"/>
      <c r="B853" s="56"/>
      <c r="C853" s="57"/>
      <c r="D853" s="56"/>
      <c r="E853" s="56"/>
      <c r="F853" s="57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</row>
    <row r="854" spans="1:21" ht="13.5" x14ac:dyDescent="0.45">
      <c r="A854" s="56"/>
      <c r="B854" s="56"/>
      <c r="C854" s="57"/>
      <c r="D854" s="56"/>
      <c r="E854" s="56"/>
      <c r="F854" s="57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</row>
    <row r="855" spans="1:21" ht="13.5" x14ac:dyDescent="0.45">
      <c r="A855" s="56"/>
      <c r="B855" s="56"/>
      <c r="C855" s="57"/>
      <c r="D855" s="56"/>
      <c r="E855" s="56"/>
      <c r="F855" s="57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</row>
    <row r="856" spans="1:21" ht="13.5" x14ac:dyDescent="0.45">
      <c r="A856" s="56"/>
      <c r="B856" s="56"/>
      <c r="C856" s="57"/>
      <c r="D856" s="56"/>
      <c r="E856" s="56"/>
      <c r="F856" s="57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</row>
    <row r="857" spans="1:21" ht="13.5" x14ac:dyDescent="0.45">
      <c r="A857" s="56"/>
      <c r="B857" s="56"/>
      <c r="C857" s="57"/>
      <c r="D857" s="56"/>
      <c r="E857" s="56"/>
      <c r="F857" s="57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</row>
    <row r="858" spans="1:21" ht="13.5" x14ac:dyDescent="0.45">
      <c r="A858" s="56"/>
      <c r="B858" s="56"/>
      <c r="C858" s="57"/>
      <c r="D858" s="56"/>
      <c r="E858" s="56"/>
      <c r="F858" s="57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</row>
    <row r="859" spans="1:21" ht="13.5" x14ac:dyDescent="0.45">
      <c r="A859" s="56"/>
      <c r="B859" s="56"/>
      <c r="C859" s="57"/>
      <c r="D859" s="56"/>
      <c r="E859" s="56"/>
      <c r="F859" s="57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</row>
    <row r="860" spans="1:21" ht="13.5" x14ac:dyDescent="0.45">
      <c r="A860" s="56"/>
      <c r="B860" s="56"/>
      <c r="C860" s="57"/>
      <c r="D860" s="56"/>
      <c r="E860" s="56"/>
      <c r="F860" s="57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</row>
    <row r="861" spans="1:21" ht="13.5" x14ac:dyDescent="0.45">
      <c r="A861" s="56"/>
      <c r="B861" s="56"/>
      <c r="C861" s="57"/>
      <c r="D861" s="56"/>
      <c r="E861" s="56"/>
      <c r="F861" s="57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</row>
    <row r="862" spans="1:21" ht="13.5" x14ac:dyDescent="0.45">
      <c r="A862" s="56"/>
      <c r="B862" s="56"/>
      <c r="C862" s="57"/>
      <c r="D862" s="56"/>
      <c r="E862" s="56"/>
      <c r="F862" s="57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</row>
    <row r="863" spans="1:21" ht="13.5" x14ac:dyDescent="0.45">
      <c r="A863" s="56"/>
      <c r="B863" s="56"/>
      <c r="C863" s="57"/>
      <c r="D863" s="56"/>
      <c r="E863" s="56"/>
      <c r="F863" s="57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</row>
    <row r="864" spans="1:21" ht="13.5" x14ac:dyDescent="0.45">
      <c r="A864" s="56"/>
      <c r="B864" s="56"/>
      <c r="C864" s="57"/>
      <c r="D864" s="56"/>
      <c r="E864" s="56"/>
      <c r="F864" s="57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</row>
    <row r="865" spans="1:21" ht="13.5" x14ac:dyDescent="0.45">
      <c r="A865" s="56"/>
      <c r="B865" s="56"/>
      <c r="C865" s="57"/>
      <c r="D865" s="56"/>
      <c r="E865" s="56"/>
      <c r="F865" s="57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</row>
    <row r="866" spans="1:21" ht="13.5" x14ac:dyDescent="0.45">
      <c r="A866" s="56"/>
      <c r="B866" s="56"/>
      <c r="C866" s="57"/>
      <c r="D866" s="56"/>
      <c r="E866" s="56"/>
      <c r="F866" s="57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</row>
    <row r="867" spans="1:21" ht="13.5" x14ac:dyDescent="0.45">
      <c r="A867" s="56"/>
      <c r="B867" s="56"/>
      <c r="C867" s="57"/>
      <c r="D867" s="56"/>
      <c r="E867" s="56"/>
      <c r="F867" s="57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</row>
    <row r="868" spans="1:21" ht="13.5" x14ac:dyDescent="0.45">
      <c r="A868" s="56"/>
      <c r="B868" s="56"/>
      <c r="C868" s="57"/>
      <c r="D868" s="56"/>
      <c r="E868" s="56"/>
      <c r="F868" s="57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</row>
    <row r="869" spans="1:21" ht="13.5" x14ac:dyDescent="0.45">
      <c r="A869" s="56"/>
      <c r="B869" s="56"/>
      <c r="C869" s="57"/>
      <c r="D869" s="56"/>
      <c r="E869" s="56"/>
      <c r="F869" s="57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</row>
    <row r="870" spans="1:21" ht="13.5" x14ac:dyDescent="0.45">
      <c r="A870" s="56"/>
      <c r="B870" s="56"/>
      <c r="C870" s="57"/>
      <c r="D870" s="56"/>
      <c r="E870" s="56"/>
      <c r="F870" s="57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</row>
    <row r="871" spans="1:21" ht="13.5" x14ac:dyDescent="0.45">
      <c r="A871" s="56"/>
      <c r="B871" s="56"/>
      <c r="C871" s="57"/>
      <c r="D871" s="56"/>
      <c r="E871" s="56"/>
      <c r="F871" s="57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</row>
    <row r="872" spans="1:21" ht="13.5" x14ac:dyDescent="0.45">
      <c r="A872" s="56"/>
      <c r="B872" s="56"/>
      <c r="C872" s="57"/>
      <c r="D872" s="56"/>
      <c r="E872" s="56"/>
      <c r="F872" s="57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</row>
    <row r="873" spans="1:21" ht="13.5" x14ac:dyDescent="0.45">
      <c r="A873" s="56"/>
      <c r="B873" s="56"/>
      <c r="C873" s="57"/>
      <c r="D873" s="56"/>
      <c r="E873" s="56"/>
      <c r="F873" s="57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</row>
    <row r="874" spans="1:21" ht="13.5" x14ac:dyDescent="0.45">
      <c r="A874" s="56"/>
      <c r="B874" s="56"/>
      <c r="C874" s="57"/>
      <c r="D874" s="56"/>
      <c r="E874" s="56"/>
      <c r="F874" s="57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</row>
    <row r="875" spans="1:21" ht="13.5" x14ac:dyDescent="0.45">
      <c r="A875" s="56"/>
      <c r="B875" s="56"/>
      <c r="C875" s="57"/>
      <c r="D875" s="56"/>
      <c r="E875" s="56"/>
      <c r="F875" s="57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</row>
    <row r="876" spans="1:21" ht="13.5" x14ac:dyDescent="0.45">
      <c r="A876" s="56"/>
      <c r="B876" s="56"/>
      <c r="C876" s="57"/>
      <c r="D876" s="56"/>
      <c r="E876" s="56"/>
      <c r="F876" s="57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</row>
    <row r="877" spans="1:21" ht="13.5" x14ac:dyDescent="0.45">
      <c r="A877" s="56"/>
      <c r="B877" s="56"/>
      <c r="C877" s="57"/>
      <c r="D877" s="56"/>
      <c r="E877" s="56"/>
      <c r="F877" s="57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</row>
    <row r="878" spans="1:21" ht="13.5" x14ac:dyDescent="0.45">
      <c r="A878" s="56"/>
      <c r="B878" s="56"/>
      <c r="C878" s="57"/>
      <c r="D878" s="56"/>
      <c r="E878" s="56"/>
      <c r="F878" s="57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</row>
    <row r="879" spans="1:21" ht="13.5" x14ac:dyDescent="0.45">
      <c r="A879" s="56"/>
      <c r="B879" s="56"/>
      <c r="C879" s="57"/>
      <c r="D879" s="56"/>
      <c r="E879" s="56"/>
      <c r="F879" s="57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</row>
    <row r="880" spans="1:21" ht="13.5" x14ac:dyDescent="0.45">
      <c r="A880" s="56"/>
      <c r="B880" s="56"/>
      <c r="C880" s="57"/>
      <c r="D880" s="56"/>
      <c r="E880" s="56"/>
      <c r="F880" s="57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</row>
    <row r="881" spans="1:21" ht="13.5" x14ac:dyDescent="0.45">
      <c r="A881" s="56"/>
      <c r="B881" s="56"/>
      <c r="C881" s="57"/>
      <c r="D881" s="56"/>
      <c r="E881" s="56"/>
      <c r="F881" s="57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</row>
    <row r="882" spans="1:21" ht="13.5" x14ac:dyDescent="0.45">
      <c r="A882" s="56"/>
      <c r="B882" s="56"/>
      <c r="C882" s="57"/>
      <c r="D882" s="56"/>
      <c r="E882" s="56"/>
      <c r="F882" s="57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</row>
    <row r="883" spans="1:21" ht="13.5" x14ac:dyDescent="0.45">
      <c r="A883" s="56"/>
      <c r="B883" s="56"/>
      <c r="C883" s="57"/>
      <c r="D883" s="56"/>
      <c r="E883" s="56"/>
      <c r="F883" s="57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</row>
    <row r="884" spans="1:21" ht="13.5" x14ac:dyDescent="0.45">
      <c r="A884" s="56"/>
      <c r="B884" s="56"/>
      <c r="C884" s="57"/>
      <c r="D884" s="56"/>
      <c r="E884" s="56"/>
      <c r="F884" s="57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</row>
    <row r="885" spans="1:21" ht="13.5" x14ac:dyDescent="0.45">
      <c r="A885" s="56"/>
      <c r="B885" s="56"/>
      <c r="C885" s="57"/>
      <c r="D885" s="56"/>
      <c r="E885" s="56"/>
      <c r="F885" s="57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</row>
    <row r="886" spans="1:21" ht="13.5" x14ac:dyDescent="0.45">
      <c r="A886" s="56"/>
      <c r="B886" s="56"/>
      <c r="C886" s="57"/>
      <c r="D886" s="56"/>
      <c r="E886" s="56"/>
      <c r="F886" s="57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</row>
    <row r="887" spans="1:21" ht="13.5" x14ac:dyDescent="0.45">
      <c r="A887" s="56"/>
      <c r="B887" s="56"/>
      <c r="C887" s="57"/>
      <c r="D887" s="56"/>
      <c r="E887" s="56"/>
      <c r="F887" s="57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</row>
    <row r="888" spans="1:21" ht="13.5" x14ac:dyDescent="0.45">
      <c r="A888" s="56"/>
      <c r="B888" s="56"/>
      <c r="C888" s="57"/>
      <c r="D888" s="56"/>
      <c r="E888" s="56"/>
      <c r="F888" s="57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</row>
    <row r="889" spans="1:21" ht="13.5" x14ac:dyDescent="0.45">
      <c r="A889" s="56"/>
      <c r="B889" s="56"/>
      <c r="C889" s="57"/>
      <c r="D889" s="56"/>
      <c r="E889" s="56"/>
      <c r="F889" s="57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</row>
    <row r="890" spans="1:21" ht="13.5" x14ac:dyDescent="0.45">
      <c r="A890" s="56"/>
      <c r="B890" s="56"/>
      <c r="C890" s="57"/>
      <c r="D890" s="56"/>
      <c r="E890" s="56"/>
      <c r="F890" s="57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</row>
    <row r="891" spans="1:21" ht="13.5" x14ac:dyDescent="0.45">
      <c r="A891" s="56"/>
      <c r="B891" s="56"/>
      <c r="C891" s="57"/>
      <c r="D891" s="56"/>
      <c r="E891" s="56"/>
      <c r="F891" s="57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</row>
    <row r="892" spans="1:21" ht="13.5" x14ac:dyDescent="0.45">
      <c r="A892" s="56"/>
      <c r="B892" s="56"/>
      <c r="C892" s="57"/>
      <c r="D892" s="56"/>
      <c r="E892" s="56"/>
      <c r="F892" s="57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</row>
    <row r="893" spans="1:21" ht="13.5" x14ac:dyDescent="0.45">
      <c r="A893" s="56"/>
      <c r="B893" s="56"/>
      <c r="C893" s="57"/>
      <c r="D893" s="56"/>
      <c r="E893" s="56"/>
      <c r="F893" s="57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</row>
    <row r="894" spans="1:21" ht="13.5" x14ac:dyDescent="0.45">
      <c r="A894" s="56"/>
      <c r="B894" s="56"/>
      <c r="C894" s="57"/>
      <c r="D894" s="56"/>
      <c r="E894" s="56"/>
      <c r="F894" s="57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</row>
    <row r="895" spans="1:21" ht="13.5" x14ac:dyDescent="0.45">
      <c r="A895" s="56"/>
      <c r="B895" s="56"/>
      <c r="C895" s="57"/>
      <c r="D895" s="56"/>
      <c r="E895" s="56"/>
      <c r="F895" s="57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</row>
    <row r="896" spans="1:21" ht="13.5" x14ac:dyDescent="0.45">
      <c r="A896" s="56"/>
      <c r="B896" s="56"/>
      <c r="C896" s="57"/>
      <c r="D896" s="56"/>
      <c r="E896" s="56"/>
      <c r="F896" s="57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</row>
    <row r="897" spans="1:21" ht="13.5" x14ac:dyDescent="0.45">
      <c r="A897" s="56"/>
      <c r="B897" s="56"/>
      <c r="C897" s="57"/>
      <c r="D897" s="56"/>
      <c r="E897" s="56"/>
      <c r="F897" s="57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</row>
    <row r="898" spans="1:21" ht="13.5" x14ac:dyDescent="0.45">
      <c r="A898" s="56"/>
      <c r="B898" s="56"/>
      <c r="C898" s="57"/>
      <c r="D898" s="56"/>
      <c r="E898" s="56"/>
      <c r="F898" s="57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</row>
    <row r="899" spans="1:21" ht="13.5" x14ac:dyDescent="0.45">
      <c r="A899" s="56"/>
      <c r="B899" s="56"/>
      <c r="C899" s="57"/>
      <c r="D899" s="56"/>
      <c r="E899" s="56"/>
      <c r="F899" s="57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</row>
    <row r="900" spans="1:21" ht="13.5" x14ac:dyDescent="0.45">
      <c r="A900" s="56"/>
      <c r="B900" s="56"/>
      <c r="C900" s="57"/>
      <c r="D900" s="56"/>
      <c r="E900" s="56"/>
      <c r="F900" s="57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</row>
    <row r="901" spans="1:21" ht="13.5" x14ac:dyDescent="0.45">
      <c r="A901" s="56"/>
      <c r="B901" s="56"/>
      <c r="C901" s="57"/>
      <c r="D901" s="56"/>
      <c r="E901" s="56"/>
      <c r="F901" s="57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</row>
    <row r="902" spans="1:21" ht="13.5" x14ac:dyDescent="0.45">
      <c r="A902" s="56"/>
      <c r="B902" s="56"/>
      <c r="C902" s="57"/>
      <c r="D902" s="56"/>
      <c r="E902" s="56"/>
      <c r="F902" s="57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</row>
    <row r="903" spans="1:21" ht="13.5" x14ac:dyDescent="0.45">
      <c r="A903" s="56"/>
      <c r="B903" s="56"/>
      <c r="C903" s="57"/>
      <c r="D903" s="56"/>
      <c r="E903" s="56"/>
      <c r="F903" s="57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</row>
    <row r="904" spans="1:21" ht="13.5" x14ac:dyDescent="0.45">
      <c r="A904" s="56"/>
      <c r="B904" s="56"/>
      <c r="C904" s="57"/>
      <c r="D904" s="56"/>
      <c r="E904" s="56"/>
      <c r="F904" s="57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</row>
    <row r="905" spans="1:21" ht="13.5" x14ac:dyDescent="0.45">
      <c r="A905" s="56"/>
      <c r="B905" s="56"/>
      <c r="C905" s="57"/>
      <c r="D905" s="56"/>
      <c r="E905" s="56"/>
      <c r="F905" s="57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</row>
    <row r="906" spans="1:21" ht="13.5" x14ac:dyDescent="0.45">
      <c r="A906" s="56"/>
      <c r="B906" s="56"/>
      <c r="C906" s="57"/>
      <c r="D906" s="56"/>
      <c r="E906" s="56"/>
      <c r="F906" s="57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</row>
    <row r="907" spans="1:21" ht="13.5" x14ac:dyDescent="0.45">
      <c r="A907" s="56"/>
      <c r="B907" s="56"/>
      <c r="C907" s="57"/>
      <c r="D907" s="56"/>
      <c r="E907" s="56"/>
      <c r="F907" s="57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</row>
    <row r="908" spans="1:21" ht="13.5" x14ac:dyDescent="0.45">
      <c r="A908" s="56"/>
      <c r="B908" s="56"/>
      <c r="C908" s="57"/>
      <c r="D908" s="56"/>
      <c r="E908" s="56"/>
      <c r="F908" s="57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</row>
    <row r="909" spans="1:21" ht="13.5" x14ac:dyDescent="0.45">
      <c r="A909" s="56"/>
      <c r="B909" s="56"/>
      <c r="C909" s="57"/>
      <c r="D909" s="56"/>
      <c r="E909" s="56"/>
      <c r="F909" s="57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</row>
    <row r="910" spans="1:21" ht="13.5" x14ac:dyDescent="0.45">
      <c r="A910" s="56"/>
      <c r="B910" s="56"/>
      <c r="C910" s="57"/>
      <c r="D910" s="56"/>
      <c r="E910" s="56"/>
      <c r="F910" s="57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</row>
    <row r="911" spans="1:21" ht="13.5" x14ac:dyDescent="0.45">
      <c r="A911" s="56"/>
      <c r="B911" s="56"/>
      <c r="C911" s="57"/>
      <c r="D911" s="56"/>
      <c r="E911" s="56"/>
      <c r="F911" s="57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</row>
    <row r="912" spans="1:21" ht="13.5" x14ac:dyDescent="0.45">
      <c r="A912" s="56"/>
      <c r="B912" s="56"/>
      <c r="C912" s="57"/>
      <c r="D912" s="56"/>
      <c r="E912" s="56"/>
      <c r="F912" s="57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</row>
    <row r="913" spans="1:21" ht="13.5" x14ac:dyDescent="0.45">
      <c r="A913" s="56"/>
      <c r="B913" s="56"/>
      <c r="C913" s="57"/>
      <c r="D913" s="56"/>
      <c r="E913" s="56"/>
      <c r="F913" s="57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</row>
    <row r="914" spans="1:21" ht="13.5" x14ac:dyDescent="0.45">
      <c r="A914" s="56"/>
      <c r="B914" s="56"/>
      <c r="C914" s="57"/>
      <c r="D914" s="56"/>
      <c r="E914" s="56"/>
      <c r="F914" s="57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</row>
    <row r="915" spans="1:21" ht="13.5" x14ac:dyDescent="0.45">
      <c r="A915" s="56"/>
      <c r="B915" s="56"/>
      <c r="C915" s="57"/>
      <c r="D915" s="56"/>
      <c r="E915" s="56"/>
      <c r="F915" s="57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</row>
    <row r="916" spans="1:21" ht="13.5" x14ac:dyDescent="0.45">
      <c r="A916" s="56"/>
      <c r="B916" s="56"/>
      <c r="C916" s="57"/>
      <c r="D916" s="56"/>
      <c r="E916" s="56"/>
      <c r="F916" s="57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</row>
    <row r="917" spans="1:21" ht="13.5" x14ac:dyDescent="0.45">
      <c r="A917" s="56"/>
      <c r="B917" s="56"/>
      <c r="C917" s="57"/>
      <c r="D917" s="56"/>
      <c r="E917" s="56"/>
      <c r="F917" s="57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</row>
    <row r="918" spans="1:21" ht="13.5" x14ac:dyDescent="0.45">
      <c r="A918" s="56"/>
      <c r="B918" s="56"/>
      <c r="C918" s="57"/>
      <c r="D918" s="56"/>
      <c r="E918" s="56"/>
      <c r="F918" s="57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</row>
    <row r="919" spans="1:21" ht="13.5" x14ac:dyDescent="0.45">
      <c r="A919" s="56"/>
      <c r="B919" s="56"/>
      <c r="C919" s="57"/>
      <c r="D919" s="56"/>
      <c r="E919" s="56"/>
      <c r="F919" s="57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</row>
    <row r="920" spans="1:21" ht="13.5" x14ac:dyDescent="0.45">
      <c r="A920" s="56"/>
      <c r="B920" s="56"/>
      <c r="C920" s="57"/>
      <c r="D920" s="56"/>
      <c r="E920" s="56"/>
      <c r="F920" s="57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</row>
    <row r="921" spans="1:21" ht="13.5" x14ac:dyDescent="0.45">
      <c r="A921" s="56"/>
      <c r="B921" s="56"/>
      <c r="C921" s="57"/>
      <c r="D921" s="56"/>
      <c r="E921" s="56"/>
      <c r="F921" s="57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</row>
    <row r="922" spans="1:21" ht="13.5" x14ac:dyDescent="0.45">
      <c r="A922" s="56"/>
      <c r="B922" s="56"/>
      <c r="C922" s="57"/>
      <c r="D922" s="56"/>
      <c r="E922" s="56"/>
      <c r="F922" s="57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</row>
    <row r="923" spans="1:21" ht="13.5" x14ac:dyDescent="0.45">
      <c r="A923" s="56"/>
      <c r="B923" s="56"/>
      <c r="C923" s="57"/>
      <c r="D923" s="56"/>
      <c r="E923" s="56"/>
      <c r="F923" s="57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</row>
    <row r="924" spans="1:21" ht="13.5" x14ac:dyDescent="0.45">
      <c r="A924" s="56"/>
      <c r="B924" s="56"/>
      <c r="C924" s="57"/>
      <c r="D924" s="56"/>
      <c r="E924" s="56"/>
      <c r="F924" s="57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</row>
    <row r="925" spans="1:21" ht="13.5" x14ac:dyDescent="0.45">
      <c r="A925" s="56"/>
      <c r="B925" s="56"/>
      <c r="C925" s="57"/>
      <c r="D925" s="56"/>
      <c r="E925" s="56"/>
      <c r="F925" s="57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</row>
    <row r="926" spans="1:21" ht="13.5" x14ac:dyDescent="0.45">
      <c r="A926" s="56"/>
      <c r="B926" s="56"/>
      <c r="C926" s="57"/>
      <c r="D926" s="56"/>
      <c r="E926" s="56"/>
      <c r="F926" s="57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</row>
    <row r="927" spans="1:21" ht="13.5" x14ac:dyDescent="0.45">
      <c r="A927" s="56"/>
      <c r="B927" s="56"/>
      <c r="C927" s="57"/>
      <c r="D927" s="56"/>
      <c r="E927" s="56"/>
      <c r="F927" s="57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</row>
    <row r="928" spans="1:21" ht="13.5" x14ac:dyDescent="0.45">
      <c r="A928" s="56"/>
      <c r="B928" s="56"/>
      <c r="C928" s="57"/>
      <c r="D928" s="56"/>
      <c r="E928" s="56"/>
      <c r="F928" s="57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</row>
    <row r="929" spans="1:21" ht="13.5" x14ac:dyDescent="0.45">
      <c r="A929" s="56"/>
      <c r="B929" s="56"/>
      <c r="C929" s="57"/>
      <c r="D929" s="56"/>
      <c r="E929" s="56"/>
      <c r="F929" s="57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</row>
    <row r="930" spans="1:21" ht="13.5" x14ac:dyDescent="0.45">
      <c r="A930" s="56"/>
      <c r="B930" s="56"/>
      <c r="C930" s="57"/>
      <c r="D930" s="56"/>
      <c r="E930" s="56"/>
      <c r="F930" s="57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</row>
    <row r="931" spans="1:21" ht="13.5" x14ac:dyDescent="0.45">
      <c r="A931" s="56"/>
      <c r="B931" s="56"/>
      <c r="C931" s="57"/>
      <c r="D931" s="56"/>
      <c r="E931" s="56"/>
      <c r="F931" s="57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</row>
    <row r="932" spans="1:21" ht="13.5" x14ac:dyDescent="0.45">
      <c r="A932" s="56"/>
      <c r="B932" s="56"/>
      <c r="C932" s="57"/>
      <c r="D932" s="56"/>
      <c r="E932" s="56"/>
      <c r="F932" s="57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</row>
    <row r="933" spans="1:21" ht="13.5" x14ac:dyDescent="0.45">
      <c r="A933" s="56"/>
      <c r="B933" s="56"/>
      <c r="C933" s="57"/>
      <c r="D933" s="56"/>
      <c r="E933" s="56"/>
      <c r="F933" s="57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</row>
    <row r="934" spans="1:21" ht="13.5" x14ac:dyDescent="0.45">
      <c r="A934" s="56"/>
      <c r="B934" s="56"/>
      <c r="C934" s="57"/>
      <c r="D934" s="56"/>
      <c r="E934" s="56"/>
      <c r="F934" s="57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</row>
    <row r="935" spans="1:21" ht="13.5" x14ac:dyDescent="0.45">
      <c r="A935" s="56"/>
      <c r="B935" s="56"/>
      <c r="C935" s="57"/>
      <c r="D935" s="56"/>
      <c r="E935" s="56"/>
      <c r="F935" s="57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</row>
    <row r="936" spans="1:21" ht="13.5" x14ac:dyDescent="0.45">
      <c r="A936" s="56"/>
      <c r="B936" s="56"/>
      <c r="C936" s="57"/>
      <c r="D936" s="56"/>
      <c r="E936" s="56"/>
      <c r="F936" s="57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</row>
    <row r="937" spans="1:21" ht="13.5" x14ac:dyDescent="0.45">
      <c r="A937" s="56"/>
      <c r="B937" s="56"/>
      <c r="C937" s="57"/>
      <c r="D937" s="56"/>
      <c r="E937" s="56"/>
      <c r="F937" s="57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</row>
    <row r="938" spans="1:21" ht="13.5" x14ac:dyDescent="0.45">
      <c r="A938" s="56"/>
      <c r="B938" s="56"/>
      <c r="C938" s="57"/>
      <c r="D938" s="56"/>
      <c r="E938" s="56"/>
      <c r="F938" s="57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</row>
    <row r="939" spans="1:21" ht="13.5" x14ac:dyDescent="0.45">
      <c r="A939" s="56"/>
      <c r="B939" s="56"/>
      <c r="C939" s="57"/>
      <c r="D939" s="56"/>
      <c r="E939" s="56"/>
      <c r="F939" s="57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</row>
    <row r="940" spans="1:21" ht="13.5" x14ac:dyDescent="0.45">
      <c r="A940" s="56"/>
      <c r="B940" s="56"/>
      <c r="C940" s="57"/>
      <c r="D940" s="56"/>
      <c r="E940" s="56"/>
      <c r="F940" s="57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</row>
    <row r="941" spans="1:21" ht="13.5" x14ac:dyDescent="0.45">
      <c r="A941" s="56"/>
      <c r="B941" s="56"/>
      <c r="C941" s="57"/>
      <c r="D941" s="56"/>
      <c r="E941" s="56"/>
      <c r="F941" s="57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</row>
    <row r="942" spans="1:21" ht="13.5" x14ac:dyDescent="0.45">
      <c r="A942" s="56"/>
      <c r="B942" s="56"/>
      <c r="C942" s="57"/>
      <c r="D942" s="56"/>
      <c r="E942" s="56"/>
      <c r="F942" s="57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</row>
    <row r="943" spans="1:21" ht="13.5" x14ac:dyDescent="0.45">
      <c r="A943" s="56"/>
      <c r="B943" s="56"/>
      <c r="C943" s="57"/>
      <c r="D943" s="56"/>
      <c r="E943" s="56"/>
      <c r="F943" s="57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</row>
    <row r="944" spans="1:21" ht="13.5" x14ac:dyDescent="0.45">
      <c r="A944" s="56"/>
      <c r="B944" s="56"/>
      <c r="C944" s="57"/>
      <c r="D944" s="56"/>
      <c r="E944" s="56"/>
      <c r="F944" s="57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</row>
    <row r="945" spans="1:21" ht="13.5" x14ac:dyDescent="0.45">
      <c r="A945" s="56"/>
      <c r="B945" s="56"/>
      <c r="C945" s="57"/>
      <c r="D945" s="56"/>
      <c r="E945" s="56"/>
      <c r="F945" s="57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</row>
    <row r="946" spans="1:21" ht="13.5" x14ac:dyDescent="0.45">
      <c r="A946" s="56"/>
      <c r="B946" s="56"/>
      <c r="C946" s="57"/>
      <c r="D946" s="56"/>
      <c r="E946" s="56"/>
      <c r="F946" s="57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</row>
    <row r="947" spans="1:21" ht="13.5" x14ac:dyDescent="0.45">
      <c r="A947" s="56"/>
      <c r="B947" s="56"/>
      <c r="C947" s="57"/>
      <c r="D947" s="56"/>
      <c r="E947" s="56"/>
      <c r="F947" s="57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</row>
    <row r="948" spans="1:21" ht="13.5" x14ac:dyDescent="0.45">
      <c r="A948" s="56"/>
      <c r="B948" s="56"/>
      <c r="C948" s="57"/>
      <c r="D948" s="56"/>
      <c r="E948" s="56"/>
      <c r="F948" s="57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</row>
    <row r="949" spans="1:21" ht="13.5" x14ac:dyDescent="0.45">
      <c r="A949" s="56"/>
      <c r="B949" s="56"/>
      <c r="C949" s="57"/>
      <c r="D949" s="56"/>
      <c r="E949" s="56"/>
      <c r="F949" s="57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</row>
    <row r="950" spans="1:21" ht="13.5" x14ac:dyDescent="0.45">
      <c r="A950" s="56"/>
      <c r="B950" s="56"/>
      <c r="C950" s="57"/>
      <c r="D950" s="56"/>
      <c r="E950" s="56"/>
      <c r="F950" s="57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</row>
    <row r="951" spans="1:21" ht="13.5" x14ac:dyDescent="0.45">
      <c r="A951" s="56"/>
      <c r="B951" s="56"/>
      <c r="C951" s="57"/>
      <c r="D951" s="56"/>
      <c r="E951" s="56"/>
      <c r="F951" s="57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</row>
    <row r="952" spans="1:21" ht="13.5" x14ac:dyDescent="0.45">
      <c r="A952" s="56"/>
      <c r="B952" s="56"/>
      <c r="C952" s="57"/>
      <c r="D952" s="56"/>
      <c r="E952" s="56"/>
      <c r="F952" s="57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</row>
    <row r="953" spans="1:21" ht="13.5" x14ac:dyDescent="0.45">
      <c r="A953" s="56"/>
      <c r="B953" s="56"/>
      <c r="C953" s="57"/>
      <c r="D953" s="56"/>
      <c r="E953" s="56"/>
      <c r="F953" s="57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</row>
    <row r="954" spans="1:21" ht="13.5" x14ac:dyDescent="0.45">
      <c r="A954" s="56"/>
      <c r="B954" s="56"/>
      <c r="C954" s="57"/>
      <c r="D954" s="56"/>
      <c r="E954" s="56"/>
      <c r="F954" s="57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</row>
    <row r="955" spans="1:21" ht="13.5" x14ac:dyDescent="0.45">
      <c r="A955" s="56"/>
      <c r="B955" s="56"/>
      <c r="C955" s="57"/>
      <c r="D955" s="56"/>
      <c r="E955" s="56"/>
      <c r="F955" s="57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</row>
    <row r="956" spans="1:21" ht="13.5" x14ac:dyDescent="0.45">
      <c r="A956" s="56"/>
      <c r="B956" s="56"/>
      <c r="C956" s="57"/>
      <c r="D956" s="56"/>
      <c r="E956" s="56"/>
      <c r="F956" s="57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</row>
    <row r="957" spans="1:21" ht="13.5" x14ac:dyDescent="0.45">
      <c r="A957" s="56"/>
      <c r="B957" s="56"/>
      <c r="C957" s="57"/>
      <c r="D957" s="56"/>
      <c r="E957" s="56"/>
      <c r="F957" s="57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</row>
    <row r="958" spans="1:21" ht="13.5" x14ac:dyDescent="0.45">
      <c r="A958" s="56"/>
      <c r="B958" s="56"/>
      <c r="C958" s="57"/>
      <c r="D958" s="56"/>
      <c r="E958" s="56"/>
      <c r="F958" s="57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</row>
    <row r="959" spans="1:21" ht="13.5" x14ac:dyDescent="0.45">
      <c r="A959" s="56"/>
      <c r="B959" s="56"/>
      <c r="C959" s="57"/>
      <c r="D959" s="56"/>
      <c r="E959" s="56"/>
      <c r="F959" s="57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</row>
    <row r="960" spans="1:21" ht="13.5" x14ac:dyDescent="0.45">
      <c r="A960" s="56"/>
      <c r="B960" s="56"/>
      <c r="C960" s="57"/>
      <c r="D960" s="56"/>
      <c r="E960" s="56"/>
      <c r="F960" s="57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</row>
    <row r="961" spans="1:21" ht="13.5" x14ac:dyDescent="0.45">
      <c r="A961" s="56"/>
      <c r="B961" s="56"/>
      <c r="C961" s="57"/>
      <c r="D961" s="56"/>
      <c r="E961" s="56"/>
      <c r="F961" s="57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</row>
    <row r="962" spans="1:21" ht="13.5" x14ac:dyDescent="0.45">
      <c r="A962" s="56"/>
      <c r="B962" s="56"/>
      <c r="C962" s="57"/>
      <c r="D962" s="56"/>
      <c r="E962" s="56"/>
      <c r="F962" s="57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</row>
    <row r="963" spans="1:21" ht="13.5" x14ac:dyDescent="0.45">
      <c r="A963" s="56"/>
      <c r="B963" s="56"/>
      <c r="C963" s="57"/>
      <c r="D963" s="56"/>
      <c r="E963" s="56"/>
      <c r="F963" s="57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</row>
    <row r="964" spans="1:21" ht="13.5" x14ac:dyDescent="0.45">
      <c r="A964" s="56"/>
      <c r="B964" s="56"/>
      <c r="C964" s="57"/>
      <c r="D964" s="56"/>
      <c r="E964" s="56"/>
      <c r="F964" s="57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</row>
    <row r="965" spans="1:21" ht="13.5" x14ac:dyDescent="0.45">
      <c r="A965" s="56"/>
      <c r="B965" s="56"/>
      <c r="C965" s="57"/>
      <c r="D965" s="56"/>
      <c r="E965" s="56"/>
      <c r="F965" s="57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</row>
    <row r="966" spans="1:21" ht="13.5" x14ac:dyDescent="0.45">
      <c r="A966" s="56"/>
      <c r="B966" s="56"/>
      <c r="C966" s="57"/>
      <c r="D966" s="56"/>
      <c r="E966" s="56"/>
      <c r="F966" s="57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</row>
    <row r="967" spans="1:21" ht="13.5" x14ac:dyDescent="0.45">
      <c r="A967" s="56"/>
      <c r="B967" s="56"/>
      <c r="C967" s="57"/>
      <c r="D967" s="56"/>
      <c r="E967" s="56"/>
      <c r="F967" s="57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</row>
    <row r="968" spans="1:21" ht="13.5" x14ac:dyDescent="0.45">
      <c r="A968" s="56"/>
      <c r="B968" s="56"/>
      <c r="C968" s="57"/>
      <c r="D968" s="56"/>
      <c r="E968" s="56"/>
      <c r="F968" s="57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</row>
    <row r="969" spans="1:21" ht="13.5" x14ac:dyDescent="0.45">
      <c r="A969" s="56"/>
      <c r="B969" s="56"/>
      <c r="C969" s="57"/>
      <c r="D969" s="56"/>
      <c r="E969" s="56"/>
      <c r="F969" s="57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</row>
    <row r="970" spans="1:21" ht="13.5" x14ac:dyDescent="0.45">
      <c r="A970" s="56"/>
      <c r="B970" s="56"/>
      <c r="C970" s="57"/>
      <c r="D970" s="56"/>
      <c r="E970" s="56"/>
      <c r="F970" s="57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</row>
    <row r="971" spans="1:21" ht="13.5" x14ac:dyDescent="0.45">
      <c r="A971" s="56"/>
      <c r="B971" s="56"/>
      <c r="C971" s="57"/>
      <c r="D971" s="56"/>
      <c r="E971" s="56"/>
      <c r="F971" s="57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</row>
    <row r="972" spans="1:21" ht="13.5" x14ac:dyDescent="0.45">
      <c r="A972" s="56"/>
      <c r="B972" s="56"/>
      <c r="C972" s="57"/>
      <c r="D972" s="56"/>
      <c r="E972" s="56"/>
      <c r="F972" s="57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</row>
    <row r="973" spans="1:21" ht="13.5" x14ac:dyDescent="0.45">
      <c r="A973" s="56"/>
      <c r="B973" s="56"/>
      <c r="C973" s="57"/>
      <c r="D973" s="56"/>
      <c r="E973" s="56"/>
      <c r="F973" s="57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</row>
    <row r="974" spans="1:21" ht="13.5" x14ac:dyDescent="0.45">
      <c r="A974" s="56"/>
      <c r="B974" s="56"/>
      <c r="C974" s="57"/>
      <c r="D974" s="56"/>
      <c r="E974" s="56"/>
      <c r="F974" s="57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</row>
    <row r="975" spans="1:21" ht="13.5" x14ac:dyDescent="0.45">
      <c r="A975" s="56"/>
      <c r="B975" s="56"/>
      <c r="C975" s="57"/>
      <c r="D975" s="56"/>
      <c r="E975" s="56"/>
      <c r="F975" s="57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</row>
    <row r="976" spans="1:21" ht="13.5" x14ac:dyDescent="0.45">
      <c r="A976" s="56"/>
      <c r="B976" s="56"/>
      <c r="C976" s="57"/>
      <c r="D976" s="56"/>
      <c r="E976" s="56"/>
      <c r="F976" s="57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</row>
    <row r="977" spans="1:21" ht="13.5" x14ac:dyDescent="0.45">
      <c r="A977" s="56"/>
      <c r="B977" s="56"/>
      <c r="C977" s="57"/>
      <c r="D977" s="56"/>
      <c r="E977" s="56"/>
      <c r="F977" s="57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</row>
    <row r="978" spans="1:21" ht="13.5" x14ac:dyDescent="0.45">
      <c r="A978" s="56"/>
      <c r="B978" s="56"/>
      <c r="C978" s="57"/>
      <c r="D978" s="56"/>
      <c r="E978" s="56"/>
      <c r="F978" s="57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</row>
    <row r="979" spans="1:21" ht="13.5" x14ac:dyDescent="0.45">
      <c r="A979" s="56"/>
      <c r="B979" s="56"/>
      <c r="C979" s="57"/>
      <c r="D979" s="56"/>
      <c r="E979" s="56"/>
      <c r="F979" s="57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</row>
    <row r="980" spans="1:21" ht="13.5" x14ac:dyDescent="0.45">
      <c r="A980" s="56"/>
      <c r="B980" s="56"/>
      <c r="C980" s="57"/>
      <c r="D980" s="56"/>
      <c r="E980" s="56"/>
      <c r="F980" s="57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</row>
    <row r="981" spans="1:21" ht="13.5" x14ac:dyDescent="0.45">
      <c r="A981" s="56"/>
      <c r="B981" s="56"/>
      <c r="C981" s="57"/>
      <c r="D981" s="56"/>
      <c r="E981" s="56"/>
      <c r="F981" s="57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</row>
    <row r="982" spans="1:21" ht="13.5" x14ac:dyDescent="0.45">
      <c r="A982" s="56"/>
      <c r="B982" s="56"/>
      <c r="C982" s="57"/>
      <c r="D982" s="56"/>
      <c r="E982" s="56"/>
      <c r="F982" s="57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</row>
    <row r="983" spans="1:21" ht="13.5" x14ac:dyDescent="0.45">
      <c r="A983" s="56"/>
      <c r="B983" s="56"/>
      <c r="C983" s="57"/>
      <c r="D983" s="56"/>
      <c r="E983" s="56"/>
      <c r="F983" s="57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</row>
    <row r="984" spans="1:21" ht="13.5" x14ac:dyDescent="0.45">
      <c r="A984" s="56"/>
      <c r="B984" s="56"/>
      <c r="C984" s="57"/>
      <c r="D984" s="56"/>
      <c r="E984" s="56"/>
      <c r="F984" s="57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</row>
    <row r="985" spans="1:21" ht="13.5" x14ac:dyDescent="0.45">
      <c r="A985" s="56"/>
      <c r="B985" s="56"/>
      <c r="C985" s="57"/>
      <c r="D985" s="56"/>
      <c r="E985" s="56"/>
      <c r="F985" s="57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</row>
    <row r="986" spans="1:21" ht="13.5" x14ac:dyDescent="0.45">
      <c r="A986" s="56"/>
      <c r="B986" s="56"/>
      <c r="C986" s="57"/>
      <c r="D986" s="56"/>
      <c r="E986" s="56"/>
      <c r="F986" s="57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</row>
    <row r="987" spans="1:21" ht="13.5" x14ac:dyDescent="0.45">
      <c r="A987" s="56"/>
      <c r="B987" s="56"/>
      <c r="C987" s="57"/>
      <c r="D987" s="56"/>
      <c r="E987" s="56"/>
      <c r="F987" s="57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</row>
    <row r="988" spans="1:21" ht="13.5" x14ac:dyDescent="0.45">
      <c r="A988" s="56"/>
      <c r="B988" s="56"/>
      <c r="C988" s="57"/>
      <c r="D988" s="56"/>
      <c r="E988" s="56"/>
      <c r="F988" s="57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</row>
    <row r="989" spans="1:21" ht="13.5" x14ac:dyDescent="0.45">
      <c r="A989" s="56"/>
      <c r="B989" s="56"/>
      <c r="C989" s="57"/>
      <c r="D989" s="56"/>
      <c r="E989" s="56"/>
      <c r="F989" s="57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</row>
    <row r="990" spans="1:21" ht="13.5" x14ac:dyDescent="0.45">
      <c r="A990" s="56"/>
      <c r="B990" s="56"/>
      <c r="C990" s="57"/>
      <c r="D990" s="56"/>
      <c r="E990" s="56"/>
      <c r="F990" s="57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</row>
    <row r="991" spans="1:21" ht="13.5" x14ac:dyDescent="0.45">
      <c r="A991" s="56"/>
      <c r="B991" s="56"/>
      <c r="C991" s="57"/>
      <c r="D991" s="56"/>
      <c r="E991" s="56"/>
      <c r="F991" s="57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</row>
    <row r="992" spans="1:21" ht="13.5" x14ac:dyDescent="0.45">
      <c r="A992" s="56"/>
      <c r="B992" s="56"/>
      <c r="C992" s="57"/>
      <c r="D992" s="56"/>
      <c r="E992" s="56"/>
      <c r="F992" s="57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</row>
    <row r="993" spans="1:21" ht="13.5" x14ac:dyDescent="0.45">
      <c r="A993" s="56"/>
      <c r="B993" s="56"/>
      <c r="C993" s="57"/>
      <c r="D993" s="56"/>
      <c r="E993" s="56"/>
      <c r="F993" s="57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</row>
    <row r="994" spans="1:21" ht="13.5" x14ac:dyDescent="0.45">
      <c r="A994" s="56"/>
      <c r="B994" s="56"/>
      <c r="C994" s="57"/>
      <c r="D994" s="56"/>
      <c r="E994" s="56"/>
      <c r="F994" s="57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</row>
    <row r="995" spans="1:21" ht="13.5" x14ac:dyDescent="0.45">
      <c r="A995" s="56"/>
      <c r="B995" s="56"/>
      <c r="C995" s="57"/>
      <c r="D995" s="56"/>
      <c r="E995" s="56"/>
      <c r="F995" s="57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</row>
    <row r="996" spans="1:21" ht="13.5" x14ac:dyDescent="0.45">
      <c r="A996" s="56"/>
      <c r="B996" s="56"/>
      <c r="C996" s="57"/>
      <c r="D996" s="56"/>
      <c r="E996" s="56"/>
      <c r="F996" s="57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</row>
    <row r="997" spans="1:21" ht="13.5" x14ac:dyDescent="0.45">
      <c r="A997" s="56"/>
      <c r="B997" s="56"/>
      <c r="C997" s="57"/>
      <c r="D997" s="56"/>
      <c r="E997" s="56"/>
      <c r="F997" s="57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</row>
    <row r="998" spans="1:21" ht="13.5" x14ac:dyDescent="0.45">
      <c r="A998" s="56"/>
      <c r="B998" s="56"/>
      <c r="C998" s="57"/>
      <c r="D998" s="56"/>
      <c r="E998" s="56"/>
      <c r="F998" s="57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</row>
    <row r="999" spans="1:21" ht="13.5" x14ac:dyDescent="0.45">
      <c r="A999" s="56"/>
      <c r="B999" s="56"/>
      <c r="C999" s="57"/>
      <c r="D999" s="56"/>
      <c r="E999" s="56"/>
      <c r="F999" s="57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</row>
    <row r="1000" spans="1:21" ht="13.5" x14ac:dyDescent="0.45">
      <c r="A1000" s="56"/>
      <c r="B1000" s="56"/>
      <c r="C1000" s="57"/>
      <c r="D1000" s="56"/>
      <c r="E1000" s="56"/>
      <c r="F1000" s="57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</row>
    <row r="1001" spans="1:21" ht="13.5" x14ac:dyDescent="0.45">
      <c r="A1001" s="56"/>
      <c r="B1001" s="56"/>
      <c r="C1001" s="57"/>
      <c r="D1001" s="56"/>
      <c r="E1001" s="56"/>
      <c r="F1001" s="57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</row>
    <row r="1002" spans="1:21" ht="13.5" x14ac:dyDescent="0.45">
      <c r="A1002" s="56"/>
      <c r="B1002" s="56"/>
      <c r="C1002" s="57"/>
      <c r="D1002" s="56"/>
      <c r="E1002" s="56"/>
      <c r="F1002" s="57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ZFM01</vt:lpstr>
      <vt:lpstr>Pivot</vt:lpstr>
      <vt:lpstr>Pivot_</vt:lpstr>
      <vt:lpstr>Rekap</vt:lpstr>
      <vt:lpstr>KPI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56781</dc:creator>
  <cp:lastModifiedBy>SANUSI ZULFIRMAN LUBIS</cp:lastModifiedBy>
  <dcterms:created xsi:type="dcterms:W3CDTF">2026-01-07T05:23:41Z</dcterms:created>
  <dcterms:modified xsi:type="dcterms:W3CDTF">2026-03-02T07:22:44Z</dcterms:modified>
</cp:coreProperties>
</file>