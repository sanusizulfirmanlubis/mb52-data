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2026\3. ASFAS\Juli ZFM01\"/>
    </mc:Choice>
  </mc:AlternateContent>
  <xr:revisionPtr revIDLastSave="0" documentId="13_ncr:1_{14BE7CDE-86ED-4058-8D82-205D4CA2D14C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II P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F26" i="1"/>
  <c r="G35" i="1"/>
  <c r="G26" i="1"/>
  <c r="G22" i="1"/>
  <c r="G37" i="1"/>
  <c r="F39" i="1"/>
  <c r="F35" i="1"/>
  <c r="G39" i="1"/>
  <c r="F27" i="1" l="1"/>
  <c r="F37" i="1"/>
  <c r="E37" i="1" s="1"/>
  <c r="F22" i="1"/>
  <c r="E22" i="1" s="1"/>
  <c r="G27" i="1"/>
  <c r="G2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38" i="1"/>
  <c r="E36" i="1"/>
  <c r="E35" i="1"/>
  <c r="E34" i="1"/>
  <c r="E33" i="1"/>
  <c r="E32" i="1"/>
  <c r="E31" i="1"/>
  <c r="E30" i="1"/>
  <c r="E29" i="1"/>
  <c r="E28" i="1"/>
  <c r="E26" i="1"/>
  <c r="E25" i="1"/>
  <c r="E24" i="1"/>
  <c r="E23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54" i="1"/>
  <c r="C54" i="1"/>
  <c r="B54" i="1"/>
  <c r="H39" i="1" l="1"/>
  <c r="E39" i="1"/>
  <c r="H27" i="1"/>
  <c r="E27" i="1"/>
  <c r="G54" i="1"/>
  <c r="H2" i="1"/>
  <c r="E2" i="1"/>
  <c r="I54" i="1"/>
  <c r="H54" i="1" l="1"/>
  <c r="F54" i="1" l="1"/>
  <c r="E40" i="1"/>
  <c r="E54" i="1" s="1"/>
</calcChain>
</file>

<file path=xl/sharedStrings.xml><?xml version="1.0" encoding="utf-8"?>
<sst xmlns="http://schemas.openxmlformats.org/spreadsheetml/2006/main" count="62" uniqueCount="62">
  <si>
    <t>Funds Center/Commitment Item</t>
  </si>
  <si>
    <t>RKAP</t>
  </si>
  <si>
    <t>Release Budget</t>
  </si>
  <si>
    <t>Comitment</t>
  </si>
  <si>
    <t>Actual</t>
  </si>
  <si>
    <t>Consumed Budget</t>
  </si>
  <si>
    <t>Budget Available</t>
  </si>
  <si>
    <t>Not Release</t>
  </si>
  <si>
    <t>1182000000 Persediaan Prasarana Perkeretaapian dan Umum</t>
  </si>
  <si>
    <t>4112222200 Bbn Penystn Srana Perkeretaapian Fasilitas Dipo-By</t>
  </si>
  <si>
    <t>4221221100 Perawatan Rel BMN</t>
  </si>
  <si>
    <t>4221222200 Perawatan Wesel BMN</t>
  </si>
  <si>
    <t>4221223300 Bbn Jasa Penambahan Balas BMN</t>
  </si>
  <si>
    <t>4221224400 Pemasangan Bantalan BMN</t>
  </si>
  <si>
    <t>4221225500 Perawatan Balas BMN</t>
  </si>
  <si>
    <t>4221226000 Pemecokan BMN</t>
  </si>
  <si>
    <t>4221226006 Perlintasan BMN</t>
  </si>
  <si>
    <t>4221226008 Geometri BMN</t>
  </si>
  <si>
    <t>4221226010 Perbaikan Periodik BMN</t>
  </si>
  <si>
    <t>4221321010 Perawatan Baja Jembatan Kelas 1 BMN</t>
  </si>
  <si>
    <t>4221322010 Perawatan Cat Jembatan Kelas 1 BMN</t>
  </si>
  <si>
    <t>4221323010 Perawatan Batu Jembatan Kelas 1 BMN</t>
  </si>
  <si>
    <t>4221325010 Perawatan Cat Jembatan Kelas 2 BMN</t>
  </si>
  <si>
    <t>4221325013 Perawatan Batu Jembatan Kelas 3 BMN</t>
  </si>
  <si>
    <t>4221325014 Perawatan Beton Jembatan Kelas 3 BMN</t>
  </si>
  <si>
    <t>4221424010 Peralatan Luar Sinyal Mekanik BMN</t>
  </si>
  <si>
    <t>4221425010 Pengamanan Perlintasan Sebidang BMN</t>
  </si>
  <si>
    <t>4221427010 Transmisi Komunikasi BMN</t>
  </si>
  <si>
    <t>4221428010 Peralatan Pendukung Sintel BMN</t>
  </si>
  <si>
    <t>4221428014 Catu Daya Sintel BMN</t>
  </si>
  <si>
    <t>4221600000 Peralatan Khusus Prasarana Pemerintah</t>
  </si>
  <si>
    <t>4222222200 Perawatan Wesel KAI</t>
  </si>
  <si>
    <t>4222600000 Peralatan Khusus Prasarana KAI</t>
  </si>
  <si>
    <t>4222800000 Beban BBM Mekanik Prasarana</t>
  </si>
  <si>
    <t>4231110000 Rapat&amp;Akomodasi BbnUmum Prwtn Prasarana Pemerintah</t>
  </si>
  <si>
    <t>4231120000 PerjlDinas BebanUmum PerawatanPrasarana Pemerintah</t>
  </si>
  <si>
    <t>4231130000 LAT Beban Umum Perawatan Prasarana Pemerintah</t>
  </si>
  <si>
    <t>4231150010 Krt Beban Umum Perawatan Prasarana Pemerintah</t>
  </si>
  <si>
    <t>4231151710 Kerumahtanggaan UMDT Beban Umum Perawatan Pras BMN</t>
  </si>
  <si>
    <t>4232152310 Tenaga PJL Alih Daya</t>
  </si>
  <si>
    <t>4233100000 Rapat&amp;Akomodasi Beban Umum Perawatan Prasarana KAI</t>
  </si>
  <si>
    <t>4233150010 Kerumahtanggaan Beban Umum Perawatan Prasarana KAI</t>
  </si>
  <si>
    <t>4233151710 Kerumahtanggaan UMDT Beban Umum Perawatan Pras KAI</t>
  </si>
  <si>
    <t>4233160010 Inventaris Beban Umum Perawatan Prasarana KAI</t>
  </si>
  <si>
    <t>4233200000 Perjalanan Dinas BebanUmum Perawatan Prasarana KAI</t>
  </si>
  <si>
    <t>4233300000 LAT Beban Umum Perawatan Prasarana KAI</t>
  </si>
  <si>
    <t>4233400000 ATK Beban Umum Perawatan Prasarana KAI</t>
  </si>
  <si>
    <t>4241000000 Beban Penyusutan AT Prasarana Perkeretaapian</t>
  </si>
  <si>
    <t>4242000000 Beban Penyusutan AT Bangunan Kantor</t>
  </si>
  <si>
    <t>4271100010 Gaji &amp;Tunjangan Pegawai Operasi Prasarana</t>
  </si>
  <si>
    <t>4271400000 Lembur dan Perangsang Pegawai Operasi Prasarana</t>
  </si>
  <si>
    <t>4271500000 Pakaian Dinas Pegawai Operasi Prasarana</t>
  </si>
  <si>
    <t>4272100010 Gaji &amp;Tunjangan PegawaiPerawatan Prasarana Unit JJ</t>
  </si>
  <si>
    <t>4272200010 Iuran Pensiun Pegawai Perawatan Prasarana Unit JJ/</t>
  </si>
  <si>
    <t>4272400000 Lembur dan Perangsang Peg PrwtnPrsrna unit JJ/Sntl</t>
  </si>
  <si>
    <t>4272500000 PakaianDinas PegPrwtn PrasaranaUnit JJ/sntl/BY Pra</t>
  </si>
  <si>
    <t>4273100010 Gaji &amp;Tunjangan Pegawai Renwas JJ/Sintel LAA</t>
  </si>
  <si>
    <t>4273400000 Lembur dan Perangsang Pegawai Renwas JJ/Sintel LAA</t>
  </si>
  <si>
    <t>4273500000 Pakaian Dinas Pegawai Renwas JJ/Sintel LAA</t>
  </si>
  <si>
    <t>5400000000 Penyusutan AT Lainnya (Fasilitas Umum)</t>
  </si>
  <si>
    <t>32020100 Prasarana</t>
  </si>
  <si>
    <t>RKAO Disetujui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</si>
</sst>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0" xfId="42" applyNumberFormat="1" applyFont="1" applyAlignment="1">
      <alignment horizontal="right"/>
    </xf>
    <xf numFmtId="164" fontId="0" fillId="0" borderId="0" xfId="42" applyNumberFormat="1" applyFont="1" applyFill="1" applyAlignment="1">
      <alignment horizontal="right"/>
    </xf>
    <xf numFmtId="164" fontId="0" fillId="0" borderId="0" xfId="42" applyNumberFormat="1" applyFont="1" applyFill="1"/>
    <xf numFmtId="164" fontId="0" fillId="33" borderId="0" xfId="42" applyNumberFormat="1" applyFont="1" applyFill="1"/>
    <xf numFmtId="164" fontId="0" fillId="0" borderId="0" xfId="42" applyNumberFormat="1" applyFont="1"/>
    <xf numFmtId="164" fontId="0" fillId="33" borderId="0" xfId="42" applyNumberFormat="1" applyFont="1" applyFill="1" applyAlignment="1" applyProtection="1">
      <alignment horizontal="right"/>
      <protection locked="0"/>
    </xf>
    <xf numFmtId="164" fontId="0" fillId="33" borderId="0" xfId="42" applyNumberFormat="1" applyFont="1" applyFill="1" applyProtection="1">
      <protection locked="0"/>
    </xf>
    <xf numFmtId="0" fontId="16" fillId="0" borderId="0" xfId="0" applyFont="1"/>
    <xf numFmtId="164" fontId="16" fillId="0" borderId="0" xfId="42" applyNumberFormat="1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4"/>
  <sheetViews>
    <sheetView tabSelected="1" zoomScale="70" zoomScaleNormal="70" workbookViewId="0">
      <pane ySplit="1" topLeftCell="A2" activePane="bottomLeft" state="frozen"/>
      <selection pane="bottomLeft" activeCell="F54" sqref="F54"/>
    </sheetView>
  </sheetViews>
  <sheetFormatPr defaultColWidth="0" defaultRowHeight="15" zeroHeight="1" x14ac:dyDescent="0.25"/>
  <cols>
    <col min="1" max="1" width="60.85546875" bestFit="1" customWidth="1"/>
    <col min="2" max="5" width="15.28515625" style="5" bestFit="1" customWidth="1"/>
    <col min="6" max="6" width="14.28515625" style="5" bestFit="1" customWidth="1"/>
    <col min="7" max="7" width="24.5703125" style="5" bestFit="1" customWidth="1"/>
    <col min="8" max="8" width="15.28515625" style="5" bestFit="1" customWidth="1"/>
    <col min="9" max="9" width="13.28515625" style="5" bestFit="1" customWidth="1"/>
    <col min="10" max="16384" width="9" hidden="1"/>
  </cols>
  <sheetData>
    <row r="1" spans="1:9" x14ac:dyDescent="0.25">
      <c r="A1" t="s">
        <v>0</v>
      </c>
      <c r="B1" s="1" t="s">
        <v>61</v>
      </c>
      <c r="C1" s="6" t="s">
        <v>1</v>
      </c>
      <c r="D1" s="6" t="s">
        <v>2</v>
      </c>
      <c r="E1" s="2" t="s">
        <v>3</v>
      </c>
      <c r="F1" s="6" t="s">
        <v>4</v>
      </c>
      <c r="G1" s="6" t="s">
        <v>5</v>
      </c>
      <c r="H1" s="2" t="s">
        <v>6</v>
      </c>
      <c r="I1" s="2" t="s">
        <v>7</v>
      </c>
    </row>
    <row r="2" spans="1:9" x14ac:dyDescent="0.25">
      <c r="A2" t="s">
        <v>8</v>
      </c>
      <c r="B2" s="3">
        <v>873740000</v>
      </c>
      <c r="C2" s="7">
        <v>873740000</v>
      </c>
      <c r="D2" s="7">
        <v>873740000</v>
      </c>
      <c r="E2" s="3">
        <f>IF(B2="","",G2-F2)</f>
        <v>170057500</v>
      </c>
      <c r="F2" s="7">
        <f>35605052+45015000+49000000+113270000+116862500+229998000</f>
        <v>589750552</v>
      </c>
      <c r="G2" s="7">
        <f>35605052+45015000+49000000+120200000+120278000+235160000+154550000</f>
        <v>759808052</v>
      </c>
      <c r="H2" s="3">
        <f>IF(B2="","",D2-G2)</f>
        <v>113931948</v>
      </c>
      <c r="I2" s="3">
        <f>IF(B2="","",C2-D2)</f>
        <v>0</v>
      </c>
    </row>
    <row r="3" spans="1:9" hidden="1" x14ac:dyDescent="0.25">
      <c r="A3" t="s">
        <v>9</v>
      </c>
      <c r="B3" s="3"/>
      <c r="C3" s="7"/>
      <c r="D3" s="7"/>
      <c r="E3" s="3" t="str">
        <f t="shared" ref="E3:E53" si="0">IF(B3="","",G3-F3)</f>
        <v/>
      </c>
      <c r="F3" s="7"/>
      <c r="G3" s="7"/>
      <c r="H3" s="3" t="str">
        <f t="shared" ref="H3:H53" si="1">IF(B3="","",D3-G3)</f>
        <v/>
      </c>
      <c r="I3" s="3" t="str">
        <f t="shared" ref="I3:I53" si="2">IF(B3="","",C3-D3)</f>
        <v/>
      </c>
    </row>
    <row r="4" spans="1:9" hidden="1" x14ac:dyDescent="0.25">
      <c r="A4" t="s">
        <v>10</v>
      </c>
      <c r="B4" s="3"/>
      <c r="C4" s="7"/>
      <c r="D4" s="7"/>
      <c r="E4" s="3" t="str">
        <f t="shared" si="0"/>
        <v/>
      </c>
      <c r="F4" s="7"/>
      <c r="G4" s="7"/>
      <c r="H4" s="3" t="str">
        <f t="shared" si="1"/>
        <v/>
      </c>
      <c r="I4" s="3" t="str">
        <f t="shared" si="2"/>
        <v/>
      </c>
    </row>
    <row r="5" spans="1:9" hidden="1" x14ac:dyDescent="0.25">
      <c r="A5" t="s">
        <v>11</v>
      </c>
      <c r="B5" s="3"/>
      <c r="C5" s="7"/>
      <c r="D5" s="7"/>
      <c r="E5" s="3" t="str">
        <f t="shared" si="0"/>
        <v/>
      </c>
      <c r="F5" s="7"/>
      <c r="G5" s="7"/>
      <c r="H5" s="3" t="str">
        <f t="shared" si="1"/>
        <v/>
      </c>
      <c r="I5" s="3" t="str">
        <f t="shared" si="2"/>
        <v/>
      </c>
    </row>
    <row r="6" spans="1:9" hidden="1" x14ac:dyDescent="0.25">
      <c r="A6" t="s">
        <v>12</v>
      </c>
      <c r="B6" s="3"/>
      <c r="C6" s="7"/>
      <c r="D6" s="7"/>
      <c r="E6" s="3" t="str">
        <f t="shared" si="0"/>
        <v/>
      </c>
      <c r="F6" s="7"/>
      <c r="G6" s="7"/>
      <c r="H6" s="3" t="str">
        <f t="shared" si="1"/>
        <v/>
      </c>
      <c r="I6" s="3" t="str">
        <f t="shared" si="2"/>
        <v/>
      </c>
    </row>
    <row r="7" spans="1:9" hidden="1" x14ac:dyDescent="0.25">
      <c r="A7" t="s">
        <v>13</v>
      </c>
      <c r="B7" s="3"/>
      <c r="C7" s="7"/>
      <c r="D7" s="7"/>
      <c r="E7" s="3" t="str">
        <f t="shared" si="0"/>
        <v/>
      </c>
      <c r="F7" s="7"/>
      <c r="G7" s="7"/>
      <c r="H7" s="3" t="str">
        <f t="shared" si="1"/>
        <v/>
      </c>
      <c r="I7" s="3" t="str">
        <f t="shared" si="2"/>
        <v/>
      </c>
    </row>
    <row r="8" spans="1:9" hidden="1" x14ac:dyDescent="0.25">
      <c r="A8" t="s">
        <v>14</v>
      </c>
      <c r="B8" s="3"/>
      <c r="C8" s="7"/>
      <c r="D8" s="7"/>
      <c r="E8" s="3" t="str">
        <f t="shared" si="0"/>
        <v/>
      </c>
      <c r="F8" s="7"/>
      <c r="G8" s="7"/>
      <c r="H8" s="3" t="str">
        <f t="shared" si="1"/>
        <v/>
      </c>
      <c r="I8" s="3" t="str">
        <f t="shared" si="2"/>
        <v/>
      </c>
    </row>
    <row r="9" spans="1:9" hidden="1" x14ac:dyDescent="0.25">
      <c r="A9" t="s">
        <v>15</v>
      </c>
      <c r="B9" s="3"/>
      <c r="C9" s="7"/>
      <c r="D9" s="7"/>
      <c r="E9" s="3" t="str">
        <f t="shared" si="0"/>
        <v/>
      </c>
      <c r="F9" s="7"/>
      <c r="G9" s="7"/>
      <c r="H9" s="3" t="str">
        <f t="shared" si="1"/>
        <v/>
      </c>
      <c r="I9" s="3" t="str">
        <f t="shared" si="2"/>
        <v/>
      </c>
    </row>
    <row r="10" spans="1:9" hidden="1" x14ac:dyDescent="0.25">
      <c r="A10" t="s">
        <v>16</v>
      </c>
      <c r="B10" s="3"/>
      <c r="C10" s="7"/>
      <c r="D10" s="7"/>
      <c r="E10" s="3" t="str">
        <f t="shared" si="0"/>
        <v/>
      </c>
      <c r="F10" s="7"/>
      <c r="G10" s="7"/>
      <c r="H10" s="3" t="str">
        <f t="shared" si="1"/>
        <v/>
      </c>
      <c r="I10" s="3" t="str">
        <f t="shared" si="2"/>
        <v/>
      </c>
    </row>
    <row r="11" spans="1:9" hidden="1" x14ac:dyDescent="0.25">
      <c r="A11" t="s">
        <v>17</v>
      </c>
      <c r="B11" s="3"/>
      <c r="C11" s="7"/>
      <c r="D11" s="7"/>
      <c r="E11" s="3" t="str">
        <f t="shared" si="0"/>
        <v/>
      </c>
      <c r="F11" s="7"/>
      <c r="G11" s="7"/>
      <c r="H11" s="3" t="str">
        <f t="shared" si="1"/>
        <v/>
      </c>
      <c r="I11" s="3" t="str">
        <f t="shared" si="2"/>
        <v/>
      </c>
    </row>
    <row r="12" spans="1:9" hidden="1" x14ac:dyDescent="0.25">
      <c r="A12" t="s">
        <v>18</v>
      </c>
      <c r="B12" s="3"/>
      <c r="C12" s="7"/>
      <c r="D12" s="7"/>
      <c r="E12" s="3" t="str">
        <f t="shared" si="0"/>
        <v/>
      </c>
      <c r="F12" s="7"/>
      <c r="G12" s="7"/>
      <c r="H12" s="3" t="str">
        <f t="shared" si="1"/>
        <v/>
      </c>
      <c r="I12" s="3" t="str">
        <f t="shared" si="2"/>
        <v/>
      </c>
    </row>
    <row r="13" spans="1:9" hidden="1" x14ac:dyDescent="0.25">
      <c r="A13" t="s">
        <v>19</v>
      </c>
      <c r="B13" s="3"/>
      <c r="C13" s="7"/>
      <c r="D13" s="7"/>
      <c r="E13" s="3" t="str">
        <f t="shared" si="0"/>
        <v/>
      </c>
      <c r="F13" s="7"/>
      <c r="G13" s="7"/>
      <c r="H13" s="3" t="str">
        <f t="shared" si="1"/>
        <v/>
      </c>
      <c r="I13" s="3" t="str">
        <f t="shared" si="2"/>
        <v/>
      </c>
    </row>
    <row r="14" spans="1:9" hidden="1" x14ac:dyDescent="0.25">
      <c r="A14" t="s">
        <v>20</v>
      </c>
      <c r="B14" s="3"/>
      <c r="C14" s="7"/>
      <c r="D14" s="7"/>
      <c r="E14" s="3" t="str">
        <f t="shared" si="0"/>
        <v/>
      </c>
      <c r="F14" s="7"/>
      <c r="G14" s="7"/>
      <c r="H14" s="3" t="str">
        <f t="shared" si="1"/>
        <v/>
      </c>
      <c r="I14" s="3" t="str">
        <f t="shared" si="2"/>
        <v/>
      </c>
    </row>
    <row r="15" spans="1:9" hidden="1" x14ac:dyDescent="0.25">
      <c r="A15" t="s">
        <v>21</v>
      </c>
      <c r="B15" s="3"/>
      <c r="C15" s="7"/>
      <c r="D15" s="7"/>
      <c r="E15" s="3" t="str">
        <f t="shared" si="0"/>
        <v/>
      </c>
      <c r="F15" s="7"/>
      <c r="G15" s="7"/>
      <c r="H15" s="3" t="str">
        <f t="shared" si="1"/>
        <v/>
      </c>
      <c r="I15" s="3" t="str">
        <f t="shared" si="2"/>
        <v/>
      </c>
    </row>
    <row r="16" spans="1:9" hidden="1" x14ac:dyDescent="0.25">
      <c r="A16" t="s">
        <v>22</v>
      </c>
      <c r="B16" s="3"/>
      <c r="C16" s="7"/>
      <c r="D16" s="7"/>
      <c r="E16" s="3" t="str">
        <f t="shared" si="0"/>
        <v/>
      </c>
      <c r="F16" s="7"/>
      <c r="G16" s="7"/>
      <c r="H16" s="3" t="str">
        <f t="shared" si="1"/>
        <v/>
      </c>
      <c r="I16" s="3" t="str">
        <f t="shared" si="2"/>
        <v/>
      </c>
    </row>
    <row r="17" spans="1:9" hidden="1" x14ac:dyDescent="0.25">
      <c r="A17" t="s">
        <v>23</v>
      </c>
      <c r="B17" s="3"/>
      <c r="C17" s="7"/>
      <c r="D17" s="7"/>
      <c r="E17" s="3" t="str">
        <f t="shared" si="0"/>
        <v/>
      </c>
      <c r="F17" s="7"/>
      <c r="G17" s="7"/>
      <c r="H17" s="3" t="str">
        <f t="shared" si="1"/>
        <v/>
      </c>
      <c r="I17" s="3" t="str">
        <f t="shared" si="2"/>
        <v/>
      </c>
    </row>
    <row r="18" spans="1:9" hidden="1" x14ac:dyDescent="0.25">
      <c r="A18" t="s">
        <v>24</v>
      </c>
      <c r="B18" s="3"/>
      <c r="C18" s="7"/>
      <c r="D18" s="7"/>
      <c r="E18" s="3" t="str">
        <f t="shared" si="0"/>
        <v/>
      </c>
      <c r="F18" s="7"/>
      <c r="G18" s="7"/>
      <c r="H18" s="3" t="str">
        <f t="shared" si="1"/>
        <v/>
      </c>
      <c r="I18" s="3" t="str">
        <f t="shared" si="2"/>
        <v/>
      </c>
    </row>
    <row r="19" spans="1:9" x14ac:dyDescent="0.25">
      <c r="A19" t="s">
        <v>25</v>
      </c>
      <c r="B19" s="3">
        <v>474786000</v>
      </c>
      <c r="C19" s="7">
        <v>474786000</v>
      </c>
      <c r="D19" s="7">
        <v>474786000</v>
      </c>
      <c r="E19" s="3">
        <f t="shared" si="0"/>
        <v>474154600</v>
      </c>
      <c r="F19" s="7"/>
      <c r="G19" s="7">
        <v>474154600</v>
      </c>
      <c r="H19" s="3">
        <f t="shared" si="1"/>
        <v>631400</v>
      </c>
      <c r="I19" s="3">
        <f t="shared" si="2"/>
        <v>0</v>
      </c>
    </row>
    <row r="20" spans="1:9" x14ac:dyDescent="0.25">
      <c r="A20" t="s">
        <v>26</v>
      </c>
      <c r="B20" s="3">
        <v>208424730</v>
      </c>
      <c r="C20" s="7">
        <v>208424730</v>
      </c>
      <c r="D20" s="7">
        <v>208424730</v>
      </c>
      <c r="E20" s="3">
        <f t="shared" si="0"/>
        <v>180590600</v>
      </c>
      <c r="F20" s="7"/>
      <c r="G20" s="7">
        <v>180590600</v>
      </c>
      <c r="H20" s="3">
        <f t="shared" si="1"/>
        <v>27834130</v>
      </c>
      <c r="I20" s="3">
        <f t="shared" si="2"/>
        <v>0</v>
      </c>
    </row>
    <row r="21" spans="1:9" x14ac:dyDescent="0.25">
      <c r="A21" t="s">
        <v>27</v>
      </c>
      <c r="B21" s="3">
        <v>20000000</v>
      </c>
      <c r="C21" s="7">
        <v>20000000</v>
      </c>
      <c r="D21" s="7">
        <v>20000000</v>
      </c>
      <c r="E21" s="3">
        <f t="shared" si="0"/>
        <v>0</v>
      </c>
      <c r="F21" s="7">
        <v>13970000</v>
      </c>
      <c r="G21" s="7">
        <v>13970000</v>
      </c>
      <c r="H21" s="3">
        <f t="shared" si="1"/>
        <v>6030000</v>
      </c>
      <c r="I21" s="3">
        <f t="shared" si="2"/>
        <v>0</v>
      </c>
    </row>
    <row r="22" spans="1:9" x14ac:dyDescent="0.25">
      <c r="A22" t="s">
        <v>28</v>
      </c>
      <c r="B22" s="3">
        <v>220000000</v>
      </c>
      <c r="C22" s="7">
        <v>220000000</v>
      </c>
      <c r="D22" s="7">
        <v>220000000</v>
      </c>
      <c r="E22" s="3">
        <f t="shared" si="0"/>
        <v>78580000</v>
      </c>
      <c r="F22" s="7">
        <f>29896778+29911900</f>
        <v>59808678</v>
      </c>
      <c r="G22" s="7">
        <f>59808678+48700000+29880000</f>
        <v>138388678</v>
      </c>
      <c r="H22" s="3">
        <f t="shared" si="1"/>
        <v>81611322</v>
      </c>
      <c r="I22" s="3">
        <f t="shared" si="2"/>
        <v>0</v>
      </c>
    </row>
    <row r="23" spans="1:9" x14ac:dyDescent="0.25">
      <c r="A23" t="s">
        <v>29</v>
      </c>
      <c r="B23" s="3">
        <v>75000000</v>
      </c>
      <c r="C23" s="7">
        <v>75000000</v>
      </c>
      <c r="D23" s="7">
        <v>75000000</v>
      </c>
      <c r="E23" s="3">
        <f t="shared" si="0"/>
        <v>38500000</v>
      </c>
      <c r="F23" s="7"/>
      <c r="G23" s="7">
        <v>38500000</v>
      </c>
      <c r="H23" s="3">
        <f t="shared" si="1"/>
        <v>36500000</v>
      </c>
      <c r="I23" s="3">
        <f t="shared" si="2"/>
        <v>0</v>
      </c>
    </row>
    <row r="24" spans="1:9" hidden="1" x14ac:dyDescent="0.25">
      <c r="A24" t="s">
        <v>30</v>
      </c>
      <c r="B24" s="3"/>
      <c r="C24" s="7">
        <v>0</v>
      </c>
      <c r="D24" s="7">
        <v>0</v>
      </c>
      <c r="E24" s="3" t="str">
        <f t="shared" si="0"/>
        <v/>
      </c>
      <c r="F24" s="7"/>
      <c r="G24" s="7"/>
      <c r="H24" s="3" t="str">
        <f t="shared" si="1"/>
        <v/>
      </c>
      <c r="I24" s="3" t="str">
        <f t="shared" si="2"/>
        <v/>
      </c>
    </row>
    <row r="25" spans="1:9" hidden="1" x14ac:dyDescent="0.25">
      <c r="A25" t="s">
        <v>31</v>
      </c>
      <c r="B25" s="3"/>
      <c r="C25" s="7">
        <v>0</v>
      </c>
      <c r="D25" s="7">
        <v>0</v>
      </c>
      <c r="E25" s="3" t="str">
        <f t="shared" si="0"/>
        <v/>
      </c>
      <c r="F25" s="7"/>
      <c r="G25" s="7"/>
      <c r="H25" s="3" t="str">
        <f t="shared" si="1"/>
        <v/>
      </c>
      <c r="I25" s="3" t="str">
        <f t="shared" si="2"/>
        <v/>
      </c>
    </row>
    <row r="26" spans="1:9" x14ac:dyDescent="0.25">
      <c r="A26" t="s">
        <v>32</v>
      </c>
      <c r="B26" s="3">
        <v>60000000</v>
      </c>
      <c r="C26" s="7">
        <v>60000000</v>
      </c>
      <c r="D26" s="7">
        <v>45000000</v>
      </c>
      <c r="E26" s="3">
        <f t="shared" si="0"/>
        <v>7388000</v>
      </c>
      <c r="F26" s="7">
        <f>9000000+1120000</f>
        <v>10120000</v>
      </c>
      <c r="G26" s="7">
        <f>10120000+7388000</f>
        <v>17508000</v>
      </c>
      <c r="H26" s="3">
        <f t="shared" si="1"/>
        <v>27492000</v>
      </c>
      <c r="I26" s="3">
        <f t="shared" si="2"/>
        <v>15000000</v>
      </c>
    </row>
    <row r="27" spans="1:9" x14ac:dyDescent="0.25">
      <c r="A27" t="s">
        <v>33</v>
      </c>
      <c r="B27" s="3">
        <v>45150000</v>
      </c>
      <c r="C27" s="7">
        <v>45150000</v>
      </c>
      <c r="D27" s="7">
        <v>45150000</v>
      </c>
      <c r="E27" s="3">
        <f t="shared" si="0"/>
        <v>0</v>
      </c>
      <c r="F27" s="7">
        <f>6119400+6423200+8253600</f>
        <v>20796200</v>
      </c>
      <c r="G27" s="7">
        <f>6119400+6423200+8253600</f>
        <v>20796200</v>
      </c>
      <c r="H27" s="3">
        <f t="shared" si="1"/>
        <v>24353800</v>
      </c>
      <c r="I27" s="3">
        <f t="shared" si="2"/>
        <v>0</v>
      </c>
    </row>
    <row r="28" spans="1:9" hidden="1" x14ac:dyDescent="0.25">
      <c r="A28" t="s">
        <v>34</v>
      </c>
      <c r="B28" s="3"/>
      <c r="C28" s="7"/>
      <c r="D28" s="7"/>
      <c r="E28" s="3" t="str">
        <f t="shared" si="0"/>
        <v/>
      </c>
      <c r="F28" s="7"/>
      <c r="G28" s="7"/>
      <c r="H28" s="3" t="str">
        <f t="shared" si="1"/>
        <v/>
      </c>
      <c r="I28" s="3" t="str">
        <f t="shared" si="2"/>
        <v/>
      </c>
    </row>
    <row r="29" spans="1:9" hidden="1" x14ac:dyDescent="0.25">
      <c r="A29" t="s">
        <v>35</v>
      </c>
      <c r="B29" s="3"/>
      <c r="C29" s="7"/>
      <c r="D29" s="7"/>
      <c r="E29" s="3" t="str">
        <f t="shared" si="0"/>
        <v/>
      </c>
      <c r="F29" s="7"/>
      <c r="G29" s="7"/>
      <c r="H29" s="3" t="str">
        <f t="shared" si="1"/>
        <v/>
      </c>
      <c r="I29" s="3" t="str">
        <f t="shared" si="2"/>
        <v/>
      </c>
    </row>
    <row r="30" spans="1:9" hidden="1" x14ac:dyDescent="0.25">
      <c r="A30" t="s">
        <v>36</v>
      </c>
      <c r="B30" s="3"/>
      <c r="C30" s="7"/>
      <c r="D30" s="7"/>
      <c r="E30" s="3" t="str">
        <f t="shared" si="0"/>
        <v/>
      </c>
      <c r="F30" s="7"/>
      <c r="G30" s="7"/>
      <c r="H30" s="3" t="str">
        <f t="shared" si="1"/>
        <v/>
      </c>
      <c r="I30" s="3" t="str">
        <f t="shared" si="2"/>
        <v/>
      </c>
    </row>
    <row r="31" spans="1:9" hidden="1" x14ac:dyDescent="0.25">
      <c r="A31" t="s">
        <v>37</v>
      </c>
      <c r="B31" s="3"/>
      <c r="C31" s="7"/>
      <c r="D31" s="7"/>
      <c r="E31" s="3" t="str">
        <f t="shared" si="0"/>
        <v/>
      </c>
      <c r="F31" s="7"/>
      <c r="G31" s="7"/>
      <c r="H31" s="3" t="str">
        <f t="shared" si="1"/>
        <v/>
      </c>
      <c r="I31" s="3" t="str">
        <f t="shared" si="2"/>
        <v/>
      </c>
    </row>
    <row r="32" spans="1:9" hidden="1" x14ac:dyDescent="0.25">
      <c r="A32" t="s">
        <v>38</v>
      </c>
      <c r="B32" s="3"/>
      <c r="C32" s="7"/>
      <c r="D32" s="7"/>
      <c r="E32" s="3" t="str">
        <f t="shared" si="0"/>
        <v/>
      </c>
      <c r="F32" s="7"/>
      <c r="G32" s="7"/>
      <c r="H32" s="3" t="str">
        <f t="shared" si="1"/>
        <v/>
      </c>
      <c r="I32" s="3" t="str">
        <f t="shared" si="2"/>
        <v/>
      </c>
    </row>
    <row r="33" spans="1:9" hidden="1" x14ac:dyDescent="0.25">
      <c r="A33" t="s">
        <v>39</v>
      </c>
      <c r="B33" s="3"/>
      <c r="C33" s="7"/>
      <c r="D33" s="7"/>
      <c r="E33" s="3" t="str">
        <f t="shared" si="0"/>
        <v/>
      </c>
      <c r="F33" s="7"/>
      <c r="G33" s="7"/>
      <c r="H33" s="3" t="str">
        <f t="shared" si="1"/>
        <v/>
      </c>
      <c r="I33" s="3" t="str">
        <f t="shared" si="2"/>
        <v/>
      </c>
    </row>
    <row r="34" spans="1:9" x14ac:dyDescent="0.25">
      <c r="A34" t="s">
        <v>40</v>
      </c>
      <c r="B34" s="3">
        <v>6000000</v>
      </c>
      <c r="C34" s="7">
        <v>6000000</v>
      </c>
      <c r="D34" s="7">
        <v>4500000</v>
      </c>
      <c r="E34" s="3">
        <f t="shared" si="0"/>
        <v>0</v>
      </c>
      <c r="F34" s="7"/>
      <c r="G34" s="7"/>
      <c r="H34" s="3">
        <f t="shared" si="1"/>
        <v>4500000</v>
      </c>
      <c r="I34" s="3">
        <f t="shared" si="2"/>
        <v>1500000</v>
      </c>
    </row>
    <row r="35" spans="1:9" x14ac:dyDescent="0.25">
      <c r="A35" t="s">
        <v>41</v>
      </c>
      <c r="B35" s="3">
        <v>41000000</v>
      </c>
      <c r="C35" s="7">
        <v>41000000</v>
      </c>
      <c r="D35" s="7">
        <v>30750000</v>
      </c>
      <c r="E35" s="3">
        <f t="shared" si="0"/>
        <v>5091000</v>
      </c>
      <c r="F35" s="7">
        <f>998400+1004400+993300+993300+993300</f>
        <v>4982700</v>
      </c>
      <c r="G35" s="7">
        <f>998400+1004400+993300+993300+993300+1071000+3000000+1020000</f>
        <v>10073700</v>
      </c>
      <c r="H35" s="3">
        <f t="shared" si="1"/>
        <v>20676300</v>
      </c>
      <c r="I35" s="3">
        <f t="shared" si="2"/>
        <v>10250000</v>
      </c>
    </row>
    <row r="36" spans="1:9" x14ac:dyDescent="0.25">
      <c r="A36" t="s">
        <v>42</v>
      </c>
      <c r="B36" s="3">
        <v>12000000</v>
      </c>
      <c r="C36" s="7">
        <v>12000000</v>
      </c>
      <c r="D36" s="7">
        <v>3000000</v>
      </c>
      <c r="E36" s="3">
        <f t="shared" si="0"/>
        <v>0</v>
      </c>
      <c r="F36" s="7"/>
      <c r="G36" s="7"/>
      <c r="H36" s="3">
        <f t="shared" si="1"/>
        <v>3000000</v>
      </c>
      <c r="I36" s="3">
        <f t="shared" si="2"/>
        <v>9000000</v>
      </c>
    </row>
    <row r="37" spans="1:9" x14ac:dyDescent="0.25">
      <c r="A37" t="s">
        <v>43</v>
      </c>
      <c r="B37" s="3">
        <v>171000000</v>
      </c>
      <c r="C37" s="7">
        <v>171000000</v>
      </c>
      <c r="D37" s="7">
        <v>128250000</v>
      </c>
      <c r="E37" s="3">
        <f t="shared" si="0"/>
        <v>17585000</v>
      </c>
      <c r="F37" s="7">
        <f>5880000+14996000</f>
        <v>20876000</v>
      </c>
      <c r="G37" s="7">
        <f>5880000+14996000+17585000</f>
        <v>38461000</v>
      </c>
      <c r="H37" s="3">
        <f t="shared" si="1"/>
        <v>89789000</v>
      </c>
      <c r="I37" s="3">
        <f t="shared" si="2"/>
        <v>42750000</v>
      </c>
    </row>
    <row r="38" spans="1:9" x14ac:dyDescent="0.25">
      <c r="A38" t="s">
        <v>44</v>
      </c>
      <c r="B38" s="3">
        <v>130000000</v>
      </c>
      <c r="C38" s="7">
        <v>130000000</v>
      </c>
      <c r="D38" s="7">
        <v>97500000</v>
      </c>
      <c r="E38" s="3">
        <f t="shared" si="0"/>
        <v>23953308</v>
      </c>
      <c r="F38" s="7">
        <v>54869000</v>
      </c>
      <c r="G38" s="7">
        <v>78822308</v>
      </c>
      <c r="H38" s="3">
        <f t="shared" si="1"/>
        <v>18677692</v>
      </c>
      <c r="I38" s="3">
        <f t="shared" si="2"/>
        <v>32500000</v>
      </c>
    </row>
    <row r="39" spans="1:9" x14ac:dyDescent="0.25">
      <c r="A39" t="s">
        <v>45</v>
      </c>
      <c r="B39" s="3">
        <v>6660000</v>
      </c>
      <c r="C39" s="7">
        <v>6660000</v>
      </c>
      <c r="D39" s="7">
        <v>6660000</v>
      </c>
      <c r="E39" s="3">
        <f t="shared" si="0"/>
        <v>999000</v>
      </c>
      <c r="F39" s="7">
        <f>1665000+1582644</f>
        <v>3247644</v>
      </c>
      <c r="G39" s="7">
        <f>1665000+1582644+999000</f>
        <v>4246644</v>
      </c>
      <c r="H39" s="3">
        <f t="shared" si="1"/>
        <v>2413356</v>
      </c>
      <c r="I39" s="3">
        <f t="shared" si="2"/>
        <v>0</v>
      </c>
    </row>
    <row r="40" spans="1:9" x14ac:dyDescent="0.25">
      <c r="A40" t="s">
        <v>46</v>
      </c>
      <c r="B40" s="3">
        <v>6000000</v>
      </c>
      <c r="C40" s="7">
        <v>6000000</v>
      </c>
      <c r="D40" s="7">
        <v>6000000</v>
      </c>
      <c r="E40" s="3">
        <f t="shared" si="0"/>
        <v>0</v>
      </c>
      <c r="F40" s="7">
        <v>5982000</v>
      </c>
      <c r="G40" s="7">
        <v>5982000</v>
      </c>
      <c r="H40" s="3">
        <f t="shared" si="1"/>
        <v>18000</v>
      </c>
      <c r="I40" s="3">
        <f t="shared" si="2"/>
        <v>0</v>
      </c>
    </row>
    <row r="41" spans="1:9" hidden="1" x14ac:dyDescent="0.25">
      <c r="A41" t="s">
        <v>47</v>
      </c>
      <c r="B41" s="3"/>
      <c r="C41" s="4"/>
      <c r="D41" s="4"/>
      <c r="E41" s="3" t="str">
        <f t="shared" si="0"/>
        <v/>
      </c>
      <c r="F41" s="4"/>
      <c r="G41" s="4"/>
      <c r="H41" s="3" t="str">
        <f t="shared" si="1"/>
        <v/>
      </c>
      <c r="I41" s="3" t="str">
        <f t="shared" si="2"/>
        <v/>
      </c>
    </row>
    <row r="42" spans="1:9" hidden="1" x14ac:dyDescent="0.25">
      <c r="A42" t="s">
        <v>48</v>
      </c>
      <c r="B42" s="3"/>
      <c r="C42" s="4"/>
      <c r="D42" s="4"/>
      <c r="E42" s="3" t="str">
        <f t="shared" si="0"/>
        <v/>
      </c>
      <c r="F42" s="4"/>
      <c r="G42" s="4"/>
      <c r="H42" s="3" t="str">
        <f t="shared" si="1"/>
        <v/>
      </c>
      <c r="I42" s="3" t="str">
        <f t="shared" si="2"/>
        <v/>
      </c>
    </row>
    <row r="43" spans="1:9" hidden="1" x14ac:dyDescent="0.25">
      <c r="A43" t="s">
        <v>49</v>
      </c>
      <c r="B43" s="3"/>
      <c r="C43" s="4"/>
      <c r="D43" s="4"/>
      <c r="E43" s="3" t="str">
        <f t="shared" si="0"/>
        <v/>
      </c>
      <c r="F43" s="4"/>
      <c r="G43" s="4"/>
      <c r="H43" s="3" t="str">
        <f t="shared" si="1"/>
        <v/>
      </c>
      <c r="I43" s="3" t="str">
        <f t="shared" si="2"/>
        <v/>
      </c>
    </row>
    <row r="44" spans="1:9" hidden="1" x14ac:dyDescent="0.25">
      <c r="A44" t="s">
        <v>50</v>
      </c>
      <c r="B44" s="3"/>
      <c r="C44" s="4"/>
      <c r="D44" s="4"/>
      <c r="E44" s="3" t="str">
        <f t="shared" si="0"/>
        <v/>
      </c>
      <c r="F44" s="4"/>
      <c r="G44" s="4"/>
      <c r="H44" s="3" t="str">
        <f t="shared" si="1"/>
        <v/>
      </c>
      <c r="I44" s="3" t="str">
        <f t="shared" si="2"/>
        <v/>
      </c>
    </row>
    <row r="45" spans="1:9" hidden="1" x14ac:dyDescent="0.25">
      <c r="A45" t="s">
        <v>51</v>
      </c>
      <c r="B45" s="3"/>
      <c r="C45" s="4"/>
      <c r="D45" s="4"/>
      <c r="E45" s="3" t="str">
        <f t="shared" si="0"/>
        <v/>
      </c>
      <c r="F45" s="4"/>
      <c r="G45" s="4"/>
      <c r="H45" s="3" t="str">
        <f t="shared" si="1"/>
        <v/>
      </c>
      <c r="I45" s="3" t="str">
        <f t="shared" si="2"/>
        <v/>
      </c>
    </row>
    <row r="46" spans="1:9" hidden="1" x14ac:dyDescent="0.25">
      <c r="A46" t="s">
        <v>52</v>
      </c>
      <c r="B46" s="3"/>
      <c r="C46" s="4"/>
      <c r="D46" s="4"/>
      <c r="E46" s="3" t="str">
        <f t="shared" si="0"/>
        <v/>
      </c>
      <c r="F46" s="4"/>
      <c r="G46" s="4"/>
      <c r="H46" s="3" t="str">
        <f t="shared" si="1"/>
        <v/>
      </c>
      <c r="I46" s="3" t="str">
        <f t="shared" si="2"/>
        <v/>
      </c>
    </row>
    <row r="47" spans="1:9" hidden="1" x14ac:dyDescent="0.25">
      <c r="A47" t="s">
        <v>53</v>
      </c>
      <c r="B47" s="3"/>
      <c r="C47" s="4"/>
      <c r="D47" s="4"/>
      <c r="E47" s="3" t="str">
        <f t="shared" si="0"/>
        <v/>
      </c>
      <c r="F47" s="4"/>
      <c r="G47" s="4"/>
      <c r="H47" s="3" t="str">
        <f t="shared" si="1"/>
        <v/>
      </c>
      <c r="I47" s="3" t="str">
        <f t="shared" si="2"/>
        <v/>
      </c>
    </row>
    <row r="48" spans="1:9" hidden="1" x14ac:dyDescent="0.25">
      <c r="A48" t="s">
        <v>54</v>
      </c>
      <c r="B48" s="3"/>
      <c r="C48" s="4"/>
      <c r="D48" s="4"/>
      <c r="E48" s="3" t="str">
        <f t="shared" si="0"/>
        <v/>
      </c>
      <c r="F48" s="4"/>
      <c r="G48" s="4"/>
      <c r="H48" s="3" t="str">
        <f t="shared" si="1"/>
        <v/>
      </c>
      <c r="I48" s="3" t="str">
        <f t="shared" si="2"/>
        <v/>
      </c>
    </row>
    <row r="49" spans="1:9" hidden="1" x14ac:dyDescent="0.25">
      <c r="A49" t="s">
        <v>55</v>
      </c>
      <c r="B49" s="3"/>
      <c r="C49" s="4"/>
      <c r="D49" s="4"/>
      <c r="E49" s="3" t="str">
        <f t="shared" si="0"/>
        <v/>
      </c>
      <c r="F49" s="4"/>
      <c r="G49" s="4"/>
      <c r="H49" s="3" t="str">
        <f t="shared" si="1"/>
        <v/>
      </c>
      <c r="I49" s="3" t="str">
        <f t="shared" si="2"/>
        <v/>
      </c>
    </row>
    <row r="50" spans="1:9" hidden="1" x14ac:dyDescent="0.25">
      <c r="A50" t="s">
        <v>56</v>
      </c>
      <c r="B50" s="3"/>
      <c r="C50" s="4"/>
      <c r="D50" s="4"/>
      <c r="E50" s="3" t="str">
        <f t="shared" si="0"/>
        <v/>
      </c>
      <c r="F50" s="4"/>
      <c r="G50" s="4"/>
      <c r="H50" s="3" t="str">
        <f t="shared" si="1"/>
        <v/>
      </c>
      <c r="I50" s="3" t="str">
        <f t="shared" si="2"/>
        <v/>
      </c>
    </row>
    <row r="51" spans="1:9" hidden="1" x14ac:dyDescent="0.25">
      <c r="A51" t="s">
        <v>57</v>
      </c>
      <c r="B51" s="3"/>
      <c r="C51" s="4"/>
      <c r="D51" s="4"/>
      <c r="E51" s="3" t="str">
        <f t="shared" si="0"/>
        <v/>
      </c>
      <c r="F51" s="4"/>
      <c r="G51" s="4"/>
      <c r="H51" s="3" t="str">
        <f t="shared" si="1"/>
        <v/>
      </c>
      <c r="I51" s="3" t="str">
        <f t="shared" si="2"/>
        <v/>
      </c>
    </row>
    <row r="52" spans="1:9" hidden="1" x14ac:dyDescent="0.25">
      <c r="A52" t="s">
        <v>58</v>
      </c>
      <c r="B52" s="3"/>
      <c r="C52" s="4"/>
      <c r="D52" s="4"/>
      <c r="E52" s="3" t="str">
        <f t="shared" si="0"/>
        <v/>
      </c>
      <c r="F52" s="4"/>
      <c r="G52" s="4"/>
      <c r="H52" s="3" t="str">
        <f t="shared" si="1"/>
        <v/>
      </c>
      <c r="I52" s="3" t="str">
        <f t="shared" si="2"/>
        <v/>
      </c>
    </row>
    <row r="53" spans="1:9" hidden="1" x14ac:dyDescent="0.25">
      <c r="A53" t="s">
        <v>59</v>
      </c>
      <c r="B53" s="3"/>
      <c r="C53" s="4"/>
      <c r="D53" s="4"/>
      <c r="E53" s="3" t="str">
        <f t="shared" si="0"/>
        <v/>
      </c>
      <c r="F53" s="4"/>
      <c r="G53" s="4"/>
      <c r="H53" s="3" t="str">
        <f t="shared" si="1"/>
        <v/>
      </c>
      <c r="I53" s="3" t="str">
        <f t="shared" si="2"/>
        <v/>
      </c>
    </row>
    <row r="54" spans="1:9" s="8" customFormat="1" x14ac:dyDescent="0.25">
      <c r="A54" s="8" t="s">
        <v>60</v>
      </c>
      <c r="B54" s="9">
        <f>SUM(B2:B53)</f>
        <v>2349760730</v>
      </c>
      <c r="C54" s="9">
        <f t="shared" ref="C54:I54" si="3">SUM(C2:C53)</f>
        <v>2349760730</v>
      </c>
      <c r="D54" s="9">
        <f t="shared" si="3"/>
        <v>2238760730</v>
      </c>
      <c r="E54" s="9">
        <f t="shared" si="3"/>
        <v>996899008</v>
      </c>
      <c r="F54" s="9">
        <f t="shared" si="3"/>
        <v>784402774</v>
      </c>
      <c r="G54" s="9">
        <f t="shared" si="3"/>
        <v>1781301782</v>
      </c>
      <c r="H54" s="9">
        <f t="shared" si="3"/>
        <v>457458948</v>
      </c>
      <c r="I54" s="9">
        <f t="shared" si="3"/>
        <v>111000000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II PD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56781</dc:creator>
  <cp:lastModifiedBy>Prasarana</cp:lastModifiedBy>
  <dcterms:created xsi:type="dcterms:W3CDTF">2026-03-17T03:17:30Z</dcterms:created>
  <dcterms:modified xsi:type="dcterms:W3CDTF">2026-07-31T10:44:09Z</dcterms:modified>
</cp:coreProperties>
</file>