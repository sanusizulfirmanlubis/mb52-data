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G:\My Drive\3. TSSP.3\1. Laporan Bulanan\2026\3. Mar\KP\RKA\"/>
    </mc:Choice>
  </mc:AlternateContent>
  <xr:revisionPtr revIDLastSave="0" documentId="13_ncr:1_{3D7A97A4-4776-4D35-86D1-586F803A99F9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Budget 3 Juni 2024" sheetId="1" r:id="rId1"/>
    <sheet name="II PD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472" i="1" l="1"/>
  <c r="G472" i="1"/>
  <c r="F472" i="1"/>
  <c r="E472" i="1"/>
  <c r="D472" i="1"/>
  <c r="C472" i="1"/>
  <c r="B472" i="1"/>
  <c r="H471" i="1"/>
  <c r="G471" i="1"/>
  <c r="F471" i="1"/>
  <c r="E471" i="1"/>
  <c r="D471" i="1"/>
  <c r="C471" i="1"/>
  <c r="B471" i="1"/>
  <c r="H470" i="1"/>
  <c r="G470" i="1"/>
  <c r="F470" i="1"/>
  <c r="E470" i="1"/>
  <c r="D470" i="1"/>
  <c r="C470" i="1"/>
  <c r="B470" i="1"/>
  <c r="H469" i="1"/>
  <c r="G469" i="1"/>
  <c r="F469" i="1"/>
  <c r="E469" i="1"/>
  <c r="D469" i="1"/>
  <c r="C469" i="1"/>
  <c r="B469" i="1"/>
  <c r="H468" i="1"/>
  <c r="G468" i="1"/>
  <c r="F468" i="1"/>
  <c r="E468" i="1"/>
  <c r="D468" i="1"/>
  <c r="C468" i="1"/>
  <c r="B468" i="1"/>
  <c r="H467" i="1"/>
  <c r="G467" i="1"/>
  <c r="F467" i="1"/>
  <c r="E467" i="1"/>
  <c r="D467" i="1"/>
  <c r="C467" i="1"/>
  <c r="B467" i="1"/>
  <c r="H466" i="1"/>
  <c r="G466" i="1"/>
  <c r="F466" i="1"/>
  <c r="E466" i="1"/>
  <c r="D466" i="1"/>
  <c r="C466" i="1"/>
  <c r="B466" i="1"/>
  <c r="H465" i="1"/>
  <c r="G465" i="1"/>
  <c r="F465" i="1"/>
  <c r="E465" i="1"/>
  <c r="D465" i="1"/>
  <c r="C465" i="1"/>
  <c r="B465" i="1"/>
  <c r="H464" i="1"/>
  <c r="G464" i="1"/>
  <c r="F464" i="1"/>
  <c r="E464" i="1"/>
  <c r="D464" i="1"/>
  <c r="C464" i="1"/>
  <c r="B464" i="1"/>
  <c r="H463" i="1"/>
  <c r="G463" i="1"/>
  <c r="F463" i="1"/>
  <c r="E463" i="1"/>
  <c r="D463" i="1"/>
  <c r="C463" i="1"/>
  <c r="B463" i="1"/>
  <c r="H462" i="1"/>
  <c r="G462" i="1"/>
  <c r="F462" i="1"/>
  <c r="E462" i="1"/>
  <c r="D462" i="1"/>
  <c r="C462" i="1"/>
  <c r="B462" i="1"/>
  <c r="H461" i="1"/>
  <c r="G461" i="1"/>
  <c r="F461" i="1"/>
  <c r="E461" i="1"/>
  <c r="D461" i="1"/>
  <c r="C461" i="1"/>
  <c r="B461" i="1"/>
  <c r="H460" i="1"/>
  <c r="G460" i="1"/>
  <c r="F460" i="1"/>
  <c r="E460" i="1"/>
  <c r="D460" i="1"/>
  <c r="C460" i="1"/>
  <c r="B460" i="1"/>
  <c r="H459" i="1"/>
  <c r="G459" i="1"/>
  <c r="F459" i="1"/>
  <c r="E459" i="1"/>
  <c r="D459" i="1"/>
  <c r="C459" i="1"/>
  <c r="B459" i="1"/>
  <c r="H458" i="1"/>
  <c r="G458" i="1"/>
  <c r="F458" i="1"/>
  <c r="E458" i="1"/>
  <c r="D458" i="1"/>
  <c r="C458" i="1"/>
  <c r="B458" i="1"/>
  <c r="H457" i="1"/>
  <c r="G457" i="1"/>
  <c r="F457" i="1"/>
  <c r="E457" i="1"/>
  <c r="D457" i="1"/>
  <c r="C457" i="1"/>
  <c r="B457" i="1"/>
  <c r="H456" i="1"/>
  <c r="G456" i="1"/>
  <c r="F456" i="1"/>
  <c r="E456" i="1"/>
  <c r="D456" i="1"/>
  <c r="C456" i="1"/>
  <c r="B456" i="1"/>
  <c r="H455" i="1"/>
  <c r="G455" i="1"/>
  <c r="F455" i="1"/>
  <c r="E455" i="1"/>
  <c r="D455" i="1"/>
  <c r="C455" i="1"/>
  <c r="B455" i="1"/>
  <c r="H454" i="1"/>
  <c r="G454" i="1"/>
  <c r="F454" i="1"/>
  <c r="E454" i="1"/>
  <c r="D454" i="1"/>
  <c r="C454" i="1"/>
  <c r="B454" i="1"/>
  <c r="H453" i="1"/>
  <c r="G453" i="1"/>
  <c r="F453" i="1"/>
  <c r="E453" i="1"/>
  <c r="D453" i="1"/>
  <c r="C453" i="1"/>
  <c r="B453" i="1"/>
  <c r="H452" i="1"/>
  <c r="G452" i="1"/>
  <c r="F452" i="1"/>
  <c r="E452" i="1"/>
  <c r="D452" i="1"/>
  <c r="C452" i="1"/>
  <c r="B452" i="1"/>
  <c r="H451" i="1"/>
  <c r="G451" i="1"/>
  <c r="F451" i="1"/>
  <c r="E451" i="1"/>
  <c r="D451" i="1"/>
  <c r="C451" i="1"/>
  <c r="B451" i="1"/>
  <c r="H450" i="1"/>
  <c r="G450" i="1"/>
  <c r="F450" i="1"/>
  <c r="E450" i="1"/>
  <c r="D450" i="1"/>
  <c r="C450" i="1"/>
  <c r="B450" i="1"/>
  <c r="H449" i="1"/>
  <c r="G449" i="1"/>
  <c r="F449" i="1"/>
  <c r="E449" i="1"/>
  <c r="D449" i="1"/>
  <c r="C449" i="1"/>
  <c r="B449" i="1"/>
  <c r="H448" i="1"/>
  <c r="G448" i="1"/>
  <c r="F448" i="1"/>
  <c r="E448" i="1"/>
  <c r="D448" i="1"/>
  <c r="C448" i="1"/>
  <c r="B448" i="1"/>
  <c r="H447" i="1"/>
  <c r="G447" i="1"/>
  <c r="F447" i="1"/>
  <c r="E447" i="1"/>
  <c r="D447" i="1"/>
  <c r="C447" i="1"/>
  <c r="B447" i="1"/>
  <c r="H446" i="1"/>
  <c r="G446" i="1"/>
  <c r="F446" i="1"/>
  <c r="E446" i="1"/>
  <c r="D446" i="1"/>
  <c r="C446" i="1"/>
  <c r="B446" i="1"/>
  <c r="H445" i="1"/>
  <c r="G445" i="1"/>
  <c r="F445" i="1"/>
  <c r="E445" i="1"/>
  <c r="D445" i="1"/>
  <c r="C445" i="1"/>
  <c r="B445" i="1"/>
  <c r="H444" i="1"/>
  <c r="G444" i="1"/>
  <c r="F444" i="1"/>
  <c r="E444" i="1"/>
  <c r="D444" i="1"/>
  <c r="C444" i="1"/>
  <c r="B444" i="1"/>
  <c r="H443" i="1"/>
  <c r="G443" i="1"/>
  <c r="F443" i="1"/>
  <c r="E443" i="1"/>
  <c r="D443" i="1"/>
  <c r="C443" i="1"/>
  <c r="B443" i="1"/>
  <c r="H442" i="1"/>
  <c r="G442" i="1"/>
  <c r="F442" i="1"/>
  <c r="E442" i="1"/>
  <c r="D442" i="1"/>
  <c r="C442" i="1"/>
  <c r="B442" i="1"/>
  <c r="H441" i="1"/>
  <c r="G441" i="1"/>
  <c r="F441" i="1"/>
  <c r="E441" i="1"/>
  <c r="D441" i="1"/>
  <c r="C441" i="1"/>
  <c r="B441" i="1"/>
  <c r="H440" i="1"/>
  <c r="G440" i="1"/>
  <c r="F440" i="1"/>
  <c r="E440" i="1"/>
  <c r="D440" i="1"/>
  <c r="C440" i="1"/>
  <c r="B440" i="1"/>
  <c r="H439" i="1"/>
  <c r="G439" i="1"/>
  <c r="F439" i="1"/>
  <c r="E439" i="1"/>
  <c r="D439" i="1"/>
  <c r="C439" i="1"/>
  <c r="B439" i="1"/>
  <c r="H438" i="1"/>
  <c r="G438" i="1"/>
  <c r="F438" i="1"/>
  <c r="E438" i="1"/>
  <c r="D438" i="1"/>
  <c r="C438" i="1"/>
  <c r="B438" i="1"/>
  <c r="H437" i="1"/>
  <c r="G437" i="1"/>
  <c r="F437" i="1"/>
  <c r="E437" i="1"/>
  <c r="D437" i="1"/>
  <c r="C437" i="1"/>
  <c r="B437" i="1"/>
  <c r="H436" i="1"/>
  <c r="G436" i="1"/>
  <c r="F436" i="1"/>
  <c r="E436" i="1"/>
  <c r="D436" i="1"/>
  <c r="C436" i="1"/>
  <c r="B436" i="1"/>
  <c r="H435" i="1"/>
  <c r="G435" i="1"/>
  <c r="F435" i="1"/>
  <c r="E435" i="1"/>
  <c r="D435" i="1"/>
  <c r="C435" i="1"/>
  <c r="B435" i="1"/>
  <c r="H434" i="1"/>
  <c r="G434" i="1"/>
  <c r="F434" i="1"/>
  <c r="E434" i="1"/>
  <c r="D434" i="1"/>
  <c r="C434" i="1"/>
  <c r="B434" i="1"/>
  <c r="H433" i="1"/>
  <c r="G433" i="1"/>
  <c r="F433" i="1"/>
  <c r="E433" i="1"/>
  <c r="D433" i="1"/>
  <c r="C433" i="1"/>
  <c r="B433" i="1"/>
  <c r="H432" i="1"/>
  <c r="G432" i="1"/>
  <c r="F432" i="1"/>
  <c r="E432" i="1"/>
  <c r="D432" i="1"/>
  <c r="C432" i="1"/>
  <c r="B432" i="1"/>
  <c r="H431" i="1"/>
  <c r="G431" i="1"/>
  <c r="F431" i="1"/>
  <c r="E431" i="1"/>
  <c r="D431" i="1"/>
  <c r="C431" i="1"/>
  <c r="B431" i="1"/>
  <c r="H430" i="1"/>
  <c r="G430" i="1"/>
  <c r="F430" i="1"/>
  <c r="E430" i="1"/>
  <c r="D430" i="1"/>
  <c r="C430" i="1"/>
  <c r="B430" i="1"/>
  <c r="H429" i="1"/>
  <c r="G429" i="1"/>
  <c r="F429" i="1"/>
  <c r="E429" i="1"/>
  <c r="D429" i="1"/>
  <c r="C429" i="1"/>
  <c r="B429" i="1"/>
  <c r="H428" i="1"/>
  <c r="G428" i="1"/>
  <c r="F428" i="1"/>
  <c r="E428" i="1"/>
  <c r="D428" i="1"/>
  <c r="C428" i="1"/>
  <c r="B428" i="1"/>
  <c r="H427" i="1"/>
  <c r="G427" i="1"/>
  <c r="F427" i="1"/>
  <c r="E427" i="1"/>
  <c r="D427" i="1"/>
  <c r="C427" i="1"/>
  <c r="B427" i="1"/>
  <c r="H426" i="1"/>
  <c r="G426" i="1"/>
  <c r="F426" i="1"/>
  <c r="E426" i="1"/>
  <c r="D426" i="1"/>
  <c r="C426" i="1"/>
  <c r="B426" i="1"/>
  <c r="H425" i="1"/>
  <c r="G425" i="1"/>
  <c r="F425" i="1"/>
  <c r="E425" i="1"/>
  <c r="D425" i="1"/>
  <c r="C425" i="1"/>
  <c r="B425" i="1"/>
  <c r="H424" i="1"/>
  <c r="G424" i="1"/>
  <c r="F424" i="1"/>
  <c r="E424" i="1"/>
  <c r="D424" i="1"/>
  <c r="C424" i="1"/>
  <c r="B424" i="1"/>
  <c r="H423" i="1"/>
  <c r="G423" i="1"/>
  <c r="F423" i="1"/>
  <c r="E423" i="1"/>
  <c r="D423" i="1"/>
  <c r="C423" i="1"/>
  <c r="B423" i="1"/>
  <c r="H422" i="1"/>
  <c r="G422" i="1"/>
  <c r="F422" i="1"/>
  <c r="E422" i="1"/>
  <c r="D422" i="1"/>
  <c r="C422" i="1"/>
  <c r="B422" i="1"/>
  <c r="H421" i="1"/>
  <c r="G421" i="1"/>
  <c r="F421" i="1"/>
  <c r="E421" i="1"/>
  <c r="D421" i="1"/>
  <c r="C421" i="1"/>
  <c r="B421" i="1"/>
  <c r="H420" i="1"/>
  <c r="G420" i="1"/>
  <c r="F420" i="1"/>
  <c r="E420" i="1"/>
  <c r="D420" i="1"/>
  <c r="C420" i="1"/>
  <c r="B420" i="1"/>
  <c r="G54" i="3"/>
  <c r="F54" i="3"/>
  <c r="B54" i="3"/>
  <c r="I53" i="3"/>
  <c r="H53" i="3"/>
  <c r="E53" i="3"/>
  <c r="I52" i="3"/>
  <c r="H52" i="3"/>
  <c r="E52" i="3"/>
  <c r="I51" i="3"/>
  <c r="H51" i="3"/>
  <c r="E51" i="3"/>
  <c r="I50" i="3"/>
  <c r="H50" i="3"/>
  <c r="E50" i="3"/>
  <c r="I49" i="3"/>
  <c r="H49" i="3"/>
  <c r="E49" i="3"/>
  <c r="I48" i="3"/>
  <c r="H48" i="3"/>
  <c r="E48" i="3"/>
  <c r="I47" i="3"/>
  <c r="H47" i="3"/>
  <c r="E47" i="3"/>
  <c r="I46" i="3"/>
  <c r="H46" i="3"/>
  <c r="E46" i="3"/>
  <c r="I45" i="3"/>
  <c r="H45" i="3"/>
  <c r="E45" i="3"/>
  <c r="I44" i="3"/>
  <c r="H44" i="3"/>
  <c r="E44" i="3"/>
  <c r="I43" i="3"/>
  <c r="H43" i="3"/>
  <c r="E43" i="3"/>
  <c r="I42" i="3"/>
  <c r="H42" i="3"/>
  <c r="E42" i="3"/>
  <c r="I41" i="3"/>
  <c r="H41" i="3"/>
  <c r="E41" i="3"/>
  <c r="I40" i="3"/>
  <c r="E40" i="3"/>
  <c r="D40" i="3"/>
  <c r="H40" i="3" s="1"/>
  <c r="C40" i="3"/>
  <c r="E39" i="3"/>
  <c r="D39" i="3"/>
  <c r="H39" i="3" s="1"/>
  <c r="C39" i="3"/>
  <c r="I39" i="3" s="1"/>
  <c r="E38" i="3"/>
  <c r="C38" i="3"/>
  <c r="D38" i="3" s="1"/>
  <c r="H38" i="3" s="1"/>
  <c r="E37" i="3"/>
  <c r="C37" i="3"/>
  <c r="D37" i="3" s="1"/>
  <c r="E36" i="3"/>
  <c r="C36" i="3"/>
  <c r="E35" i="3"/>
  <c r="C35" i="3"/>
  <c r="I34" i="3"/>
  <c r="H34" i="3"/>
  <c r="E34" i="3"/>
  <c r="D34" i="3"/>
  <c r="C34" i="3"/>
  <c r="I33" i="3"/>
  <c r="H33" i="3"/>
  <c r="E33" i="3"/>
  <c r="I32" i="3"/>
  <c r="H32" i="3"/>
  <c r="E32" i="3"/>
  <c r="I31" i="3"/>
  <c r="H31" i="3"/>
  <c r="E31" i="3"/>
  <c r="I30" i="3"/>
  <c r="H30" i="3"/>
  <c r="E30" i="3"/>
  <c r="I29" i="3"/>
  <c r="H29" i="3"/>
  <c r="E29" i="3"/>
  <c r="I28" i="3"/>
  <c r="H28" i="3"/>
  <c r="E28" i="3"/>
  <c r="E27" i="3"/>
  <c r="D27" i="3"/>
  <c r="H27" i="3" s="1"/>
  <c r="C27" i="3"/>
  <c r="I27" i="3" s="1"/>
  <c r="E26" i="3"/>
  <c r="C26" i="3"/>
  <c r="I25" i="3"/>
  <c r="H25" i="3"/>
  <c r="E25" i="3"/>
  <c r="C25" i="3"/>
  <c r="D25" i="3" s="1"/>
  <c r="I24" i="3"/>
  <c r="H24" i="3"/>
  <c r="E24" i="3"/>
  <c r="C24" i="3"/>
  <c r="D24" i="3" s="1"/>
  <c r="E23" i="3"/>
  <c r="C23" i="3"/>
  <c r="D23" i="3" s="1"/>
  <c r="H23" i="3" s="1"/>
  <c r="I22" i="3"/>
  <c r="H22" i="3"/>
  <c r="E22" i="3"/>
  <c r="D22" i="3"/>
  <c r="C22" i="3"/>
  <c r="H21" i="3"/>
  <c r="E21" i="3"/>
  <c r="C21" i="3"/>
  <c r="I21" i="3" s="1"/>
  <c r="E20" i="3"/>
  <c r="C20" i="3"/>
  <c r="E19" i="3"/>
  <c r="C19" i="3"/>
  <c r="I18" i="3"/>
  <c r="H18" i="3"/>
  <c r="E18" i="3"/>
  <c r="C18" i="3"/>
  <c r="D18" i="3" s="1"/>
  <c r="I17" i="3"/>
  <c r="H17" i="3"/>
  <c r="E17" i="3"/>
  <c r="D17" i="3"/>
  <c r="C17" i="3"/>
  <c r="I16" i="3"/>
  <c r="H16" i="3"/>
  <c r="E16" i="3"/>
  <c r="C16" i="3"/>
  <c r="D16" i="3" s="1"/>
  <c r="I15" i="3"/>
  <c r="H15" i="3"/>
  <c r="E15" i="3"/>
  <c r="D15" i="3"/>
  <c r="C15" i="3"/>
  <c r="I14" i="3"/>
  <c r="H14" i="3"/>
  <c r="E14" i="3"/>
  <c r="C14" i="3"/>
  <c r="D14" i="3" s="1"/>
  <c r="I13" i="3"/>
  <c r="H13" i="3"/>
  <c r="E13" i="3"/>
  <c r="C13" i="3"/>
  <c r="D13" i="3" s="1"/>
  <c r="I12" i="3"/>
  <c r="H12" i="3"/>
  <c r="E12" i="3"/>
  <c r="C12" i="3"/>
  <c r="D12" i="3" s="1"/>
  <c r="I11" i="3"/>
  <c r="H11" i="3"/>
  <c r="E11" i="3"/>
  <c r="C11" i="3"/>
  <c r="D11" i="3" s="1"/>
  <c r="I10" i="3"/>
  <c r="H10" i="3"/>
  <c r="E10" i="3"/>
  <c r="C10" i="3"/>
  <c r="D10" i="3" s="1"/>
  <c r="I9" i="3"/>
  <c r="H9" i="3"/>
  <c r="E9" i="3"/>
  <c r="D9" i="3"/>
  <c r="C9" i="3"/>
  <c r="I8" i="3"/>
  <c r="H8" i="3"/>
  <c r="E8" i="3"/>
  <c r="C8" i="3"/>
  <c r="D8" i="3" s="1"/>
  <c r="I7" i="3"/>
  <c r="H7" i="3"/>
  <c r="E7" i="3"/>
  <c r="C7" i="3"/>
  <c r="D7" i="3" s="1"/>
  <c r="I6" i="3"/>
  <c r="H6" i="3"/>
  <c r="E6" i="3"/>
  <c r="D6" i="3"/>
  <c r="C6" i="3"/>
  <c r="I5" i="3"/>
  <c r="H5" i="3"/>
  <c r="E5" i="3"/>
  <c r="C5" i="3"/>
  <c r="D5" i="3" s="1"/>
  <c r="I4" i="3"/>
  <c r="H4" i="3"/>
  <c r="E4" i="3"/>
  <c r="C4" i="3"/>
  <c r="D4" i="3" s="1"/>
  <c r="I3" i="3"/>
  <c r="H3" i="3"/>
  <c r="E3" i="3"/>
  <c r="C3" i="3"/>
  <c r="C54" i="3" s="1"/>
  <c r="E2" i="3"/>
  <c r="E54" i="3" s="1"/>
  <c r="C2" i="3"/>
  <c r="D2" i="3" s="1"/>
  <c r="I37" i="3" l="1"/>
  <c r="H37" i="3"/>
  <c r="I2" i="3"/>
  <c r="H2" i="3"/>
  <c r="D26" i="3"/>
  <c r="H26" i="3" s="1"/>
  <c r="D3" i="3"/>
  <c r="D54" i="3" s="1"/>
  <c r="D20" i="3"/>
  <c r="H20" i="3" s="1"/>
  <c r="I38" i="3"/>
  <c r="D35" i="3"/>
  <c r="H35" i="3" s="1"/>
  <c r="I23" i="3"/>
  <c r="D19" i="3"/>
  <c r="H19" i="3" s="1"/>
  <c r="D36" i="3"/>
  <c r="H36" i="3" s="1"/>
  <c r="H54" i="3" l="1"/>
  <c r="I35" i="3"/>
  <c r="I26" i="3"/>
  <c r="I19" i="3"/>
  <c r="I54" i="3" s="1"/>
  <c r="I36" i="3"/>
  <c r="I20" i="3"/>
</calcChain>
</file>

<file path=xl/sharedStrings.xml><?xml version="1.0" encoding="utf-8"?>
<sst xmlns="http://schemas.openxmlformats.org/spreadsheetml/2006/main" count="616" uniqueCount="152">
  <si>
    <t>Funds Center/Commitment Item</t>
  </si>
  <si>
    <t>RKAP</t>
  </si>
  <si>
    <t>Release Budget</t>
  </si>
  <si>
    <t>Comitment</t>
  </si>
  <si>
    <t>Actual</t>
  </si>
  <si>
    <t>Consumed Budget</t>
  </si>
  <si>
    <t>Budget Available</t>
  </si>
  <si>
    <t>Not Release</t>
  </si>
  <si>
    <t>1182000000  Persediaan Prasarana Perkeretaapian dan Umum</t>
  </si>
  <si>
    <t>4211000000  Perawatan Bangunan Lainnya KAI</t>
  </si>
  <si>
    <t>4221421010  Peralatan Dalam Sinyal Elektrik BMN</t>
  </si>
  <si>
    <t>4221422010  Peralatan Luar Sinyal Elektrik BMN</t>
  </si>
  <si>
    <t>4221423010  Peralatan Dalam Sinyal Mekanik BMN</t>
  </si>
  <si>
    <t>4221425010  Pengamanan Perlintasan Sebidang BMN</t>
  </si>
  <si>
    <t>4221426010  Pesawat Telepon BMN</t>
  </si>
  <si>
    <t>4221427010  Transmisi Komunikasi BMN</t>
  </si>
  <si>
    <t>4221428010  Peralatan Pendukung Sintel BMN</t>
  </si>
  <si>
    <t>4221429011  Beban Pemakaian Alat Kerja pendukung perawatan BMN</t>
  </si>
  <si>
    <t>4221521010  Catu Daya LAA BMN</t>
  </si>
  <si>
    <t>4221522010  Tranmisi Tenaga LAA BMN</t>
  </si>
  <si>
    <t>4221570010  Alat Kerja LAA BMN</t>
  </si>
  <si>
    <t>4222521010  Catu Daya LAA KAI</t>
  </si>
  <si>
    <t>4222600000  Peralatan Khusus Prasarana KAI</t>
  </si>
  <si>
    <t>4231110000  Rapat&amp;Akomodasi BbnUmum Prwtn Prasarana Pemerintah</t>
  </si>
  <si>
    <t>4231140000  Komunikasi Radio &amp; Telekomunikasi</t>
  </si>
  <si>
    <t>4233100000  Rapat&amp;Akomodasi Beban Umum Perawatan Prasarana KAI</t>
  </si>
  <si>
    <t>4233150010  Kerumahtanggaan Beban Umum Perawatan Prasarana KAI</t>
  </si>
  <si>
    <t>4233151710  Kerumahtanggaan UMDT Beban Umum Perawatan Pras KAI</t>
  </si>
  <si>
    <t>4233160010  Inventaris Beban Umum Perawatan Prasarana KAI</t>
  </si>
  <si>
    <t>4233180010  Beban Umum Pengiriman Prasarana KAI</t>
  </si>
  <si>
    <t>4233200000  Perjalanan Dinas BebanUmum Perawatan Prasarana KAI</t>
  </si>
  <si>
    <t>4233400000  ATK Beban Umum Perawatan Prasarana KAI</t>
  </si>
  <si>
    <t>4272100010  Gaji &amp;Tunjangan PegawaiPerawatan Prasarana Unit JJ</t>
  </si>
  <si>
    <t>4272200010  Iuran Pensiun Pegawai Perawatan Prasarana Unit JJ/</t>
  </si>
  <si>
    <t>4272400000  Lembur dan Perangsang Peg PrwtnPrsrna unit JJ/Sntl</t>
  </si>
  <si>
    <t>4272500000  PakaianDinas PegPrwtn PrasaranaUnit JJ/sntl/BY Pra</t>
  </si>
  <si>
    <t>4273100010  Gaji &amp;Tunjangan Pegawai Renwas JJ/Sintel LAA</t>
  </si>
  <si>
    <t>4273200010  Iuran Pensiun Pegawai Renwas JJ/Sintel LAA</t>
  </si>
  <si>
    <t>4273400000  Lembur dan Perangsang Pegawai Renwas JJ/Sintel LAA</t>
  </si>
  <si>
    <t>4273500000  Pakaian Dinas Pegawai Renwas JJ/Sintel LAA</t>
  </si>
  <si>
    <t>5110000010  Gaji &amp;Tunjangan Pegawai Umum &amp; Administrasi</t>
  </si>
  <si>
    <t>5319000000  Pendidikan</t>
  </si>
  <si>
    <t>5325480000  Teknologi Informasi</t>
  </si>
  <si>
    <t>5400000000  Penyusutan AT Lainnya (Fasilitas Umum)</t>
  </si>
  <si>
    <t>10025000  Signalling, Telecomm &amp; Electricity</t>
  </si>
  <si>
    <t>4123210010  Gaji &amp;Tunjangan Pegawai Perawatan Sarana</t>
  </si>
  <si>
    <t>4123240000  Lembur dan Perangsang Pegawai Perawatan Sarana</t>
  </si>
  <si>
    <t>4123250000  Pakaian Dinas Pegawai Perawatan Sarana</t>
  </si>
  <si>
    <t>4221424010  Peralatan Luar Sinyal Mekanik BMN</t>
  </si>
  <si>
    <t>4221428011  Bangunan Sintel BMN</t>
  </si>
  <si>
    <t>4221428012  Sistem Proteksi Sintel BMN</t>
  </si>
  <si>
    <t>4221428013  Tanda Semboyan Marka Sintel BMN</t>
  </si>
  <si>
    <t>4221428014  Catu Daya Sintel BMN</t>
  </si>
  <si>
    <t>4222422110  Peralatan Pendukung Sintel KAI</t>
  </si>
  <si>
    <t>4222423110  Bangunan Sintel KAI</t>
  </si>
  <si>
    <t>4222428010  Pesawat Telepon KAI</t>
  </si>
  <si>
    <t>4222470010  Alat Kerja Sintel KAI</t>
  </si>
  <si>
    <t>4222800000  Beban BBM Mekanik Prasarana</t>
  </si>
  <si>
    <t>4232130000  LAT Beban Umum Pengoperasian Prasarana (IO)</t>
  </si>
  <si>
    <t>4242000000  Beban Penyusutan AT Bangunan Kantor</t>
  </si>
  <si>
    <t>5140000000  Lembur dan Perangsang Pegawai Umum &amp; Administrasi</t>
  </si>
  <si>
    <t>21022000  Sintelis</t>
  </si>
  <si>
    <t>4123110010  Gaji &amp;Tunjangan Pegawai Operasi Sarana</t>
  </si>
  <si>
    <t>4221523010  Pengendalian Catu Daya LAA BMN</t>
  </si>
  <si>
    <t>4221524010  Tanda Semboyan LAA BMN</t>
  </si>
  <si>
    <t>4221525010  Bangunan LAA BMN</t>
  </si>
  <si>
    <t>4221526010  Sistim Proteksi LAA BMN</t>
  </si>
  <si>
    <t>4221527010  Pendukung LAA BMN</t>
  </si>
  <si>
    <t>4222522010  Tranmisi Tenaga LAA KAI</t>
  </si>
  <si>
    <t>4222525010  Bangunan LAA KAI</t>
  </si>
  <si>
    <t>4222526010  Sistim Proteksi LAA KAI</t>
  </si>
  <si>
    <t>4222527010  Pendukung LAA KAI</t>
  </si>
  <si>
    <t>4222528010  Alat Kerja pendukung perawatan KAI</t>
  </si>
  <si>
    <t>4241000000  Beban Penyusutan AT Prasarana Perkeretaapian</t>
  </si>
  <si>
    <t>4271400000  Lembur dan Perangsang Pegawai Operasi Prasarana</t>
  </si>
  <si>
    <t>21023000  Listrik Aliran Atas</t>
  </si>
  <si>
    <t>22022000  Sintelis</t>
  </si>
  <si>
    <t>4222424010  Peralatan Luar Sinyal Elektrik KAI</t>
  </si>
  <si>
    <t>23022000  Sintelis</t>
  </si>
  <si>
    <t>4233300000  LAT Beban Umum Perawatan Prasarana KAI</t>
  </si>
  <si>
    <t>24022000  Sintelis</t>
  </si>
  <si>
    <t>25022000  Sintelis</t>
  </si>
  <si>
    <t>26022000  Sintelis</t>
  </si>
  <si>
    <t>27022000  Sintelis</t>
  </si>
  <si>
    <t>28022000  Sintelis</t>
  </si>
  <si>
    <t>29022000  Sintelis</t>
  </si>
  <si>
    <t>31022000  Sintelis</t>
  </si>
  <si>
    <t>4221600000  Peralatan Khusus Prasarana Pemerintah</t>
  </si>
  <si>
    <t>4222421110  Transmisi Komunikasi KAI</t>
  </si>
  <si>
    <t>4222423010  Peralatan Dalam Sinyal Elektrik KAI</t>
  </si>
  <si>
    <t>4222424110  Sistem Proteksi Sintel KAI</t>
  </si>
  <si>
    <t>4222425010  Peralatan Dalam Sinyal Mekanik KAI</t>
  </si>
  <si>
    <t>4222425110  Tanda Semboyan Marka Sintel KAI</t>
  </si>
  <si>
    <t>4222426010  Peralatan Luar Sinyal Mekanik KAI</t>
  </si>
  <si>
    <t>4222426110  Catu Daya Sintel KAI</t>
  </si>
  <si>
    <t>4222427010  Pengamanan Perlintasan Sebidang KAI</t>
  </si>
  <si>
    <t>34022000  Sintelis Divre III Palembang</t>
  </si>
  <si>
    <t>35022000  Sintelis Divre IV Tanjungkarang</t>
  </si>
  <si>
    <t>1182000000 Persediaan Prasarana Perkeretaapian dan Umum</t>
  </si>
  <si>
    <t>4112222200 Bbn Penystn Srana Perkeretaapian Fasilitas Dipo-By</t>
  </si>
  <si>
    <t>4221221100 Perawatan Rel BMN</t>
  </si>
  <si>
    <t>4221222200 Perawatan Wesel BMN</t>
  </si>
  <si>
    <t>4221223300 Bbn Jasa Penambahan Balas BMN</t>
  </si>
  <si>
    <t>4221224400 Pemasangan Bantalan BMN</t>
  </si>
  <si>
    <t>4221225500 Perawatan Balas BMN</t>
  </si>
  <si>
    <t>4221226000 Pemecokan BMN</t>
  </si>
  <si>
    <t>4221226006 Perlintasan BMN</t>
  </si>
  <si>
    <t>4221226008 Geometri BMN</t>
  </si>
  <si>
    <t>4221226010 Perbaikan Periodik BMN</t>
  </si>
  <si>
    <t>4221321010 Perawatan Baja Jembatan Kelas 1 BMN</t>
  </si>
  <si>
    <t>4221322010 Perawatan Cat Jembatan Kelas 1 BMN</t>
  </si>
  <si>
    <t>4221323010 Perawatan Batu Jembatan Kelas 1 BMN</t>
  </si>
  <si>
    <t>4221325010 Perawatan Cat Jembatan Kelas 2 BMN</t>
  </si>
  <si>
    <t>4221325013 Perawatan Batu Jembatan Kelas 3 BMN</t>
  </si>
  <si>
    <t>4221325014 Perawatan Beton Jembatan Kelas 3 BMN</t>
  </si>
  <si>
    <t>4221424010 Peralatan Luar Sinyal Mekanik BMN</t>
  </si>
  <si>
    <t>4221425010 Pengamanan Perlintasan Sebidang BMN</t>
  </si>
  <si>
    <t>4221427010 Transmisi Komunikasi BMN</t>
  </si>
  <si>
    <t>4221428010 Peralatan Pendukung Sintel BMN</t>
  </si>
  <si>
    <t>4221428014 Catu Daya Sintel BMN</t>
  </si>
  <si>
    <t>4221600000 Peralatan Khusus Prasarana Pemerintah</t>
  </si>
  <si>
    <t>4222222200 Perawatan Wesel KAI</t>
  </si>
  <si>
    <t>4222600000 Peralatan Khusus Prasarana KAI</t>
  </si>
  <si>
    <t>4222800000 Beban BBM Mekanik Prasarana</t>
  </si>
  <si>
    <t>4231110000 Rapat&amp;Akomodasi BbnUmum Prwtn Prasarana Pemerintah</t>
  </si>
  <si>
    <t>4231120000 PerjlDinas BebanUmum PerawatanPrasarana Pemerintah</t>
  </si>
  <si>
    <t>4231130000 LAT Beban Umum Perawatan Prasarana Pemerintah</t>
  </si>
  <si>
    <t>4231150010 Krt Beban Umum Perawatan Prasarana Pemerintah</t>
  </si>
  <si>
    <t>4231151710 Kerumahtanggaan UMDT Beban Umum Perawatan Pras BMN</t>
  </si>
  <si>
    <t>4232152310 Tenaga PJL Alih Daya</t>
  </si>
  <si>
    <t>4233100000 Rapat&amp;Akomodasi Beban Umum Perawatan Prasarana KAI</t>
  </si>
  <si>
    <t>4233150010 Kerumahtanggaan Beban Umum Perawatan Prasarana KAI</t>
  </si>
  <si>
    <t>4233151710 Kerumahtanggaan UMDT Beban Umum Perawatan Pras KAI</t>
  </si>
  <si>
    <t>4233160010 Inventaris Beban Umum Perawatan Prasarana KAI</t>
  </si>
  <si>
    <t>4233200000 Perjalanan Dinas BebanUmum Perawatan Prasarana KAI</t>
  </si>
  <si>
    <t>4233300000 LAT Beban Umum Perawatan Prasarana KAI</t>
  </si>
  <si>
    <t>4233400000 ATK Beban Umum Perawatan Prasarana KAI</t>
  </si>
  <si>
    <t>4241000000 Beban Penyusutan AT Prasarana Perkeretaapian</t>
  </si>
  <si>
    <t>4242000000 Beban Penyusutan AT Bangunan Kantor</t>
  </si>
  <si>
    <t>4271100010 Gaji &amp;Tunjangan Pegawai Operasi Prasarana</t>
  </si>
  <si>
    <t>4271400000 Lembur dan Perangsang Pegawai Operasi Prasarana</t>
  </si>
  <si>
    <t>4271500000 Pakaian Dinas Pegawai Operasi Prasarana</t>
  </si>
  <si>
    <t>4272100010 Gaji &amp;Tunjangan PegawaiPerawatan Prasarana Unit JJ</t>
  </si>
  <si>
    <t>4272200010 Iuran Pensiun Pegawai Perawatan Prasarana Unit JJ/</t>
  </si>
  <si>
    <t>4272400000 Lembur dan Perangsang Peg PrwtnPrsrna unit JJ/Sntl</t>
  </si>
  <si>
    <t>4272500000 PakaianDinas PegPrwtn PrasaranaUnit JJ/sntl/BY Pra</t>
  </si>
  <si>
    <t>4273100010 Gaji &amp;Tunjangan Pegawai Renwas JJ/Sintel LAA</t>
  </si>
  <si>
    <t>4273400000 Lembur dan Perangsang Pegawai Renwas JJ/Sintel LAA</t>
  </si>
  <si>
    <t>4273500000 Pakaian Dinas Pegawai Renwas JJ/Sintel LAA</t>
  </si>
  <si>
    <t>5400000000 Penyusutan AT Lainnya (Fasilitas Umum)</t>
  </si>
  <si>
    <t>32020100 Prasarana</t>
  </si>
  <si>
    <t>RKAO Disetujui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</si>
</sst>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5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3" fontId="1" fillId="0" borderId="0" applyFont="0" applyFill="0" applyBorder="0" applyAlignment="0" applyProtection="0"/>
  </cellStyleXfs>
  <cellXfs count="13">
    <xf numFmtId="0" fontId="0" fillId="0" borderId="0" xfId="0"/>
    <xf numFmtId="0" fontId="0" fillId="33" borderId="0" xfId="0" applyFill="1"/>
    <xf numFmtId="1" fontId="0" fillId="0" borderId="0" xfId="0" applyNumberFormat="1"/>
    <xf numFmtId="1" fontId="0" fillId="33" borderId="0" xfId="0" applyNumberFormat="1" applyFill="1"/>
    <xf numFmtId="164" fontId="0" fillId="0" borderId="0" xfId="42" applyNumberFormat="1" applyFont="1" applyFill="1"/>
    <xf numFmtId="164" fontId="0" fillId="34" borderId="0" xfId="42" applyNumberFormat="1" applyFont="1" applyFill="1" applyProtection="1">
      <protection locked="0"/>
    </xf>
    <xf numFmtId="164" fontId="0" fillId="0" borderId="0" xfId="42" applyNumberFormat="1" applyFont="1" applyAlignment="1">
      <alignment horizontal="right"/>
    </xf>
    <xf numFmtId="164" fontId="0" fillId="34" borderId="0" xfId="42" applyNumberFormat="1" applyFont="1" applyFill="1" applyAlignment="1" applyProtection="1">
      <alignment horizontal="right"/>
      <protection locked="0"/>
    </xf>
    <xf numFmtId="164" fontId="0" fillId="0" borderId="0" xfId="42" applyNumberFormat="1" applyFont="1" applyFill="1" applyAlignment="1">
      <alignment horizontal="right"/>
    </xf>
    <xf numFmtId="164" fontId="0" fillId="34" borderId="0" xfId="42" applyNumberFormat="1" applyFont="1" applyFill="1"/>
    <xf numFmtId="0" fontId="16" fillId="0" borderId="0" xfId="0" applyFont="1"/>
    <xf numFmtId="164" fontId="16" fillId="0" borderId="0" xfId="42" applyNumberFormat="1" applyFont="1" applyFill="1"/>
    <xf numFmtId="164" fontId="0" fillId="0" borderId="0" xfId="42" applyNumberFormat="1" applyFont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" xfId="42" builtinId="3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47"/>
  <sheetViews>
    <sheetView tabSelected="1" workbookViewId="0">
      <pane ySplit="1" topLeftCell="A420" activePane="bottomLeft" state="frozen"/>
      <selection pane="bottomLeft" activeCell="D432" sqref="D432"/>
    </sheetView>
  </sheetViews>
  <sheetFormatPr defaultRowHeight="14.25" x14ac:dyDescent="0.45"/>
  <cols>
    <col min="1" max="1" width="60.796875" bestFit="1" customWidth="1"/>
    <col min="2" max="4" width="15.265625" style="2" bestFit="1" customWidth="1"/>
    <col min="5" max="5" width="14.265625" style="2" bestFit="1" customWidth="1"/>
    <col min="6" max="7" width="15.265625" style="2" bestFit="1" customWidth="1"/>
    <col min="8" max="8" width="13.265625" style="2" bestFit="1" customWidth="1"/>
  </cols>
  <sheetData>
    <row r="1" spans="1:8" x14ac:dyDescent="0.45">
      <c r="A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</row>
    <row r="2" spans="1:8" x14ac:dyDescent="0.45">
      <c r="A2" t="s">
        <v>8</v>
      </c>
      <c r="B2" s="2">
        <v>92766189536</v>
      </c>
      <c r="C2" s="2">
        <v>92766189536</v>
      </c>
      <c r="D2" s="2">
        <v>32888582556</v>
      </c>
      <c r="E2" s="2">
        <v>46437298</v>
      </c>
      <c r="F2" s="2">
        <v>32935019854</v>
      </c>
      <c r="G2" s="2">
        <v>59831169682</v>
      </c>
      <c r="H2" s="2">
        <v>0</v>
      </c>
    </row>
    <row r="3" spans="1:8" x14ac:dyDescent="0.45">
      <c r="A3" t="s">
        <v>9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</row>
    <row r="4" spans="1:8" x14ac:dyDescent="0.45">
      <c r="A4" t="s">
        <v>10</v>
      </c>
      <c r="B4" s="2">
        <v>57855713800</v>
      </c>
      <c r="C4" s="2">
        <v>57855713800</v>
      </c>
      <c r="D4" s="2">
        <v>52055713800</v>
      </c>
      <c r="E4" s="2">
        <v>5400000000</v>
      </c>
      <c r="F4" s="2">
        <v>57455713800</v>
      </c>
      <c r="G4" s="2">
        <v>400000000</v>
      </c>
      <c r="H4" s="2">
        <v>0</v>
      </c>
    </row>
    <row r="5" spans="1:8" x14ac:dyDescent="0.45">
      <c r="A5" t="s">
        <v>11</v>
      </c>
      <c r="B5" s="2">
        <v>35064866298</v>
      </c>
      <c r="C5" s="2">
        <v>35064866298</v>
      </c>
      <c r="D5" s="2">
        <v>2662482200</v>
      </c>
      <c r="E5" s="2">
        <v>28199383820</v>
      </c>
      <c r="F5" s="2">
        <v>30861866020</v>
      </c>
      <c r="G5" s="2">
        <v>4203000278</v>
      </c>
      <c r="H5" s="2">
        <v>0</v>
      </c>
    </row>
    <row r="6" spans="1:8" x14ac:dyDescent="0.45">
      <c r="A6" t="s">
        <v>12</v>
      </c>
      <c r="B6" s="2">
        <v>2001312000</v>
      </c>
      <c r="C6" s="2">
        <v>2001312000</v>
      </c>
      <c r="D6" s="2">
        <v>2001312000</v>
      </c>
      <c r="E6" s="2">
        <v>0</v>
      </c>
      <c r="F6" s="2">
        <v>2001312000</v>
      </c>
      <c r="G6" s="2">
        <v>0</v>
      </c>
      <c r="H6" s="2">
        <v>0</v>
      </c>
    </row>
    <row r="7" spans="1:8" x14ac:dyDescent="0.45">
      <c r="A7" t="s">
        <v>13</v>
      </c>
      <c r="B7" s="2">
        <v>17448622000</v>
      </c>
      <c r="C7" s="2">
        <v>17448622000</v>
      </c>
      <c r="D7" s="2">
        <v>17448621050</v>
      </c>
      <c r="E7" s="2">
        <v>0</v>
      </c>
      <c r="F7" s="2">
        <v>17448621050</v>
      </c>
      <c r="G7" s="2">
        <v>950</v>
      </c>
      <c r="H7" s="2">
        <v>0</v>
      </c>
    </row>
    <row r="8" spans="1:8" x14ac:dyDescent="0.45">
      <c r="A8" t="s">
        <v>14</v>
      </c>
      <c r="B8" s="2">
        <v>3947046000</v>
      </c>
      <c r="C8" s="2">
        <v>3947046000</v>
      </c>
      <c r="D8" s="2">
        <v>39147500</v>
      </c>
      <c r="E8" s="2">
        <v>0</v>
      </c>
      <c r="F8" s="2">
        <v>39147500</v>
      </c>
      <c r="G8" s="2">
        <v>3907898500</v>
      </c>
      <c r="H8" s="2">
        <v>0</v>
      </c>
    </row>
    <row r="9" spans="1:8" x14ac:dyDescent="0.45">
      <c r="A9" t="s">
        <v>15</v>
      </c>
      <c r="B9" s="2">
        <v>63547356665</v>
      </c>
      <c r="C9" s="2">
        <v>63547356665</v>
      </c>
      <c r="D9" s="2">
        <v>53093285303</v>
      </c>
      <c r="E9" s="2">
        <v>8154071362</v>
      </c>
      <c r="F9" s="2">
        <v>61247356665</v>
      </c>
      <c r="G9" s="2">
        <v>2300000000</v>
      </c>
      <c r="H9" s="2">
        <v>0</v>
      </c>
    </row>
    <row r="10" spans="1:8" x14ac:dyDescent="0.45">
      <c r="A10" t="s">
        <v>16</v>
      </c>
      <c r="B10" s="2">
        <v>1577077000</v>
      </c>
      <c r="C10" s="2">
        <v>1577077000</v>
      </c>
      <c r="D10" s="2">
        <v>67563765</v>
      </c>
      <c r="E10" s="2">
        <v>0</v>
      </c>
      <c r="F10" s="2">
        <v>67563765</v>
      </c>
      <c r="G10" s="2">
        <v>1509513235</v>
      </c>
      <c r="H10" s="2">
        <v>0</v>
      </c>
    </row>
    <row r="11" spans="1:8" x14ac:dyDescent="0.45">
      <c r="A11" t="s">
        <v>17</v>
      </c>
      <c r="B11" s="2">
        <v>1010789797</v>
      </c>
      <c r="C11" s="2">
        <v>1010789797</v>
      </c>
      <c r="D11" s="2">
        <v>0</v>
      </c>
      <c r="E11" s="2">
        <v>0</v>
      </c>
      <c r="F11" s="2">
        <v>0</v>
      </c>
      <c r="G11" s="2">
        <v>1010789797</v>
      </c>
      <c r="H11" s="2">
        <v>0</v>
      </c>
    </row>
    <row r="12" spans="1:8" x14ac:dyDescent="0.45">
      <c r="A12" t="s">
        <v>18</v>
      </c>
      <c r="B12" s="2">
        <v>26083685696</v>
      </c>
      <c r="C12" s="2">
        <v>26083685696</v>
      </c>
      <c r="D12" s="2">
        <v>0</v>
      </c>
      <c r="E12" s="2">
        <v>6309951800</v>
      </c>
      <c r="F12" s="2">
        <v>6309951800</v>
      </c>
      <c r="G12" s="2">
        <v>19773733896</v>
      </c>
      <c r="H12" s="2">
        <v>0</v>
      </c>
    </row>
    <row r="13" spans="1:8" x14ac:dyDescent="0.45">
      <c r="A13" t="s">
        <v>19</v>
      </c>
      <c r="B13" s="2">
        <v>11951319669</v>
      </c>
      <c r="C13" s="2">
        <v>11951319669</v>
      </c>
      <c r="D13" s="2">
        <v>9730852838</v>
      </c>
      <c r="E13" s="2">
        <v>0</v>
      </c>
      <c r="F13" s="2">
        <v>9730852838</v>
      </c>
      <c r="G13" s="2">
        <v>2220466831</v>
      </c>
      <c r="H13" s="2">
        <v>0</v>
      </c>
    </row>
    <row r="14" spans="1:8" x14ac:dyDescent="0.45">
      <c r="A14" t="s">
        <v>20</v>
      </c>
      <c r="B14" s="2">
        <v>1175883000</v>
      </c>
      <c r="C14" s="2">
        <v>1175883000</v>
      </c>
      <c r="D14" s="2">
        <v>0</v>
      </c>
      <c r="E14" s="2">
        <v>0</v>
      </c>
      <c r="F14" s="2">
        <v>0</v>
      </c>
      <c r="G14" s="2">
        <v>1175883000</v>
      </c>
      <c r="H14" s="2">
        <v>0</v>
      </c>
    </row>
    <row r="15" spans="1:8" x14ac:dyDescent="0.45">
      <c r="A15" t="s">
        <v>21</v>
      </c>
      <c r="B15" s="2">
        <v>0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</row>
    <row r="16" spans="1:8" x14ac:dyDescent="0.45">
      <c r="A16" t="s">
        <v>22</v>
      </c>
      <c r="B16" s="2">
        <v>1600000000</v>
      </c>
      <c r="C16" s="2">
        <v>1200000000</v>
      </c>
      <c r="D16" s="2">
        <v>42457000</v>
      </c>
      <c r="E16" s="2">
        <v>0</v>
      </c>
      <c r="F16" s="2">
        <v>42457000</v>
      </c>
      <c r="G16" s="2">
        <v>1157543000</v>
      </c>
      <c r="H16" s="2">
        <v>400000000</v>
      </c>
    </row>
    <row r="17" spans="1:8" x14ac:dyDescent="0.45">
      <c r="A17" t="s">
        <v>23</v>
      </c>
      <c r="B17" s="2">
        <v>496414000</v>
      </c>
      <c r="C17" s="2">
        <v>371414000</v>
      </c>
      <c r="D17" s="2">
        <v>20986164</v>
      </c>
      <c r="E17" s="2">
        <v>0</v>
      </c>
      <c r="F17" s="2">
        <v>20986164</v>
      </c>
      <c r="G17" s="2">
        <v>350427836</v>
      </c>
      <c r="H17" s="2">
        <v>125000000</v>
      </c>
    </row>
    <row r="18" spans="1:8" x14ac:dyDescent="0.45">
      <c r="A18" t="s">
        <v>24</v>
      </c>
      <c r="B18" s="2">
        <v>4500000000</v>
      </c>
      <c r="C18" s="2">
        <v>4500000000</v>
      </c>
      <c r="D18" s="2">
        <v>0</v>
      </c>
      <c r="E18" s="2">
        <v>967917605</v>
      </c>
      <c r="F18" s="2">
        <v>967917605</v>
      </c>
      <c r="G18" s="2">
        <v>3532082395</v>
      </c>
      <c r="H18" s="2">
        <v>0</v>
      </c>
    </row>
    <row r="19" spans="1:8" x14ac:dyDescent="0.45">
      <c r="A19" t="s">
        <v>25</v>
      </c>
      <c r="B19" s="2">
        <v>1493730000</v>
      </c>
      <c r="C19" s="2">
        <v>1118730000</v>
      </c>
      <c r="D19" s="2">
        <v>1948000</v>
      </c>
      <c r="E19" s="2">
        <v>0</v>
      </c>
      <c r="F19" s="2">
        <v>1948000</v>
      </c>
      <c r="G19" s="2">
        <v>1116782000</v>
      </c>
      <c r="H19" s="2">
        <v>375000000</v>
      </c>
    </row>
    <row r="20" spans="1:8" x14ac:dyDescent="0.45">
      <c r="A20" t="s">
        <v>26</v>
      </c>
      <c r="B20" s="2">
        <v>744010000</v>
      </c>
      <c r="C20" s="2">
        <v>551510000</v>
      </c>
      <c r="D20" s="2">
        <v>24326714</v>
      </c>
      <c r="E20" s="2">
        <v>28810450</v>
      </c>
      <c r="F20" s="2">
        <v>53137164</v>
      </c>
      <c r="G20" s="2">
        <v>498372836</v>
      </c>
      <c r="H20" s="2">
        <v>192500000</v>
      </c>
    </row>
    <row r="21" spans="1:8" x14ac:dyDescent="0.45">
      <c r="A21" t="s">
        <v>27</v>
      </c>
      <c r="B21" s="2">
        <v>156000000</v>
      </c>
      <c r="C21" s="2">
        <v>156000000</v>
      </c>
      <c r="D21" s="2">
        <v>0</v>
      </c>
      <c r="E21" s="2">
        <v>26000000</v>
      </c>
      <c r="F21" s="2">
        <v>26000000</v>
      </c>
      <c r="G21" s="2">
        <v>130000000</v>
      </c>
      <c r="H21" s="2">
        <v>0</v>
      </c>
    </row>
    <row r="22" spans="1:8" x14ac:dyDescent="0.45">
      <c r="A22" t="s">
        <v>28</v>
      </c>
      <c r="B22" s="2">
        <v>500000000</v>
      </c>
      <c r="C22" s="2">
        <v>375000000</v>
      </c>
      <c r="D22" s="2">
        <v>0</v>
      </c>
      <c r="E22" s="2">
        <v>0</v>
      </c>
      <c r="F22" s="2">
        <v>0</v>
      </c>
      <c r="G22" s="2">
        <v>375000000</v>
      </c>
      <c r="H22" s="2">
        <v>125000000</v>
      </c>
    </row>
    <row r="23" spans="1:8" x14ac:dyDescent="0.45">
      <c r="A23" t="s">
        <v>29</v>
      </c>
      <c r="B23" s="2">
        <v>800000000</v>
      </c>
      <c r="C23" s="2">
        <v>600000000</v>
      </c>
      <c r="D23" s="2">
        <v>56042500</v>
      </c>
      <c r="E23" s="2">
        <v>49833500</v>
      </c>
      <c r="F23" s="2">
        <v>105876000</v>
      </c>
      <c r="G23" s="2">
        <v>494124000</v>
      </c>
      <c r="H23" s="2">
        <v>200000000</v>
      </c>
    </row>
    <row r="24" spans="1:8" x14ac:dyDescent="0.45">
      <c r="A24" t="s">
        <v>30</v>
      </c>
      <c r="B24" s="2">
        <v>2491692611</v>
      </c>
      <c r="C24" s="2">
        <v>1866692611</v>
      </c>
      <c r="D24" s="2">
        <v>0</v>
      </c>
      <c r="E24" s="2">
        <v>204850000</v>
      </c>
      <c r="F24" s="2">
        <v>204850000</v>
      </c>
      <c r="G24" s="2">
        <v>1661842611</v>
      </c>
      <c r="H24" s="2">
        <v>625000000</v>
      </c>
    </row>
    <row r="25" spans="1:8" x14ac:dyDescent="0.45">
      <c r="A25" t="s">
        <v>31</v>
      </c>
      <c r="B25" s="2">
        <v>220000000</v>
      </c>
      <c r="C25" s="2">
        <v>220000000</v>
      </c>
      <c r="D25" s="2">
        <v>0</v>
      </c>
      <c r="E25" s="2">
        <v>0</v>
      </c>
      <c r="F25" s="2">
        <v>0</v>
      </c>
      <c r="G25" s="2">
        <v>220000000</v>
      </c>
      <c r="H25" s="2">
        <v>0</v>
      </c>
    </row>
    <row r="26" spans="1:8" x14ac:dyDescent="0.45">
      <c r="A26" t="s">
        <v>32</v>
      </c>
      <c r="B26" s="2">
        <v>3456614204</v>
      </c>
      <c r="C26" s="2">
        <v>3456614204</v>
      </c>
      <c r="D26" s="2">
        <v>0</v>
      </c>
      <c r="E26" s="2">
        <v>414390128</v>
      </c>
      <c r="F26" s="2">
        <v>414390128</v>
      </c>
      <c r="G26" s="2">
        <v>3042224076</v>
      </c>
      <c r="H26" s="2">
        <v>0</v>
      </c>
    </row>
    <row r="27" spans="1:8" x14ac:dyDescent="0.45">
      <c r="A27" t="s">
        <v>33</v>
      </c>
      <c r="B27" s="2">
        <v>52828623</v>
      </c>
      <c r="C27" s="2">
        <v>52828623</v>
      </c>
      <c r="D27" s="2">
        <v>0</v>
      </c>
      <c r="E27" s="2">
        <v>6538778</v>
      </c>
      <c r="F27" s="2">
        <v>6538778</v>
      </c>
      <c r="G27" s="2">
        <v>46289845</v>
      </c>
      <c r="H27" s="2">
        <v>0</v>
      </c>
    </row>
    <row r="28" spans="1:8" x14ac:dyDescent="0.45">
      <c r="A28" t="s">
        <v>34</v>
      </c>
      <c r="B28" s="2">
        <v>4078270035</v>
      </c>
      <c r="C28" s="2">
        <v>4078270035</v>
      </c>
      <c r="D28" s="2">
        <v>0</v>
      </c>
      <c r="E28" s="2">
        <v>633673990</v>
      </c>
      <c r="F28" s="2">
        <v>633673990</v>
      </c>
      <c r="G28" s="2">
        <v>3444596045</v>
      </c>
      <c r="H28" s="2">
        <v>0</v>
      </c>
    </row>
    <row r="29" spans="1:8" x14ac:dyDescent="0.45">
      <c r="A29" t="s">
        <v>35</v>
      </c>
      <c r="B29" s="2">
        <v>16502520</v>
      </c>
      <c r="C29" s="2">
        <v>16502520</v>
      </c>
      <c r="D29" s="2">
        <v>0</v>
      </c>
      <c r="E29" s="2">
        <v>0</v>
      </c>
      <c r="F29" s="2">
        <v>0</v>
      </c>
      <c r="G29" s="2">
        <v>16502520</v>
      </c>
      <c r="H29" s="2">
        <v>0</v>
      </c>
    </row>
    <row r="30" spans="1:8" x14ac:dyDescent="0.45">
      <c r="A30" t="s">
        <v>36</v>
      </c>
      <c r="B30" s="2">
        <v>10947475255</v>
      </c>
      <c r="C30" s="2">
        <v>10947475255</v>
      </c>
      <c r="D30" s="2">
        <v>0</v>
      </c>
      <c r="E30" s="2">
        <v>1120324189</v>
      </c>
      <c r="F30" s="2">
        <v>1120324189</v>
      </c>
      <c r="G30" s="2">
        <v>9827151066</v>
      </c>
      <c r="H30" s="2">
        <v>0</v>
      </c>
    </row>
    <row r="31" spans="1:8" x14ac:dyDescent="0.45">
      <c r="A31" t="s">
        <v>37</v>
      </c>
      <c r="B31" s="2">
        <v>248090002</v>
      </c>
      <c r="C31" s="2">
        <v>248090002</v>
      </c>
      <c r="D31" s="2">
        <v>0</v>
      </c>
      <c r="E31" s="2">
        <v>44762586</v>
      </c>
      <c r="F31" s="2">
        <v>44762586</v>
      </c>
      <c r="G31" s="2">
        <v>203327416</v>
      </c>
      <c r="H31" s="2">
        <v>0</v>
      </c>
    </row>
    <row r="32" spans="1:8" x14ac:dyDescent="0.45">
      <c r="A32" t="s">
        <v>38</v>
      </c>
      <c r="B32" s="2">
        <v>13970066046</v>
      </c>
      <c r="C32" s="2">
        <v>13970066046</v>
      </c>
      <c r="D32" s="2">
        <v>0</v>
      </c>
      <c r="E32" s="2">
        <v>2185607574</v>
      </c>
      <c r="F32" s="2">
        <v>2185607574</v>
      </c>
      <c r="G32" s="2">
        <v>11784458472</v>
      </c>
      <c r="H32" s="2">
        <v>0</v>
      </c>
    </row>
    <row r="33" spans="1:8" x14ac:dyDescent="0.45">
      <c r="A33" t="s">
        <v>39</v>
      </c>
      <c r="B33" s="2">
        <v>24203697</v>
      </c>
      <c r="C33" s="2">
        <v>24203697</v>
      </c>
      <c r="D33" s="2">
        <v>0</v>
      </c>
      <c r="E33" s="2">
        <v>0</v>
      </c>
      <c r="F33" s="2">
        <v>0</v>
      </c>
      <c r="G33" s="2">
        <v>24203697</v>
      </c>
      <c r="H33" s="2">
        <v>0</v>
      </c>
    </row>
    <row r="34" spans="1:8" x14ac:dyDescent="0.45">
      <c r="A34" t="s">
        <v>40</v>
      </c>
      <c r="B34" s="2">
        <v>0</v>
      </c>
      <c r="C34" s="2">
        <v>0</v>
      </c>
      <c r="D34" s="2">
        <v>0</v>
      </c>
      <c r="E34" s="2">
        <v>-10748637</v>
      </c>
      <c r="F34" s="2">
        <v>-10748637</v>
      </c>
      <c r="G34" s="2">
        <v>10748637</v>
      </c>
      <c r="H34" s="2">
        <v>0</v>
      </c>
    </row>
    <row r="35" spans="1:8" x14ac:dyDescent="0.45">
      <c r="A35" t="s">
        <v>41</v>
      </c>
      <c r="B35" s="2">
        <v>1000000000</v>
      </c>
      <c r="C35" s="2">
        <v>750000000</v>
      </c>
      <c r="D35" s="2">
        <v>9464000</v>
      </c>
      <c r="E35" s="2">
        <v>0</v>
      </c>
      <c r="F35" s="2">
        <v>9464000</v>
      </c>
      <c r="G35" s="2">
        <v>740536000</v>
      </c>
      <c r="H35" s="2">
        <v>250000000</v>
      </c>
    </row>
    <row r="36" spans="1:8" x14ac:dyDescent="0.45">
      <c r="A36" t="s">
        <v>42</v>
      </c>
      <c r="B36" s="2">
        <v>500000000</v>
      </c>
      <c r="C36" s="2">
        <v>375000000</v>
      </c>
      <c r="D36" s="2">
        <v>0</v>
      </c>
      <c r="E36" s="2">
        <v>0</v>
      </c>
      <c r="F36" s="2">
        <v>0</v>
      </c>
      <c r="G36" s="2">
        <v>375000000</v>
      </c>
      <c r="H36" s="2">
        <v>125000000</v>
      </c>
    </row>
    <row r="37" spans="1:8" x14ac:dyDescent="0.45">
      <c r="A37" t="s">
        <v>43</v>
      </c>
      <c r="B37" s="2">
        <v>0</v>
      </c>
      <c r="C37" s="2">
        <v>0</v>
      </c>
      <c r="D37" s="2">
        <v>0</v>
      </c>
      <c r="E37" s="2">
        <v>410815330</v>
      </c>
      <c r="F37" s="2">
        <v>410815330</v>
      </c>
      <c r="G37" s="2">
        <v>-410815330</v>
      </c>
      <c r="H37" s="2">
        <v>0</v>
      </c>
    </row>
    <row r="38" spans="1:8" x14ac:dyDescent="0.45">
      <c r="A38" t="s">
        <v>44</v>
      </c>
      <c r="B38" s="2">
        <v>361725758454</v>
      </c>
      <c r="C38" s="2">
        <v>359308258454</v>
      </c>
      <c r="D38" s="2">
        <v>170142785390</v>
      </c>
      <c r="E38" s="2">
        <v>54192619773</v>
      </c>
      <c r="F38" s="2">
        <v>224335405163</v>
      </c>
      <c r="G38" s="2">
        <v>134972853291</v>
      </c>
      <c r="H38" s="2">
        <v>2417500000</v>
      </c>
    </row>
    <row r="39" spans="1:8" x14ac:dyDescent="0.45">
      <c r="A39" t="s">
        <v>8</v>
      </c>
      <c r="B39" s="2">
        <v>25194775704</v>
      </c>
      <c r="C39" s="2">
        <v>25194775704</v>
      </c>
      <c r="D39" s="2">
        <v>16128909964</v>
      </c>
      <c r="E39" s="2">
        <v>0</v>
      </c>
      <c r="F39" s="2">
        <v>16128909964</v>
      </c>
      <c r="G39" s="2">
        <v>9065865740</v>
      </c>
      <c r="H39" s="2">
        <v>0</v>
      </c>
    </row>
    <row r="40" spans="1:8" x14ac:dyDescent="0.45">
      <c r="A40" t="s">
        <v>45</v>
      </c>
      <c r="B40" s="2">
        <v>17002987</v>
      </c>
      <c r="C40" s="2">
        <v>17002987</v>
      </c>
      <c r="D40" s="2">
        <v>0</v>
      </c>
      <c r="E40" s="2">
        <v>0</v>
      </c>
      <c r="F40" s="2">
        <v>0</v>
      </c>
      <c r="G40" s="2">
        <v>17002987</v>
      </c>
      <c r="H40" s="2">
        <v>0</v>
      </c>
    </row>
    <row r="41" spans="1:8" x14ac:dyDescent="0.45">
      <c r="A41" t="s">
        <v>46</v>
      </c>
      <c r="B41" s="2">
        <v>32320895</v>
      </c>
      <c r="C41" s="2">
        <v>32320895</v>
      </c>
      <c r="D41" s="2">
        <v>0</v>
      </c>
      <c r="E41" s="2">
        <v>0</v>
      </c>
      <c r="F41" s="2">
        <v>0</v>
      </c>
      <c r="G41" s="2">
        <v>32320895</v>
      </c>
      <c r="H41" s="2">
        <v>0</v>
      </c>
    </row>
    <row r="42" spans="1:8" x14ac:dyDescent="0.45">
      <c r="A42" t="s">
        <v>47</v>
      </c>
      <c r="B42" s="2">
        <v>550084</v>
      </c>
      <c r="C42" s="2">
        <v>550084</v>
      </c>
      <c r="D42" s="2">
        <v>0</v>
      </c>
      <c r="E42" s="2">
        <v>0</v>
      </c>
      <c r="F42" s="2">
        <v>0</v>
      </c>
      <c r="G42" s="2">
        <v>550084</v>
      </c>
      <c r="H42" s="2">
        <v>0</v>
      </c>
    </row>
    <row r="43" spans="1:8" x14ac:dyDescent="0.45">
      <c r="A43" t="s">
        <v>10</v>
      </c>
      <c r="B43" s="2">
        <v>400000000</v>
      </c>
      <c r="C43" s="2">
        <v>400000000</v>
      </c>
      <c r="D43" s="2">
        <v>0</v>
      </c>
      <c r="E43" s="2">
        <v>0</v>
      </c>
      <c r="F43" s="2">
        <v>0</v>
      </c>
      <c r="G43" s="2">
        <v>400000000</v>
      </c>
      <c r="H43" s="2">
        <v>0</v>
      </c>
    </row>
    <row r="44" spans="1:8" x14ac:dyDescent="0.45">
      <c r="A44" t="s">
        <v>11</v>
      </c>
      <c r="B44" s="2">
        <v>2000000000</v>
      </c>
      <c r="C44" s="2">
        <v>2000000000</v>
      </c>
      <c r="D44" s="2">
        <v>0</v>
      </c>
      <c r="E44" s="2">
        <v>0</v>
      </c>
      <c r="F44" s="2">
        <v>0</v>
      </c>
      <c r="G44" s="2">
        <v>2000000000</v>
      </c>
      <c r="H44" s="2">
        <v>0</v>
      </c>
    </row>
    <row r="45" spans="1:8" x14ac:dyDescent="0.45">
      <c r="A45" t="s">
        <v>12</v>
      </c>
      <c r="B45" s="2">
        <v>100000000</v>
      </c>
      <c r="C45" s="2">
        <v>100000000</v>
      </c>
      <c r="D45" s="2">
        <v>0</v>
      </c>
      <c r="E45" s="2">
        <v>0</v>
      </c>
      <c r="F45" s="2">
        <v>0</v>
      </c>
      <c r="G45" s="2">
        <v>100000000</v>
      </c>
      <c r="H45" s="2">
        <v>0</v>
      </c>
    </row>
    <row r="46" spans="1:8" x14ac:dyDescent="0.45">
      <c r="A46" t="s">
        <v>48</v>
      </c>
      <c r="B46" s="2">
        <v>400000000</v>
      </c>
      <c r="C46" s="2">
        <v>400000000</v>
      </c>
      <c r="D46" s="2">
        <v>0</v>
      </c>
      <c r="E46" s="2">
        <v>0</v>
      </c>
      <c r="F46" s="2">
        <v>0</v>
      </c>
      <c r="G46" s="2">
        <v>400000000</v>
      </c>
      <c r="H46" s="2">
        <v>0</v>
      </c>
    </row>
    <row r="47" spans="1:8" x14ac:dyDescent="0.45">
      <c r="A47" t="s">
        <v>13</v>
      </c>
      <c r="B47" s="2">
        <v>1300000000</v>
      </c>
      <c r="C47" s="2">
        <v>1300000000</v>
      </c>
      <c r="D47" s="2">
        <v>463560600</v>
      </c>
      <c r="E47" s="2">
        <v>0</v>
      </c>
      <c r="F47" s="2">
        <v>463560600</v>
      </c>
      <c r="G47" s="2">
        <v>836439400</v>
      </c>
      <c r="H47" s="2">
        <v>0</v>
      </c>
    </row>
    <row r="48" spans="1:8" x14ac:dyDescent="0.45">
      <c r="A48" t="s">
        <v>15</v>
      </c>
      <c r="B48" s="2">
        <v>6000000000</v>
      </c>
      <c r="C48" s="2">
        <v>6000000000</v>
      </c>
      <c r="D48" s="2">
        <v>2487092234</v>
      </c>
      <c r="E48" s="2">
        <v>0</v>
      </c>
      <c r="F48" s="2">
        <v>2487092234</v>
      </c>
      <c r="G48" s="2">
        <v>3512907766</v>
      </c>
      <c r="H48" s="2">
        <v>0</v>
      </c>
    </row>
    <row r="49" spans="1:8" x14ac:dyDescent="0.45">
      <c r="A49" t="s">
        <v>16</v>
      </c>
      <c r="B49" s="2">
        <v>4260000000</v>
      </c>
      <c r="C49" s="2">
        <v>4260000000</v>
      </c>
      <c r="D49" s="2">
        <v>579572114</v>
      </c>
      <c r="E49" s="2">
        <v>397484675</v>
      </c>
      <c r="F49" s="2">
        <v>977056789</v>
      </c>
      <c r="G49" s="2">
        <v>3282943211</v>
      </c>
      <c r="H49" s="2">
        <v>0</v>
      </c>
    </row>
    <row r="50" spans="1:8" x14ac:dyDescent="0.45">
      <c r="A50" t="s">
        <v>49</v>
      </c>
      <c r="B50" s="2">
        <v>1000000000</v>
      </c>
      <c r="C50" s="2">
        <v>1000000000</v>
      </c>
      <c r="D50" s="2">
        <v>0</v>
      </c>
      <c r="E50" s="2">
        <v>0</v>
      </c>
      <c r="F50" s="2">
        <v>0</v>
      </c>
      <c r="G50" s="2">
        <v>1000000000</v>
      </c>
      <c r="H50" s="2">
        <v>0</v>
      </c>
    </row>
    <row r="51" spans="1:8" x14ac:dyDescent="0.45">
      <c r="A51" t="s">
        <v>50</v>
      </c>
      <c r="B51" s="2">
        <v>2500000000</v>
      </c>
      <c r="C51" s="2">
        <v>2500000000</v>
      </c>
      <c r="D51" s="2">
        <v>0</v>
      </c>
      <c r="E51" s="2">
        <v>0</v>
      </c>
      <c r="F51" s="2">
        <v>0</v>
      </c>
      <c r="G51" s="2">
        <v>2500000000</v>
      </c>
      <c r="H51" s="2">
        <v>0</v>
      </c>
    </row>
    <row r="52" spans="1:8" x14ac:dyDescent="0.45">
      <c r="A52" t="s">
        <v>51</v>
      </c>
      <c r="B52" s="2">
        <v>250000000</v>
      </c>
      <c r="C52" s="2">
        <v>250000000</v>
      </c>
      <c r="D52" s="2">
        <v>0</v>
      </c>
      <c r="E52" s="2">
        <v>0</v>
      </c>
      <c r="F52" s="2">
        <v>0</v>
      </c>
      <c r="G52" s="2">
        <v>250000000</v>
      </c>
      <c r="H52" s="2">
        <v>0</v>
      </c>
    </row>
    <row r="53" spans="1:8" x14ac:dyDescent="0.45">
      <c r="A53" t="s">
        <v>52</v>
      </c>
      <c r="B53" s="2">
        <v>6850000000</v>
      </c>
      <c r="C53" s="2">
        <v>6850000000</v>
      </c>
      <c r="D53" s="2">
        <v>0</v>
      </c>
      <c r="E53" s="2">
        <v>207269960</v>
      </c>
      <c r="F53" s="2">
        <v>207269960</v>
      </c>
      <c r="G53" s="2">
        <v>6642730040</v>
      </c>
      <c r="H53" s="2">
        <v>0</v>
      </c>
    </row>
    <row r="54" spans="1:8" x14ac:dyDescent="0.45">
      <c r="A54" t="s">
        <v>53</v>
      </c>
      <c r="B54" s="2">
        <v>2620000000</v>
      </c>
      <c r="C54" s="2">
        <v>2620000000</v>
      </c>
      <c r="D54" s="2">
        <v>113020000</v>
      </c>
      <c r="E54" s="2">
        <v>69000000</v>
      </c>
      <c r="F54" s="2">
        <v>182020000</v>
      </c>
      <c r="G54" s="2">
        <v>2437980000</v>
      </c>
      <c r="H54" s="2">
        <v>0</v>
      </c>
    </row>
    <row r="55" spans="1:8" x14ac:dyDescent="0.45">
      <c r="A55" t="s">
        <v>54</v>
      </c>
      <c r="B55" s="2">
        <v>750000000</v>
      </c>
      <c r="C55" s="2">
        <v>750000000</v>
      </c>
      <c r="D55" s="2">
        <v>0</v>
      </c>
      <c r="E55" s="2">
        <v>0</v>
      </c>
      <c r="F55" s="2">
        <v>0</v>
      </c>
      <c r="G55" s="2">
        <v>750000000</v>
      </c>
      <c r="H55" s="2">
        <v>0</v>
      </c>
    </row>
    <row r="56" spans="1:8" x14ac:dyDescent="0.45">
      <c r="A56" t="s">
        <v>55</v>
      </c>
      <c r="B56" s="2">
        <v>500000000</v>
      </c>
      <c r="C56" s="2">
        <v>500000000</v>
      </c>
      <c r="D56" s="2">
        <v>0</v>
      </c>
      <c r="E56" s="2">
        <v>0</v>
      </c>
      <c r="F56" s="2">
        <v>0</v>
      </c>
      <c r="G56" s="2">
        <v>500000000</v>
      </c>
      <c r="H56" s="2">
        <v>0</v>
      </c>
    </row>
    <row r="57" spans="1:8" x14ac:dyDescent="0.45">
      <c r="A57" t="s">
        <v>56</v>
      </c>
      <c r="B57" s="2">
        <v>2500000000</v>
      </c>
      <c r="C57" s="2">
        <v>2500000000</v>
      </c>
      <c r="D57" s="2">
        <v>0</v>
      </c>
      <c r="E57" s="2">
        <v>0</v>
      </c>
      <c r="F57" s="2">
        <v>0</v>
      </c>
      <c r="G57" s="2">
        <v>2500000000</v>
      </c>
      <c r="H57" s="2">
        <v>0</v>
      </c>
    </row>
    <row r="58" spans="1:8" x14ac:dyDescent="0.45">
      <c r="A58" t="s">
        <v>22</v>
      </c>
      <c r="B58" s="2">
        <v>400000000</v>
      </c>
      <c r="C58" s="2">
        <v>300000000</v>
      </c>
      <c r="D58" s="2">
        <v>0</v>
      </c>
      <c r="E58" s="2">
        <v>0</v>
      </c>
      <c r="F58" s="2">
        <v>0</v>
      </c>
      <c r="G58" s="2">
        <v>300000000</v>
      </c>
      <c r="H58" s="2">
        <v>100000000</v>
      </c>
    </row>
    <row r="59" spans="1:8" x14ac:dyDescent="0.45">
      <c r="A59" t="s">
        <v>57</v>
      </c>
      <c r="B59" s="2">
        <v>180000150</v>
      </c>
      <c r="C59" s="2">
        <v>180000150</v>
      </c>
      <c r="D59" s="2">
        <v>28710000</v>
      </c>
      <c r="E59" s="2">
        <v>0</v>
      </c>
      <c r="F59" s="2">
        <v>28710000</v>
      </c>
      <c r="G59" s="2">
        <v>151290150</v>
      </c>
      <c r="H59" s="2">
        <v>0</v>
      </c>
    </row>
    <row r="60" spans="1:8" x14ac:dyDescent="0.45">
      <c r="A60" t="s">
        <v>58</v>
      </c>
      <c r="B60" s="2">
        <v>3500000000</v>
      </c>
      <c r="C60" s="2">
        <v>3500000000</v>
      </c>
      <c r="D60" s="2">
        <v>0</v>
      </c>
      <c r="E60" s="2">
        <v>466659980</v>
      </c>
      <c r="F60" s="2">
        <v>466659980</v>
      </c>
      <c r="G60" s="2">
        <v>3033340020</v>
      </c>
      <c r="H60" s="2">
        <v>0</v>
      </c>
    </row>
    <row r="61" spans="1:8" x14ac:dyDescent="0.45">
      <c r="A61" t="s">
        <v>25</v>
      </c>
      <c r="B61" s="2">
        <v>556000000</v>
      </c>
      <c r="C61" s="2">
        <v>417000000</v>
      </c>
      <c r="D61" s="2">
        <v>30265575</v>
      </c>
      <c r="E61" s="2">
        <v>27969350</v>
      </c>
      <c r="F61" s="2">
        <v>58234925</v>
      </c>
      <c r="G61" s="2">
        <v>358765075</v>
      </c>
      <c r="H61" s="2">
        <v>139000000</v>
      </c>
    </row>
    <row r="62" spans="1:8" x14ac:dyDescent="0.45">
      <c r="A62" t="s">
        <v>26</v>
      </c>
      <c r="B62" s="2">
        <v>446900000</v>
      </c>
      <c r="C62" s="2">
        <v>335175000</v>
      </c>
      <c r="D62" s="2">
        <v>49943816</v>
      </c>
      <c r="E62" s="2">
        <v>29488600</v>
      </c>
      <c r="F62" s="2">
        <v>79432416</v>
      </c>
      <c r="G62" s="2">
        <v>255742584</v>
      </c>
      <c r="H62" s="2">
        <v>111725000</v>
      </c>
    </row>
    <row r="63" spans="1:8" x14ac:dyDescent="0.45">
      <c r="A63" t="s">
        <v>27</v>
      </c>
      <c r="B63" s="2">
        <v>195000000</v>
      </c>
      <c r="C63" s="2">
        <v>195000000</v>
      </c>
      <c r="D63" s="2">
        <v>0</v>
      </c>
      <c r="E63" s="2">
        <v>31957500</v>
      </c>
      <c r="F63" s="2">
        <v>31957500</v>
      </c>
      <c r="G63" s="2">
        <v>163042500</v>
      </c>
      <c r="H63" s="2">
        <v>0</v>
      </c>
    </row>
    <row r="64" spans="1:8" x14ac:dyDescent="0.45">
      <c r="A64" t="s">
        <v>28</v>
      </c>
      <c r="B64" s="2">
        <v>810806000</v>
      </c>
      <c r="C64" s="2">
        <v>608104500</v>
      </c>
      <c r="D64" s="2">
        <v>0</v>
      </c>
      <c r="E64" s="2">
        <v>0</v>
      </c>
      <c r="F64" s="2">
        <v>0</v>
      </c>
      <c r="G64" s="2">
        <v>608104500</v>
      </c>
      <c r="H64" s="2">
        <v>202701500</v>
      </c>
    </row>
    <row r="65" spans="1:8" x14ac:dyDescent="0.45">
      <c r="A65" t="s">
        <v>29</v>
      </c>
      <c r="B65" s="2">
        <v>0</v>
      </c>
      <c r="C65" s="2">
        <v>0</v>
      </c>
      <c r="D65" s="2">
        <v>0</v>
      </c>
      <c r="E65" s="2">
        <v>0</v>
      </c>
      <c r="F65" s="2">
        <v>0</v>
      </c>
      <c r="G65" s="2">
        <v>0</v>
      </c>
      <c r="H65" s="2">
        <v>0</v>
      </c>
    </row>
    <row r="66" spans="1:8" x14ac:dyDescent="0.45">
      <c r="A66" t="s">
        <v>30</v>
      </c>
      <c r="B66" s="2">
        <v>472300000</v>
      </c>
      <c r="C66" s="2">
        <v>354225000</v>
      </c>
      <c r="D66" s="2">
        <v>0</v>
      </c>
      <c r="E66" s="2">
        <v>80369250</v>
      </c>
      <c r="F66" s="2">
        <v>80369250</v>
      </c>
      <c r="G66" s="2">
        <v>273855750</v>
      </c>
      <c r="H66" s="2">
        <v>118075000</v>
      </c>
    </row>
    <row r="67" spans="1:8" x14ac:dyDescent="0.45">
      <c r="A67" t="s">
        <v>31</v>
      </c>
      <c r="B67" s="2">
        <v>80000000</v>
      </c>
      <c r="C67" s="2">
        <v>80000000</v>
      </c>
      <c r="D67" s="2">
        <v>35332700</v>
      </c>
      <c r="E67" s="2">
        <v>0</v>
      </c>
      <c r="F67" s="2">
        <v>35332700</v>
      </c>
      <c r="G67" s="2">
        <v>44667300</v>
      </c>
      <c r="H67" s="2">
        <v>0</v>
      </c>
    </row>
    <row r="68" spans="1:8" x14ac:dyDescent="0.45">
      <c r="A68" t="s">
        <v>59</v>
      </c>
      <c r="B68" s="2">
        <v>0</v>
      </c>
      <c r="C68" s="2">
        <v>0</v>
      </c>
      <c r="D68" s="2">
        <v>0</v>
      </c>
      <c r="E68" s="2">
        <v>12636872</v>
      </c>
      <c r="F68" s="2">
        <v>12636872</v>
      </c>
      <c r="G68" s="2">
        <v>-12636872</v>
      </c>
      <c r="H68" s="2">
        <v>0</v>
      </c>
    </row>
    <row r="69" spans="1:8" x14ac:dyDescent="0.45">
      <c r="A69" t="s">
        <v>32</v>
      </c>
      <c r="B69" s="2">
        <v>22931607229</v>
      </c>
      <c r="C69" s="2">
        <v>22931607229</v>
      </c>
      <c r="D69" s="2">
        <v>0</v>
      </c>
      <c r="E69" s="2">
        <v>3274220056</v>
      </c>
      <c r="F69" s="2">
        <v>3274220056</v>
      </c>
      <c r="G69" s="2">
        <v>19657387173</v>
      </c>
      <c r="H69" s="2">
        <v>0</v>
      </c>
    </row>
    <row r="70" spans="1:8" x14ac:dyDescent="0.45">
      <c r="A70" t="s">
        <v>33</v>
      </c>
      <c r="B70" s="2">
        <v>604955157</v>
      </c>
      <c r="C70" s="2">
        <v>604955157</v>
      </c>
      <c r="D70" s="2">
        <v>0</v>
      </c>
      <c r="E70" s="2">
        <v>87915397</v>
      </c>
      <c r="F70" s="2">
        <v>87915397</v>
      </c>
      <c r="G70" s="2">
        <v>517039760</v>
      </c>
      <c r="H70" s="2">
        <v>0</v>
      </c>
    </row>
    <row r="71" spans="1:8" x14ac:dyDescent="0.45">
      <c r="A71" t="s">
        <v>34</v>
      </c>
      <c r="B71" s="2">
        <v>20967421530</v>
      </c>
      <c r="C71" s="2">
        <v>20967421530</v>
      </c>
      <c r="D71" s="2">
        <v>0</v>
      </c>
      <c r="E71" s="2">
        <v>3699485886</v>
      </c>
      <c r="F71" s="2">
        <v>3699485886</v>
      </c>
      <c r="G71" s="2">
        <v>17267935644</v>
      </c>
      <c r="H71" s="2">
        <v>0</v>
      </c>
    </row>
    <row r="72" spans="1:8" x14ac:dyDescent="0.45">
      <c r="A72" t="s">
        <v>35</v>
      </c>
      <c r="B72" s="2">
        <v>105616131</v>
      </c>
      <c r="C72" s="2">
        <v>105616131</v>
      </c>
      <c r="D72" s="2">
        <v>0</v>
      </c>
      <c r="E72" s="2">
        <v>0</v>
      </c>
      <c r="F72" s="2">
        <v>0</v>
      </c>
      <c r="G72" s="2">
        <v>105616131</v>
      </c>
      <c r="H72" s="2">
        <v>0</v>
      </c>
    </row>
    <row r="73" spans="1:8" x14ac:dyDescent="0.45">
      <c r="A73" t="s">
        <v>36</v>
      </c>
      <c r="B73" s="2">
        <v>1649426585</v>
      </c>
      <c r="C73" s="2">
        <v>1649426585</v>
      </c>
      <c r="D73" s="2">
        <v>0</v>
      </c>
      <c r="E73" s="2">
        <v>258896079</v>
      </c>
      <c r="F73" s="2">
        <v>258896079</v>
      </c>
      <c r="G73" s="2">
        <v>1390530506</v>
      </c>
      <c r="H73" s="2">
        <v>0</v>
      </c>
    </row>
    <row r="74" spans="1:8" x14ac:dyDescent="0.45">
      <c r="A74" t="s">
        <v>37</v>
      </c>
      <c r="B74" s="2">
        <v>53660123</v>
      </c>
      <c r="C74" s="2">
        <v>53660123</v>
      </c>
      <c r="D74" s="2">
        <v>0</v>
      </c>
      <c r="E74" s="2">
        <v>10936488</v>
      </c>
      <c r="F74" s="2">
        <v>10936488</v>
      </c>
      <c r="G74" s="2">
        <v>42723635</v>
      </c>
      <c r="H74" s="2">
        <v>0</v>
      </c>
    </row>
    <row r="75" spans="1:8" x14ac:dyDescent="0.45">
      <c r="A75" t="s">
        <v>38</v>
      </c>
      <c r="B75" s="2">
        <v>1937118528</v>
      </c>
      <c r="C75" s="2">
        <v>1937118528</v>
      </c>
      <c r="D75" s="2">
        <v>0</v>
      </c>
      <c r="E75" s="2">
        <v>388851818</v>
      </c>
      <c r="F75" s="2">
        <v>388851818</v>
      </c>
      <c r="G75" s="2">
        <v>1548266710</v>
      </c>
      <c r="H75" s="2">
        <v>0</v>
      </c>
    </row>
    <row r="76" spans="1:8" x14ac:dyDescent="0.45">
      <c r="A76" t="s">
        <v>39</v>
      </c>
      <c r="B76" s="2">
        <v>3850588</v>
      </c>
      <c r="C76" s="2">
        <v>3850588</v>
      </c>
      <c r="D76" s="2">
        <v>0</v>
      </c>
      <c r="E76" s="2">
        <v>0</v>
      </c>
      <c r="F76" s="2">
        <v>0</v>
      </c>
      <c r="G76" s="2">
        <v>3850588</v>
      </c>
      <c r="H76" s="2">
        <v>0</v>
      </c>
    </row>
    <row r="77" spans="1:8" x14ac:dyDescent="0.45">
      <c r="A77" t="s">
        <v>60</v>
      </c>
      <c r="B77" s="2">
        <v>0</v>
      </c>
      <c r="C77" s="2">
        <v>0</v>
      </c>
      <c r="D77" s="2">
        <v>0</v>
      </c>
      <c r="E77" s="2">
        <v>416016</v>
      </c>
      <c r="F77" s="2">
        <v>416016</v>
      </c>
      <c r="G77" s="2">
        <v>-416016</v>
      </c>
      <c r="H77" s="2">
        <v>0</v>
      </c>
    </row>
    <row r="78" spans="1:8" x14ac:dyDescent="0.45">
      <c r="A78" t="s">
        <v>61</v>
      </c>
      <c r="B78" s="2">
        <v>111569311691</v>
      </c>
      <c r="C78" s="2">
        <v>110897810191</v>
      </c>
      <c r="D78" s="2">
        <v>19916407003</v>
      </c>
      <c r="E78" s="2">
        <v>9043557927</v>
      </c>
      <c r="F78" s="2">
        <v>28959964930</v>
      </c>
      <c r="G78" s="2">
        <v>81937845261</v>
      </c>
      <c r="H78" s="2">
        <v>671501500</v>
      </c>
    </row>
    <row r="79" spans="1:8" x14ac:dyDescent="0.45">
      <c r="A79" t="s">
        <v>8</v>
      </c>
      <c r="B79" s="2">
        <v>4044107500</v>
      </c>
      <c r="C79" s="2">
        <v>4044107500</v>
      </c>
      <c r="D79" s="2">
        <v>1518071200</v>
      </c>
      <c r="E79" s="2">
        <v>585361000</v>
      </c>
      <c r="F79" s="2">
        <v>2103432200</v>
      </c>
      <c r="G79" s="2">
        <v>1940675300</v>
      </c>
      <c r="H79" s="2">
        <v>0</v>
      </c>
    </row>
    <row r="80" spans="1:8" x14ac:dyDescent="0.45">
      <c r="A80" t="s">
        <v>62</v>
      </c>
      <c r="B80" s="2">
        <v>0</v>
      </c>
      <c r="C80" s="2">
        <v>0</v>
      </c>
      <c r="D80" s="2">
        <v>0</v>
      </c>
      <c r="E80" s="2">
        <v>-2900000</v>
      </c>
      <c r="F80" s="2">
        <v>-2900000</v>
      </c>
      <c r="G80" s="2">
        <v>2900000</v>
      </c>
      <c r="H80" s="2">
        <v>0</v>
      </c>
    </row>
    <row r="81" spans="1:8" x14ac:dyDescent="0.45">
      <c r="A81" t="s">
        <v>18</v>
      </c>
      <c r="B81" s="2">
        <v>1657269514</v>
      </c>
      <c r="C81" s="2">
        <v>1657269514</v>
      </c>
      <c r="D81" s="2">
        <v>40500000</v>
      </c>
      <c r="E81" s="2">
        <v>84698600</v>
      </c>
      <c r="F81" s="2">
        <v>125198600</v>
      </c>
      <c r="G81" s="2">
        <v>1532070914</v>
      </c>
      <c r="H81" s="2">
        <v>0</v>
      </c>
    </row>
    <row r="82" spans="1:8" x14ac:dyDescent="0.45">
      <c r="A82" t="s">
        <v>19</v>
      </c>
      <c r="B82" s="2">
        <v>30639775739</v>
      </c>
      <c r="C82" s="2">
        <v>30639775739</v>
      </c>
      <c r="D82" s="2">
        <v>16506987418</v>
      </c>
      <c r="E82" s="2">
        <v>7766359971</v>
      </c>
      <c r="F82" s="2">
        <v>24273347389</v>
      </c>
      <c r="G82" s="2">
        <v>6366428350</v>
      </c>
      <c r="H82" s="2">
        <v>0</v>
      </c>
    </row>
    <row r="83" spans="1:8" x14ac:dyDescent="0.45">
      <c r="A83" t="s">
        <v>63</v>
      </c>
      <c r="B83" s="2">
        <v>288221000</v>
      </c>
      <c r="C83" s="2">
        <v>288221000</v>
      </c>
      <c r="D83" s="2">
        <v>0</v>
      </c>
      <c r="E83" s="2">
        <v>0</v>
      </c>
      <c r="F83" s="2">
        <v>0</v>
      </c>
      <c r="G83" s="2">
        <v>288221000</v>
      </c>
      <c r="H83" s="2">
        <v>0</v>
      </c>
    </row>
    <row r="84" spans="1:8" x14ac:dyDescent="0.45">
      <c r="A84" t="s">
        <v>64</v>
      </c>
      <c r="B84" s="2">
        <v>593000000</v>
      </c>
      <c r="C84" s="2">
        <v>593000000</v>
      </c>
      <c r="D84" s="2">
        <v>0</v>
      </c>
      <c r="E84" s="2">
        <v>0</v>
      </c>
      <c r="F84" s="2">
        <v>0</v>
      </c>
      <c r="G84" s="2">
        <v>593000000</v>
      </c>
      <c r="H84" s="2">
        <v>0</v>
      </c>
    </row>
    <row r="85" spans="1:8" x14ac:dyDescent="0.45">
      <c r="A85" t="s">
        <v>65</v>
      </c>
      <c r="B85" s="2">
        <v>1210765056</v>
      </c>
      <c r="C85" s="2">
        <v>1210765056</v>
      </c>
      <c r="D85" s="2">
        <v>0</v>
      </c>
      <c r="E85" s="2">
        <v>101534440</v>
      </c>
      <c r="F85" s="2">
        <v>101534440</v>
      </c>
      <c r="G85" s="2">
        <v>1109230616</v>
      </c>
      <c r="H85" s="2">
        <v>0</v>
      </c>
    </row>
    <row r="86" spans="1:8" x14ac:dyDescent="0.45">
      <c r="A86" t="s">
        <v>66</v>
      </c>
      <c r="B86" s="2">
        <v>720219728</v>
      </c>
      <c r="C86" s="2">
        <v>720219728</v>
      </c>
      <c r="D86" s="2">
        <v>0</v>
      </c>
      <c r="E86" s="2">
        <v>396500562</v>
      </c>
      <c r="F86" s="2">
        <v>396500562</v>
      </c>
      <c r="G86" s="2">
        <v>323719166</v>
      </c>
      <c r="H86" s="2">
        <v>0</v>
      </c>
    </row>
    <row r="87" spans="1:8" x14ac:dyDescent="0.45">
      <c r="A87" t="s">
        <v>67</v>
      </c>
      <c r="B87" s="2">
        <v>2796520000</v>
      </c>
      <c r="C87" s="2">
        <v>2796520000</v>
      </c>
      <c r="D87" s="2">
        <v>382331307</v>
      </c>
      <c r="E87" s="2">
        <v>597369541</v>
      </c>
      <c r="F87" s="2">
        <v>979700848</v>
      </c>
      <c r="G87" s="2">
        <v>1816819152</v>
      </c>
      <c r="H87" s="2">
        <v>0</v>
      </c>
    </row>
    <row r="88" spans="1:8" x14ac:dyDescent="0.45">
      <c r="A88" t="s">
        <v>21</v>
      </c>
      <c r="B88" s="2">
        <v>231587382</v>
      </c>
      <c r="C88" s="2">
        <v>231587382</v>
      </c>
      <c r="D88" s="2">
        <v>0</v>
      </c>
      <c r="E88" s="2">
        <v>0</v>
      </c>
      <c r="F88" s="2">
        <v>0</v>
      </c>
      <c r="G88" s="2">
        <v>231587382</v>
      </c>
      <c r="H88" s="2">
        <v>0</v>
      </c>
    </row>
    <row r="89" spans="1:8" x14ac:dyDescent="0.45">
      <c r="A89" t="s">
        <v>68</v>
      </c>
      <c r="B89" s="2">
        <v>180831882</v>
      </c>
      <c r="C89" s="2">
        <v>180831882</v>
      </c>
      <c r="D89" s="2">
        <v>0</v>
      </c>
      <c r="E89" s="2">
        <v>0</v>
      </c>
      <c r="F89" s="2">
        <v>0</v>
      </c>
      <c r="G89" s="2">
        <v>180831882</v>
      </c>
      <c r="H89" s="2">
        <v>0</v>
      </c>
    </row>
    <row r="90" spans="1:8" x14ac:dyDescent="0.45">
      <c r="A90" t="s">
        <v>69</v>
      </c>
      <c r="B90" s="2">
        <v>400000000</v>
      </c>
      <c r="C90" s="2">
        <v>400000000</v>
      </c>
      <c r="D90" s="2">
        <v>0</v>
      </c>
      <c r="E90" s="2">
        <v>52516373</v>
      </c>
      <c r="F90" s="2">
        <v>52516373</v>
      </c>
      <c r="G90" s="2">
        <v>347483627</v>
      </c>
      <c r="H90" s="2">
        <v>0</v>
      </c>
    </row>
    <row r="91" spans="1:8" x14ac:dyDescent="0.45">
      <c r="A91" t="s">
        <v>70</v>
      </c>
      <c r="B91" s="2">
        <v>289155000</v>
      </c>
      <c r="C91" s="2">
        <v>289155000</v>
      </c>
      <c r="D91" s="2">
        <v>0</v>
      </c>
      <c r="E91" s="2">
        <v>0</v>
      </c>
      <c r="F91" s="2">
        <v>0</v>
      </c>
      <c r="G91" s="2">
        <v>289155000</v>
      </c>
      <c r="H91" s="2">
        <v>0</v>
      </c>
    </row>
    <row r="92" spans="1:8" x14ac:dyDescent="0.45">
      <c r="A92" t="s">
        <v>71</v>
      </c>
      <c r="B92" s="2">
        <v>360000000</v>
      </c>
      <c r="C92" s="2">
        <v>360000000</v>
      </c>
      <c r="D92" s="2">
        <v>35470000</v>
      </c>
      <c r="E92" s="2">
        <v>0</v>
      </c>
      <c r="F92" s="2">
        <v>35470000</v>
      </c>
      <c r="G92" s="2">
        <v>324530000</v>
      </c>
      <c r="H92" s="2">
        <v>0</v>
      </c>
    </row>
    <row r="93" spans="1:8" x14ac:dyDescent="0.45">
      <c r="A93" t="s">
        <v>72</v>
      </c>
      <c r="B93" s="2">
        <v>1710494400</v>
      </c>
      <c r="C93" s="2">
        <v>1710494400</v>
      </c>
      <c r="D93" s="2">
        <v>364436500</v>
      </c>
      <c r="E93" s="2">
        <v>52419100</v>
      </c>
      <c r="F93" s="2">
        <v>416855600</v>
      </c>
      <c r="G93" s="2">
        <v>1293638800</v>
      </c>
      <c r="H93" s="2">
        <v>0</v>
      </c>
    </row>
    <row r="94" spans="1:8" x14ac:dyDescent="0.45">
      <c r="A94" t="s">
        <v>22</v>
      </c>
      <c r="B94" s="2">
        <v>200000000</v>
      </c>
      <c r="C94" s="2">
        <v>150000000</v>
      </c>
      <c r="D94" s="2">
        <v>0</v>
      </c>
      <c r="E94" s="2">
        <v>24488000</v>
      </c>
      <c r="F94" s="2">
        <v>24488000</v>
      </c>
      <c r="G94" s="2">
        <v>125512000</v>
      </c>
      <c r="H94" s="2">
        <v>50000000</v>
      </c>
    </row>
    <row r="95" spans="1:8" x14ac:dyDescent="0.45">
      <c r="A95" t="s">
        <v>25</v>
      </c>
      <c r="B95" s="2">
        <v>559300000</v>
      </c>
      <c r="C95" s="2">
        <v>419475000</v>
      </c>
      <c r="D95" s="2">
        <v>30610000</v>
      </c>
      <c r="E95" s="2">
        <v>2008000</v>
      </c>
      <c r="F95" s="2">
        <v>32618000</v>
      </c>
      <c r="G95" s="2">
        <v>386857000</v>
      </c>
      <c r="H95" s="2">
        <v>139825000</v>
      </c>
    </row>
    <row r="96" spans="1:8" x14ac:dyDescent="0.45">
      <c r="A96" t="s">
        <v>26</v>
      </c>
      <c r="B96" s="2">
        <v>341280000</v>
      </c>
      <c r="C96" s="2">
        <v>255960000</v>
      </c>
      <c r="D96" s="2">
        <v>19700000</v>
      </c>
      <c r="E96" s="2">
        <v>27200000</v>
      </c>
      <c r="F96" s="2">
        <v>46900000</v>
      </c>
      <c r="G96" s="2">
        <v>209060000</v>
      </c>
      <c r="H96" s="2">
        <v>85320000</v>
      </c>
    </row>
    <row r="97" spans="1:8" x14ac:dyDescent="0.45">
      <c r="A97" t="s">
        <v>27</v>
      </c>
      <c r="B97" s="2">
        <v>138000000</v>
      </c>
      <c r="C97" s="2">
        <v>138000000</v>
      </c>
      <c r="D97" s="2">
        <v>0</v>
      </c>
      <c r="E97" s="2">
        <v>23000000</v>
      </c>
      <c r="F97" s="2">
        <v>23000000</v>
      </c>
      <c r="G97" s="2">
        <v>115000000</v>
      </c>
      <c r="H97" s="2">
        <v>0</v>
      </c>
    </row>
    <row r="98" spans="1:8" x14ac:dyDescent="0.45">
      <c r="A98" t="s">
        <v>28</v>
      </c>
      <c r="B98" s="2">
        <v>388800000</v>
      </c>
      <c r="C98" s="2">
        <v>291600000</v>
      </c>
      <c r="D98" s="2">
        <v>0</v>
      </c>
      <c r="E98" s="2">
        <v>0</v>
      </c>
      <c r="F98" s="2">
        <v>0</v>
      </c>
      <c r="G98" s="2">
        <v>291600000</v>
      </c>
      <c r="H98" s="2">
        <v>97200000</v>
      </c>
    </row>
    <row r="99" spans="1:8" x14ac:dyDescent="0.45">
      <c r="A99" t="s">
        <v>29</v>
      </c>
      <c r="B99" s="2">
        <v>20000000</v>
      </c>
      <c r="C99" s="2">
        <v>15000000</v>
      </c>
      <c r="D99" s="2">
        <v>0</v>
      </c>
      <c r="E99" s="2">
        <v>0</v>
      </c>
      <c r="F99" s="2">
        <v>0</v>
      </c>
      <c r="G99" s="2">
        <v>15000000</v>
      </c>
      <c r="H99" s="2">
        <v>5000000</v>
      </c>
    </row>
    <row r="100" spans="1:8" x14ac:dyDescent="0.45">
      <c r="A100" t="s">
        <v>30</v>
      </c>
      <c r="B100" s="2">
        <v>393410000</v>
      </c>
      <c r="C100" s="2">
        <v>295057500</v>
      </c>
      <c r="D100" s="2">
        <v>0</v>
      </c>
      <c r="E100" s="2">
        <v>79589000</v>
      </c>
      <c r="F100" s="2">
        <v>79589000</v>
      </c>
      <c r="G100" s="2">
        <v>215468500</v>
      </c>
      <c r="H100" s="2">
        <v>98352500</v>
      </c>
    </row>
    <row r="101" spans="1:8" x14ac:dyDescent="0.45">
      <c r="A101" t="s">
        <v>31</v>
      </c>
      <c r="B101" s="2">
        <v>91080000</v>
      </c>
      <c r="C101" s="2">
        <v>91080000</v>
      </c>
      <c r="D101" s="2">
        <v>0</v>
      </c>
      <c r="E101" s="2">
        <v>0</v>
      </c>
      <c r="F101" s="2">
        <v>0</v>
      </c>
      <c r="G101" s="2">
        <v>91080000</v>
      </c>
      <c r="H101" s="2">
        <v>0</v>
      </c>
    </row>
    <row r="102" spans="1:8" x14ac:dyDescent="0.45">
      <c r="A102" t="s">
        <v>73</v>
      </c>
      <c r="B102" s="2">
        <v>0</v>
      </c>
      <c r="C102" s="2">
        <v>0</v>
      </c>
      <c r="D102" s="2">
        <v>0</v>
      </c>
      <c r="E102" s="2">
        <v>120464821</v>
      </c>
      <c r="F102" s="2">
        <v>120464821</v>
      </c>
      <c r="G102" s="2">
        <v>-120464821</v>
      </c>
      <c r="H102" s="2">
        <v>0</v>
      </c>
    </row>
    <row r="103" spans="1:8" x14ac:dyDescent="0.45">
      <c r="A103" t="s">
        <v>59</v>
      </c>
      <c r="B103" s="2">
        <v>0</v>
      </c>
      <c r="C103" s="2">
        <v>0</v>
      </c>
      <c r="D103" s="2">
        <v>0</v>
      </c>
      <c r="E103" s="2">
        <v>8227433</v>
      </c>
      <c r="F103" s="2">
        <v>8227433</v>
      </c>
      <c r="G103" s="2">
        <v>-8227433</v>
      </c>
      <c r="H103" s="2">
        <v>0</v>
      </c>
    </row>
    <row r="104" spans="1:8" x14ac:dyDescent="0.45">
      <c r="A104" t="s">
        <v>74</v>
      </c>
      <c r="B104" s="2">
        <v>0</v>
      </c>
      <c r="C104" s="2">
        <v>0</v>
      </c>
      <c r="D104" s="2">
        <v>0</v>
      </c>
      <c r="E104" s="2">
        <v>491371</v>
      </c>
      <c r="F104" s="2">
        <v>491371</v>
      </c>
      <c r="G104" s="2">
        <v>-491371</v>
      </c>
      <c r="H104" s="2">
        <v>0</v>
      </c>
    </row>
    <row r="105" spans="1:8" x14ac:dyDescent="0.45">
      <c r="A105" t="s">
        <v>32</v>
      </c>
      <c r="B105" s="2">
        <v>16223644853</v>
      </c>
      <c r="C105" s="2">
        <v>16223644853</v>
      </c>
      <c r="D105" s="2">
        <v>0</v>
      </c>
      <c r="E105" s="2">
        <v>2331815673</v>
      </c>
      <c r="F105" s="2">
        <v>2331815673</v>
      </c>
      <c r="G105" s="2">
        <v>13891829180</v>
      </c>
      <c r="H105" s="2">
        <v>0</v>
      </c>
    </row>
    <row r="106" spans="1:8" x14ac:dyDescent="0.45">
      <c r="A106" t="s">
        <v>33</v>
      </c>
      <c r="B106" s="2">
        <v>201591062</v>
      </c>
      <c r="C106" s="2">
        <v>201591062</v>
      </c>
      <c r="D106" s="2">
        <v>0</v>
      </c>
      <c r="E106" s="2">
        <v>32984926</v>
      </c>
      <c r="F106" s="2">
        <v>32984926</v>
      </c>
      <c r="G106" s="2">
        <v>168606136</v>
      </c>
      <c r="H106" s="2">
        <v>0</v>
      </c>
    </row>
    <row r="107" spans="1:8" x14ac:dyDescent="0.45">
      <c r="A107" t="s">
        <v>34</v>
      </c>
      <c r="B107" s="2">
        <v>14498179948</v>
      </c>
      <c r="C107" s="2">
        <v>14498179948</v>
      </c>
      <c r="D107" s="2">
        <v>0</v>
      </c>
      <c r="E107" s="2">
        <v>2681491751</v>
      </c>
      <c r="F107" s="2">
        <v>2681491751</v>
      </c>
      <c r="G107" s="2">
        <v>11816688197</v>
      </c>
      <c r="H107" s="2">
        <v>0</v>
      </c>
    </row>
    <row r="108" spans="1:8" x14ac:dyDescent="0.45">
      <c r="A108" t="s">
        <v>35</v>
      </c>
      <c r="B108" s="2">
        <v>79212098</v>
      </c>
      <c r="C108" s="2">
        <v>79212098</v>
      </c>
      <c r="D108" s="2">
        <v>0</v>
      </c>
      <c r="E108" s="2">
        <v>0</v>
      </c>
      <c r="F108" s="2">
        <v>0</v>
      </c>
      <c r="G108" s="2">
        <v>79212098</v>
      </c>
      <c r="H108" s="2">
        <v>0</v>
      </c>
    </row>
    <row r="109" spans="1:8" x14ac:dyDescent="0.45">
      <c r="A109" t="s">
        <v>36</v>
      </c>
      <c r="B109" s="2">
        <v>1964472996</v>
      </c>
      <c r="C109" s="2">
        <v>1964472996</v>
      </c>
      <c r="D109" s="2">
        <v>0</v>
      </c>
      <c r="E109" s="2">
        <v>195522638</v>
      </c>
      <c r="F109" s="2">
        <v>195522638</v>
      </c>
      <c r="G109" s="2">
        <v>1768950358</v>
      </c>
      <c r="H109" s="2">
        <v>0</v>
      </c>
    </row>
    <row r="110" spans="1:8" x14ac:dyDescent="0.45">
      <c r="A110" t="s">
        <v>37</v>
      </c>
      <c r="B110" s="2">
        <v>40912616</v>
      </c>
      <c r="C110" s="2">
        <v>40912616</v>
      </c>
      <c r="D110" s="2">
        <v>0</v>
      </c>
      <c r="E110" s="2">
        <v>6685068</v>
      </c>
      <c r="F110" s="2">
        <v>6685068</v>
      </c>
      <c r="G110" s="2">
        <v>34227548</v>
      </c>
      <c r="H110" s="2">
        <v>0</v>
      </c>
    </row>
    <row r="111" spans="1:8" x14ac:dyDescent="0.45">
      <c r="A111" t="s">
        <v>38</v>
      </c>
      <c r="B111" s="2">
        <v>1928660874</v>
      </c>
      <c r="C111" s="2">
        <v>1928660874</v>
      </c>
      <c r="D111" s="2">
        <v>0</v>
      </c>
      <c r="E111" s="2">
        <v>314922189</v>
      </c>
      <c r="F111" s="2">
        <v>314922189</v>
      </c>
      <c r="G111" s="2">
        <v>1613738685</v>
      </c>
      <c r="H111" s="2">
        <v>0</v>
      </c>
    </row>
    <row r="112" spans="1:8" x14ac:dyDescent="0.45">
      <c r="A112" t="s">
        <v>39</v>
      </c>
      <c r="B112" s="2">
        <v>3850588</v>
      </c>
      <c r="C112" s="2">
        <v>3850588</v>
      </c>
      <c r="D112" s="2">
        <v>0</v>
      </c>
      <c r="E112" s="2">
        <v>0</v>
      </c>
      <c r="F112" s="2">
        <v>0</v>
      </c>
      <c r="G112" s="2">
        <v>3850588</v>
      </c>
      <c r="H112" s="2">
        <v>0</v>
      </c>
    </row>
    <row r="113" spans="1:8" x14ac:dyDescent="0.45">
      <c r="A113" t="s">
        <v>75</v>
      </c>
      <c r="B113" s="2">
        <v>82194342236</v>
      </c>
      <c r="C113" s="2">
        <v>81718644736</v>
      </c>
      <c r="D113" s="2">
        <v>18898106425</v>
      </c>
      <c r="E113" s="2">
        <v>15482750457</v>
      </c>
      <c r="F113" s="2">
        <v>34380856882</v>
      </c>
      <c r="G113" s="2">
        <v>47337787854</v>
      </c>
      <c r="H113" s="2">
        <v>475697500</v>
      </c>
    </row>
    <row r="114" spans="1:8" x14ac:dyDescent="0.45">
      <c r="A114" t="s">
        <v>8</v>
      </c>
      <c r="B114" s="2">
        <v>8995670000</v>
      </c>
      <c r="C114" s="2">
        <v>8995670000</v>
      </c>
      <c r="D114" s="2">
        <v>7795034312</v>
      </c>
      <c r="E114" s="2">
        <v>0</v>
      </c>
      <c r="F114" s="2">
        <v>7795034312</v>
      </c>
      <c r="G114" s="2">
        <v>1200635688</v>
      </c>
      <c r="H114" s="2">
        <v>0</v>
      </c>
    </row>
    <row r="115" spans="1:8" x14ac:dyDescent="0.45">
      <c r="A115" t="s">
        <v>11</v>
      </c>
      <c r="B115" s="2">
        <v>435680000</v>
      </c>
      <c r="C115" s="2">
        <v>435680000</v>
      </c>
      <c r="D115" s="2">
        <v>39139111</v>
      </c>
      <c r="E115" s="2">
        <v>0</v>
      </c>
      <c r="F115" s="2">
        <v>39139111</v>
      </c>
      <c r="G115" s="2">
        <v>396540889</v>
      </c>
      <c r="H115" s="2">
        <v>0</v>
      </c>
    </row>
    <row r="116" spans="1:8" x14ac:dyDescent="0.45">
      <c r="A116" t="s">
        <v>12</v>
      </c>
      <c r="B116" s="2">
        <v>229890000</v>
      </c>
      <c r="C116" s="2">
        <v>229890000</v>
      </c>
      <c r="D116" s="2">
        <v>0</v>
      </c>
      <c r="E116" s="2">
        <v>0</v>
      </c>
      <c r="F116" s="2">
        <v>0</v>
      </c>
      <c r="G116" s="2">
        <v>229890000</v>
      </c>
      <c r="H116" s="2">
        <v>0</v>
      </c>
    </row>
    <row r="117" spans="1:8" x14ac:dyDescent="0.45">
      <c r="A117" t="s">
        <v>48</v>
      </c>
      <c r="B117" s="2">
        <v>929147000</v>
      </c>
      <c r="C117" s="2">
        <v>929147000</v>
      </c>
      <c r="D117" s="2">
        <v>499421772</v>
      </c>
      <c r="E117" s="2">
        <v>6937290</v>
      </c>
      <c r="F117" s="2">
        <v>506359062</v>
      </c>
      <c r="G117" s="2">
        <v>422787938</v>
      </c>
      <c r="H117" s="2">
        <v>0</v>
      </c>
    </row>
    <row r="118" spans="1:8" x14ac:dyDescent="0.45">
      <c r="A118" t="s">
        <v>13</v>
      </c>
      <c r="B118" s="2">
        <v>1200699000</v>
      </c>
      <c r="C118" s="2">
        <v>1200699000</v>
      </c>
      <c r="D118" s="2">
        <v>0</v>
      </c>
      <c r="E118" s="2">
        <v>0</v>
      </c>
      <c r="F118" s="2">
        <v>0</v>
      </c>
      <c r="G118" s="2">
        <v>1200699000</v>
      </c>
      <c r="H118" s="2">
        <v>0</v>
      </c>
    </row>
    <row r="119" spans="1:8" x14ac:dyDescent="0.45">
      <c r="A119" t="s">
        <v>14</v>
      </c>
      <c r="B119" s="2">
        <v>818532000</v>
      </c>
      <c r="C119" s="2">
        <v>818532000</v>
      </c>
      <c r="D119" s="2">
        <v>283749760</v>
      </c>
      <c r="E119" s="2">
        <v>0</v>
      </c>
      <c r="F119" s="2">
        <v>283749760</v>
      </c>
      <c r="G119" s="2">
        <v>534782240</v>
      </c>
      <c r="H119" s="2">
        <v>0</v>
      </c>
    </row>
    <row r="120" spans="1:8" x14ac:dyDescent="0.45">
      <c r="A120" t="s">
        <v>15</v>
      </c>
      <c r="B120" s="2">
        <v>4824864000</v>
      </c>
      <c r="C120" s="2">
        <v>4824864000</v>
      </c>
      <c r="D120" s="2">
        <v>4422334413</v>
      </c>
      <c r="E120" s="2">
        <v>0</v>
      </c>
      <c r="F120" s="2">
        <v>4422334413</v>
      </c>
      <c r="G120" s="2">
        <v>402529587</v>
      </c>
      <c r="H120" s="2">
        <v>0</v>
      </c>
    </row>
    <row r="121" spans="1:8" x14ac:dyDescent="0.45">
      <c r="A121" t="s">
        <v>16</v>
      </c>
      <c r="B121" s="2">
        <v>1665000000</v>
      </c>
      <c r="C121" s="2">
        <v>1665000000</v>
      </c>
      <c r="D121" s="2">
        <v>261038644</v>
      </c>
      <c r="E121" s="2">
        <v>142557241</v>
      </c>
      <c r="F121" s="2">
        <v>403595885</v>
      </c>
      <c r="G121" s="2">
        <v>1261404115</v>
      </c>
      <c r="H121" s="2">
        <v>0</v>
      </c>
    </row>
    <row r="122" spans="1:8" x14ac:dyDescent="0.45">
      <c r="A122" t="s">
        <v>49</v>
      </c>
      <c r="B122" s="2">
        <v>530067000</v>
      </c>
      <c r="C122" s="2">
        <v>530067000</v>
      </c>
      <c r="D122" s="2">
        <v>0</v>
      </c>
      <c r="E122" s="2">
        <v>0</v>
      </c>
      <c r="F122" s="2">
        <v>0</v>
      </c>
      <c r="G122" s="2">
        <v>530067000</v>
      </c>
      <c r="H122" s="2">
        <v>0</v>
      </c>
    </row>
    <row r="123" spans="1:8" x14ac:dyDescent="0.45">
      <c r="A123" t="s">
        <v>50</v>
      </c>
      <c r="B123" s="2">
        <v>680000000</v>
      </c>
      <c r="C123" s="2">
        <v>680000000</v>
      </c>
      <c r="D123" s="2">
        <v>465720901</v>
      </c>
      <c r="E123" s="2">
        <v>49555233</v>
      </c>
      <c r="F123" s="2">
        <v>515276134</v>
      </c>
      <c r="G123" s="2">
        <v>164723866</v>
      </c>
      <c r="H123" s="2">
        <v>0</v>
      </c>
    </row>
    <row r="124" spans="1:8" x14ac:dyDescent="0.45">
      <c r="A124" t="s">
        <v>52</v>
      </c>
      <c r="B124" s="2">
        <v>2233168000</v>
      </c>
      <c r="C124" s="2">
        <v>2233168000</v>
      </c>
      <c r="D124" s="2">
        <v>1906218580</v>
      </c>
      <c r="E124" s="2">
        <v>0</v>
      </c>
      <c r="F124" s="2">
        <v>1906218580</v>
      </c>
      <c r="G124" s="2">
        <v>326949420</v>
      </c>
      <c r="H124" s="2">
        <v>0</v>
      </c>
    </row>
    <row r="125" spans="1:8" x14ac:dyDescent="0.45">
      <c r="A125" t="s">
        <v>53</v>
      </c>
      <c r="B125" s="2">
        <v>354000000</v>
      </c>
      <c r="C125" s="2">
        <v>354000000</v>
      </c>
      <c r="D125" s="2">
        <v>0</v>
      </c>
      <c r="E125" s="2">
        <v>0</v>
      </c>
      <c r="F125" s="2">
        <v>0</v>
      </c>
      <c r="G125" s="2">
        <v>354000000</v>
      </c>
      <c r="H125" s="2">
        <v>0</v>
      </c>
    </row>
    <row r="126" spans="1:8" x14ac:dyDescent="0.45">
      <c r="A126" t="s">
        <v>54</v>
      </c>
      <c r="B126" s="2">
        <v>450000000</v>
      </c>
      <c r="C126" s="2">
        <v>450000000</v>
      </c>
      <c r="D126" s="2">
        <v>0</v>
      </c>
      <c r="E126" s="2">
        <v>0</v>
      </c>
      <c r="F126" s="2">
        <v>0</v>
      </c>
      <c r="G126" s="2">
        <v>450000000</v>
      </c>
      <c r="H126" s="2">
        <v>0</v>
      </c>
    </row>
    <row r="127" spans="1:8" x14ac:dyDescent="0.45">
      <c r="A127" t="s">
        <v>56</v>
      </c>
      <c r="B127" s="2">
        <v>700000000</v>
      </c>
      <c r="C127" s="2">
        <v>700000000</v>
      </c>
      <c r="D127" s="2">
        <v>394079880</v>
      </c>
      <c r="E127" s="2">
        <v>0</v>
      </c>
      <c r="F127" s="2">
        <v>394079880</v>
      </c>
      <c r="G127" s="2">
        <v>305920120</v>
      </c>
      <c r="H127" s="2">
        <v>0</v>
      </c>
    </row>
    <row r="128" spans="1:8" x14ac:dyDescent="0.45">
      <c r="A128" t="s">
        <v>22</v>
      </c>
      <c r="B128" s="2">
        <v>705000000</v>
      </c>
      <c r="C128" s="2">
        <v>528750000</v>
      </c>
      <c r="D128" s="2">
        <v>497734500</v>
      </c>
      <c r="E128" s="2">
        <v>0</v>
      </c>
      <c r="F128" s="2">
        <v>497734500</v>
      </c>
      <c r="G128" s="2">
        <v>31015500</v>
      </c>
      <c r="H128" s="2">
        <v>176250000</v>
      </c>
    </row>
    <row r="129" spans="1:8" x14ac:dyDescent="0.45">
      <c r="A129" t="s">
        <v>57</v>
      </c>
      <c r="B129" s="2">
        <v>118875000</v>
      </c>
      <c r="C129" s="2">
        <v>118875000</v>
      </c>
      <c r="D129" s="2">
        <v>11725000</v>
      </c>
      <c r="E129" s="2">
        <v>4050000</v>
      </c>
      <c r="F129" s="2">
        <v>15775000</v>
      </c>
      <c r="G129" s="2">
        <v>103100000</v>
      </c>
      <c r="H129" s="2">
        <v>0</v>
      </c>
    </row>
    <row r="130" spans="1:8" x14ac:dyDescent="0.45">
      <c r="A130" t="s">
        <v>58</v>
      </c>
      <c r="B130" s="2">
        <v>2260000000</v>
      </c>
      <c r="C130" s="2">
        <v>2260000000</v>
      </c>
      <c r="D130" s="2">
        <v>0</v>
      </c>
      <c r="E130" s="2">
        <v>325092882</v>
      </c>
      <c r="F130" s="2">
        <v>325092882</v>
      </c>
      <c r="G130" s="2">
        <v>1934907118</v>
      </c>
      <c r="H130" s="2">
        <v>0</v>
      </c>
    </row>
    <row r="131" spans="1:8" x14ac:dyDescent="0.45">
      <c r="A131" t="s">
        <v>25</v>
      </c>
      <c r="B131" s="2">
        <v>100000000</v>
      </c>
      <c r="C131" s="2">
        <v>75000000</v>
      </c>
      <c r="D131" s="2">
        <v>9515280</v>
      </c>
      <c r="E131" s="2">
        <v>18812609</v>
      </c>
      <c r="F131" s="2">
        <v>28327889</v>
      </c>
      <c r="G131" s="2">
        <v>46672111</v>
      </c>
      <c r="H131" s="2">
        <v>25000000</v>
      </c>
    </row>
    <row r="132" spans="1:8" x14ac:dyDescent="0.45">
      <c r="A132" t="s">
        <v>26</v>
      </c>
      <c r="B132" s="2">
        <v>354600000</v>
      </c>
      <c r="C132" s="2">
        <v>265950000</v>
      </c>
      <c r="D132" s="2">
        <v>33432500</v>
      </c>
      <c r="E132" s="2">
        <v>46413500</v>
      </c>
      <c r="F132" s="2">
        <v>79846000</v>
      </c>
      <c r="G132" s="2">
        <v>186104000</v>
      </c>
      <c r="H132" s="2">
        <v>88650000</v>
      </c>
    </row>
    <row r="133" spans="1:8" x14ac:dyDescent="0.45">
      <c r="A133" t="s">
        <v>27</v>
      </c>
      <c r="B133" s="2">
        <v>99000000</v>
      </c>
      <c r="C133" s="2">
        <v>99000000</v>
      </c>
      <c r="D133" s="2">
        <v>0</v>
      </c>
      <c r="E133" s="2">
        <v>16266000</v>
      </c>
      <c r="F133" s="2">
        <v>16266000</v>
      </c>
      <c r="G133" s="2">
        <v>82734000</v>
      </c>
      <c r="H133" s="2">
        <v>0</v>
      </c>
    </row>
    <row r="134" spans="1:8" x14ac:dyDescent="0.45">
      <c r="A134" t="s">
        <v>28</v>
      </c>
      <c r="B134" s="2">
        <v>271400000</v>
      </c>
      <c r="C134" s="2">
        <v>203550000</v>
      </c>
      <c r="D134" s="2">
        <v>2958000</v>
      </c>
      <c r="E134" s="2">
        <v>44456500</v>
      </c>
      <c r="F134" s="2">
        <v>47414500</v>
      </c>
      <c r="G134" s="2">
        <v>156135500</v>
      </c>
      <c r="H134" s="2">
        <v>67850000</v>
      </c>
    </row>
    <row r="135" spans="1:8" x14ac:dyDescent="0.45">
      <c r="A135" t="s">
        <v>30</v>
      </c>
      <c r="B135" s="2">
        <v>213320000</v>
      </c>
      <c r="C135" s="2">
        <v>159990000</v>
      </c>
      <c r="D135" s="2">
        <v>0</v>
      </c>
      <c r="E135" s="2">
        <v>46805500</v>
      </c>
      <c r="F135" s="2">
        <v>46805500</v>
      </c>
      <c r="G135" s="2">
        <v>113184500</v>
      </c>
      <c r="H135" s="2">
        <v>53330000</v>
      </c>
    </row>
    <row r="136" spans="1:8" x14ac:dyDescent="0.45">
      <c r="A136" t="s">
        <v>31</v>
      </c>
      <c r="B136" s="2">
        <v>24000000</v>
      </c>
      <c r="C136" s="2">
        <v>24000000</v>
      </c>
      <c r="D136" s="2">
        <v>0</v>
      </c>
      <c r="E136" s="2">
        <v>7199500</v>
      </c>
      <c r="F136" s="2">
        <v>7199500</v>
      </c>
      <c r="G136" s="2">
        <v>16800500</v>
      </c>
      <c r="H136" s="2">
        <v>0</v>
      </c>
    </row>
    <row r="137" spans="1:8" x14ac:dyDescent="0.45">
      <c r="A137" t="s">
        <v>59</v>
      </c>
      <c r="B137" s="2">
        <v>0</v>
      </c>
      <c r="C137" s="2">
        <v>0</v>
      </c>
      <c r="D137" s="2">
        <v>0</v>
      </c>
      <c r="E137" s="2">
        <v>77266957</v>
      </c>
      <c r="F137" s="2">
        <v>77266957</v>
      </c>
      <c r="G137" s="2">
        <v>-77266957</v>
      </c>
      <c r="H137" s="2">
        <v>0</v>
      </c>
    </row>
    <row r="138" spans="1:8" x14ac:dyDescent="0.45">
      <c r="A138" t="s">
        <v>32</v>
      </c>
      <c r="B138" s="2">
        <v>9949094083</v>
      </c>
      <c r="C138" s="2">
        <v>9949094083</v>
      </c>
      <c r="D138" s="2">
        <v>0</v>
      </c>
      <c r="E138" s="2">
        <v>1450303742</v>
      </c>
      <c r="F138" s="2">
        <v>1450303742</v>
      </c>
      <c r="G138" s="2">
        <v>8498790341</v>
      </c>
      <c r="H138" s="2">
        <v>0</v>
      </c>
    </row>
    <row r="139" spans="1:8" x14ac:dyDescent="0.45">
      <c r="A139" t="s">
        <v>33</v>
      </c>
      <c r="B139" s="2">
        <v>386565402</v>
      </c>
      <c r="C139" s="2">
        <v>386565402</v>
      </c>
      <c r="D139" s="2">
        <v>0</v>
      </c>
      <c r="E139" s="2">
        <v>64014112</v>
      </c>
      <c r="F139" s="2">
        <v>64014112</v>
      </c>
      <c r="G139" s="2">
        <v>322551290</v>
      </c>
      <c r="H139" s="2">
        <v>0</v>
      </c>
    </row>
    <row r="140" spans="1:8" x14ac:dyDescent="0.45">
      <c r="A140" t="s">
        <v>34</v>
      </c>
      <c r="B140" s="2">
        <v>9769849891</v>
      </c>
      <c r="C140" s="2">
        <v>9769849891</v>
      </c>
      <c r="D140" s="2">
        <v>0</v>
      </c>
      <c r="E140" s="2">
        <v>1666876904</v>
      </c>
      <c r="F140" s="2">
        <v>1666876904</v>
      </c>
      <c r="G140" s="2">
        <v>8102972987</v>
      </c>
      <c r="H140" s="2">
        <v>0</v>
      </c>
    </row>
    <row r="141" spans="1:8" x14ac:dyDescent="0.45">
      <c r="A141" t="s">
        <v>35</v>
      </c>
      <c r="B141" s="2">
        <v>57758822</v>
      </c>
      <c r="C141" s="2">
        <v>57758822</v>
      </c>
      <c r="D141" s="2">
        <v>0</v>
      </c>
      <c r="E141" s="2">
        <v>0</v>
      </c>
      <c r="F141" s="2">
        <v>0</v>
      </c>
      <c r="G141" s="2">
        <v>57758822</v>
      </c>
      <c r="H141" s="2">
        <v>0</v>
      </c>
    </row>
    <row r="142" spans="1:8" x14ac:dyDescent="0.45">
      <c r="A142" t="s">
        <v>36</v>
      </c>
      <c r="B142" s="2">
        <v>1408512003</v>
      </c>
      <c r="C142" s="2">
        <v>1408512003</v>
      </c>
      <c r="D142" s="2">
        <v>0</v>
      </c>
      <c r="E142" s="2">
        <v>129978953</v>
      </c>
      <c r="F142" s="2">
        <v>129978953</v>
      </c>
      <c r="G142" s="2">
        <v>1278533050</v>
      </c>
      <c r="H142" s="2">
        <v>0</v>
      </c>
    </row>
    <row r="143" spans="1:8" x14ac:dyDescent="0.45">
      <c r="A143" t="s">
        <v>37</v>
      </c>
      <c r="B143" s="2">
        <v>38319389</v>
      </c>
      <c r="C143" s="2">
        <v>38319389</v>
      </c>
      <c r="D143" s="2">
        <v>0</v>
      </c>
      <c r="E143" s="2">
        <v>4312708</v>
      </c>
      <c r="F143" s="2">
        <v>4312708</v>
      </c>
      <c r="G143" s="2">
        <v>34006681</v>
      </c>
      <c r="H143" s="2">
        <v>0</v>
      </c>
    </row>
    <row r="144" spans="1:8" x14ac:dyDescent="0.45">
      <c r="A144" t="s">
        <v>38</v>
      </c>
      <c r="B144" s="2">
        <v>1330317539</v>
      </c>
      <c r="C144" s="2">
        <v>1330317539</v>
      </c>
      <c r="D144" s="2">
        <v>0</v>
      </c>
      <c r="E144" s="2">
        <v>222468989</v>
      </c>
      <c r="F144" s="2">
        <v>222468989</v>
      </c>
      <c r="G144" s="2">
        <v>1107848550</v>
      </c>
      <c r="H144" s="2">
        <v>0</v>
      </c>
    </row>
    <row r="145" spans="1:8" x14ac:dyDescent="0.45">
      <c r="A145" t="s">
        <v>39</v>
      </c>
      <c r="B145" s="2">
        <v>3850588</v>
      </c>
      <c r="C145" s="2">
        <v>3850588</v>
      </c>
      <c r="D145" s="2">
        <v>0</v>
      </c>
      <c r="E145" s="2">
        <v>0</v>
      </c>
      <c r="F145" s="2">
        <v>0</v>
      </c>
      <c r="G145" s="2">
        <v>3850588</v>
      </c>
      <c r="H145" s="2">
        <v>0</v>
      </c>
    </row>
    <row r="146" spans="1:8" x14ac:dyDescent="0.45">
      <c r="A146" t="s">
        <v>43</v>
      </c>
      <c r="B146" s="2">
        <v>0</v>
      </c>
      <c r="C146" s="2">
        <v>0</v>
      </c>
      <c r="D146" s="2">
        <v>0</v>
      </c>
      <c r="E146" s="2">
        <v>36550000</v>
      </c>
      <c r="F146" s="2">
        <v>36550000</v>
      </c>
      <c r="G146" s="2">
        <v>-36550000</v>
      </c>
      <c r="H146" s="2">
        <v>0</v>
      </c>
    </row>
    <row r="147" spans="1:8" x14ac:dyDescent="0.45">
      <c r="A147" t="s">
        <v>76</v>
      </c>
      <c r="B147" s="2">
        <v>51137179717</v>
      </c>
      <c r="C147" s="2">
        <v>50726099717</v>
      </c>
      <c r="D147" s="2">
        <v>16622102653</v>
      </c>
      <c r="E147" s="2">
        <v>4359918620</v>
      </c>
      <c r="F147" s="2">
        <v>20982021273</v>
      </c>
      <c r="G147" s="2">
        <v>29744078444</v>
      </c>
      <c r="H147" s="2">
        <v>411080000</v>
      </c>
    </row>
    <row r="148" spans="1:8" x14ac:dyDescent="0.45">
      <c r="A148" t="s">
        <v>8</v>
      </c>
      <c r="B148" s="2">
        <v>11383511000</v>
      </c>
      <c r="C148" s="2">
        <v>11383511000</v>
      </c>
      <c r="D148" s="2">
        <v>5533217000</v>
      </c>
      <c r="E148" s="2">
        <v>0</v>
      </c>
      <c r="F148" s="2">
        <v>5533217000</v>
      </c>
      <c r="G148" s="2">
        <v>5850294000</v>
      </c>
      <c r="H148" s="2">
        <v>0</v>
      </c>
    </row>
    <row r="149" spans="1:8" x14ac:dyDescent="0.45">
      <c r="A149" t="s">
        <v>11</v>
      </c>
      <c r="B149" s="2">
        <v>1749516000</v>
      </c>
      <c r="C149" s="2">
        <v>1749516000</v>
      </c>
      <c r="D149" s="2">
        <v>872621317</v>
      </c>
      <c r="E149" s="2">
        <v>0</v>
      </c>
      <c r="F149" s="2">
        <v>872621317</v>
      </c>
      <c r="G149" s="2">
        <v>876894683</v>
      </c>
      <c r="H149" s="2">
        <v>0</v>
      </c>
    </row>
    <row r="150" spans="1:8" x14ac:dyDescent="0.45">
      <c r="A150" t="s">
        <v>48</v>
      </c>
      <c r="B150" s="2">
        <v>0</v>
      </c>
      <c r="C150" s="2">
        <v>0</v>
      </c>
      <c r="D150" s="2">
        <v>0</v>
      </c>
      <c r="E150" s="2">
        <v>0</v>
      </c>
      <c r="F150" s="2">
        <v>0</v>
      </c>
      <c r="G150" s="2">
        <v>0</v>
      </c>
      <c r="H150" s="2">
        <v>0</v>
      </c>
    </row>
    <row r="151" spans="1:8" x14ac:dyDescent="0.45">
      <c r="A151" t="s">
        <v>13</v>
      </c>
      <c r="B151" s="2">
        <v>499675000</v>
      </c>
      <c r="C151" s="2">
        <v>499675000</v>
      </c>
      <c r="D151" s="2">
        <v>106240051</v>
      </c>
      <c r="E151" s="2">
        <v>0</v>
      </c>
      <c r="F151" s="2">
        <v>106240051</v>
      </c>
      <c r="G151" s="2">
        <v>393434949</v>
      </c>
      <c r="H151" s="2">
        <v>0</v>
      </c>
    </row>
    <row r="152" spans="1:8" x14ac:dyDescent="0.45">
      <c r="A152" t="s">
        <v>14</v>
      </c>
      <c r="B152" s="2">
        <v>870437000</v>
      </c>
      <c r="C152" s="2">
        <v>870437000</v>
      </c>
      <c r="D152" s="2">
        <v>72346470</v>
      </c>
      <c r="E152" s="2">
        <v>8315000</v>
      </c>
      <c r="F152" s="2">
        <v>80661470</v>
      </c>
      <c r="G152" s="2">
        <v>789775530</v>
      </c>
      <c r="H152" s="2">
        <v>0</v>
      </c>
    </row>
    <row r="153" spans="1:8" x14ac:dyDescent="0.45">
      <c r="A153" t="s">
        <v>15</v>
      </c>
      <c r="B153" s="2">
        <v>393763000</v>
      </c>
      <c r="C153" s="2">
        <v>393763000</v>
      </c>
      <c r="D153" s="2">
        <v>0</v>
      </c>
      <c r="E153" s="2">
        <v>10224916</v>
      </c>
      <c r="F153" s="2">
        <v>10224916</v>
      </c>
      <c r="G153" s="2">
        <v>383538084</v>
      </c>
      <c r="H153" s="2">
        <v>0</v>
      </c>
    </row>
    <row r="154" spans="1:8" x14ac:dyDescent="0.45">
      <c r="A154" t="s">
        <v>16</v>
      </c>
      <c r="B154" s="2">
        <v>1702406000</v>
      </c>
      <c r="C154" s="2">
        <v>1702406000</v>
      </c>
      <c r="D154" s="2">
        <v>297962777</v>
      </c>
      <c r="E154" s="2">
        <v>96677559</v>
      </c>
      <c r="F154" s="2">
        <v>394640336</v>
      </c>
      <c r="G154" s="2">
        <v>1307765664</v>
      </c>
      <c r="H154" s="2">
        <v>0</v>
      </c>
    </row>
    <row r="155" spans="1:8" x14ac:dyDescent="0.45">
      <c r="A155" t="s">
        <v>49</v>
      </c>
      <c r="B155" s="2">
        <v>463360000</v>
      </c>
      <c r="C155" s="2">
        <v>463360000</v>
      </c>
      <c r="D155" s="2">
        <v>22153380</v>
      </c>
      <c r="E155" s="2">
        <v>0</v>
      </c>
      <c r="F155" s="2">
        <v>22153380</v>
      </c>
      <c r="G155" s="2">
        <v>441206620</v>
      </c>
      <c r="H155" s="2">
        <v>0</v>
      </c>
    </row>
    <row r="156" spans="1:8" x14ac:dyDescent="0.45">
      <c r="A156" t="s">
        <v>50</v>
      </c>
      <c r="B156" s="2">
        <v>996956000</v>
      </c>
      <c r="C156" s="2">
        <v>996956000</v>
      </c>
      <c r="D156" s="2">
        <v>0</v>
      </c>
      <c r="E156" s="2">
        <v>0</v>
      </c>
      <c r="F156" s="2">
        <v>0</v>
      </c>
      <c r="G156" s="2">
        <v>996956000</v>
      </c>
      <c r="H156" s="2">
        <v>0</v>
      </c>
    </row>
    <row r="157" spans="1:8" x14ac:dyDescent="0.45">
      <c r="A157" t="s">
        <v>51</v>
      </c>
      <c r="B157" s="2">
        <v>317990000</v>
      </c>
      <c r="C157" s="2">
        <v>317990000</v>
      </c>
      <c r="D157" s="2">
        <v>3857000</v>
      </c>
      <c r="E157" s="2">
        <v>0</v>
      </c>
      <c r="F157" s="2">
        <v>3857000</v>
      </c>
      <c r="G157" s="2">
        <v>314133000</v>
      </c>
      <c r="H157" s="2">
        <v>0</v>
      </c>
    </row>
    <row r="158" spans="1:8" x14ac:dyDescent="0.45">
      <c r="A158" t="s">
        <v>52</v>
      </c>
      <c r="B158" s="2">
        <v>2427860000</v>
      </c>
      <c r="C158" s="2">
        <v>2427860000</v>
      </c>
      <c r="D158" s="2">
        <v>48285000</v>
      </c>
      <c r="E158" s="2">
        <v>0</v>
      </c>
      <c r="F158" s="2">
        <v>48285000</v>
      </c>
      <c r="G158" s="2">
        <v>2379575000</v>
      </c>
      <c r="H158" s="2">
        <v>0</v>
      </c>
    </row>
    <row r="159" spans="1:8" x14ac:dyDescent="0.45">
      <c r="A159" t="s">
        <v>54</v>
      </c>
      <c r="B159" s="2">
        <v>500000000</v>
      </c>
      <c r="C159" s="2">
        <v>500000000</v>
      </c>
      <c r="D159" s="2">
        <v>38082500</v>
      </c>
      <c r="E159" s="2">
        <v>8775138</v>
      </c>
      <c r="F159" s="2">
        <v>46857638</v>
      </c>
      <c r="G159" s="2">
        <v>453142362</v>
      </c>
      <c r="H159" s="2">
        <v>0</v>
      </c>
    </row>
    <row r="160" spans="1:8" x14ac:dyDescent="0.45">
      <c r="A160" t="s">
        <v>77</v>
      </c>
      <c r="B160" s="2">
        <v>78898000</v>
      </c>
      <c r="C160" s="2">
        <v>78898000</v>
      </c>
      <c r="D160" s="2">
        <v>0</v>
      </c>
      <c r="E160" s="2">
        <v>0</v>
      </c>
      <c r="F160" s="2">
        <v>0</v>
      </c>
      <c r="G160" s="2">
        <v>78898000</v>
      </c>
      <c r="H160" s="2">
        <v>0</v>
      </c>
    </row>
    <row r="161" spans="1:8" x14ac:dyDescent="0.45">
      <c r="A161" t="s">
        <v>56</v>
      </c>
      <c r="B161" s="2">
        <v>867942000</v>
      </c>
      <c r="C161" s="2">
        <v>867942000</v>
      </c>
      <c r="D161" s="2">
        <v>0</v>
      </c>
      <c r="E161" s="2">
        <v>0</v>
      </c>
      <c r="F161" s="2">
        <v>0</v>
      </c>
      <c r="G161" s="2">
        <v>867942000</v>
      </c>
      <c r="H161" s="2">
        <v>0</v>
      </c>
    </row>
    <row r="162" spans="1:8" x14ac:dyDescent="0.45">
      <c r="A162" t="s">
        <v>22</v>
      </c>
      <c r="B162" s="2">
        <v>250000000</v>
      </c>
      <c r="C162" s="2">
        <v>187500000</v>
      </c>
      <c r="D162" s="2">
        <v>0</v>
      </c>
      <c r="E162" s="2">
        <v>0</v>
      </c>
      <c r="F162" s="2">
        <v>0</v>
      </c>
      <c r="G162" s="2">
        <v>187500000</v>
      </c>
      <c r="H162" s="2">
        <v>62500000</v>
      </c>
    </row>
    <row r="163" spans="1:8" x14ac:dyDescent="0.45">
      <c r="A163" t="s">
        <v>57</v>
      </c>
      <c r="B163" s="2">
        <v>90090000</v>
      </c>
      <c r="C163" s="2">
        <v>90090000</v>
      </c>
      <c r="D163" s="2">
        <v>11205000</v>
      </c>
      <c r="E163" s="2">
        <v>0</v>
      </c>
      <c r="F163" s="2">
        <v>11205000</v>
      </c>
      <c r="G163" s="2">
        <v>78885000</v>
      </c>
      <c r="H163" s="2">
        <v>0</v>
      </c>
    </row>
    <row r="164" spans="1:8" x14ac:dyDescent="0.45">
      <c r="A164" t="s">
        <v>24</v>
      </c>
      <c r="B164" s="2">
        <v>132300000</v>
      </c>
      <c r="C164" s="2">
        <v>132300000</v>
      </c>
      <c r="D164" s="2">
        <v>0</v>
      </c>
      <c r="E164" s="2">
        <v>0</v>
      </c>
      <c r="F164" s="2">
        <v>0</v>
      </c>
      <c r="G164" s="2">
        <v>132300000</v>
      </c>
      <c r="H164" s="2">
        <v>0</v>
      </c>
    </row>
    <row r="165" spans="1:8" x14ac:dyDescent="0.45">
      <c r="A165" t="s">
        <v>58</v>
      </c>
      <c r="B165" s="2">
        <v>2369000000</v>
      </c>
      <c r="C165" s="2">
        <v>2369000000</v>
      </c>
      <c r="D165" s="2">
        <v>0</v>
      </c>
      <c r="E165" s="2">
        <v>346514506</v>
      </c>
      <c r="F165" s="2">
        <v>346514506</v>
      </c>
      <c r="G165" s="2">
        <v>2022485494</v>
      </c>
      <c r="H165" s="2">
        <v>0</v>
      </c>
    </row>
    <row r="166" spans="1:8" x14ac:dyDescent="0.45">
      <c r="A166" t="s">
        <v>25</v>
      </c>
      <c r="B166" s="2">
        <v>180000000</v>
      </c>
      <c r="C166" s="2">
        <v>135000000</v>
      </c>
      <c r="D166" s="2">
        <v>28592500</v>
      </c>
      <c r="E166" s="2">
        <v>10000000</v>
      </c>
      <c r="F166" s="2">
        <v>38592500</v>
      </c>
      <c r="G166" s="2">
        <v>96407500</v>
      </c>
      <c r="H166" s="2">
        <v>45000000</v>
      </c>
    </row>
    <row r="167" spans="1:8" x14ac:dyDescent="0.45">
      <c r="A167" t="s">
        <v>26</v>
      </c>
      <c r="B167" s="2">
        <v>545000000</v>
      </c>
      <c r="C167" s="2">
        <v>408750000</v>
      </c>
      <c r="D167" s="2">
        <v>55881809</v>
      </c>
      <c r="E167" s="2">
        <v>78562135</v>
      </c>
      <c r="F167" s="2">
        <v>134443944</v>
      </c>
      <c r="G167" s="2">
        <v>274306056</v>
      </c>
      <c r="H167" s="2">
        <v>136250000</v>
      </c>
    </row>
    <row r="168" spans="1:8" x14ac:dyDescent="0.45">
      <c r="A168" t="s">
        <v>27</v>
      </c>
      <c r="B168" s="2">
        <v>87000000</v>
      </c>
      <c r="C168" s="2">
        <v>87000000</v>
      </c>
      <c r="D168" s="2">
        <v>0</v>
      </c>
      <c r="E168" s="2">
        <v>14461500</v>
      </c>
      <c r="F168" s="2">
        <v>14461500</v>
      </c>
      <c r="G168" s="2">
        <v>72538500</v>
      </c>
      <c r="H168" s="2">
        <v>0</v>
      </c>
    </row>
    <row r="169" spans="1:8" x14ac:dyDescent="0.45">
      <c r="A169" t="s">
        <v>28</v>
      </c>
      <c r="B169" s="2">
        <v>586200000</v>
      </c>
      <c r="C169" s="2">
        <v>439650000</v>
      </c>
      <c r="D169" s="2">
        <v>114790302</v>
      </c>
      <c r="E169" s="2">
        <v>0</v>
      </c>
      <c r="F169" s="2">
        <v>114790302</v>
      </c>
      <c r="G169" s="2">
        <v>324859698</v>
      </c>
      <c r="H169" s="2">
        <v>146550000</v>
      </c>
    </row>
    <row r="170" spans="1:8" x14ac:dyDescent="0.45">
      <c r="A170" t="s">
        <v>29</v>
      </c>
      <c r="B170" s="2">
        <v>20000000</v>
      </c>
      <c r="C170" s="2">
        <v>15000000</v>
      </c>
      <c r="D170" s="2">
        <v>0</v>
      </c>
      <c r="E170" s="2">
        <v>3000000</v>
      </c>
      <c r="F170" s="2">
        <v>3000000</v>
      </c>
      <c r="G170" s="2">
        <v>12000000</v>
      </c>
      <c r="H170" s="2">
        <v>5000000</v>
      </c>
    </row>
    <row r="171" spans="1:8" x14ac:dyDescent="0.45">
      <c r="A171" t="s">
        <v>30</v>
      </c>
      <c r="B171" s="2">
        <v>216402000</v>
      </c>
      <c r="C171" s="2">
        <v>162301500</v>
      </c>
      <c r="D171" s="2">
        <v>0</v>
      </c>
      <c r="E171" s="2">
        <v>37528000</v>
      </c>
      <c r="F171" s="2">
        <v>37528000</v>
      </c>
      <c r="G171" s="2">
        <v>124773500</v>
      </c>
      <c r="H171" s="2">
        <v>54100500</v>
      </c>
    </row>
    <row r="172" spans="1:8" x14ac:dyDescent="0.45">
      <c r="A172" t="s">
        <v>31</v>
      </c>
      <c r="B172" s="2">
        <v>48000000</v>
      </c>
      <c r="C172" s="2">
        <v>48000000</v>
      </c>
      <c r="D172" s="2">
        <v>6889220</v>
      </c>
      <c r="E172" s="2">
        <v>0</v>
      </c>
      <c r="F172" s="2">
        <v>6889220</v>
      </c>
      <c r="G172" s="2">
        <v>41110780</v>
      </c>
      <c r="H172" s="2">
        <v>0</v>
      </c>
    </row>
    <row r="173" spans="1:8" x14ac:dyDescent="0.45">
      <c r="A173" t="s">
        <v>32</v>
      </c>
      <c r="B173" s="2">
        <v>7504723378</v>
      </c>
      <c r="C173" s="2">
        <v>7504723378</v>
      </c>
      <c r="D173" s="2">
        <v>0</v>
      </c>
      <c r="E173" s="2">
        <v>1069019840</v>
      </c>
      <c r="F173" s="2">
        <v>1069019840</v>
      </c>
      <c r="G173" s="2">
        <v>6435703538</v>
      </c>
      <c r="H173" s="2">
        <v>0</v>
      </c>
    </row>
    <row r="174" spans="1:8" x14ac:dyDescent="0.45">
      <c r="A174" t="s">
        <v>33</v>
      </c>
      <c r="B174" s="2">
        <v>226336070</v>
      </c>
      <c r="C174" s="2">
        <v>226336070</v>
      </c>
      <c r="D174" s="2">
        <v>0</v>
      </c>
      <c r="E174" s="2">
        <v>37653988</v>
      </c>
      <c r="F174" s="2">
        <v>37653988</v>
      </c>
      <c r="G174" s="2">
        <v>188682082</v>
      </c>
      <c r="H174" s="2">
        <v>0</v>
      </c>
    </row>
    <row r="175" spans="1:8" x14ac:dyDescent="0.45">
      <c r="A175" t="s">
        <v>34</v>
      </c>
      <c r="B175" s="2">
        <v>7328638500</v>
      </c>
      <c r="C175" s="2">
        <v>7328638500</v>
      </c>
      <c r="D175" s="2">
        <v>0</v>
      </c>
      <c r="E175" s="2">
        <v>1175901258</v>
      </c>
      <c r="F175" s="2">
        <v>1175901258</v>
      </c>
      <c r="G175" s="2">
        <v>6152737242</v>
      </c>
      <c r="H175" s="2">
        <v>0</v>
      </c>
    </row>
    <row r="176" spans="1:8" x14ac:dyDescent="0.45">
      <c r="A176" t="s">
        <v>35</v>
      </c>
      <c r="B176" s="2">
        <v>42356469</v>
      </c>
      <c r="C176" s="2">
        <v>42356469</v>
      </c>
      <c r="D176" s="2">
        <v>0</v>
      </c>
      <c r="E176" s="2">
        <v>0</v>
      </c>
      <c r="F176" s="2">
        <v>0</v>
      </c>
      <c r="G176" s="2">
        <v>42356469</v>
      </c>
      <c r="H176" s="2">
        <v>0</v>
      </c>
    </row>
    <row r="177" spans="1:8" x14ac:dyDescent="0.45">
      <c r="A177" t="s">
        <v>36</v>
      </c>
      <c r="B177" s="2">
        <v>1286019333</v>
      </c>
      <c r="C177" s="2">
        <v>1286019333</v>
      </c>
      <c r="D177" s="2">
        <v>0</v>
      </c>
      <c r="E177" s="2">
        <v>133425611</v>
      </c>
      <c r="F177" s="2">
        <v>133425611</v>
      </c>
      <c r="G177" s="2">
        <v>1152593722</v>
      </c>
      <c r="H177" s="2">
        <v>0</v>
      </c>
    </row>
    <row r="178" spans="1:8" x14ac:dyDescent="0.45">
      <c r="A178" t="s">
        <v>37</v>
      </c>
      <c r="B178" s="2">
        <v>36818740</v>
      </c>
      <c r="C178" s="2">
        <v>36818740</v>
      </c>
      <c r="D178" s="2">
        <v>0</v>
      </c>
      <c r="E178" s="2">
        <v>6120465</v>
      </c>
      <c r="F178" s="2">
        <v>6120465</v>
      </c>
      <c r="G178" s="2">
        <v>30698275</v>
      </c>
      <c r="H178" s="2">
        <v>0</v>
      </c>
    </row>
    <row r="179" spans="1:8" x14ac:dyDescent="0.45">
      <c r="A179" t="s">
        <v>38</v>
      </c>
      <c r="B179" s="2">
        <v>1371419909</v>
      </c>
      <c r="C179" s="2">
        <v>1371419909</v>
      </c>
      <c r="D179" s="2">
        <v>0</v>
      </c>
      <c r="E179" s="2">
        <v>232301192</v>
      </c>
      <c r="F179" s="2">
        <v>232301192</v>
      </c>
      <c r="G179" s="2">
        <v>1139118717</v>
      </c>
      <c r="H179" s="2">
        <v>0</v>
      </c>
    </row>
    <row r="180" spans="1:8" x14ac:dyDescent="0.45">
      <c r="A180" t="s">
        <v>39</v>
      </c>
      <c r="B180" s="2">
        <v>3850588</v>
      </c>
      <c r="C180" s="2">
        <v>3850588</v>
      </c>
      <c r="D180" s="2">
        <v>0</v>
      </c>
      <c r="E180" s="2">
        <v>0</v>
      </c>
      <c r="F180" s="2">
        <v>0</v>
      </c>
      <c r="G180" s="2">
        <v>3850588</v>
      </c>
      <c r="H180" s="2">
        <v>0</v>
      </c>
    </row>
    <row r="181" spans="1:8" x14ac:dyDescent="0.45">
      <c r="A181" t="s">
        <v>78</v>
      </c>
      <c r="B181" s="2">
        <v>44576468987</v>
      </c>
      <c r="C181" s="2">
        <v>44127068487</v>
      </c>
      <c r="D181" s="2">
        <v>7212124326</v>
      </c>
      <c r="E181" s="2">
        <v>3268481108</v>
      </c>
      <c r="F181" s="2">
        <v>10480605434</v>
      </c>
      <c r="G181" s="2">
        <v>33646463053</v>
      </c>
      <c r="H181" s="2">
        <v>449400500</v>
      </c>
    </row>
    <row r="182" spans="1:8" x14ac:dyDescent="0.45">
      <c r="A182" t="s">
        <v>8</v>
      </c>
      <c r="B182" s="2">
        <v>7317456560</v>
      </c>
      <c r="C182" s="2">
        <v>7317456560</v>
      </c>
      <c r="D182" s="2">
        <v>2851419420</v>
      </c>
      <c r="E182" s="2">
        <v>0</v>
      </c>
      <c r="F182" s="2">
        <v>2851419420</v>
      </c>
      <c r="G182" s="2">
        <v>4466037140</v>
      </c>
      <c r="H182" s="2">
        <v>0</v>
      </c>
    </row>
    <row r="183" spans="1:8" x14ac:dyDescent="0.45">
      <c r="A183" t="s">
        <v>45</v>
      </c>
      <c r="B183" s="2">
        <v>65407631</v>
      </c>
      <c r="C183" s="2">
        <v>65407631</v>
      </c>
      <c r="D183" s="2">
        <v>0</v>
      </c>
      <c r="E183" s="2">
        <v>0</v>
      </c>
      <c r="F183" s="2">
        <v>0</v>
      </c>
      <c r="G183" s="2">
        <v>65407631</v>
      </c>
      <c r="H183" s="2">
        <v>0</v>
      </c>
    </row>
    <row r="184" spans="1:8" x14ac:dyDescent="0.45">
      <c r="A184" t="s">
        <v>46</v>
      </c>
      <c r="B184" s="2">
        <v>125267590</v>
      </c>
      <c r="C184" s="2">
        <v>125267590</v>
      </c>
      <c r="D184" s="2">
        <v>0</v>
      </c>
      <c r="E184" s="2">
        <v>0</v>
      </c>
      <c r="F184" s="2">
        <v>0</v>
      </c>
      <c r="G184" s="2">
        <v>125267590</v>
      </c>
      <c r="H184" s="2">
        <v>0</v>
      </c>
    </row>
    <row r="185" spans="1:8" x14ac:dyDescent="0.45">
      <c r="A185" t="s">
        <v>47</v>
      </c>
      <c r="B185" s="2">
        <v>550084</v>
      </c>
      <c r="C185" s="2">
        <v>550084</v>
      </c>
      <c r="D185" s="2">
        <v>0</v>
      </c>
      <c r="E185" s="2">
        <v>0</v>
      </c>
      <c r="F185" s="2">
        <v>0</v>
      </c>
      <c r="G185" s="2">
        <v>550084</v>
      </c>
      <c r="H185" s="2">
        <v>0</v>
      </c>
    </row>
    <row r="186" spans="1:8" x14ac:dyDescent="0.45">
      <c r="A186" t="s">
        <v>11</v>
      </c>
      <c r="B186" s="2">
        <v>3030122000</v>
      </c>
      <c r="C186" s="2">
        <v>3030122000</v>
      </c>
      <c r="D186" s="2">
        <v>461381691</v>
      </c>
      <c r="E186" s="2">
        <v>0</v>
      </c>
      <c r="F186" s="2">
        <v>461381691</v>
      </c>
      <c r="G186" s="2">
        <v>2568740309</v>
      </c>
      <c r="H186" s="2">
        <v>0</v>
      </c>
    </row>
    <row r="187" spans="1:8" x14ac:dyDescent="0.45">
      <c r="A187" t="s">
        <v>12</v>
      </c>
      <c r="B187" s="2">
        <v>450000000</v>
      </c>
      <c r="C187" s="2">
        <v>450000000</v>
      </c>
      <c r="D187" s="2">
        <v>0</v>
      </c>
      <c r="E187" s="2">
        <v>0</v>
      </c>
      <c r="F187" s="2">
        <v>0</v>
      </c>
      <c r="G187" s="2">
        <v>450000000</v>
      </c>
      <c r="H187" s="2">
        <v>0</v>
      </c>
    </row>
    <row r="188" spans="1:8" x14ac:dyDescent="0.45">
      <c r="A188" t="s">
        <v>48</v>
      </c>
      <c r="B188" s="2">
        <v>455000000</v>
      </c>
      <c r="C188" s="2">
        <v>455000000</v>
      </c>
      <c r="D188" s="2">
        <v>5081445</v>
      </c>
      <c r="E188" s="2">
        <v>0</v>
      </c>
      <c r="F188" s="2">
        <v>5081445</v>
      </c>
      <c r="G188" s="2">
        <v>449918555</v>
      </c>
      <c r="H188" s="2">
        <v>0</v>
      </c>
    </row>
    <row r="189" spans="1:8" x14ac:dyDescent="0.45">
      <c r="A189" t="s">
        <v>13</v>
      </c>
      <c r="B189" s="2">
        <v>469000000</v>
      </c>
      <c r="C189" s="2">
        <v>469000000</v>
      </c>
      <c r="D189" s="2">
        <v>44160000</v>
      </c>
      <c r="E189" s="2">
        <v>5475000</v>
      </c>
      <c r="F189" s="2">
        <v>49635000</v>
      </c>
      <c r="G189" s="2">
        <v>419365000</v>
      </c>
      <c r="H189" s="2">
        <v>0</v>
      </c>
    </row>
    <row r="190" spans="1:8" x14ac:dyDescent="0.45">
      <c r="A190" t="s">
        <v>14</v>
      </c>
      <c r="B190" s="2">
        <v>400000000</v>
      </c>
      <c r="C190" s="2">
        <v>400000000</v>
      </c>
      <c r="D190" s="2">
        <v>51500000</v>
      </c>
      <c r="E190" s="2">
        <v>0</v>
      </c>
      <c r="F190" s="2">
        <v>51500000</v>
      </c>
      <c r="G190" s="2">
        <v>348500000</v>
      </c>
      <c r="H190" s="2">
        <v>0</v>
      </c>
    </row>
    <row r="191" spans="1:8" x14ac:dyDescent="0.45">
      <c r="A191" t="s">
        <v>15</v>
      </c>
      <c r="B191" s="2">
        <v>609000000</v>
      </c>
      <c r="C191" s="2">
        <v>609000000</v>
      </c>
      <c r="D191" s="2">
        <v>88477869</v>
      </c>
      <c r="E191" s="2">
        <v>46885000</v>
      </c>
      <c r="F191" s="2">
        <v>135362869</v>
      </c>
      <c r="G191" s="2">
        <v>473637131</v>
      </c>
      <c r="H191" s="2">
        <v>0</v>
      </c>
    </row>
    <row r="192" spans="1:8" x14ac:dyDescent="0.45">
      <c r="A192" t="s">
        <v>16</v>
      </c>
      <c r="B192" s="2">
        <v>1862650000</v>
      </c>
      <c r="C192" s="2">
        <v>1862650000</v>
      </c>
      <c r="D192" s="2">
        <v>281432200</v>
      </c>
      <c r="E192" s="2">
        <v>59887346</v>
      </c>
      <c r="F192" s="2">
        <v>341319546</v>
      </c>
      <c r="G192" s="2">
        <v>1521330454</v>
      </c>
      <c r="H192" s="2">
        <v>0</v>
      </c>
    </row>
    <row r="193" spans="1:8" x14ac:dyDescent="0.45">
      <c r="A193" t="s">
        <v>49</v>
      </c>
      <c r="B193" s="2">
        <v>281000000</v>
      </c>
      <c r="C193" s="2">
        <v>281000000</v>
      </c>
      <c r="D193" s="2">
        <v>30944688</v>
      </c>
      <c r="E193" s="2">
        <v>0</v>
      </c>
      <c r="F193" s="2">
        <v>30944688</v>
      </c>
      <c r="G193" s="2">
        <v>250055312</v>
      </c>
      <c r="H193" s="2">
        <v>0</v>
      </c>
    </row>
    <row r="194" spans="1:8" x14ac:dyDescent="0.45">
      <c r="A194" t="s">
        <v>50</v>
      </c>
      <c r="B194" s="2">
        <v>950000000</v>
      </c>
      <c r="C194" s="2">
        <v>950000000</v>
      </c>
      <c r="D194" s="2">
        <v>0</v>
      </c>
      <c r="E194" s="2">
        <v>0</v>
      </c>
      <c r="F194" s="2">
        <v>0</v>
      </c>
      <c r="G194" s="2">
        <v>950000000</v>
      </c>
      <c r="H194" s="2">
        <v>0</v>
      </c>
    </row>
    <row r="195" spans="1:8" x14ac:dyDescent="0.45">
      <c r="A195" t="s">
        <v>51</v>
      </c>
      <c r="B195" s="2">
        <v>50000000</v>
      </c>
      <c r="C195" s="2">
        <v>50000000</v>
      </c>
      <c r="D195" s="2">
        <v>4883000</v>
      </c>
      <c r="E195" s="2">
        <v>0</v>
      </c>
      <c r="F195" s="2">
        <v>4883000</v>
      </c>
      <c r="G195" s="2">
        <v>45117000</v>
      </c>
      <c r="H195" s="2">
        <v>0</v>
      </c>
    </row>
    <row r="196" spans="1:8" x14ac:dyDescent="0.45">
      <c r="A196" t="s">
        <v>52</v>
      </c>
      <c r="B196" s="2">
        <v>1491275000</v>
      </c>
      <c r="C196" s="2">
        <v>1491275000</v>
      </c>
      <c r="D196" s="2">
        <v>599680000</v>
      </c>
      <c r="E196" s="2">
        <v>66765000</v>
      </c>
      <c r="F196" s="2">
        <v>666445000</v>
      </c>
      <c r="G196" s="2">
        <v>824830000</v>
      </c>
      <c r="H196" s="2">
        <v>0</v>
      </c>
    </row>
    <row r="197" spans="1:8" x14ac:dyDescent="0.45">
      <c r="A197" t="s">
        <v>53</v>
      </c>
      <c r="B197" s="2">
        <v>40000000</v>
      </c>
      <c r="C197" s="2">
        <v>40000000</v>
      </c>
      <c r="D197" s="2">
        <v>6475000</v>
      </c>
      <c r="E197" s="2">
        <v>0</v>
      </c>
      <c r="F197" s="2">
        <v>6475000</v>
      </c>
      <c r="G197" s="2">
        <v>33525000</v>
      </c>
      <c r="H197" s="2">
        <v>0</v>
      </c>
    </row>
    <row r="198" spans="1:8" x14ac:dyDescent="0.45">
      <c r="A198" t="s">
        <v>77</v>
      </c>
      <c r="B198" s="2">
        <v>100000000</v>
      </c>
      <c r="C198" s="2">
        <v>100000000</v>
      </c>
      <c r="D198" s="2">
        <v>0</v>
      </c>
      <c r="E198" s="2">
        <v>0</v>
      </c>
      <c r="F198" s="2">
        <v>0</v>
      </c>
      <c r="G198" s="2">
        <v>100000000</v>
      </c>
      <c r="H198" s="2">
        <v>0</v>
      </c>
    </row>
    <row r="199" spans="1:8" x14ac:dyDescent="0.45">
      <c r="A199" t="s">
        <v>56</v>
      </c>
      <c r="B199" s="2">
        <v>509000000</v>
      </c>
      <c r="C199" s="2">
        <v>509000000</v>
      </c>
      <c r="D199" s="2">
        <v>18232600</v>
      </c>
      <c r="E199" s="2">
        <v>0</v>
      </c>
      <c r="F199" s="2">
        <v>18232600</v>
      </c>
      <c r="G199" s="2">
        <v>490767400</v>
      </c>
      <c r="H199" s="2">
        <v>0</v>
      </c>
    </row>
    <row r="200" spans="1:8" x14ac:dyDescent="0.45">
      <c r="A200" t="s">
        <v>22</v>
      </c>
      <c r="B200" s="2">
        <v>150000000</v>
      </c>
      <c r="C200" s="2">
        <v>112500000</v>
      </c>
      <c r="D200" s="2">
        <v>0</v>
      </c>
      <c r="E200" s="2">
        <v>41856000</v>
      </c>
      <c r="F200" s="2">
        <v>41856000</v>
      </c>
      <c r="G200" s="2">
        <v>70644000</v>
      </c>
      <c r="H200" s="2">
        <v>37500000</v>
      </c>
    </row>
    <row r="201" spans="1:8" x14ac:dyDescent="0.45">
      <c r="A201" t="s">
        <v>57</v>
      </c>
      <c r="B201" s="2">
        <v>320100000</v>
      </c>
      <c r="C201" s="2">
        <v>320100000</v>
      </c>
      <c r="D201" s="2">
        <v>0</v>
      </c>
      <c r="E201" s="2">
        <v>71775000</v>
      </c>
      <c r="F201" s="2">
        <v>71775000</v>
      </c>
      <c r="G201" s="2">
        <v>248325000</v>
      </c>
      <c r="H201" s="2">
        <v>0</v>
      </c>
    </row>
    <row r="202" spans="1:8" x14ac:dyDescent="0.45">
      <c r="A202" t="s">
        <v>58</v>
      </c>
      <c r="B202" s="2">
        <v>2570000000</v>
      </c>
      <c r="C202" s="2">
        <v>2570000000</v>
      </c>
      <c r="D202" s="2">
        <v>0</v>
      </c>
      <c r="E202" s="2">
        <v>394857596</v>
      </c>
      <c r="F202" s="2">
        <v>394857596</v>
      </c>
      <c r="G202" s="2">
        <v>2175142404</v>
      </c>
      <c r="H202" s="2">
        <v>0</v>
      </c>
    </row>
    <row r="203" spans="1:8" x14ac:dyDescent="0.45">
      <c r="A203" t="s">
        <v>25</v>
      </c>
      <c r="B203" s="2">
        <v>130000000</v>
      </c>
      <c r="C203" s="2">
        <v>97500000</v>
      </c>
      <c r="D203" s="2">
        <v>3400000</v>
      </c>
      <c r="E203" s="2">
        <v>32418811</v>
      </c>
      <c r="F203" s="2">
        <v>35818811</v>
      </c>
      <c r="G203" s="2">
        <v>61681189</v>
      </c>
      <c r="H203" s="2">
        <v>32500000</v>
      </c>
    </row>
    <row r="204" spans="1:8" x14ac:dyDescent="0.45">
      <c r="A204" t="s">
        <v>26</v>
      </c>
      <c r="B204" s="2">
        <v>514046000</v>
      </c>
      <c r="C204" s="2">
        <v>385534500</v>
      </c>
      <c r="D204" s="2">
        <v>23159000</v>
      </c>
      <c r="E204" s="2">
        <v>51029500</v>
      </c>
      <c r="F204" s="2">
        <v>74188500</v>
      </c>
      <c r="G204" s="2">
        <v>311346000</v>
      </c>
      <c r="H204" s="2">
        <v>128511500</v>
      </c>
    </row>
    <row r="205" spans="1:8" x14ac:dyDescent="0.45">
      <c r="A205" t="s">
        <v>27</v>
      </c>
      <c r="B205" s="2">
        <v>105000000</v>
      </c>
      <c r="C205" s="2">
        <v>105000000</v>
      </c>
      <c r="D205" s="2">
        <v>0</v>
      </c>
      <c r="E205" s="2">
        <v>17500000</v>
      </c>
      <c r="F205" s="2">
        <v>17500000</v>
      </c>
      <c r="G205" s="2">
        <v>87500000</v>
      </c>
      <c r="H205" s="2">
        <v>0</v>
      </c>
    </row>
    <row r="206" spans="1:8" x14ac:dyDescent="0.45">
      <c r="A206" t="s">
        <v>28</v>
      </c>
      <c r="B206" s="2">
        <v>450000000</v>
      </c>
      <c r="C206" s="2">
        <v>337500000</v>
      </c>
      <c r="D206" s="2">
        <v>27515000</v>
      </c>
      <c r="E206" s="2">
        <v>10052000</v>
      </c>
      <c r="F206" s="2">
        <v>37567000</v>
      </c>
      <c r="G206" s="2">
        <v>299933000</v>
      </c>
      <c r="H206" s="2">
        <v>112500000</v>
      </c>
    </row>
    <row r="207" spans="1:8" x14ac:dyDescent="0.45">
      <c r="A207" t="s">
        <v>29</v>
      </c>
      <c r="B207" s="2">
        <v>165000000</v>
      </c>
      <c r="C207" s="2">
        <v>123750000</v>
      </c>
      <c r="D207" s="2">
        <v>0</v>
      </c>
      <c r="E207" s="2">
        <v>0</v>
      </c>
      <c r="F207" s="2">
        <v>0</v>
      </c>
      <c r="G207" s="2">
        <v>123750000</v>
      </c>
      <c r="H207" s="2">
        <v>41250000</v>
      </c>
    </row>
    <row r="208" spans="1:8" x14ac:dyDescent="0.45">
      <c r="A208" t="s">
        <v>30</v>
      </c>
      <c r="B208" s="2">
        <v>252000000</v>
      </c>
      <c r="C208" s="2">
        <v>189000000</v>
      </c>
      <c r="D208" s="2">
        <v>0</v>
      </c>
      <c r="E208" s="2">
        <v>52728250</v>
      </c>
      <c r="F208" s="2">
        <v>52728250</v>
      </c>
      <c r="G208" s="2">
        <v>136271750</v>
      </c>
      <c r="H208" s="2">
        <v>63000000</v>
      </c>
    </row>
    <row r="209" spans="1:8" x14ac:dyDescent="0.45">
      <c r="A209" t="s">
        <v>79</v>
      </c>
      <c r="B209" s="2">
        <v>18000000</v>
      </c>
      <c r="C209" s="2">
        <v>18000000</v>
      </c>
      <c r="D209" s="2">
        <v>1245000</v>
      </c>
      <c r="E209" s="2">
        <v>2012160</v>
      </c>
      <c r="F209" s="2">
        <v>3257160</v>
      </c>
      <c r="G209" s="2">
        <v>14742840</v>
      </c>
      <c r="H209" s="2">
        <v>0</v>
      </c>
    </row>
    <row r="210" spans="1:8" x14ac:dyDescent="0.45">
      <c r="A210" t="s">
        <v>31</v>
      </c>
      <c r="B210" s="2">
        <v>50000000</v>
      </c>
      <c r="C210" s="2">
        <v>50000000</v>
      </c>
      <c r="D210" s="2">
        <v>0</v>
      </c>
      <c r="E210" s="2">
        <v>12431950</v>
      </c>
      <c r="F210" s="2">
        <v>12431950</v>
      </c>
      <c r="G210" s="2">
        <v>37568050</v>
      </c>
      <c r="H210" s="2">
        <v>0</v>
      </c>
    </row>
    <row r="211" spans="1:8" x14ac:dyDescent="0.45">
      <c r="A211" t="s">
        <v>32</v>
      </c>
      <c r="B211" s="2">
        <v>9823162126</v>
      </c>
      <c r="C211" s="2">
        <v>9823162126</v>
      </c>
      <c r="D211" s="2">
        <v>0</v>
      </c>
      <c r="E211" s="2">
        <v>1413095540</v>
      </c>
      <c r="F211" s="2">
        <v>1413095540</v>
      </c>
      <c r="G211" s="2">
        <v>8410066586</v>
      </c>
      <c r="H211" s="2">
        <v>0</v>
      </c>
    </row>
    <row r="212" spans="1:8" x14ac:dyDescent="0.45">
      <c r="A212" t="s">
        <v>33</v>
      </c>
      <c r="B212" s="2">
        <v>253256971</v>
      </c>
      <c r="C212" s="2">
        <v>253256971</v>
      </c>
      <c r="D212" s="2">
        <v>0</v>
      </c>
      <c r="E212" s="2">
        <v>40195286</v>
      </c>
      <c r="F212" s="2">
        <v>40195286</v>
      </c>
      <c r="G212" s="2">
        <v>213061685</v>
      </c>
      <c r="H212" s="2">
        <v>0</v>
      </c>
    </row>
    <row r="213" spans="1:8" x14ac:dyDescent="0.45">
      <c r="A213" t="s">
        <v>34</v>
      </c>
      <c r="B213" s="2">
        <v>9245675372</v>
      </c>
      <c r="C213" s="2">
        <v>9245675372</v>
      </c>
      <c r="D213" s="2">
        <v>0</v>
      </c>
      <c r="E213" s="2">
        <v>1642954271</v>
      </c>
      <c r="F213" s="2">
        <v>1642954271</v>
      </c>
      <c r="G213" s="2">
        <v>7602721101</v>
      </c>
      <c r="H213" s="2">
        <v>0</v>
      </c>
    </row>
    <row r="214" spans="1:8" x14ac:dyDescent="0.45">
      <c r="A214" t="s">
        <v>35</v>
      </c>
      <c r="B214" s="2">
        <v>53358150</v>
      </c>
      <c r="C214" s="2">
        <v>53358150</v>
      </c>
      <c r="D214" s="2">
        <v>0</v>
      </c>
      <c r="E214" s="2">
        <v>0</v>
      </c>
      <c r="F214" s="2">
        <v>0</v>
      </c>
      <c r="G214" s="2">
        <v>53358150</v>
      </c>
      <c r="H214" s="2">
        <v>0</v>
      </c>
    </row>
    <row r="215" spans="1:8" x14ac:dyDescent="0.45">
      <c r="A215" t="s">
        <v>36</v>
      </c>
      <c r="B215" s="2">
        <v>711662069</v>
      </c>
      <c r="C215" s="2">
        <v>711662069</v>
      </c>
      <c r="D215" s="2">
        <v>0</v>
      </c>
      <c r="E215" s="2">
        <v>148855099</v>
      </c>
      <c r="F215" s="2">
        <v>148855099</v>
      </c>
      <c r="G215" s="2">
        <v>562806970</v>
      </c>
      <c r="H215" s="2">
        <v>0</v>
      </c>
    </row>
    <row r="216" spans="1:8" x14ac:dyDescent="0.45">
      <c r="A216" t="s">
        <v>37</v>
      </c>
      <c r="B216" s="2">
        <v>24702462</v>
      </c>
      <c r="C216" s="2">
        <v>24702462</v>
      </c>
      <c r="D216" s="2">
        <v>0</v>
      </c>
      <c r="E216" s="2">
        <v>6364926</v>
      </c>
      <c r="F216" s="2">
        <v>6364926</v>
      </c>
      <c r="G216" s="2">
        <v>18337536</v>
      </c>
      <c r="H216" s="2">
        <v>0</v>
      </c>
    </row>
    <row r="217" spans="1:8" x14ac:dyDescent="0.45">
      <c r="A217" t="s">
        <v>38</v>
      </c>
      <c r="B217" s="2">
        <v>825165933</v>
      </c>
      <c r="C217" s="2">
        <v>825165933</v>
      </c>
      <c r="D217" s="2">
        <v>0</v>
      </c>
      <c r="E217" s="2">
        <v>214605455</v>
      </c>
      <c r="F217" s="2">
        <v>214605455</v>
      </c>
      <c r="G217" s="2">
        <v>610560478</v>
      </c>
      <c r="H217" s="2">
        <v>0</v>
      </c>
    </row>
    <row r="218" spans="1:8" x14ac:dyDescent="0.45">
      <c r="A218" t="s">
        <v>39</v>
      </c>
      <c r="B218" s="2">
        <v>2750420</v>
      </c>
      <c r="C218" s="2">
        <v>2750420</v>
      </c>
      <c r="D218" s="2">
        <v>0</v>
      </c>
      <c r="E218" s="2">
        <v>0</v>
      </c>
      <c r="F218" s="2">
        <v>0</v>
      </c>
      <c r="G218" s="2">
        <v>2750420</v>
      </c>
      <c r="H218" s="2">
        <v>0</v>
      </c>
    </row>
    <row r="219" spans="1:8" x14ac:dyDescent="0.45">
      <c r="A219" t="s">
        <v>80</v>
      </c>
      <c r="B219" s="2">
        <v>43869608368</v>
      </c>
      <c r="C219" s="2">
        <v>43454346868</v>
      </c>
      <c r="D219" s="2">
        <v>4498986913</v>
      </c>
      <c r="E219" s="2">
        <v>4331744190</v>
      </c>
      <c r="F219" s="2">
        <v>8830731103</v>
      </c>
      <c r="G219" s="2">
        <v>34623615765</v>
      </c>
      <c r="H219" s="2">
        <v>415261500</v>
      </c>
    </row>
    <row r="220" spans="1:8" x14ac:dyDescent="0.45">
      <c r="A220" t="s">
        <v>8</v>
      </c>
      <c r="B220" s="2">
        <v>12264606000</v>
      </c>
      <c r="C220" s="2">
        <v>12264606000</v>
      </c>
      <c r="D220" s="2">
        <v>9573167730</v>
      </c>
      <c r="E220" s="2">
        <v>36030000</v>
      </c>
      <c r="F220" s="2">
        <v>9609197730</v>
      </c>
      <c r="G220" s="2">
        <v>2655408270</v>
      </c>
      <c r="H220" s="2">
        <v>0</v>
      </c>
    </row>
    <row r="221" spans="1:8" x14ac:dyDescent="0.45">
      <c r="A221" t="s">
        <v>11</v>
      </c>
      <c r="B221" s="2">
        <v>1126306000</v>
      </c>
      <c r="C221" s="2">
        <v>1126306000</v>
      </c>
      <c r="D221" s="2">
        <v>617301007</v>
      </c>
      <c r="E221" s="2">
        <v>0</v>
      </c>
      <c r="F221" s="2">
        <v>617301007</v>
      </c>
      <c r="G221" s="2">
        <v>509004993</v>
      </c>
      <c r="H221" s="2">
        <v>0</v>
      </c>
    </row>
    <row r="222" spans="1:8" x14ac:dyDescent="0.45">
      <c r="A222" t="s">
        <v>12</v>
      </c>
      <c r="B222" s="2">
        <v>100000000</v>
      </c>
      <c r="C222" s="2">
        <v>100000000</v>
      </c>
      <c r="D222" s="2">
        <v>0</v>
      </c>
      <c r="E222" s="2">
        <v>0</v>
      </c>
      <c r="F222" s="2">
        <v>0</v>
      </c>
      <c r="G222" s="2">
        <v>100000000</v>
      </c>
      <c r="H222" s="2">
        <v>0</v>
      </c>
    </row>
    <row r="223" spans="1:8" x14ac:dyDescent="0.45">
      <c r="A223" t="s">
        <v>48</v>
      </c>
      <c r="B223" s="2">
        <v>495000000</v>
      </c>
      <c r="C223" s="2">
        <v>495000000</v>
      </c>
      <c r="D223" s="2">
        <v>29117120</v>
      </c>
      <c r="E223" s="2">
        <v>0</v>
      </c>
      <c r="F223" s="2">
        <v>29117120</v>
      </c>
      <c r="G223" s="2">
        <v>465882880</v>
      </c>
      <c r="H223" s="2">
        <v>0</v>
      </c>
    </row>
    <row r="224" spans="1:8" x14ac:dyDescent="0.45">
      <c r="A224" t="s">
        <v>13</v>
      </c>
      <c r="B224" s="2">
        <v>200000000</v>
      </c>
      <c r="C224" s="2">
        <v>200000000</v>
      </c>
      <c r="D224" s="2">
        <v>0</v>
      </c>
      <c r="E224" s="2">
        <v>0</v>
      </c>
      <c r="F224" s="2">
        <v>0</v>
      </c>
      <c r="G224" s="2">
        <v>200000000</v>
      </c>
      <c r="H224" s="2">
        <v>0</v>
      </c>
    </row>
    <row r="225" spans="1:8" x14ac:dyDescent="0.45">
      <c r="A225" t="s">
        <v>15</v>
      </c>
      <c r="B225" s="2">
        <v>1310391000</v>
      </c>
      <c r="C225" s="2">
        <v>1310391000</v>
      </c>
      <c r="D225" s="2">
        <v>62324038</v>
      </c>
      <c r="E225" s="2">
        <v>100383550</v>
      </c>
      <c r="F225" s="2">
        <v>162707588</v>
      </c>
      <c r="G225" s="2">
        <v>1147683412</v>
      </c>
      <c r="H225" s="2">
        <v>0</v>
      </c>
    </row>
    <row r="226" spans="1:8" x14ac:dyDescent="0.45">
      <c r="A226" t="s">
        <v>16</v>
      </c>
      <c r="B226" s="2">
        <v>1380000000</v>
      </c>
      <c r="C226" s="2">
        <v>1380000000</v>
      </c>
      <c r="D226" s="2">
        <v>321145216</v>
      </c>
      <c r="E226" s="2">
        <v>201042000</v>
      </c>
      <c r="F226" s="2">
        <v>522187216</v>
      </c>
      <c r="G226" s="2">
        <v>857812784</v>
      </c>
      <c r="H226" s="2">
        <v>0</v>
      </c>
    </row>
    <row r="227" spans="1:8" x14ac:dyDescent="0.45">
      <c r="A227" t="s">
        <v>49</v>
      </c>
      <c r="B227" s="2">
        <v>350000000</v>
      </c>
      <c r="C227" s="2">
        <v>350000000</v>
      </c>
      <c r="D227" s="2">
        <v>0</v>
      </c>
      <c r="E227" s="2">
        <v>0</v>
      </c>
      <c r="F227" s="2">
        <v>0</v>
      </c>
      <c r="G227" s="2">
        <v>350000000</v>
      </c>
      <c r="H227" s="2">
        <v>0</v>
      </c>
    </row>
    <row r="228" spans="1:8" x14ac:dyDescent="0.45">
      <c r="A228" t="s">
        <v>50</v>
      </c>
      <c r="B228" s="2">
        <v>497000000</v>
      </c>
      <c r="C228" s="2">
        <v>497000000</v>
      </c>
      <c r="D228" s="2">
        <v>496659494</v>
      </c>
      <c r="E228" s="2">
        <v>0</v>
      </c>
      <c r="F228" s="2">
        <v>496659494</v>
      </c>
      <c r="G228" s="2">
        <v>340506</v>
      </c>
      <c r="H228" s="2">
        <v>0</v>
      </c>
    </row>
    <row r="229" spans="1:8" x14ac:dyDescent="0.45">
      <c r="A229" t="s">
        <v>51</v>
      </c>
      <c r="B229" s="2">
        <v>100000000</v>
      </c>
      <c r="C229" s="2">
        <v>100000000</v>
      </c>
      <c r="D229" s="2">
        <v>6718000</v>
      </c>
      <c r="E229" s="2">
        <v>0</v>
      </c>
      <c r="F229" s="2">
        <v>6718000</v>
      </c>
      <c r="G229" s="2">
        <v>93282000</v>
      </c>
      <c r="H229" s="2">
        <v>0</v>
      </c>
    </row>
    <row r="230" spans="1:8" x14ac:dyDescent="0.45">
      <c r="A230" t="s">
        <v>52</v>
      </c>
      <c r="B230" s="2">
        <v>2264065000</v>
      </c>
      <c r="C230" s="2">
        <v>2264065000</v>
      </c>
      <c r="D230" s="2">
        <v>1986680000</v>
      </c>
      <c r="E230" s="2">
        <v>0</v>
      </c>
      <c r="F230" s="2">
        <v>1986680000</v>
      </c>
      <c r="G230" s="2">
        <v>277385000</v>
      </c>
      <c r="H230" s="2">
        <v>0</v>
      </c>
    </row>
    <row r="231" spans="1:8" x14ac:dyDescent="0.45">
      <c r="A231" t="s">
        <v>77</v>
      </c>
      <c r="B231" s="2">
        <v>30000000</v>
      </c>
      <c r="C231" s="2">
        <v>30000000</v>
      </c>
      <c r="D231" s="2">
        <v>0</v>
      </c>
      <c r="E231" s="2">
        <v>0</v>
      </c>
      <c r="F231" s="2">
        <v>0</v>
      </c>
      <c r="G231" s="2">
        <v>30000000</v>
      </c>
      <c r="H231" s="2">
        <v>0</v>
      </c>
    </row>
    <row r="232" spans="1:8" x14ac:dyDescent="0.45">
      <c r="A232" t="s">
        <v>56</v>
      </c>
      <c r="B232" s="2">
        <v>1155000000</v>
      </c>
      <c r="C232" s="2">
        <v>1155000000</v>
      </c>
      <c r="D232" s="2">
        <v>495830000</v>
      </c>
      <c r="E232" s="2">
        <v>0</v>
      </c>
      <c r="F232" s="2">
        <v>495830000</v>
      </c>
      <c r="G232" s="2">
        <v>659170000</v>
      </c>
      <c r="H232" s="2">
        <v>0</v>
      </c>
    </row>
    <row r="233" spans="1:8" x14ac:dyDescent="0.45">
      <c r="A233" t="s">
        <v>22</v>
      </c>
      <c r="B233" s="2">
        <v>1040000000</v>
      </c>
      <c r="C233" s="2">
        <v>780000000</v>
      </c>
      <c r="D233" s="2">
        <v>0</v>
      </c>
      <c r="E233" s="2">
        <v>0</v>
      </c>
      <c r="F233" s="2">
        <v>0</v>
      </c>
      <c r="G233" s="2">
        <v>780000000</v>
      </c>
      <c r="H233" s="2">
        <v>260000000</v>
      </c>
    </row>
    <row r="234" spans="1:8" x14ac:dyDescent="0.45">
      <c r="A234" t="s">
        <v>57</v>
      </c>
      <c r="B234" s="2">
        <v>250000000</v>
      </c>
      <c r="C234" s="2">
        <v>250000000</v>
      </c>
      <c r="D234" s="2">
        <v>0</v>
      </c>
      <c r="E234" s="2">
        <v>32848750</v>
      </c>
      <c r="F234" s="2">
        <v>32848750</v>
      </c>
      <c r="G234" s="2">
        <v>217151250</v>
      </c>
      <c r="H234" s="2">
        <v>0</v>
      </c>
    </row>
    <row r="235" spans="1:8" x14ac:dyDescent="0.45">
      <c r="A235" t="s">
        <v>58</v>
      </c>
      <c r="B235" s="2">
        <v>3063576000</v>
      </c>
      <c r="C235" s="2">
        <v>3063576000</v>
      </c>
      <c r="D235" s="2">
        <v>0</v>
      </c>
      <c r="E235" s="2">
        <v>396859899</v>
      </c>
      <c r="F235" s="2">
        <v>396859899</v>
      </c>
      <c r="G235" s="2">
        <v>2666716101</v>
      </c>
      <c r="H235" s="2">
        <v>0</v>
      </c>
    </row>
    <row r="236" spans="1:8" x14ac:dyDescent="0.45">
      <c r="A236" t="s">
        <v>25</v>
      </c>
      <c r="B236" s="2">
        <v>146883400</v>
      </c>
      <c r="C236" s="2">
        <v>110162550</v>
      </c>
      <c r="D236" s="2">
        <v>10311000</v>
      </c>
      <c r="E236" s="2">
        <v>9960000</v>
      </c>
      <c r="F236" s="2">
        <v>20271000</v>
      </c>
      <c r="G236" s="2">
        <v>89891550</v>
      </c>
      <c r="H236" s="2">
        <v>36720850</v>
      </c>
    </row>
    <row r="237" spans="1:8" x14ac:dyDescent="0.45">
      <c r="A237" t="s">
        <v>26</v>
      </c>
      <c r="B237" s="2">
        <v>472318000</v>
      </c>
      <c r="C237" s="2">
        <v>354238500</v>
      </c>
      <c r="D237" s="2">
        <v>29494000</v>
      </c>
      <c r="E237" s="2">
        <v>52117900</v>
      </c>
      <c r="F237" s="2">
        <v>81611900</v>
      </c>
      <c r="G237" s="2">
        <v>272626600</v>
      </c>
      <c r="H237" s="2">
        <v>118079500</v>
      </c>
    </row>
    <row r="238" spans="1:8" x14ac:dyDescent="0.45">
      <c r="A238" t="s">
        <v>27</v>
      </c>
      <c r="B238" s="2">
        <v>99000000</v>
      </c>
      <c r="C238" s="2">
        <v>99000000</v>
      </c>
      <c r="D238" s="2">
        <v>0</v>
      </c>
      <c r="E238" s="2">
        <v>16500000</v>
      </c>
      <c r="F238" s="2">
        <v>16500000</v>
      </c>
      <c r="G238" s="2">
        <v>82500000</v>
      </c>
      <c r="H238" s="2">
        <v>0</v>
      </c>
    </row>
    <row r="239" spans="1:8" x14ac:dyDescent="0.45">
      <c r="A239" t="s">
        <v>28</v>
      </c>
      <c r="B239" s="2">
        <v>775000000</v>
      </c>
      <c r="C239" s="2">
        <v>732016185</v>
      </c>
      <c r="D239" s="2">
        <v>705859685</v>
      </c>
      <c r="E239" s="2">
        <v>26156500</v>
      </c>
      <c r="F239" s="2">
        <v>732016185</v>
      </c>
      <c r="G239" s="2">
        <v>0</v>
      </c>
      <c r="H239" s="2">
        <v>42983815</v>
      </c>
    </row>
    <row r="240" spans="1:8" x14ac:dyDescent="0.45">
      <c r="A240" t="s">
        <v>30</v>
      </c>
      <c r="B240" s="2">
        <v>269712000</v>
      </c>
      <c r="C240" s="2">
        <v>202284000</v>
      </c>
      <c r="D240" s="2">
        <v>0</v>
      </c>
      <c r="E240" s="2">
        <v>50796750</v>
      </c>
      <c r="F240" s="2">
        <v>50796750</v>
      </c>
      <c r="G240" s="2">
        <v>151487250</v>
      </c>
      <c r="H240" s="2">
        <v>67428000</v>
      </c>
    </row>
    <row r="241" spans="1:8" x14ac:dyDescent="0.45">
      <c r="A241" t="s">
        <v>31</v>
      </c>
      <c r="B241" s="2">
        <v>60000000</v>
      </c>
      <c r="C241" s="2">
        <v>60000000</v>
      </c>
      <c r="D241" s="2">
        <v>14997987</v>
      </c>
      <c r="E241" s="2">
        <v>0</v>
      </c>
      <c r="F241" s="2">
        <v>14997987</v>
      </c>
      <c r="G241" s="2">
        <v>45002013</v>
      </c>
      <c r="H241" s="2">
        <v>0</v>
      </c>
    </row>
    <row r="242" spans="1:8" x14ac:dyDescent="0.45">
      <c r="A242" t="s">
        <v>32</v>
      </c>
      <c r="B242" s="2">
        <v>9825956170</v>
      </c>
      <c r="C242" s="2">
        <v>9825956170</v>
      </c>
      <c r="D242" s="2">
        <v>0</v>
      </c>
      <c r="E242" s="2">
        <v>1414752651</v>
      </c>
      <c r="F242" s="2">
        <v>1414752651</v>
      </c>
      <c r="G242" s="2">
        <v>8411203519</v>
      </c>
      <c r="H242" s="2">
        <v>0</v>
      </c>
    </row>
    <row r="243" spans="1:8" x14ac:dyDescent="0.45">
      <c r="A243" t="s">
        <v>33</v>
      </c>
      <c r="B243" s="2">
        <v>469848578</v>
      </c>
      <c r="C243" s="2">
        <v>469848578</v>
      </c>
      <c r="D243" s="2">
        <v>0</v>
      </c>
      <c r="E243" s="2">
        <v>81372528</v>
      </c>
      <c r="F243" s="2">
        <v>81372528</v>
      </c>
      <c r="G243" s="2">
        <v>388476050</v>
      </c>
      <c r="H243" s="2">
        <v>0</v>
      </c>
    </row>
    <row r="244" spans="1:8" x14ac:dyDescent="0.45">
      <c r="A244" t="s">
        <v>34</v>
      </c>
      <c r="B244" s="2">
        <v>9512105917</v>
      </c>
      <c r="C244" s="2">
        <v>9512105917</v>
      </c>
      <c r="D244" s="2">
        <v>0</v>
      </c>
      <c r="E244" s="2">
        <v>1634854848</v>
      </c>
      <c r="F244" s="2">
        <v>1634854848</v>
      </c>
      <c r="G244" s="2">
        <v>7877251069</v>
      </c>
      <c r="H244" s="2">
        <v>0</v>
      </c>
    </row>
    <row r="245" spans="1:8" x14ac:dyDescent="0.45">
      <c r="A245" t="s">
        <v>35</v>
      </c>
      <c r="B245" s="2">
        <v>52257981</v>
      </c>
      <c r="C245" s="2">
        <v>52257981</v>
      </c>
      <c r="D245" s="2">
        <v>0</v>
      </c>
      <c r="E245" s="2">
        <v>0</v>
      </c>
      <c r="F245" s="2">
        <v>0</v>
      </c>
      <c r="G245" s="2">
        <v>52257981</v>
      </c>
      <c r="H245" s="2">
        <v>0</v>
      </c>
    </row>
    <row r="246" spans="1:8" x14ac:dyDescent="0.45">
      <c r="A246" t="s">
        <v>36</v>
      </c>
      <c r="B246" s="2">
        <v>994942561</v>
      </c>
      <c r="C246" s="2">
        <v>994942561</v>
      </c>
      <c r="D246" s="2">
        <v>0</v>
      </c>
      <c r="E246" s="2">
        <v>142576822</v>
      </c>
      <c r="F246" s="2">
        <v>142576822</v>
      </c>
      <c r="G246" s="2">
        <v>852365739</v>
      </c>
      <c r="H246" s="2">
        <v>0</v>
      </c>
    </row>
    <row r="247" spans="1:8" x14ac:dyDescent="0.45">
      <c r="A247" t="s">
        <v>37</v>
      </c>
      <c r="B247" s="2">
        <v>33538359</v>
      </c>
      <c r="C247" s="2">
        <v>33538359</v>
      </c>
      <c r="D247" s="2">
        <v>0</v>
      </c>
      <c r="E247" s="2">
        <v>6842991</v>
      </c>
      <c r="F247" s="2">
        <v>6842991</v>
      </c>
      <c r="G247" s="2">
        <v>26695368</v>
      </c>
      <c r="H247" s="2">
        <v>0</v>
      </c>
    </row>
    <row r="248" spans="1:8" x14ac:dyDescent="0.45">
      <c r="A248" t="s">
        <v>38</v>
      </c>
      <c r="B248" s="2">
        <v>1099727334</v>
      </c>
      <c r="C248" s="2">
        <v>1099727334</v>
      </c>
      <c r="D248" s="2">
        <v>0</v>
      </c>
      <c r="E248" s="2">
        <v>221405523</v>
      </c>
      <c r="F248" s="2">
        <v>221405523</v>
      </c>
      <c r="G248" s="2">
        <v>878321811</v>
      </c>
      <c r="H248" s="2">
        <v>0</v>
      </c>
    </row>
    <row r="249" spans="1:8" x14ac:dyDescent="0.45">
      <c r="A249" t="s">
        <v>39</v>
      </c>
      <c r="B249" s="2">
        <v>2750420</v>
      </c>
      <c r="C249" s="2">
        <v>2750420</v>
      </c>
      <c r="D249" s="2">
        <v>0</v>
      </c>
      <c r="E249" s="2">
        <v>0</v>
      </c>
      <c r="F249" s="2">
        <v>0</v>
      </c>
      <c r="G249" s="2">
        <v>2750420</v>
      </c>
      <c r="H249" s="2">
        <v>0</v>
      </c>
    </row>
    <row r="250" spans="1:8" x14ac:dyDescent="0.45">
      <c r="A250" t="s">
        <v>81</v>
      </c>
      <c r="B250" s="2">
        <v>49439984720</v>
      </c>
      <c r="C250" s="2">
        <v>48914772555</v>
      </c>
      <c r="D250" s="2">
        <v>14349605277</v>
      </c>
      <c r="E250" s="2">
        <v>4424500712</v>
      </c>
      <c r="F250" s="2">
        <v>18774105989</v>
      </c>
      <c r="G250" s="2">
        <v>30140666566</v>
      </c>
      <c r="H250" s="2">
        <v>525212165</v>
      </c>
    </row>
    <row r="251" spans="1:8" x14ac:dyDescent="0.45">
      <c r="A251" t="s">
        <v>8</v>
      </c>
      <c r="B251" s="2">
        <v>2847534500</v>
      </c>
      <c r="C251" s="2">
        <v>2847534500</v>
      </c>
      <c r="D251" s="2">
        <v>718522000</v>
      </c>
      <c r="E251" s="2">
        <v>0</v>
      </c>
      <c r="F251" s="2">
        <v>718522000</v>
      </c>
      <c r="G251" s="2">
        <v>2129012500</v>
      </c>
      <c r="H251" s="2">
        <v>0</v>
      </c>
    </row>
    <row r="252" spans="1:8" x14ac:dyDescent="0.45">
      <c r="A252" t="s">
        <v>11</v>
      </c>
      <c r="B252" s="2">
        <v>770000000</v>
      </c>
      <c r="C252" s="2">
        <v>770000000</v>
      </c>
      <c r="D252" s="2">
        <v>731199517</v>
      </c>
      <c r="E252" s="2">
        <v>0</v>
      </c>
      <c r="F252" s="2">
        <v>731199517</v>
      </c>
      <c r="G252" s="2">
        <v>38800483</v>
      </c>
      <c r="H252" s="2">
        <v>0</v>
      </c>
    </row>
    <row r="253" spans="1:8" x14ac:dyDescent="0.45">
      <c r="A253" t="s">
        <v>12</v>
      </c>
      <c r="B253" s="2">
        <v>179171000</v>
      </c>
      <c r="C253" s="2">
        <v>179171000</v>
      </c>
      <c r="D253" s="2">
        <v>0</v>
      </c>
      <c r="E253" s="2">
        <v>0</v>
      </c>
      <c r="F253" s="2">
        <v>0</v>
      </c>
      <c r="G253" s="2">
        <v>179171000</v>
      </c>
      <c r="H253" s="2">
        <v>0</v>
      </c>
    </row>
    <row r="254" spans="1:8" x14ac:dyDescent="0.45">
      <c r="A254" t="s">
        <v>48</v>
      </c>
      <c r="B254" s="2">
        <v>75000000</v>
      </c>
      <c r="C254" s="2">
        <v>75000000</v>
      </c>
      <c r="D254" s="2">
        <v>0</v>
      </c>
      <c r="E254" s="2">
        <v>0</v>
      </c>
      <c r="F254" s="2">
        <v>0</v>
      </c>
      <c r="G254" s="2">
        <v>75000000</v>
      </c>
      <c r="H254" s="2">
        <v>0</v>
      </c>
    </row>
    <row r="255" spans="1:8" x14ac:dyDescent="0.45">
      <c r="A255" t="s">
        <v>13</v>
      </c>
      <c r="B255" s="2">
        <v>437500000</v>
      </c>
      <c r="C255" s="2">
        <v>437500000</v>
      </c>
      <c r="D255" s="2">
        <v>0</v>
      </c>
      <c r="E255" s="2">
        <v>6817000</v>
      </c>
      <c r="F255" s="2">
        <v>6817000</v>
      </c>
      <c r="G255" s="2">
        <v>430683000</v>
      </c>
      <c r="H255" s="2">
        <v>0</v>
      </c>
    </row>
    <row r="256" spans="1:8" x14ac:dyDescent="0.45">
      <c r="A256" t="s">
        <v>14</v>
      </c>
      <c r="B256" s="2">
        <v>1634991000</v>
      </c>
      <c r="C256" s="2">
        <v>1634991000</v>
      </c>
      <c r="D256" s="2">
        <v>197080000</v>
      </c>
      <c r="E256" s="2">
        <v>99830000</v>
      </c>
      <c r="F256" s="2">
        <v>296910000</v>
      </c>
      <c r="G256" s="2">
        <v>1338081000</v>
      </c>
      <c r="H256" s="2">
        <v>0</v>
      </c>
    </row>
    <row r="257" spans="1:8" x14ac:dyDescent="0.45">
      <c r="A257" t="s">
        <v>15</v>
      </c>
      <c r="B257" s="2">
        <v>245566500</v>
      </c>
      <c r="C257" s="2">
        <v>245566500</v>
      </c>
      <c r="D257" s="2">
        <v>0</v>
      </c>
      <c r="E257" s="2">
        <v>98325000</v>
      </c>
      <c r="F257" s="2">
        <v>98325000</v>
      </c>
      <c r="G257" s="2">
        <v>147241500</v>
      </c>
      <c r="H257" s="2">
        <v>0</v>
      </c>
    </row>
    <row r="258" spans="1:8" x14ac:dyDescent="0.45">
      <c r="A258" t="s">
        <v>16</v>
      </c>
      <c r="B258" s="2">
        <v>850000000</v>
      </c>
      <c r="C258" s="2">
        <v>850000000</v>
      </c>
      <c r="D258" s="2">
        <v>309489160</v>
      </c>
      <c r="E258" s="2">
        <v>74800000</v>
      </c>
      <c r="F258" s="2">
        <v>384289160</v>
      </c>
      <c r="G258" s="2">
        <v>465710840</v>
      </c>
      <c r="H258" s="2">
        <v>0</v>
      </c>
    </row>
    <row r="259" spans="1:8" x14ac:dyDescent="0.45">
      <c r="A259" t="s">
        <v>49</v>
      </c>
      <c r="B259" s="2">
        <v>200000000</v>
      </c>
      <c r="C259" s="2">
        <v>200000000</v>
      </c>
      <c r="D259" s="2">
        <v>0</v>
      </c>
      <c r="E259" s="2">
        <v>0</v>
      </c>
      <c r="F259" s="2">
        <v>0</v>
      </c>
      <c r="G259" s="2">
        <v>200000000</v>
      </c>
      <c r="H259" s="2">
        <v>0</v>
      </c>
    </row>
    <row r="260" spans="1:8" x14ac:dyDescent="0.45">
      <c r="A260" t="s">
        <v>50</v>
      </c>
      <c r="B260" s="2">
        <v>620000000</v>
      </c>
      <c r="C260" s="2">
        <v>620000000</v>
      </c>
      <c r="D260" s="2">
        <v>49633664</v>
      </c>
      <c r="E260" s="2">
        <v>0</v>
      </c>
      <c r="F260" s="2">
        <v>49633664</v>
      </c>
      <c r="G260" s="2">
        <v>570366336</v>
      </c>
      <c r="H260" s="2">
        <v>0</v>
      </c>
    </row>
    <row r="261" spans="1:8" x14ac:dyDescent="0.45">
      <c r="A261" t="s">
        <v>51</v>
      </c>
      <c r="B261" s="2">
        <v>75000000</v>
      </c>
      <c r="C261" s="2">
        <v>75000000</v>
      </c>
      <c r="D261" s="2">
        <v>0</v>
      </c>
      <c r="E261" s="2">
        <v>0</v>
      </c>
      <c r="F261" s="2">
        <v>0</v>
      </c>
      <c r="G261" s="2">
        <v>75000000</v>
      </c>
      <c r="H261" s="2">
        <v>0</v>
      </c>
    </row>
    <row r="262" spans="1:8" x14ac:dyDescent="0.45">
      <c r="A262" t="s">
        <v>52</v>
      </c>
      <c r="B262" s="2">
        <v>1334151500</v>
      </c>
      <c r="C262" s="2">
        <v>1334151500</v>
      </c>
      <c r="D262" s="2">
        <v>1190000000</v>
      </c>
      <c r="E262" s="2">
        <v>0</v>
      </c>
      <c r="F262" s="2">
        <v>1190000000</v>
      </c>
      <c r="G262" s="2">
        <v>144151500</v>
      </c>
      <c r="H262" s="2">
        <v>0</v>
      </c>
    </row>
    <row r="263" spans="1:8" x14ac:dyDescent="0.45">
      <c r="A263" t="s">
        <v>18</v>
      </c>
      <c r="B263" s="2">
        <v>273768000</v>
      </c>
      <c r="C263" s="2">
        <v>273768000</v>
      </c>
      <c r="D263" s="2">
        <v>0</v>
      </c>
      <c r="E263" s="2">
        <v>0</v>
      </c>
      <c r="F263" s="2">
        <v>0</v>
      </c>
      <c r="G263" s="2">
        <v>273768000</v>
      </c>
      <c r="H263" s="2">
        <v>0</v>
      </c>
    </row>
    <row r="264" spans="1:8" x14ac:dyDescent="0.45">
      <c r="A264" t="s">
        <v>19</v>
      </c>
      <c r="B264" s="2">
        <v>2633662000</v>
      </c>
      <c r="C264" s="2">
        <v>2633662000</v>
      </c>
      <c r="D264" s="2">
        <v>2627635958</v>
      </c>
      <c r="E264" s="2">
        <v>0</v>
      </c>
      <c r="F264" s="2">
        <v>2627635958</v>
      </c>
      <c r="G264" s="2">
        <v>6026042</v>
      </c>
      <c r="H264" s="2">
        <v>0</v>
      </c>
    </row>
    <row r="265" spans="1:8" x14ac:dyDescent="0.45">
      <c r="A265" t="s">
        <v>64</v>
      </c>
      <c r="B265" s="2">
        <v>575500000</v>
      </c>
      <c r="C265" s="2">
        <v>575500000</v>
      </c>
      <c r="D265" s="2">
        <v>316539281</v>
      </c>
      <c r="E265" s="2">
        <v>0</v>
      </c>
      <c r="F265" s="2">
        <v>316539281</v>
      </c>
      <c r="G265" s="2">
        <v>258960719</v>
      </c>
      <c r="H265" s="2">
        <v>0</v>
      </c>
    </row>
    <row r="266" spans="1:8" x14ac:dyDescent="0.45">
      <c r="A266" t="s">
        <v>66</v>
      </c>
      <c r="B266" s="2">
        <v>387500000</v>
      </c>
      <c r="C266" s="2">
        <v>387500000</v>
      </c>
      <c r="D266" s="2">
        <v>49450000</v>
      </c>
      <c r="E266" s="2">
        <v>0</v>
      </c>
      <c r="F266" s="2">
        <v>49450000</v>
      </c>
      <c r="G266" s="2">
        <v>338050000</v>
      </c>
      <c r="H266" s="2">
        <v>0</v>
      </c>
    </row>
    <row r="267" spans="1:8" x14ac:dyDescent="0.45">
      <c r="A267" t="s">
        <v>67</v>
      </c>
      <c r="B267" s="2">
        <v>1130000000</v>
      </c>
      <c r="C267" s="2">
        <v>1130000000</v>
      </c>
      <c r="D267" s="2">
        <v>447600900</v>
      </c>
      <c r="E267" s="2">
        <v>0</v>
      </c>
      <c r="F267" s="2">
        <v>447600900</v>
      </c>
      <c r="G267" s="2">
        <v>682399100</v>
      </c>
      <c r="H267" s="2">
        <v>0</v>
      </c>
    </row>
    <row r="268" spans="1:8" x14ac:dyDescent="0.45">
      <c r="A268" t="s">
        <v>77</v>
      </c>
      <c r="B268" s="2">
        <v>125000000</v>
      </c>
      <c r="C268" s="2">
        <v>125000000</v>
      </c>
      <c r="D268" s="2">
        <v>0</v>
      </c>
      <c r="E268" s="2">
        <v>0</v>
      </c>
      <c r="F268" s="2">
        <v>0</v>
      </c>
      <c r="G268" s="2">
        <v>125000000</v>
      </c>
      <c r="H268" s="2">
        <v>0</v>
      </c>
    </row>
    <row r="269" spans="1:8" x14ac:dyDescent="0.45">
      <c r="A269" t="s">
        <v>56</v>
      </c>
      <c r="B269" s="2">
        <v>375000000</v>
      </c>
      <c r="C269" s="2">
        <v>375000000</v>
      </c>
      <c r="D269" s="2">
        <v>8959000</v>
      </c>
      <c r="E269" s="2">
        <v>36500000</v>
      </c>
      <c r="F269" s="2">
        <v>45459000</v>
      </c>
      <c r="G269" s="2">
        <v>329541000</v>
      </c>
      <c r="H269" s="2">
        <v>0</v>
      </c>
    </row>
    <row r="270" spans="1:8" x14ac:dyDescent="0.45">
      <c r="A270" t="s">
        <v>72</v>
      </c>
      <c r="B270" s="2">
        <v>621000000</v>
      </c>
      <c r="C270" s="2">
        <v>621000000</v>
      </c>
      <c r="D270" s="2">
        <v>0</v>
      </c>
      <c r="E270" s="2">
        <v>0</v>
      </c>
      <c r="F270" s="2">
        <v>0</v>
      </c>
      <c r="G270" s="2">
        <v>621000000</v>
      </c>
      <c r="H270" s="2">
        <v>0</v>
      </c>
    </row>
    <row r="271" spans="1:8" x14ac:dyDescent="0.45">
      <c r="A271" t="s">
        <v>22</v>
      </c>
      <c r="B271" s="2">
        <v>100000000</v>
      </c>
      <c r="C271" s="2">
        <v>100000000</v>
      </c>
      <c r="D271" s="2">
        <v>0</v>
      </c>
      <c r="E271" s="2">
        <v>0</v>
      </c>
      <c r="F271" s="2">
        <v>0</v>
      </c>
      <c r="G271" s="2">
        <v>100000000</v>
      </c>
      <c r="H271" s="2">
        <v>0</v>
      </c>
    </row>
    <row r="272" spans="1:8" x14ac:dyDescent="0.45">
      <c r="A272" t="s">
        <v>57</v>
      </c>
      <c r="B272" s="2">
        <v>173189000</v>
      </c>
      <c r="C272" s="2">
        <v>173189000</v>
      </c>
      <c r="D272" s="2">
        <v>1160000</v>
      </c>
      <c r="E272" s="2">
        <v>62100000</v>
      </c>
      <c r="F272" s="2">
        <v>63260000</v>
      </c>
      <c r="G272" s="2">
        <v>109929000</v>
      </c>
      <c r="H272" s="2">
        <v>0</v>
      </c>
    </row>
    <row r="273" spans="1:8" x14ac:dyDescent="0.45">
      <c r="A273" t="s">
        <v>58</v>
      </c>
      <c r="B273" s="2">
        <v>546340018</v>
      </c>
      <c r="C273" s="2">
        <v>546340018</v>
      </c>
      <c r="D273" s="2">
        <v>0</v>
      </c>
      <c r="E273" s="2">
        <v>320371955</v>
      </c>
      <c r="F273" s="2">
        <v>320371955</v>
      </c>
      <c r="G273" s="2">
        <v>225968063</v>
      </c>
      <c r="H273" s="2">
        <v>0</v>
      </c>
    </row>
    <row r="274" spans="1:8" x14ac:dyDescent="0.45">
      <c r="A274" t="s">
        <v>25</v>
      </c>
      <c r="B274" s="2">
        <v>24334750</v>
      </c>
      <c r="C274" s="2">
        <v>24334750</v>
      </c>
      <c r="D274" s="2">
        <v>6000000</v>
      </c>
      <c r="E274" s="2">
        <v>9188377</v>
      </c>
      <c r="F274" s="2">
        <v>15188377</v>
      </c>
      <c r="G274" s="2">
        <v>9146373</v>
      </c>
      <c r="H274" s="2">
        <v>0</v>
      </c>
    </row>
    <row r="275" spans="1:8" x14ac:dyDescent="0.45">
      <c r="A275" t="s">
        <v>26</v>
      </c>
      <c r="B275" s="2">
        <v>97531500</v>
      </c>
      <c r="C275" s="2">
        <v>97531500</v>
      </c>
      <c r="D275" s="2">
        <v>12164000</v>
      </c>
      <c r="E275" s="2">
        <v>78837733</v>
      </c>
      <c r="F275" s="2">
        <v>91001733</v>
      </c>
      <c r="G275" s="2">
        <v>6529767</v>
      </c>
      <c r="H275" s="2">
        <v>0</v>
      </c>
    </row>
    <row r="276" spans="1:8" x14ac:dyDescent="0.45">
      <c r="A276" t="s">
        <v>27</v>
      </c>
      <c r="B276" s="2">
        <v>37950000</v>
      </c>
      <c r="C276" s="2">
        <v>37950000</v>
      </c>
      <c r="D276" s="2">
        <v>0</v>
      </c>
      <c r="E276" s="2">
        <v>20461500</v>
      </c>
      <c r="F276" s="2">
        <v>20461500</v>
      </c>
      <c r="G276" s="2">
        <v>17488500</v>
      </c>
      <c r="H276" s="2">
        <v>0</v>
      </c>
    </row>
    <row r="277" spans="1:8" x14ac:dyDescent="0.45">
      <c r="A277" t="s">
        <v>28</v>
      </c>
      <c r="B277" s="2">
        <v>302334250</v>
      </c>
      <c r="C277" s="2">
        <v>302334250</v>
      </c>
      <c r="D277" s="2">
        <v>59146500</v>
      </c>
      <c r="E277" s="2">
        <v>0</v>
      </c>
      <c r="F277" s="2">
        <v>59146500</v>
      </c>
      <c r="G277" s="2">
        <v>243187750</v>
      </c>
      <c r="H277" s="2">
        <v>0</v>
      </c>
    </row>
    <row r="278" spans="1:8" x14ac:dyDescent="0.45">
      <c r="A278" t="s">
        <v>30</v>
      </c>
      <c r="B278" s="2">
        <v>79793750</v>
      </c>
      <c r="C278" s="2">
        <v>79793750</v>
      </c>
      <c r="D278" s="2">
        <v>0</v>
      </c>
      <c r="E278" s="2">
        <v>57649750</v>
      </c>
      <c r="F278" s="2">
        <v>57649750</v>
      </c>
      <c r="G278" s="2">
        <v>22144000</v>
      </c>
      <c r="H278" s="2">
        <v>0</v>
      </c>
    </row>
    <row r="279" spans="1:8" x14ac:dyDescent="0.45">
      <c r="A279" t="s">
        <v>79</v>
      </c>
      <c r="B279" s="2">
        <v>13812750</v>
      </c>
      <c r="C279" s="2">
        <v>13812750</v>
      </c>
      <c r="D279" s="2">
        <v>0</v>
      </c>
      <c r="E279" s="2">
        <v>13464055</v>
      </c>
      <c r="F279" s="2">
        <v>13464055</v>
      </c>
      <c r="G279" s="2">
        <v>348695</v>
      </c>
      <c r="H279" s="2">
        <v>0</v>
      </c>
    </row>
    <row r="280" spans="1:8" x14ac:dyDescent="0.45">
      <c r="A280" t="s">
        <v>31</v>
      </c>
      <c r="B280" s="2">
        <v>13675500</v>
      </c>
      <c r="C280" s="2">
        <v>13675500</v>
      </c>
      <c r="D280" s="2">
        <v>0</v>
      </c>
      <c r="E280" s="2">
        <v>13582000</v>
      </c>
      <c r="F280" s="2">
        <v>13582000</v>
      </c>
      <c r="G280" s="2">
        <v>93500</v>
      </c>
      <c r="H280" s="2">
        <v>0</v>
      </c>
    </row>
    <row r="281" spans="1:8" x14ac:dyDescent="0.45">
      <c r="A281" t="s">
        <v>59</v>
      </c>
      <c r="B281" s="2">
        <v>0</v>
      </c>
      <c r="C281" s="2">
        <v>0</v>
      </c>
      <c r="D281" s="2">
        <v>0</v>
      </c>
      <c r="E281" s="2">
        <v>18235895</v>
      </c>
      <c r="F281" s="2">
        <v>18235895</v>
      </c>
      <c r="G281" s="2">
        <v>-18235895</v>
      </c>
      <c r="H281" s="2">
        <v>0</v>
      </c>
    </row>
    <row r="282" spans="1:8" x14ac:dyDescent="0.45">
      <c r="A282" t="s">
        <v>32</v>
      </c>
      <c r="B282" s="2">
        <v>12622618927</v>
      </c>
      <c r="C282" s="2">
        <v>12622618927</v>
      </c>
      <c r="D282" s="2">
        <v>0</v>
      </c>
      <c r="E282" s="2">
        <v>1810519600</v>
      </c>
      <c r="F282" s="2">
        <v>1810519600</v>
      </c>
      <c r="G282" s="2">
        <v>10812099327</v>
      </c>
      <c r="H282" s="2">
        <v>0</v>
      </c>
    </row>
    <row r="283" spans="1:8" x14ac:dyDescent="0.45">
      <c r="A283" t="s">
        <v>33</v>
      </c>
      <c r="B283" s="2">
        <v>195048292</v>
      </c>
      <c r="C283" s="2">
        <v>195048292</v>
      </c>
      <c r="D283" s="2">
        <v>0</v>
      </c>
      <c r="E283" s="2">
        <v>30192218</v>
      </c>
      <c r="F283" s="2">
        <v>30192218</v>
      </c>
      <c r="G283" s="2">
        <v>164856074</v>
      </c>
      <c r="H283" s="2">
        <v>0</v>
      </c>
    </row>
    <row r="284" spans="1:8" x14ac:dyDescent="0.45">
      <c r="A284" t="s">
        <v>34</v>
      </c>
      <c r="B284" s="2">
        <v>12911717415</v>
      </c>
      <c r="C284" s="2">
        <v>12911717415</v>
      </c>
      <c r="D284" s="2">
        <v>0</v>
      </c>
      <c r="E284" s="2">
        <v>2169241697</v>
      </c>
      <c r="F284" s="2">
        <v>2169241697</v>
      </c>
      <c r="G284" s="2">
        <v>10742475718</v>
      </c>
      <c r="H284" s="2">
        <v>0</v>
      </c>
    </row>
    <row r="285" spans="1:8" x14ac:dyDescent="0.45">
      <c r="A285" t="s">
        <v>35</v>
      </c>
      <c r="B285" s="2">
        <v>74261342</v>
      </c>
      <c r="C285" s="2">
        <v>74261342</v>
      </c>
      <c r="D285" s="2">
        <v>0</v>
      </c>
      <c r="E285" s="2">
        <v>0</v>
      </c>
      <c r="F285" s="2">
        <v>0</v>
      </c>
      <c r="G285" s="2">
        <v>74261342</v>
      </c>
      <c r="H285" s="2">
        <v>0</v>
      </c>
    </row>
    <row r="286" spans="1:8" x14ac:dyDescent="0.45">
      <c r="A286" t="s">
        <v>36</v>
      </c>
      <c r="B286" s="2">
        <v>1260610655</v>
      </c>
      <c r="C286" s="2">
        <v>1260610655</v>
      </c>
      <c r="D286" s="2">
        <v>0</v>
      </c>
      <c r="E286" s="2">
        <v>159842823</v>
      </c>
      <c r="F286" s="2">
        <v>159842823</v>
      </c>
      <c r="G286" s="2">
        <v>1100767832</v>
      </c>
      <c r="H286" s="2">
        <v>0</v>
      </c>
    </row>
    <row r="287" spans="1:8" x14ac:dyDescent="0.45">
      <c r="A287" t="s">
        <v>37</v>
      </c>
      <c r="B287" s="2">
        <v>27455801</v>
      </c>
      <c r="C287" s="2">
        <v>27455801</v>
      </c>
      <c r="D287" s="2">
        <v>0</v>
      </c>
      <c r="E287" s="2">
        <v>4454672</v>
      </c>
      <c r="F287" s="2">
        <v>4454672</v>
      </c>
      <c r="G287" s="2">
        <v>23001129</v>
      </c>
      <c r="H287" s="2">
        <v>0</v>
      </c>
    </row>
    <row r="288" spans="1:8" x14ac:dyDescent="0.45">
      <c r="A288" t="s">
        <v>38</v>
      </c>
      <c r="B288" s="2">
        <v>1560328837</v>
      </c>
      <c r="C288" s="2">
        <v>1560328837</v>
      </c>
      <c r="D288" s="2">
        <v>0</v>
      </c>
      <c r="E288" s="2">
        <v>263232171</v>
      </c>
      <c r="F288" s="2">
        <v>263232171</v>
      </c>
      <c r="G288" s="2">
        <v>1297096666</v>
      </c>
      <c r="H288" s="2">
        <v>0</v>
      </c>
    </row>
    <row r="289" spans="1:8" x14ac:dyDescent="0.45">
      <c r="A289" t="s">
        <v>39</v>
      </c>
      <c r="B289" s="2">
        <v>2750420</v>
      </c>
      <c r="C289" s="2">
        <v>2750420</v>
      </c>
      <c r="D289" s="2">
        <v>0</v>
      </c>
      <c r="E289" s="2">
        <v>0</v>
      </c>
      <c r="F289" s="2">
        <v>0</v>
      </c>
      <c r="G289" s="2">
        <v>2750420</v>
      </c>
      <c r="H289" s="2">
        <v>0</v>
      </c>
    </row>
    <row r="290" spans="1:8" x14ac:dyDescent="0.45">
      <c r="A290" t="s">
        <v>82</v>
      </c>
      <c r="B290" s="2">
        <v>45434097707</v>
      </c>
      <c r="C290" s="2">
        <v>45434097707</v>
      </c>
      <c r="D290" s="2">
        <v>6724579980</v>
      </c>
      <c r="E290" s="2">
        <v>5347646446</v>
      </c>
      <c r="F290" s="2">
        <v>12072226426</v>
      </c>
      <c r="G290" s="2">
        <v>33361871281</v>
      </c>
      <c r="H290" s="2">
        <v>0</v>
      </c>
    </row>
    <row r="291" spans="1:8" x14ac:dyDescent="0.45">
      <c r="A291" t="s">
        <v>8</v>
      </c>
      <c r="B291" s="2">
        <v>3628073000</v>
      </c>
      <c r="C291" s="2">
        <v>3628073000</v>
      </c>
      <c r="D291" s="2">
        <v>1708500760</v>
      </c>
      <c r="E291" s="2">
        <v>0</v>
      </c>
      <c r="F291" s="2">
        <v>1708500760</v>
      </c>
      <c r="G291" s="2">
        <v>1919572240</v>
      </c>
      <c r="H291" s="2">
        <v>0</v>
      </c>
    </row>
    <row r="292" spans="1:8" x14ac:dyDescent="0.45">
      <c r="A292" t="s">
        <v>11</v>
      </c>
      <c r="B292" s="2">
        <v>128850000</v>
      </c>
      <c r="C292" s="2">
        <v>128850000</v>
      </c>
      <c r="D292" s="2">
        <v>0</v>
      </c>
      <c r="E292" s="2">
        <v>16650000</v>
      </c>
      <c r="F292" s="2">
        <v>16650000</v>
      </c>
      <c r="G292" s="2">
        <v>112200000</v>
      </c>
      <c r="H292" s="2">
        <v>0</v>
      </c>
    </row>
    <row r="293" spans="1:8" x14ac:dyDescent="0.45">
      <c r="A293" t="s">
        <v>12</v>
      </c>
      <c r="B293" s="2">
        <v>488774000</v>
      </c>
      <c r="C293" s="2">
        <v>488774000</v>
      </c>
      <c r="D293" s="2">
        <v>472749437</v>
      </c>
      <c r="E293" s="2">
        <v>0</v>
      </c>
      <c r="F293" s="2">
        <v>472749437</v>
      </c>
      <c r="G293" s="2">
        <v>16024563</v>
      </c>
      <c r="H293" s="2">
        <v>0</v>
      </c>
    </row>
    <row r="294" spans="1:8" x14ac:dyDescent="0.45">
      <c r="A294" t="s">
        <v>48</v>
      </c>
      <c r="B294" s="2">
        <v>498000000</v>
      </c>
      <c r="C294" s="2">
        <v>498000000</v>
      </c>
      <c r="D294" s="2">
        <v>487985800</v>
      </c>
      <c r="E294" s="2">
        <v>0</v>
      </c>
      <c r="F294" s="2">
        <v>487985800</v>
      </c>
      <c r="G294" s="2">
        <v>10014200</v>
      </c>
      <c r="H294" s="2">
        <v>0</v>
      </c>
    </row>
    <row r="295" spans="1:8" x14ac:dyDescent="0.45">
      <c r="A295" t="s">
        <v>13</v>
      </c>
      <c r="B295" s="2">
        <v>298750000</v>
      </c>
      <c r="C295" s="2">
        <v>298750000</v>
      </c>
      <c r="D295" s="2">
        <v>35247626</v>
      </c>
      <c r="E295" s="2">
        <v>0</v>
      </c>
      <c r="F295" s="2">
        <v>35247626</v>
      </c>
      <c r="G295" s="2">
        <v>263502374</v>
      </c>
      <c r="H295" s="2">
        <v>0</v>
      </c>
    </row>
    <row r="296" spans="1:8" x14ac:dyDescent="0.45">
      <c r="A296" t="s">
        <v>14</v>
      </c>
      <c r="B296" s="2">
        <v>193000000</v>
      </c>
      <c r="C296" s="2">
        <v>193000000</v>
      </c>
      <c r="D296" s="2">
        <v>0</v>
      </c>
      <c r="E296" s="2">
        <v>0</v>
      </c>
      <c r="F296" s="2">
        <v>0</v>
      </c>
      <c r="G296" s="2">
        <v>193000000</v>
      </c>
      <c r="H296" s="2">
        <v>0</v>
      </c>
    </row>
    <row r="297" spans="1:8" x14ac:dyDescent="0.45">
      <c r="A297" t="s">
        <v>15</v>
      </c>
      <c r="B297" s="2">
        <v>1222108000</v>
      </c>
      <c r="C297" s="2">
        <v>1222108000</v>
      </c>
      <c r="D297" s="2">
        <v>58082710</v>
      </c>
      <c r="E297" s="2">
        <v>49641980</v>
      </c>
      <c r="F297" s="2">
        <v>107724690</v>
      </c>
      <c r="G297" s="2">
        <v>1114383310</v>
      </c>
      <c r="H297" s="2">
        <v>0</v>
      </c>
    </row>
    <row r="298" spans="1:8" x14ac:dyDescent="0.45">
      <c r="A298" t="s">
        <v>16</v>
      </c>
      <c r="B298" s="2">
        <v>534300000</v>
      </c>
      <c r="C298" s="2">
        <v>534300000</v>
      </c>
      <c r="D298" s="2">
        <v>31132500</v>
      </c>
      <c r="E298" s="2">
        <v>143332828</v>
      </c>
      <c r="F298" s="2">
        <v>174465328</v>
      </c>
      <c r="G298" s="2">
        <v>359834672</v>
      </c>
      <c r="H298" s="2">
        <v>0</v>
      </c>
    </row>
    <row r="299" spans="1:8" x14ac:dyDescent="0.45">
      <c r="A299" t="s">
        <v>49</v>
      </c>
      <c r="B299" s="2">
        <v>145000000</v>
      </c>
      <c r="C299" s="2">
        <v>145000000</v>
      </c>
      <c r="D299" s="2">
        <v>30259835</v>
      </c>
      <c r="E299" s="2">
        <v>0</v>
      </c>
      <c r="F299" s="2">
        <v>30259835</v>
      </c>
      <c r="G299" s="2">
        <v>114740165</v>
      </c>
      <c r="H299" s="2">
        <v>0</v>
      </c>
    </row>
    <row r="300" spans="1:8" x14ac:dyDescent="0.45">
      <c r="A300" t="s">
        <v>50</v>
      </c>
      <c r="B300" s="2">
        <v>174000000</v>
      </c>
      <c r="C300" s="2">
        <v>174000000</v>
      </c>
      <c r="D300" s="2">
        <v>0</v>
      </c>
      <c r="E300" s="2">
        <v>0</v>
      </c>
      <c r="F300" s="2">
        <v>0</v>
      </c>
      <c r="G300" s="2">
        <v>174000000</v>
      </c>
      <c r="H300" s="2">
        <v>0</v>
      </c>
    </row>
    <row r="301" spans="1:8" x14ac:dyDescent="0.45">
      <c r="A301" t="s">
        <v>51</v>
      </c>
      <c r="B301" s="2">
        <v>49800000</v>
      </c>
      <c r="C301" s="2">
        <v>49800000</v>
      </c>
      <c r="D301" s="2">
        <v>0</v>
      </c>
      <c r="E301" s="2">
        <v>0</v>
      </c>
      <c r="F301" s="2">
        <v>0</v>
      </c>
      <c r="G301" s="2">
        <v>49800000</v>
      </c>
      <c r="H301" s="2">
        <v>0</v>
      </c>
    </row>
    <row r="302" spans="1:8" x14ac:dyDescent="0.45">
      <c r="A302" t="s">
        <v>52</v>
      </c>
      <c r="B302" s="2">
        <v>1882400000</v>
      </c>
      <c r="C302" s="2">
        <v>1882400000</v>
      </c>
      <c r="D302" s="2">
        <v>1658705000</v>
      </c>
      <c r="E302" s="2">
        <v>0</v>
      </c>
      <c r="F302" s="2">
        <v>1658705000</v>
      </c>
      <c r="G302" s="2">
        <v>223695000</v>
      </c>
      <c r="H302" s="2">
        <v>0</v>
      </c>
    </row>
    <row r="303" spans="1:8" x14ac:dyDescent="0.45">
      <c r="A303" t="s">
        <v>54</v>
      </c>
      <c r="B303" s="2">
        <v>300000000</v>
      </c>
      <c r="C303" s="2">
        <v>300000000</v>
      </c>
      <c r="D303" s="2">
        <v>0</v>
      </c>
      <c r="E303" s="2">
        <v>1944000</v>
      </c>
      <c r="F303" s="2">
        <v>1944000</v>
      </c>
      <c r="G303" s="2">
        <v>298056000</v>
      </c>
      <c r="H303" s="2">
        <v>0</v>
      </c>
    </row>
    <row r="304" spans="1:8" x14ac:dyDescent="0.45">
      <c r="A304" t="s">
        <v>77</v>
      </c>
      <c r="B304" s="2">
        <v>15000000</v>
      </c>
      <c r="C304" s="2">
        <v>15000000</v>
      </c>
      <c r="D304" s="2">
        <v>0</v>
      </c>
      <c r="E304" s="2">
        <v>0</v>
      </c>
      <c r="F304" s="2">
        <v>0</v>
      </c>
      <c r="G304" s="2">
        <v>15000000</v>
      </c>
      <c r="H304" s="2">
        <v>0</v>
      </c>
    </row>
    <row r="305" spans="1:8" x14ac:dyDescent="0.45">
      <c r="A305" t="s">
        <v>56</v>
      </c>
      <c r="B305" s="2">
        <v>463000000</v>
      </c>
      <c r="C305" s="2">
        <v>463000000</v>
      </c>
      <c r="D305" s="2">
        <v>0</v>
      </c>
      <c r="E305" s="2">
        <v>0</v>
      </c>
      <c r="F305" s="2">
        <v>0</v>
      </c>
      <c r="G305" s="2">
        <v>463000000</v>
      </c>
      <c r="H305" s="2">
        <v>0</v>
      </c>
    </row>
    <row r="306" spans="1:8" x14ac:dyDescent="0.45">
      <c r="A306" t="s">
        <v>22</v>
      </c>
      <c r="B306" s="2">
        <v>100000000</v>
      </c>
      <c r="C306" s="2">
        <v>75000000</v>
      </c>
      <c r="D306" s="2">
        <v>0</v>
      </c>
      <c r="E306" s="2">
        <v>2159300</v>
      </c>
      <c r="F306" s="2">
        <v>2159300</v>
      </c>
      <c r="G306" s="2">
        <v>72840700</v>
      </c>
      <c r="H306" s="2">
        <v>25000000</v>
      </c>
    </row>
    <row r="307" spans="1:8" x14ac:dyDescent="0.45">
      <c r="A307" t="s">
        <v>57</v>
      </c>
      <c r="B307" s="2">
        <v>111310000</v>
      </c>
      <c r="C307" s="2">
        <v>111310000</v>
      </c>
      <c r="D307" s="2">
        <v>0</v>
      </c>
      <c r="E307" s="2">
        <v>21262500</v>
      </c>
      <c r="F307" s="2">
        <v>21262500</v>
      </c>
      <c r="G307" s="2">
        <v>90047500</v>
      </c>
      <c r="H307" s="2">
        <v>0</v>
      </c>
    </row>
    <row r="308" spans="1:8" x14ac:dyDescent="0.45">
      <c r="A308" t="s">
        <v>58</v>
      </c>
      <c r="B308" s="2">
        <v>2310000000</v>
      </c>
      <c r="C308" s="2">
        <v>2310000000</v>
      </c>
      <c r="D308" s="2">
        <v>0</v>
      </c>
      <c r="E308" s="2">
        <v>284145595</v>
      </c>
      <c r="F308" s="2">
        <v>284145595</v>
      </c>
      <c r="G308" s="2">
        <v>2025854405</v>
      </c>
      <c r="H308" s="2">
        <v>0</v>
      </c>
    </row>
    <row r="309" spans="1:8" x14ac:dyDescent="0.45">
      <c r="A309" t="s">
        <v>25</v>
      </c>
      <c r="B309" s="2">
        <v>86152000</v>
      </c>
      <c r="C309" s="2">
        <v>64614000</v>
      </c>
      <c r="D309" s="2">
        <v>5000000</v>
      </c>
      <c r="E309" s="2">
        <v>8264001</v>
      </c>
      <c r="F309" s="2">
        <v>13264001</v>
      </c>
      <c r="G309" s="2">
        <v>51349999</v>
      </c>
      <c r="H309" s="2">
        <v>21538000</v>
      </c>
    </row>
    <row r="310" spans="1:8" x14ac:dyDescent="0.45">
      <c r="A310" t="s">
        <v>26</v>
      </c>
      <c r="B310" s="2">
        <v>110006000</v>
      </c>
      <c r="C310" s="2">
        <v>82504500</v>
      </c>
      <c r="D310" s="2">
        <v>36154000</v>
      </c>
      <c r="E310" s="2">
        <v>13891000</v>
      </c>
      <c r="F310" s="2">
        <v>50045000</v>
      </c>
      <c r="G310" s="2">
        <v>32459500</v>
      </c>
      <c r="H310" s="2">
        <v>27501500</v>
      </c>
    </row>
    <row r="311" spans="1:8" x14ac:dyDescent="0.45">
      <c r="A311" t="s">
        <v>27</v>
      </c>
      <c r="B311" s="2">
        <v>96000000</v>
      </c>
      <c r="C311" s="2">
        <v>96000000</v>
      </c>
      <c r="D311" s="2">
        <v>0</v>
      </c>
      <c r="E311" s="2">
        <v>13500000</v>
      </c>
      <c r="F311" s="2">
        <v>13500000</v>
      </c>
      <c r="G311" s="2">
        <v>82500000</v>
      </c>
      <c r="H311" s="2">
        <v>0</v>
      </c>
    </row>
    <row r="312" spans="1:8" x14ac:dyDescent="0.45">
      <c r="A312" t="s">
        <v>28</v>
      </c>
      <c r="B312" s="2">
        <v>514400000</v>
      </c>
      <c r="C312" s="2">
        <v>385800000</v>
      </c>
      <c r="D312" s="2">
        <v>0</v>
      </c>
      <c r="E312" s="2">
        <v>37922635</v>
      </c>
      <c r="F312" s="2">
        <v>37922635</v>
      </c>
      <c r="G312" s="2">
        <v>347877365</v>
      </c>
      <c r="H312" s="2">
        <v>128600000</v>
      </c>
    </row>
    <row r="313" spans="1:8" x14ac:dyDescent="0.45">
      <c r="A313" t="s">
        <v>30</v>
      </c>
      <c r="B313" s="2">
        <v>230000000</v>
      </c>
      <c r="C313" s="2">
        <v>172500000</v>
      </c>
      <c r="D313" s="2">
        <v>0</v>
      </c>
      <c r="E313" s="2">
        <v>39065500</v>
      </c>
      <c r="F313" s="2">
        <v>39065500</v>
      </c>
      <c r="G313" s="2">
        <v>133434500</v>
      </c>
      <c r="H313" s="2">
        <v>57500000</v>
      </c>
    </row>
    <row r="314" spans="1:8" x14ac:dyDescent="0.45">
      <c r="A314" t="s">
        <v>31</v>
      </c>
      <c r="B314" s="2">
        <v>40300000</v>
      </c>
      <c r="C314" s="2">
        <v>40300000</v>
      </c>
      <c r="D314" s="2">
        <v>9982500</v>
      </c>
      <c r="E314" s="2">
        <v>0</v>
      </c>
      <c r="F314" s="2">
        <v>9982500</v>
      </c>
      <c r="G314" s="2">
        <v>30317500</v>
      </c>
      <c r="H314" s="2">
        <v>0</v>
      </c>
    </row>
    <row r="315" spans="1:8" x14ac:dyDescent="0.45">
      <c r="A315" t="s">
        <v>32</v>
      </c>
      <c r="B315" s="2">
        <v>7053792265</v>
      </c>
      <c r="C315" s="2">
        <v>7053792265</v>
      </c>
      <c r="D315" s="2">
        <v>0</v>
      </c>
      <c r="E315" s="2">
        <v>970917428</v>
      </c>
      <c r="F315" s="2">
        <v>970917428</v>
      </c>
      <c r="G315" s="2">
        <v>6082874837</v>
      </c>
      <c r="H315" s="2">
        <v>0</v>
      </c>
    </row>
    <row r="316" spans="1:8" x14ac:dyDescent="0.45">
      <c r="A316" t="s">
        <v>33</v>
      </c>
      <c r="B316" s="2">
        <v>250901909</v>
      </c>
      <c r="C316" s="2">
        <v>250901909</v>
      </c>
      <c r="D316" s="2">
        <v>0</v>
      </c>
      <c r="E316" s="2">
        <v>41453410</v>
      </c>
      <c r="F316" s="2">
        <v>41453410</v>
      </c>
      <c r="G316" s="2">
        <v>209448499</v>
      </c>
      <c r="H316" s="2">
        <v>0</v>
      </c>
    </row>
    <row r="317" spans="1:8" x14ac:dyDescent="0.45">
      <c r="A317" t="s">
        <v>34</v>
      </c>
      <c r="B317" s="2">
        <v>7015042421</v>
      </c>
      <c r="C317" s="2">
        <v>7015042421</v>
      </c>
      <c r="D317" s="2">
        <v>0</v>
      </c>
      <c r="E317" s="2">
        <v>1204952297</v>
      </c>
      <c r="F317" s="2">
        <v>1204952297</v>
      </c>
      <c r="G317" s="2">
        <v>5810090124</v>
      </c>
      <c r="H317" s="2">
        <v>0</v>
      </c>
    </row>
    <row r="318" spans="1:8" x14ac:dyDescent="0.45">
      <c r="A318" t="s">
        <v>35</v>
      </c>
      <c r="B318" s="2">
        <v>36855629</v>
      </c>
      <c r="C318" s="2">
        <v>36855629</v>
      </c>
      <c r="D318" s="2">
        <v>0</v>
      </c>
      <c r="E318" s="2">
        <v>0</v>
      </c>
      <c r="F318" s="2">
        <v>0</v>
      </c>
      <c r="G318" s="2">
        <v>36855629</v>
      </c>
      <c r="H318" s="2">
        <v>0</v>
      </c>
    </row>
    <row r="319" spans="1:8" x14ac:dyDescent="0.45">
      <c r="A319" t="s">
        <v>36</v>
      </c>
      <c r="B319" s="2">
        <v>1231212066</v>
      </c>
      <c r="C319" s="2">
        <v>1231212066</v>
      </c>
      <c r="D319" s="2">
        <v>0</v>
      </c>
      <c r="E319" s="2">
        <v>158536272</v>
      </c>
      <c r="F319" s="2">
        <v>158536272</v>
      </c>
      <c r="G319" s="2">
        <v>1072675794</v>
      </c>
      <c r="H319" s="2">
        <v>0</v>
      </c>
    </row>
    <row r="320" spans="1:8" x14ac:dyDescent="0.45">
      <c r="A320" t="s">
        <v>37</v>
      </c>
      <c r="B320" s="2">
        <v>53436119</v>
      </c>
      <c r="C320" s="2">
        <v>53436119</v>
      </c>
      <c r="D320" s="2">
        <v>0</v>
      </c>
      <c r="E320" s="2">
        <v>10655056</v>
      </c>
      <c r="F320" s="2">
        <v>10655056</v>
      </c>
      <c r="G320" s="2">
        <v>42781063</v>
      </c>
      <c r="H320" s="2">
        <v>0</v>
      </c>
    </row>
    <row r="321" spans="1:8" x14ac:dyDescent="0.45">
      <c r="A321" t="s">
        <v>38</v>
      </c>
      <c r="B321" s="2">
        <v>1449712379</v>
      </c>
      <c r="C321" s="2">
        <v>1449712379</v>
      </c>
      <c r="D321" s="2">
        <v>0</v>
      </c>
      <c r="E321" s="2">
        <v>236841973</v>
      </c>
      <c r="F321" s="2">
        <v>236841973</v>
      </c>
      <c r="G321" s="2">
        <v>1212870406</v>
      </c>
      <c r="H321" s="2">
        <v>0</v>
      </c>
    </row>
    <row r="322" spans="1:8" x14ac:dyDescent="0.45">
      <c r="A322" t="s">
        <v>39</v>
      </c>
      <c r="B322" s="2">
        <v>4400672</v>
      </c>
      <c r="C322" s="2">
        <v>4400672</v>
      </c>
      <c r="D322" s="2">
        <v>0</v>
      </c>
      <c r="E322" s="2">
        <v>0</v>
      </c>
      <c r="F322" s="2">
        <v>0</v>
      </c>
      <c r="G322" s="2">
        <v>4400672</v>
      </c>
      <c r="H322" s="2">
        <v>0</v>
      </c>
    </row>
    <row r="323" spans="1:8" x14ac:dyDescent="0.45">
      <c r="A323" t="s">
        <v>83</v>
      </c>
      <c r="B323" s="2">
        <v>30714576460</v>
      </c>
      <c r="C323" s="2">
        <v>30454436960</v>
      </c>
      <c r="D323" s="2">
        <v>4533800168</v>
      </c>
      <c r="E323" s="2">
        <v>3255135775</v>
      </c>
      <c r="F323" s="2">
        <v>7788935943</v>
      </c>
      <c r="G323" s="2">
        <v>22665501017</v>
      </c>
      <c r="H323" s="2">
        <v>260139500</v>
      </c>
    </row>
    <row r="324" spans="1:8" x14ac:dyDescent="0.45">
      <c r="A324" t="s">
        <v>8</v>
      </c>
      <c r="B324" s="2">
        <v>13755471000</v>
      </c>
      <c r="C324" s="2">
        <v>13755471000</v>
      </c>
      <c r="D324" s="2">
        <v>13000512555</v>
      </c>
      <c r="E324" s="2">
        <v>704812500</v>
      </c>
      <c r="F324" s="2">
        <v>13705325055</v>
      </c>
      <c r="G324" s="2">
        <v>50145945</v>
      </c>
      <c r="H324" s="2">
        <v>0</v>
      </c>
    </row>
    <row r="325" spans="1:8" x14ac:dyDescent="0.45">
      <c r="A325" t="s">
        <v>11</v>
      </c>
      <c r="B325" s="2">
        <v>2948978291</v>
      </c>
      <c r="C325" s="2">
        <v>2948978291</v>
      </c>
      <c r="D325" s="2">
        <v>2788546174</v>
      </c>
      <c r="E325" s="2">
        <v>48872950</v>
      </c>
      <c r="F325" s="2">
        <v>2837419124</v>
      </c>
      <c r="G325" s="2">
        <v>111559167</v>
      </c>
      <c r="H325" s="2">
        <v>0</v>
      </c>
    </row>
    <row r="326" spans="1:8" x14ac:dyDescent="0.45">
      <c r="A326" t="s">
        <v>12</v>
      </c>
      <c r="B326" s="2">
        <v>447807006</v>
      </c>
      <c r="C326" s="2">
        <v>447807006</v>
      </c>
      <c r="D326" s="2">
        <v>0</v>
      </c>
      <c r="E326" s="2">
        <v>0</v>
      </c>
      <c r="F326" s="2">
        <v>0</v>
      </c>
      <c r="G326" s="2">
        <v>447807006</v>
      </c>
      <c r="H326" s="2">
        <v>0</v>
      </c>
    </row>
    <row r="327" spans="1:8" x14ac:dyDescent="0.45">
      <c r="A327" t="s">
        <v>48</v>
      </c>
      <c r="B327" s="2">
        <v>1880742104</v>
      </c>
      <c r="C327" s="2">
        <v>1880742104</v>
      </c>
      <c r="D327" s="2">
        <v>1395485871</v>
      </c>
      <c r="E327" s="2">
        <v>0</v>
      </c>
      <c r="F327" s="2">
        <v>1395485871</v>
      </c>
      <c r="G327" s="2">
        <v>485256233</v>
      </c>
      <c r="H327" s="2">
        <v>0</v>
      </c>
    </row>
    <row r="328" spans="1:8" x14ac:dyDescent="0.45">
      <c r="A328" t="s">
        <v>13</v>
      </c>
      <c r="B328" s="2">
        <v>213056448</v>
      </c>
      <c r="C328" s="2">
        <v>213056448</v>
      </c>
      <c r="D328" s="2">
        <v>33060600</v>
      </c>
      <c r="E328" s="2">
        <v>0</v>
      </c>
      <c r="F328" s="2">
        <v>33060600</v>
      </c>
      <c r="G328" s="2">
        <v>179995848</v>
      </c>
      <c r="H328" s="2">
        <v>0</v>
      </c>
    </row>
    <row r="329" spans="1:8" x14ac:dyDescent="0.45">
      <c r="A329" t="s">
        <v>14</v>
      </c>
      <c r="B329" s="2">
        <v>687000000</v>
      </c>
      <c r="C329" s="2">
        <v>687000000</v>
      </c>
      <c r="D329" s="2">
        <v>0</v>
      </c>
      <c r="E329" s="2">
        <v>141841100</v>
      </c>
      <c r="F329" s="2">
        <v>141841100</v>
      </c>
      <c r="G329" s="2">
        <v>545158900</v>
      </c>
      <c r="H329" s="2">
        <v>0</v>
      </c>
    </row>
    <row r="330" spans="1:8" x14ac:dyDescent="0.45">
      <c r="A330" t="s">
        <v>15</v>
      </c>
      <c r="B330" s="2">
        <v>2791999194</v>
      </c>
      <c r="C330" s="2">
        <v>2791999194</v>
      </c>
      <c r="D330" s="2">
        <v>562101045</v>
      </c>
      <c r="E330" s="2">
        <v>136757380</v>
      </c>
      <c r="F330" s="2">
        <v>698858425</v>
      </c>
      <c r="G330" s="2">
        <v>2093140769</v>
      </c>
      <c r="H330" s="2">
        <v>0</v>
      </c>
    </row>
    <row r="331" spans="1:8" x14ac:dyDescent="0.45">
      <c r="A331" t="s">
        <v>16</v>
      </c>
      <c r="B331" s="2">
        <v>1660344000</v>
      </c>
      <c r="C331" s="2">
        <v>1660344000</v>
      </c>
      <c r="D331" s="2">
        <v>370874500</v>
      </c>
      <c r="E331" s="2">
        <v>291015788</v>
      </c>
      <c r="F331" s="2">
        <v>661890288</v>
      </c>
      <c r="G331" s="2">
        <v>998453712</v>
      </c>
      <c r="H331" s="2">
        <v>0</v>
      </c>
    </row>
    <row r="332" spans="1:8" x14ac:dyDescent="0.45">
      <c r="A332" t="s">
        <v>49</v>
      </c>
      <c r="B332" s="2">
        <v>327155000</v>
      </c>
      <c r="C332" s="2">
        <v>327155000</v>
      </c>
      <c r="D332" s="2">
        <v>67275600</v>
      </c>
      <c r="E332" s="2">
        <v>0</v>
      </c>
      <c r="F332" s="2">
        <v>67275600</v>
      </c>
      <c r="G332" s="2">
        <v>259879400</v>
      </c>
      <c r="H332" s="2">
        <v>0</v>
      </c>
    </row>
    <row r="333" spans="1:8" x14ac:dyDescent="0.45">
      <c r="A333" t="s">
        <v>50</v>
      </c>
      <c r="B333" s="2">
        <v>831375509</v>
      </c>
      <c r="C333" s="2">
        <v>831375509</v>
      </c>
      <c r="D333" s="2">
        <v>345662595</v>
      </c>
      <c r="E333" s="2">
        <v>0</v>
      </c>
      <c r="F333" s="2">
        <v>345662595</v>
      </c>
      <c r="G333" s="2">
        <v>485712914</v>
      </c>
      <c r="H333" s="2">
        <v>0</v>
      </c>
    </row>
    <row r="334" spans="1:8" x14ac:dyDescent="0.45">
      <c r="A334" t="s">
        <v>52</v>
      </c>
      <c r="B334" s="2">
        <v>1039505000</v>
      </c>
      <c r="C334" s="2">
        <v>1039505000</v>
      </c>
      <c r="D334" s="2">
        <v>648860000</v>
      </c>
      <c r="E334" s="2">
        <v>370560000</v>
      </c>
      <c r="F334" s="2">
        <v>1019420000</v>
      </c>
      <c r="G334" s="2">
        <v>20085000</v>
      </c>
      <c r="H334" s="2">
        <v>0</v>
      </c>
    </row>
    <row r="335" spans="1:8" x14ac:dyDescent="0.45">
      <c r="A335" t="s">
        <v>77</v>
      </c>
      <c r="B335" s="2">
        <v>600000000</v>
      </c>
      <c r="C335" s="2">
        <v>600000000</v>
      </c>
      <c r="D335" s="2">
        <v>0</v>
      </c>
      <c r="E335" s="2">
        <v>0</v>
      </c>
      <c r="F335" s="2">
        <v>0</v>
      </c>
      <c r="G335" s="2">
        <v>600000000</v>
      </c>
      <c r="H335" s="2">
        <v>0</v>
      </c>
    </row>
    <row r="336" spans="1:8" x14ac:dyDescent="0.45">
      <c r="A336" t="s">
        <v>56</v>
      </c>
      <c r="B336" s="2">
        <v>1000000000</v>
      </c>
      <c r="C336" s="2">
        <v>1000000000</v>
      </c>
      <c r="D336" s="2">
        <v>0</v>
      </c>
      <c r="E336" s="2">
        <v>0</v>
      </c>
      <c r="F336" s="2">
        <v>0</v>
      </c>
      <c r="G336" s="2">
        <v>1000000000</v>
      </c>
      <c r="H336" s="2">
        <v>0</v>
      </c>
    </row>
    <row r="337" spans="1:8" x14ac:dyDescent="0.45">
      <c r="A337" t="s">
        <v>22</v>
      </c>
      <c r="B337" s="2">
        <v>200000000</v>
      </c>
      <c r="C337" s="2">
        <v>150000000</v>
      </c>
      <c r="D337" s="2">
        <v>0</v>
      </c>
      <c r="E337" s="2">
        <v>0</v>
      </c>
      <c r="F337" s="2">
        <v>0</v>
      </c>
      <c r="G337" s="2">
        <v>150000000</v>
      </c>
      <c r="H337" s="2">
        <v>50000000</v>
      </c>
    </row>
    <row r="338" spans="1:8" x14ac:dyDescent="0.45">
      <c r="A338" t="s">
        <v>57</v>
      </c>
      <c r="B338" s="2">
        <v>141550000</v>
      </c>
      <c r="C338" s="2">
        <v>141550000</v>
      </c>
      <c r="D338" s="2">
        <v>0</v>
      </c>
      <c r="E338" s="2">
        <v>28052000</v>
      </c>
      <c r="F338" s="2">
        <v>28052000</v>
      </c>
      <c r="G338" s="2">
        <v>113498000</v>
      </c>
      <c r="H338" s="2">
        <v>0</v>
      </c>
    </row>
    <row r="339" spans="1:8" x14ac:dyDescent="0.45">
      <c r="A339" t="s">
        <v>58</v>
      </c>
      <c r="B339" s="2">
        <v>2911760000</v>
      </c>
      <c r="C339" s="2">
        <v>2911760000</v>
      </c>
      <c r="D339" s="2">
        <v>581770</v>
      </c>
      <c r="E339" s="2">
        <v>411555340</v>
      </c>
      <c r="F339" s="2">
        <v>412137110</v>
      </c>
      <c r="G339" s="2">
        <v>2499622890</v>
      </c>
      <c r="H339" s="2">
        <v>0</v>
      </c>
    </row>
    <row r="340" spans="1:8" x14ac:dyDescent="0.45">
      <c r="A340" t="s">
        <v>25</v>
      </c>
      <c r="B340" s="2">
        <v>180000000</v>
      </c>
      <c r="C340" s="2">
        <v>135000000</v>
      </c>
      <c r="D340" s="2">
        <v>23940000</v>
      </c>
      <c r="E340" s="2">
        <v>13464500</v>
      </c>
      <c r="F340" s="2">
        <v>37404500</v>
      </c>
      <c r="G340" s="2">
        <v>97595500</v>
      </c>
      <c r="H340" s="2">
        <v>45000000</v>
      </c>
    </row>
    <row r="341" spans="1:8" x14ac:dyDescent="0.45">
      <c r="A341" t="s">
        <v>26</v>
      </c>
      <c r="B341" s="2">
        <v>761439700</v>
      </c>
      <c r="C341" s="2">
        <v>571079775</v>
      </c>
      <c r="D341" s="2">
        <v>21171800</v>
      </c>
      <c r="E341" s="2">
        <v>60451850</v>
      </c>
      <c r="F341" s="2">
        <v>81623650</v>
      </c>
      <c r="G341" s="2">
        <v>489456125</v>
      </c>
      <c r="H341" s="2">
        <v>190359925</v>
      </c>
    </row>
    <row r="342" spans="1:8" x14ac:dyDescent="0.45">
      <c r="A342" t="s">
        <v>27</v>
      </c>
      <c r="B342" s="2">
        <v>99900000</v>
      </c>
      <c r="C342" s="2">
        <v>99900000</v>
      </c>
      <c r="D342" s="2">
        <v>0</v>
      </c>
      <c r="E342" s="2">
        <v>18500000</v>
      </c>
      <c r="F342" s="2">
        <v>18500000</v>
      </c>
      <c r="G342" s="2">
        <v>81400000</v>
      </c>
      <c r="H342" s="2">
        <v>0</v>
      </c>
    </row>
    <row r="343" spans="1:8" x14ac:dyDescent="0.45">
      <c r="A343" t="s">
        <v>28</v>
      </c>
      <c r="B343" s="2">
        <v>616500000</v>
      </c>
      <c r="C343" s="2">
        <v>462375000</v>
      </c>
      <c r="D343" s="2">
        <v>16504900</v>
      </c>
      <c r="E343" s="2">
        <v>3022770</v>
      </c>
      <c r="F343" s="2">
        <v>19527670</v>
      </c>
      <c r="G343" s="2">
        <v>442847330</v>
      </c>
      <c r="H343" s="2">
        <v>154125000</v>
      </c>
    </row>
    <row r="344" spans="1:8" x14ac:dyDescent="0.45">
      <c r="A344" t="s">
        <v>30</v>
      </c>
      <c r="B344" s="2">
        <v>347400000</v>
      </c>
      <c r="C344" s="2">
        <v>260550000</v>
      </c>
      <c r="D344" s="2">
        <v>0</v>
      </c>
      <c r="E344" s="2">
        <v>52841500</v>
      </c>
      <c r="F344" s="2">
        <v>52841500</v>
      </c>
      <c r="G344" s="2">
        <v>207708500</v>
      </c>
      <c r="H344" s="2">
        <v>86850000</v>
      </c>
    </row>
    <row r="345" spans="1:8" x14ac:dyDescent="0.45">
      <c r="A345" t="s">
        <v>79</v>
      </c>
      <c r="B345" s="2">
        <v>6000000</v>
      </c>
      <c r="C345" s="2">
        <v>6000000</v>
      </c>
      <c r="D345" s="2">
        <v>384315</v>
      </c>
      <c r="E345" s="2">
        <v>0</v>
      </c>
      <c r="F345" s="2">
        <v>384315</v>
      </c>
      <c r="G345" s="2">
        <v>5615685</v>
      </c>
      <c r="H345" s="2">
        <v>0</v>
      </c>
    </row>
    <row r="346" spans="1:8" x14ac:dyDescent="0.45">
      <c r="A346" t="s">
        <v>31</v>
      </c>
      <c r="B346" s="2">
        <v>56157000</v>
      </c>
      <c r="C346" s="2">
        <v>56157000</v>
      </c>
      <c r="D346" s="2">
        <v>0</v>
      </c>
      <c r="E346" s="2">
        <v>15178108</v>
      </c>
      <c r="F346" s="2">
        <v>15178108</v>
      </c>
      <c r="G346" s="2">
        <v>40978892</v>
      </c>
      <c r="H346" s="2">
        <v>0</v>
      </c>
    </row>
    <row r="347" spans="1:8" x14ac:dyDescent="0.45">
      <c r="A347" t="s">
        <v>32</v>
      </c>
      <c r="B347" s="2">
        <v>10714916013</v>
      </c>
      <c r="C347" s="2">
        <v>10714916013</v>
      </c>
      <c r="D347" s="2">
        <v>0</v>
      </c>
      <c r="E347" s="2">
        <v>1496192839</v>
      </c>
      <c r="F347" s="2">
        <v>1496192839</v>
      </c>
      <c r="G347" s="2">
        <v>9218723174</v>
      </c>
      <c r="H347" s="2">
        <v>0</v>
      </c>
    </row>
    <row r="348" spans="1:8" x14ac:dyDescent="0.45">
      <c r="A348" t="s">
        <v>33</v>
      </c>
      <c r="B348" s="2">
        <v>275820432</v>
      </c>
      <c r="C348" s="2">
        <v>275820432</v>
      </c>
      <c r="D348" s="2">
        <v>0</v>
      </c>
      <c r="E348" s="2">
        <v>45781098</v>
      </c>
      <c r="F348" s="2">
        <v>45781098</v>
      </c>
      <c r="G348" s="2">
        <v>230039334</v>
      </c>
      <c r="H348" s="2">
        <v>0</v>
      </c>
    </row>
    <row r="349" spans="1:8" x14ac:dyDescent="0.45">
      <c r="A349" t="s">
        <v>34</v>
      </c>
      <c r="B349" s="2">
        <v>10532164202</v>
      </c>
      <c r="C349" s="2">
        <v>10532164202</v>
      </c>
      <c r="D349" s="2">
        <v>0</v>
      </c>
      <c r="E349" s="2">
        <v>1796783852</v>
      </c>
      <c r="F349" s="2">
        <v>1796783852</v>
      </c>
      <c r="G349" s="2">
        <v>8735380350</v>
      </c>
      <c r="H349" s="2">
        <v>0</v>
      </c>
    </row>
    <row r="350" spans="1:8" x14ac:dyDescent="0.45">
      <c r="A350" t="s">
        <v>35</v>
      </c>
      <c r="B350" s="2">
        <v>59959158</v>
      </c>
      <c r="C350" s="2">
        <v>59959158</v>
      </c>
      <c r="D350" s="2">
        <v>0</v>
      </c>
      <c r="E350" s="2">
        <v>0</v>
      </c>
      <c r="F350" s="2">
        <v>0</v>
      </c>
      <c r="G350" s="2">
        <v>59959158</v>
      </c>
      <c r="H350" s="2">
        <v>0</v>
      </c>
    </row>
    <row r="351" spans="1:8" x14ac:dyDescent="0.45">
      <c r="A351" t="s">
        <v>36</v>
      </c>
      <c r="B351" s="2">
        <v>1291594645</v>
      </c>
      <c r="C351" s="2">
        <v>1291594645</v>
      </c>
      <c r="D351" s="2">
        <v>0</v>
      </c>
      <c r="E351" s="2">
        <v>152705067</v>
      </c>
      <c r="F351" s="2">
        <v>152705067</v>
      </c>
      <c r="G351" s="2">
        <v>1138889578</v>
      </c>
      <c r="H351" s="2">
        <v>0</v>
      </c>
    </row>
    <row r="352" spans="1:8" x14ac:dyDescent="0.45">
      <c r="A352" t="s">
        <v>37</v>
      </c>
      <c r="B352" s="2">
        <v>47410746</v>
      </c>
      <c r="C352" s="2">
        <v>47410746</v>
      </c>
      <c r="D352" s="2">
        <v>0</v>
      </c>
      <c r="E352" s="2">
        <v>7793604</v>
      </c>
      <c r="F352" s="2">
        <v>7793604</v>
      </c>
      <c r="G352" s="2">
        <v>39617142</v>
      </c>
      <c r="H352" s="2">
        <v>0</v>
      </c>
    </row>
    <row r="353" spans="1:8" x14ac:dyDescent="0.45">
      <c r="A353" t="s">
        <v>38</v>
      </c>
      <c r="B353" s="2">
        <v>1523018104</v>
      </c>
      <c r="C353" s="2">
        <v>1523018104</v>
      </c>
      <c r="D353" s="2">
        <v>0</v>
      </c>
      <c r="E353" s="2">
        <v>251941545</v>
      </c>
      <c r="F353" s="2">
        <v>251941545</v>
      </c>
      <c r="G353" s="2">
        <v>1271076559</v>
      </c>
      <c r="H353" s="2">
        <v>0</v>
      </c>
    </row>
    <row r="354" spans="1:8" x14ac:dyDescent="0.45">
      <c r="A354" t="s">
        <v>39</v>
      </c>
      <c r="B354" s="2">
        <v>4400672</v>
      </c>
      <c r="C354" s="2">
        <v>4400672</v>
      </c>
      <c r="D354" s="2">
        <v>0</v>
      </c>
      <c r="E354" s="2">
        <v>0</v>
      </c>
      <c r="F354" s="2">
        <v>0</v>
      </c>
      <c r="G354" s="2">
        <v>4400672</v>
      </c>
      <c r="H354" s="2">
        <v>0</v>
      </c>
    </row>
    <row r="355" spans="1:8" x14ac:dyDescent="0.45">
      <c r="A355" t="s">
        <v>84</v>
      </c>
      <c r="B355" s="2">
        <v>57953424224</v>
      </c>
      <c r="C355" s="2">
        <v>57427089299</v>
      </c>
      <c r="D355" s="2">
        <v>19274961725</v>
      </c>
      <c r="E355" s="2">
        <v>6048123791</v>
      </c>
      <c r="F355" s="2">
        <v>25323085516</v>
      </c>
      <c r="G355" s="2">
        <v>32104003783</v>
      </c>
      <c r="H355" s="2">
        <v>526334925</v>
      </c>
    </row>
    <row r="356" spans="1:8" x14ac:dyDescent="0.45">
      <c r="A356" t="s">
        <v>8</v>
      </c>
      <c r="B356" s="2">
        <v>3291324000</v>
      </c>
      <c r="C356" s="2">
        <v>3291324000</v>
      </c>
      <c r="D356" s="2">
        <v>0</v>
      </c>
      <c r="E356" s="2">
        <v>0</v>
      </c>
      <c r="F356" s="2">
        <v>0</v>
      </c>
      <c r="G356" s="2">
        <v>3291324000</v>
      </c>
      <c r="H356" s="2">
        <v>0</v>
      </c>
    </row>
    <row r="357" spans="1:8" x14ac:dyDescent="0.45">
      <c r="A357" t="s">
        <v>12</v>
      </c>
      <c r="B357" s="2">
        <v>1891862000</v>
      </c>
      <c r="C357" s="2">
        <v>1891862000</v>
      </c>
      <c r="D357" s="2">
        <v>0</v>
      </c>
      <c r="E357" s="2">
        <v>0</v>
      </c>
      <c r="F357" s="2">
        <v>0</v>
      </c>
      <c r="G357" s="2">
        <v>1891862000</v>
      </c>
      <c r="H357" s="2">
        <v>0</v>
      </c>
    </row>
    <row r="358" spans="1:8" x14ac:dyDescent="0.45">
      <c r="A358" t="s">
        <v>48</v>
      </c>
      <c r="B358" s="2">
        <v>2244807000</v>
      </c>
      <c r="C358" s="2">
        <v>2244807000</v>
      </c>
      <c r="D358" s="2">
        <v>137918578</v>
      </c>
      <c r="E358" s="2">
        <v>137784161</v>
      </c>
      <c r="F358" s="2">
        <v>275702739</v>
      </c>
      <c r="G358" s="2">
        <v>1969104261</v>
      </c>
      <c r="H358" s="2">
        <v>0</v>
      </c>
    </row>
    <row r="359" spans="1:8" x14ac:dyDescent="0.45">
      <c r="A359" t="s">
        <v>13</v>
      </c>
      <c r="B359" s="2">
        <v>149777000</v>
      </c>
      <c r="C359" s="2">
        <v>149777000</v>
      </c>
      <c r="D359" s="2">
        <v>3421001</v>
      </c>
      <c r="E359" s="2">
        <v>0</v>
      </c>
      <c r="F359" s="2">
        <v>3421001</v>
      </c>
      <c r="G359" s="2">
        <v>146355999</v>
      </c>
      <c r="H359" s="2">
        <v>0</v>
      </c>
    </row>
    <row r="360" spans="1:8" x14ac:dyDescent="0.45">
      <c r="A360" t="s">
        <v>14</v>
      </c>
      <c r="B360" s="2">
        <v>33248000</v>
      </c>
      <c r="C360" s="2">
        <v>33248000</v>
      </c>
      <c r="D360" s="2">
        <v>0</v>
      </c>
      <c r="E360" s="2">
        <v>16623760</v>
      </c>
      <c r="F360" s="2">
        <v>16623760</v>
      </c>
      <c r="G360" s="2">
        <v>16624240</v>
      </c>
      <c r="H360" s="2">
        <v>0</v>
      </c>
    </row>
    <row r="361" spans="1:8" x14ac:dyDescent="0.45">
      <c r="A361" t="s">
        <v>15</v>
      </c>
      <c r="B361" s="2">
        <v>1044737000</v>
      </c>
      <c r="C361" s="2">
        <v>1044737000</v>
      </c>
      <c r="D361" s="2">
        <v>81692227</v>
      </c>
      <c r="E361" s="2">
        <v>111815443</v>
      </c>
      <c r="F361" s="2">
        <v>193507670</v>
      </c>
      <c r="G361" s="2">
        <v>851229330</v>
      </c>
      <c r="H361" s="2">
        <v>0</v>
      </c>
    </row>
    <row r="362" spans="1:8" x14ac:dyDescent="0.45">
      <c r="A362" t="s">
        <v>16</v>
      </c>
      <c r="B362" s="2">
        <v>1400000000</v>
      </c>
      <c r="C362" s="2">
        <v>1400000000</v>
      </c>
      <c r="D362" s="2">
        <v>20715500</v>
      </c>
      <c r="E362" s="2">
        <v>152012550</v>
      </c>
      <c r="F362" s="2">
        <v>172728050</v>
      </c>
      <c r="G362" s="2">
        <v>1227271950</v>
      </c>
      <c r="H362" s="2">
        <v>0</v>
      </c>
    </row>
    <row r="363" spans="1:8" x14ac:dyDescent="0.45">
      <c r="A363" t="s">
        <v>49</v>
      </c>
      <c r="B363" s="2">
        <v>290550000</v>
      </c>
      <c r="C363" s="2">
        <v>290550000</v>
      </c>
      <c r="D363" s="2">
        <v>0</v>
      </c>
      <c r="E363" s="2">
        <v>0</v>
      </c>
      <c r="F363" s="2">
        <v>0</v>
      </c>
      <c r="G363" s="2">
        <v>290550000</v>
      </c>
      <c r="H363" s="2">
        <v>0</v>
      </c>
    </row>
    <row r="364" spans="1:8" x14ac:dyDescent="0.45">
      <c r="A364" t="s">
        <v>50</v>
      </c>
      <c r="B364" s="2">
        <v>306429000</v>
      </c>
      <c r="C364" s="2">
        <v>306429000</v>
      </c>
      <c r="D364" s="2">
        <v>0</v>
      </c>
      <c r="E364" s="2">
        <v>0</v>
      </c>
      <c r="F364" s="2">
        <v>0</v>
      </c>
      <c r="G364" s="2">
        <v>306429000</v>
      </c>
      <c r="H364" s="2">
        <v>0</v>
      </c>
    </row>
    <row r="365" spans="1:8" x14ac:dyDescent="0.45">
      <c r="A365" t="s">
        <v>52</v>
      </c>
      <c r="B365" s="2">
        <v>470200000</v>
      </c>
      <c r="C365" s="2">
        <v>470200000</v>
      </c>
      <c r="D365" s="2">
        <v>0</v>
      </c>
      <c r="E365" s="2">
        <v>3229600</v>
      </c>
      <c r="F365" s="2">
        <v>3229600</v>
      </c>
      <c r="G365" s="2">
        <v>466970400</v>
      </c>
      <c r="H365" s="2">
        <v>0</v>
      </c>
    </row>
    <row r="366" spans="1:8" x14ac:dyDescent="0.45">
      <c r="A366" t="s">
        <v>56</v>
      </c>
      <c r="B366" s="2">
        <v>200000000</v>
      </c>
      <c r="C366" s="2">
        <v>200000000</v>
      </c>
      <c r="D366" s="2">
        <v>0</v>
      </c>
      <c r="E366" s="2">
        <v>0</v>
      </c>
      <c r="F366" s="2">
        <v>0</v>
      </c>
      <c r="G366" s="2">
        <v>200000000</v>
      </c>
      <c r="H366" s="2">
        <v>0</v>
      </c>
    </row>
    <row r="367" spans="1:8" x14ac:dyDescent="0.45">
      <c r="A367" t="s">
        <v>22</v>
      </c>
      <c r="B367" s="2">
        <v>110000000</v>
      </c>
      <c r="C367" s="2">
        <v>82500000</v>
      </c>
      <c r="D367" s="2">
        <v>0</v>
      </c>
      <c r="E367" s="2">
        <v>0</v>
      </c>
      <c r="F367" s="2">
        <v>0</v>
      </c>
      <c r="G367" s="2">
        <v>82500000</v>
      </c>
      <c r="H367" s="2">
        <v>27500000</v>
      </c>
    </row>
    <row r="368" spans="1:8" x14ac:dyDescent="0.45">
      <c r="A368" t="s">
        <v>57</v>
      </c>
      <c r="B368" s="2">
        <v>99980000</v>
      </c>
      <c r="C368" s="2">
        <v>99980000</v>
      </c>
      <c r="D368" s="2">
        <v>19823200</v>
      </c>
      <c r="E368" s="2">
        <v>0</v>
      </c>
      <c r="F368" s="2">
        <v>19823200</v>
      </c>
      <c r="G368" s="2">
        <v>80156800</v>
      </c>
      <c r="H368" s="2">
        <v>0</v>
      </c>
    </row>
    <row r="369" spans="1:8" x14ac:dyDescent="0.45">
      <c r="A369" t="s">
        <v>58</v>
      </c>
      <c r="B369" s="2">
        <v>411080000</v>
      </c>
      <c r="C369" s="2">
        <v>411080000</v>
      </c>
      <c r="D369" s="2">
        <v>1639740</v>
      </c>
      <c r="E369" s="2">
        <v>70896704</v>
      </c>
      <c r="F369" s="2">
        <v>72536444</v>
      </c>
      <c r="G369" s="2">
        <v>338543556</v>
      </c>
      <c r="H369" s="2">
        <v>0</v>
      </c>
    </row>
    <row r="370" spans="1:8" x14ac:dyDescent="0.45">
      <c r="A370" t="s">
        <v>25</v>
      </c>
      <c r="B370" s="2">
        <v>160000000</v>
      </c>
      <c r="C370" s="2">
        <v>120000000</v>
      </c>
      <c r="D370" s="2">
        <v>6960000</v>
      </c>
      <c r="E370" s="2">
        <v>13487000</v>
      </c>
      <c r="F370" s="2">
        <v>20447000</v>
      </c>
      <c r="G370" s="2">
        <v>99553000</v>
      </c>
      <c r="H370" s="2">
        <v>40000000</v>
      </c>
    </row>
    <row r="371" spans="1:8" x14ac:dyDescent="0.45">
      <c r="A371" t="s">
        <v>26</v>
      </c>
      <c r="B371" s="2">
        <v>400000000</v>
      </c>
      <c r="C371" s="2">
        <v>300000000</v>
      </c>
      <c r="D371" s="2">
        <v>27274000</v>
      </c>
      <c r="E371" s="2">
        <v>78208462</v>
      </c>
      <c r="F371" s="2">
        <v>105482462</v>
      </c>
      <c r="G371" s="2">
        <v>194517538</v>
      </c>
      <c r="H371" s="2">
        <v>100000000</v>
      </c>
    </row>
    <row r="372" spans="1:8" x14ac:dyDescent="0.45">
      <c r="A372" t="s">
        <v>27</v>
      </c>
      <c r="B372" s="2">
        <v>66000000</v>
      </c>
      <c r="C372" s="2">
        <v>66000000</v>
      </c>
      <c r="D372" s="2">
        <v>0</v>
      </c>
      <c r="E372" s="2">
        <v>11000000</v>
      </c>
      <c r="F372" s="2">
        <v>11000000</v>
      </c>
      <c r="G372" s="2">
        <v>55000000</v>
      </c>
      <c r="H372" s="2">
        <v>0</v>
      </c>
    </row>
    <row r="373" spans="1:8" x14ac:dyDescent="0.45">
      <c r="A373" t="s">
        <v>28</v>
      </c>
      <c r="B373" s="2">
        <v>90000000</v>
      </c>
      <c r="C373" s="2">
        <v>67500000</v>
      </c>
      <c r="D373" s="2">
        <v>0</v>
      </c>
      <c r="E373" s="2">
        <v>4415000</v>
      </c>
      <c r="F373" s="2">
        <v>4415000</v>
      </c>
      <c r="G373" s="2">
        <v>63085000</v>
      </c>
      <c r="H373" s="2">
        <v>22500000</v>
      </c>
    </row>
    <row r="374" spans="1:8" x14ac:dyDescent="0.45">
      <c r="A374" t="s">
        <v>30</v>
      </c>
      <c r="B374" s="2">
        <v>170700000</v>
      </c>
      <c r="C374" s="2">
        <v>128025000</v>
      </c>
      <c r="D374" s="2">
        <v>0</v>
      </c>
      <c r="E374" s="2">
        <v>39560000</v>
      </c>
      <c r="F374" s="2">
        <v>39560000</v>
      </c>
      <c r="G374" s="2">
        <v>88465000</v>
      </c>
      <c r="H374" s="2">
        <v>42675000</v>
      </c>
    </row>
    <row r="375" spans="1:8" x14ac:dyDescent="0.45">
      <c r="A375" t="s">
        <v>31</v>
      </c>
      <c r="B375" s="2">
        <v>24000000</v>
      </c>
      <c r="C375" s="2">
        <v>24000000</v>
      </c>
      <c r="D375" s="2">
        <v>0</v>
      </c>
      <c r="E375" s="2">
        <v>6736950</v>
      </c>
      <c r="F375" s="2">
        <v>6736950</v>
      </c>
      <c r="G375" s="2">
        <v>17263050</v>
      </c>
      <c r="H375" s="2">
        <v>0</v>
      </c>
    </row>
    <row r="376" spans="1:8" x14ac:dyDescent="0.45">
      <c r="A376" t="s">
        <v>59</v>
      </c>
      <c r="B376" s="2">
        <v>0</v>
      </c>
      <c r="C376" s="2">
        <v>0</v>
      </c>
      <c r="D376" s="2">
        <v>0</v>
      </c>
      <c r="E376" s="2">
        <v>23414336</v>
      </c>
      <c r="F376" s="2">
        <v>23414336</v>
      </c>
      <c r="G376" s="2">
        <v>-23414336</v>
      </c>
      <c r="H376" s="2">
        <v>0</v>
      </c>
    </row>
    <row r="377" spans="1:8" x14ac:dyDescent="0.45">
      <c r="A377" t="s">
        <v>32</v>
      </c>
      <c r="B377" s="2">
        <v>4539806918</v>
      </c>
      <c r="C377" s="2">
        <v>4539806918</v>
      </c>
      <c r="D377" s="2">
        <v>0</v>
      </c>
      <c r="E377" s="2">
        <v>663188048</v>
      </c>
      <c r="F377" s="2">
        <v>663188048</v>
      </c>
      <c r="G377" s="2">
        <v>3876618870</v>
      </c>
      <c r="H377" s="2">
        <v>0</v>
      </c>
    </row>
    <row r="378" spans="1:8" x14ac:dyDescent="0.45">
      <c r="A378" t="s">
        <v>33</v>
      </c>
      <c r="B378" s="2">
        <v>83054569</v>
      </c>
      <c r="C378" s="2">
        <v>83054569</v>
      </c>
      <c r="D378" s="2">
        <v>0</v>
      </c>
      <c r="E378" s="2">
        <v>13674416</v>
      </c>
      <c r="F378" s="2">
        <v>13674416</v>
      </c>
      <c r="G378" s="2">
        <v>69380153</v>
      </c>
      <c r="H378" s="2">
        <v>0</v>
      </c>
    </row>
    <row r="379" spans="1:8" x14ac:dyDescent="0.45">
      <c r="A379" t="s">
        <v>34</v>
      </c>
      <c r="B379" s="2">
        <v>4669639602</v>
      </c>
      <c r="C379" s="2">
        <v>4669639602</v>
      </c>
      <c r="D379" s="2">
        <v>0</v>
      </c>
      <c r="E379" s="2">
        <v>771723853</v>
      </c>
      <c r="F379" s="2">
        <v>771723853</v>
      </c>
      <c r="G379" s="2">
        <v>3897915749</v>
      </c>
      <c r="H379" s="2">
        <v>0</v>
      </c>
    </row>
    <row r="380" spans="1:8" x14ac:dyDescent="0.45">
      <c r="A380" t="s">
        <v>35</v>
      </c>
      <c r="B380" s="2">
        <v>25853949</v>
      </c>
      <c r="C380" s="2">
        <v>25853949</v>
      </c>
      <c r="D380" s="2">
        <v>0</v>
      </c>
      <c r="E380" s="2">
        <v>0</v>
      </c>
      <c r="F380" s="2">
        <v>0</v>
      </c>
      <c r="G380" s="2">
        <v>25853949</v>
      </c>
      <c r="H380" s="2">
        <v>0</v>
      </c>
    </row>
    <row r="381" spans="1:8" x14ac:dyDescent="0.45">
      <c r="A381" t="s">
        <v>36</v>
      </c>
      <c r="B381" s="2">
        <v>795113433</v>
      </c>
      <c r="C381" s="2">
        <v>795113433</v>
      </c>
      <c r="D381" s="2">
        <v>0</v>
      </c>
      <c r="E381" s="2">
        <v>93615240</v>
      </c>
      <c r="F381" s="2">
        <v>93615240</v>
      </c>
      <c r="G381" s="2">
        <v>701498193</v>
      </c>
      <c r="H381" s="2">
        <v>0</v>
      </c>
    </row>
    <row r="382" spans="1:8" x14ac:dyDescent="0.45">
      <c r="A382" t="s">
        <v>37</v>
      </c>
      <c r="B382" s="2">
        <v>37493935</v>
      </c>
      <c r="C382" s="2">
        <v>37493935</v>
      </c>
      <c r="D382" s="2">
        <v>0</v>
      </c>
      <c r="E382" s="2">
        <v>3939794</v>
      </c>
      <c r="F382" s="2">
        <v>3939794</v>
      </c>
      <c r="G382" s="2">
        <v>33554141</v>
      </c>
      <c r="H382" s="2">
        <v>0</v>
      </c>
    </row>
    <row r="383" spans="1:8" x14ac:dyDescent="0.45">
      <c r="A383" t="s">
        <v>38</v>
      </c>
      <c r="B383" s="2">
        <v>960233849</v>
      </c>
      <c r="C383" s="2">
        <v>960233849</v>
      </c>
      <c r="D383" s="2">
        <v>0</v>
      </c>
      <c r="E383" s="2">
        <v>165910019</v>
      </c>
      <c r="F383" s="2">
        <v>165910019</v>
      </c>
      <c r="G383" s="2">
        <v>794323830</v>
      </c>
      <c r="H383" s="2">
        <v>0</v>
      </c>
    </row>
    <row r="384" spans="1:8" x14ac:dyDescent="0.45">
      <c r="A384" t="s">
        <v>39</v>
      </c>
      <c r="B384" s="2">
        <v>2200336</v>
      </c>
      <c r="C384" s="2">
        <v>2200336</v>
      </c>
      <c r="D384" s="2">
        <v>0</v>
      </c>
      <c r="E384" s="2">
        <v>0</v>
      </c>
      <c r="F384" s="2">
        <v>0</v>
      </c>
      <c r="G384" s="2">
        <v>2200336</v>
      </c>
      <c r="H384" s="2">
        <v>0</v>
      </c>
    </row>
    <row r="385" spans="1:8" x14ac:dyDescent="0.45">
      <c r="A385" t="s">
        <v>85</v>
      </c>
      <c r="B385" s="2">
        <v>23968090591</v>
      </c>
      <c r="C385" s="2">
        <v>23735415591</v>
      </c>
      <c r="D385" s="2">
        <v>299444246</v>
      </c>
      <c r="E385" s="2">
        <v>2381235336</v>
      </c>
      <c r="F385" s="2">
        <v>2680679582</v>
      </c>
      <c r="G385" s="2">
        <v>21054736009</v>
      </c>
      <c r="H385" s="2">
        <v>232675000</v>
      </c>
    </row>
    <row r="386" spans="1:8" x14ac:dyDescent="0.45">
      <c r="A386" t="s">
        <v>8</v>
      </c>
      <c r="B386" s="2">
        <v>3435027000</v>
      </c>
      <c r="C386" s="2">
        <v>3435027000</v>
      </c>
      <c r="D386" s="2">
        <v>0</v>
      </c>
      <c r="E386" s="2">
        <v>0</v>
      </c>
      <c r="F386" s="2">
        <v>0</v>
      </c>
      <c r="G386" s="2">
        <v>3435027000</v>
      </c>
      <c r="H386" s="2">
        <v>0</v>
      </c>
    </row>
    <row r="387" spans="1:8" x14ac:dyDescent="0.45">
      <c r="A387" t="s">
        <v>11</v>
      </c>
      <c r="B387" s="2">
        <v>0</v>
      </c>
      <c r="C387" s="2">
        <v>0</v>
      </c>
      <c r="D387" s="2">
        <v>0</v>
      </c>
      <c r="E387" s="2">
        <v>0</v>
      </c>
      <c r="F387" s="2">
        <v>0</v>
      </c>
      <c r="G387" s="2">
        <v>0</v>
      </c>
      <c r="H387" s="2">
        <v>0</v>
      </c>
    </row>
    <row r="388" spans="1:8" x14ac:dyDescent="0.45">
      <c r="A388" t="s">
        <v>12</v>
      </c>
      <c r="B388" s="2">
        <v>467372000</v>
      </c>
      <c r="C388" s="2">
        <v>467372000</v>
      </c>
      <c r="D388" s="2">
        <v>0</v>
      </c>
      <c r="E388" s="2">
        <v>0</v>
      </c>
      <c r="F388" s="2">
        <v>0</v>
      </c>
      <c r="G388" s="2">
        <v>467372000</v>
      </c>
      <c r="H388" s="2">
        <v>0</v>
      </c>
    </row>
    <row r="389" spans="1:8" x14ac:dyDescent="0.45">
      <c r="A389" t="s">
        <v>48</v>
      </c>
      <c r="B389" s="2">
        <v>890568000</v>
      </c>
      <c r="C389" s="2">
        <v>890568000</v>
      </c>
      <c r="D389" s="2">
        <v>398086520</v>
      </c>
      <c r="E389" s="2">
        <v>0</v>
      </c>
      <c r="F389" s="2">
        <v>398086520</v>
      </c>
      <c r="G389" s="2">
        <v>492481480</v>
      </c>
      <c r="H389" s="2">
        <v>0</v>
      </c>
    </row>
    <row r="390" spans="1:8" x14ac:dyDescent="0.45">
      <c r="A390" t="s">
        <v>13</v>
      </c>
      <c r="B390" s="2">
        <v>157212000</v>
      </c>
      <c r="C390" s="2">
        <v>157212000</v>
      </c>
      <c r="D390" s="2">
        <v>49855940</v>
      </c>
      <c r="E390" s="2">
        <v>0</v>
      </c>
      <c r="F390" s="2">
        <v>49855940</v>
      </c>
      <c r="G390" s="2">
        <v>107356060</v>
      </c>
      <c r="H390" s="2">
        <v>0</v>
      </c>
    </row>
    <row r="391" spans="1:8" x14ac:dyDescent="0.45">
      <c r="A391" t="s">
        <v>14</v>
      </c>
      <c r="B391" s="2">
        <v>450000000</v>
      </c>
      <c r="C391" s="2">
        <v>450000000</v>
      </c>
      <c r="D391" s="2">
        <v>0</v>
      </c>
      <c r="E391" s="2">
        <v>0</v>
      </c>
      <c r="F391" s="2">
        <v>0</v>
      </c>
      <c r="G391" s="2">
        <v>450000000</v>
      </c>
      <c r="H391" s="2">
        <v>0</v>
      </c>
    </row>
    <row r="392" spans="1:8" x14ac:dyDescent="0.45">
      <c r="A392" t="s">
        <v>15</v>
      </c>
      <c r="B392" s="2">
        <v>500000000</v>
      </c>
      <c r="C392" s="2">
        <v>500000000</v>
      </c>
      <c r="D392" s="2">
        <v>0</v>
      </c>
      <c r="E392" s="2">
        <v>0</v>
      </c>
      <c r="F392" s="2">
        <v>0</v>
      </c>
      <c r="G392" s="2">
        <v>500000000</v>
      </c>
      <c r="H392" s="2">
        <v>0</v>
      </c>
    </row>
    <row r="393" spans="1:8" x14ac:dyDescent="0.45">
      <c r="A393" t="s">
        <v>16</v>
      </c>
      <c r="B393" s="2">
        <v>690000000</v>
      </c>
      <c r="C393" s="2">
        <v>690000000</v>
      </c>
      <c r="D393" s="2">
        <v>103894080</v>
      </c>
      <c r="E393" s="2">
        <v>98940700</v>
      </c>
      <c r="F393" s="2">
        <v>202834780</v>
      </c>
      <c r="G393" s="2">
        <v>487165220</v>
      </c>
      <c r="H393" s="2">
        <v>0</v>
      </c>
    </row>
    <row r="394" spans="1:8" x14ac:dyDescent="0.45">
      <c r="A394" t="s">
        <v>49</v>
      </c>
      <c r="B394" s="2">
        <v>198700000</v>
      </c>
      <c r="C394" s="2">
        <v>198700000</v>
      </c>
      <c r="D394" s="2">
        <v>91627175</v>
      </c>
      <c r="E394" s="2">
        <v>0</v>
      </c>
      <c r="F394" s="2">
        <v>91627175</v>
      </c>
      <c r="G394" s="2">
        <v>107072825</v>
      </c>
      <c r="H394" s="2">
        <v>0</v>
      </c>
    </row>
    <row r="395" spans="1:8" x14ac:dyDescent="0.45">
      <c r="A395" t="s">
        <v>50</v>
      </c>
      <c r="B395" s="2">
        <v>455131000</v>
      </c>
      <c r="C395" s="2">
        <v>455131000</v>
      </c>
      <c r="D395" s="2">
        <v>0</v>
      </c>
      <c r="E395" s="2">
        <v>0</v>
      </c>
      <c r="F395" s="2">
        <v>0</v>
      </c>
      <c r="G395" s="2">
        <v>455131000</v>
      </c>
      <c r="H395" s="2">
        <v>0</v>
      </c>
    </row>
    <row r="396" spans="1:8" x14ac:dyDescent="0.45">
      <c r="A396" t="s">
        <v>51</v>
      </c>
      <c r="B396" s="2">
        <v>50000000</v>
      </c>
      <c r="C396" s="2">
        <v>50000000</v>
      </c>
      <c r="D396" s="2">
        <v>0</v>
      </c>
      <c r="E396" s="2">
        <v>0</v>
      </c>
      <c r="F396" s="2">
        <v>0</v>
      </c>
      <c r="G396" s="2">
        <v>50000000</v>
      </c>
      <c r="H396" s="2">
        <v>0</v>
      </c>
    </row>
    <row r="397" spans="1:8" x14ac:dyDescent="0.45">
      <c r="A397" t="s">
        <v>52</v>
      </c>
      <c r="B397" s="2">
        <v>1443560000</v>
      </c>
      <c r="C397" s="2">
        <v>1443560000</v>
      </c>
      <c r="D397" s="2">
        <v>0</v>
      </c>
      <c r="E397" s="2">
        <v>0</v>
      </c>
      <c r="F397" s="2">
        <v>0</v>
      </c>
      <c r="G397" s="2">
        <v>1443560000</v>
      </c>
      <c r="H397" s="2">
        <v>0</v>
      </c>
    </row>
    <row r="398" spans="1:8" x14ac:dyDescent="0.45">
      <c r="A398" t="s">
        <v>53</v>
      </c>
      <c r="B398" s="2">
        <v>500000000</v>
      </c>
      <c r="C398" s="2">
        <v>500000000</v>
      </c>
      <c r="D398" s="2">
        <v>0</v>
      </c>
      <c r="E398" s="2">
        <v>0</v>
      </c>
      <c r="F398" s="2">
        <v>0</v>
      </c>
      <c r="G398" s="2">
        <v>500000000</v>
      </c>
      <c r="H398" s="2">
        <v>0</v>
      </c>
    </row>
    <row r="399" spans="1:8" x14ac:dyDescent="0.45">
      <c r="A399" t="s">
        <v>56</v>
      </c>
      <c r="B399" s="2">
        <v>250000000</v>
      </c>
      <c r="C399" s="2">
        <v>250000000</v>
      </c>
      <c r="D399" s="2">
        <v>0</v>
      </c>
      <c r="E399" s="2">
        <v>0</v>
      </c>
      <c r="F399" s="2">
        <v>0</v>
      </c>
      <c r="G399" s="2">
        <v>250000000</v>
      </c>
      <c r="H399" s="2">
        <v>0</v>
      </c>
    </row>
    <row r="400" spans="1:8" x14ac:dyDescent="0.45">
      <c r="A400" t="s">
        <v>22</v>
      </c>
      <c r="B400" s="2">
        <v>250000000</v>
      </c>
      <c r="C400" s="2">
        <v>187500000</v>
      </c>
      <c r="D400" s="2">
        <v>0</v>
      </c>
      <c r="E400" s="2">
        <v>0</v>
      </c>
      <c r="F400" s="2">
        <v>0</v>
      </c>
      <c r="G400" s="2">
        <v>187500000</v>
      </c>
      <c r="H400" s="2">
        <v>62500000</v>
      </c>
    </row>
    <row r="401" spans="1:8" x14ac:dyDescent="0.45">
      <c r="A401" t="s">
        <v>57</v>
      </c>
      <c r="B401" s="2">
        <v>316800000</v>
      </c>
      <c r="C401" s="2">
        <v>316800000</v>
      </c>
      <c r="D401" s="2">
        <v>52208150</v>
      </c>
      <c r="E401" s="2">
        <v>0</v>
      </c>
      <c r="F401" s="2">
        <v>52208150</v>
      </c>
      <c r="G401" s="2">
        <v>264591850</v>
      </c>
      <c r="H401" s="2">
        <v>0</v>
      </c>
    </row>
    <row r="402" spans="1:8" x14ac:dyDescent="0.45">
      <c r="A402" t="s">
        <v>58</v>
      </c>
      <c r="B402" s="2">
        <v>2230000000</v>
      </c>
      <c r="C402" s="2">
        <v>2230000000</v>
      </c>
      <c r="D402" s="2">
        <v>9815000</v>
      </c>
      <c r="E402" s="2">
        <v>218151545</v>
      </c>
      <c r="F402" s="2">
        <v>227966545</v>
      </c>
      <c r="G402" s="2">
        <v>2002033455</v>
      </c>
      <c r="H402" s="2">
        <v>0</v>
      </c>
    </row>
    <row r="403" spans="1:8" x14ac:dyDescent="0.45">
      <c r="A403" t="s">
        <v>25</v>
      </c>
      <c r="B403" s="2">
        <v>193600000</v>
      </c>
      <c r="C403" s="2">
        <v>145200000</v>
      </c>
      <c r="D403" s="2">
        <v>21900000</v>
      </c>
      <c r="E403" s="2">
        <v>0</v>
      </c>
      <c r="F403" s="2">
        <v>21900000</v>
      </c>
      <c r="G403" s="2">
        <v>123300000</v>
      </c>
      <c r="H403" s="2">
        <v>48400000</v>
      </c>
    </row>
    <row r="404" spans="1:8" x14ac:dyDescent="0.45">
      <c r="A404" t="s">
        <v>26</v>
      </c>
      <c r="B404" s="2">
        <v>593631000</v>
      </c>
      <c r="C404" s="2">
        <v>445223250</v>
      </c>
      <c r="D404" s="2">
        <v>98217450</v>
      </c>
      <c r="E404" s="2">
        <v>67914000</v>
      </c>
      <c r="F404" s="2">
        <v>166131450</v>
      </c>
      <c r="G404" s="2">
        <v>279091800</v>
      </c>
      <c r="H404" s="2">
        <v>148407750</v>
      </c>
    </row>
    <row r="405" spans="1:8" x14ac:dyDescent="0.45">
      <c r="A405" t="s">
        <v>27</v>
      </c>
      <c r="B405" s="2">
        <v>105000000</v>
      </c>
      <c r="C405" s="2">
        <v>105000000</v>
      </c>
      <c r="D405" s="2">
        <v>0</v>
      </c>
      <c r="E405" s="2">
        <v>16500000</v>
      </c>
      <c r="F405" s="2">
        <v>16500000</v>
      </c>
      <c r="G405" s="2">
        <v>88500000</v>
      </c>
      <c r="H405" s="2">
        <v>0</v>
      </c>
    </row>
    <row r="406" spans="1:8" x14ac:dyDescent="0.45">
      <c r="A406" t="s">
        <v>28</v>
      </c>
      <c r="B406" s="2">
        <v>386000000</v>
      </c>
      <c r="C406" s="2">
        <v>289500000</v>
      </c>
      <c r="D406" s="2">
        <v>2609000</v>
      </c>
      <c r="E406" s="2">
        <v>0</v>
      </c>
      <c r="F406" s="2">
        <v>2609000</v>
      </c>
      <c r="G406" s="2">
        <v>286891000</v>
      </c>
      <c r="H406" s="2">
        <v>96500000</v>
      </c>
    </row>
    <row r="407" spans="1:8" x14ac:dyDescent="0.45">
      <c r="A407" t="s">
        <v>30</v>
      </c>
      <c r="B407" s="2">
        <v>468000000</v>
      </c>
      <c r="C407" s="2">
        <v>351000000</v>
      </c>
      <c r="D407" s="2">
        <v>0</v>
      </c>
      <c r="E407" s="2">
        <v>65686596</v>
      </c>
      <c r="F407" s="2">
        <v>65686596</v>
      </c>
      <c r="G407" s="2">
        <v>285313404</v>
      </c>
      <c r="H407" s="2">
        <v>117000000</v>
      </c>
    </row>
    <row r="408" spans="1:8" x14ac:dyDescent="0.45">
      <c r="A408" t="s">
        <v>79</v>
      </c>
      <c r="B408" s="2">
        <v>6000000</v>
      </c>
      <c r="C408" s="2">
        <v>6000000</v>
      </c>
      <c r="D408" s="2">
        <v>0</v>
      </c>
      <c r="E408" s="2">
        <v>315000</v>
      </c>
      <c r="F408" s="2">
        <v>315000</v>
      </c>
      <c r="G408" s="2">
        <v>5685000</v>
      </c>
      <c r="H408" s="2">
        <v>0</v>
      </c>
    </row>
    <row r="409" spans="1:8" x14ac:dyDescent="0.45">
      <c r="A409" t="s">
        <v>31</v>
      </c>
      <c r="B409" s="2">
        <v>40000000</v>
      </c>
      <c r="C409" s="2">
        <v>40000000</v>
      </c>
      <c r="D409" s="2">
        <v>0</v>
      </c>
      <c r="E409" s="2">
        <v>0</v>
      </c>
      <c r="F409" s="2">
        <v>0</v>
      </c>
      <c r="G409" s="2">
        <v>40000000</v>
      </c>
      <c r="H409" s="2">
        <v>0</v>
      </c>
    </row>
    <row r="410" spans="1:8" x14ac:dyDescent="0.45">
      <c r="A410" t="s">
        <v>73</v>
      </c>
      <c r="B410" s="2">
        <v>0</v>
      </c>
      <c r="C410" s="2">
        <v>0</v>
      </c>
      <c r="D410" s="2">
        <v>0</v>
      </c>
      <c r="E410" s="2">
        <v>100141179</v>
      </c>
      <c r="F410" s="2">
        <v>100141179</v>
      </c>
      <c r="G410" s="2">
        <v>-100141179</v>
      </c>
      <c r="H410" s="2">
        <v>0</v>
      </c>
    </row>
    <row r="411" spans="1:8" x14ac:dyDescent="0.45">
      <c r="A411" t="s">
        <v>32</v>
      </c>
      <c r="B411" s="2">
        <v>8641345711</v>
      </c>
      <c r="C411" s="2">
        <v>8641345711</v>
      </c>
      <c r="D411" s="2">
        <v>0</v>
      </c>
      <c r="E411" s="2">
        <v>1211192748</v>
      </c>
      <c r="F411" s="2">
        <v>1211192748</v>
      </c>
      <c r="G411" s="2">
        <v>7430152963</v>
      </c>
      <c r="H411" s="2">
        <v>0</v>
      </c>
    </row>
    <row r="412" spans="1:8" x14ac:dyDescent="0.45">
      <c r="A412" t="s">
        <v>33</v>
      </c>
      <c r="B412" s="2">
        <v>50824079</v>
      </c>
      <c r="C412" s="2">
        <v>50824079</v>
      </c>
      <c r="D412" s="2">
        <v>0</v>
      </c>
      <c r="E412" s="2">
        <v>8519344</v>
      </c>
      <c r="F412" s="2">
        <v>8519344</v>
      </c>
      <c r="G412" s="2">
        <v>42304735</v>
      </c>
      <c r="H412" s="2">
        <v>0</v>
      </c>
    </row>
    <row r="413" spans="1:8" x14ac:dyDescent="0.45">
      <c r="A413" t="s">
        <v>34</v>
      </c>
      <c r="B413" s="2">
        <v>9379568492</v>
      </c>
      <c r="C413" s="2">
        <v>9379568492</v>
      </c>
      <c r="D413" s="2">
        <v>0</v>
      </c>
      <c r="E413" s="2">
        <v>1480260267</v>
      </c>
      <c r="F413" s="2">
        <v>1480260267</v>
      </c>
      <c r="G413" s="2">
        <v>7899308225</v>
      </c>
      <c r="H413" s="2">
        <v>0</v>
      </c>
    </row>
    <row r="414" spans="1:8" x14ac:dyDescent="0.45">
      <c r="A414" t="s">
        <v>35</v>
      </c>
      <c r="B414" s="2">
        <v>51157813</v>
      </c>
      <c r="C414" s="2">
        <v>51157813</v>
      </c>
      <c r="D414" s="2">
        <v>0</v>
      </c>
      <c r="E414" s="2">
        <v>0</v>
      </c>
      <c r="F414" s="2">
        <v>0</v>
      </c>
      <c r="G414" s="2">
        <v>51157813</v>
      </c>
      <c r="H414" s="2">
        <v>0</v>
      </c>
    </row>
    <row r="415" spans="1:8" x14ac:dyDescent="0.45">
      <c r="A415" t="s">
        <v>36</v>
      </c>
      <c r="B415" s="2">
        <v>904489646</v>
      </c>
      <c r="C415" s="2">
        <v>904489646</v>
      </c>
      <c r="D415" s="2">
        <v>0</v>
      </c>
      <c r="E415" s="2">
        <v>107759966</v>
      </c>
      <c r="F415" s="2">
        <v>107759966</v>
      </c>
      <c r="G415" s="2">
        <v>796729680</v>
      </c>
      <c r="H415" s="2">
        <v>0</v>
      </c>
    </row>
    <row r="416" spans="1:8" x14ac:dyDescent="0.45">
      <c r="A416" t="s">
        <v>37</v>
      </c>
      <c r="B416" s="2">
        <v>22796596</v>
      </c>
      <c r="C416" s="2">
        <v>22796596</v>
      </c>
      <c r="D416" s="2">
        <v>0</v>
      </c>
      <c r="E416" s="2">
        <v>3779387</v>
      </c>
      <c r="F416" s="2">
        <v>3779387</v>
      </c>
      <c r="G416" s="2">
        <v>19017209</v>
      </c>
      <c r="H416" s="2">
        <v>0</v>
      </c>
    </row>
    <row r="417" spans="1:8" x14ac:dyDescent="0.45">
      <c r="A417" t="s">
        <v>38</v>
      </c>
      <c r="B417" s="2">
        <v>1105883447</v>
      </c>
      <c r="C417" s="2">
        <v>1105883447</v>
      </c>
      <c r="D417" s="2">
        <v>0</v>
      </c>
      <c r="E417" s="2">
        <v>185310735</v>
      </c>
      <c r="F417" s="2">
        <v>185310735</v>
      </c>
      <c r="G417" s="2">
        <v>920572712</v>
      </c>
      <c r="H417" s="2">
        <v>0</v>
      </c>
    </row>
    <row r="418" spans="1:8" x14ac:dyDescent="0.45">
      <c r="A418" t="s">
        <v>39</v>
      </c>
      <c r="B418" s="2">
        <v>2200336</v>
      </c>
      <c r="C418" s="2">
        <v>2200336</v>
      </c>
      <c r="D418" s="2">
        <v>0</v>
      </c>
      <c r="E418" s="2">
        <v>0</v>
      </c>
      <c r="F418" s="2">
        <v>0</v>
      </c>
      <c r="G418" s="2">
        <v>2200336</v>
      </c>
      <c r="H418" s="2">
        <v>0</v>
      </c>
    </row>
    <row r="419" spans="1:8" x14ac:dyDescent="0.45">
      <c r="A419" t="s">
        <v>86</v>
      </c>
      <c r="B419" s="2">
        <v>34234867120</v>
      </c>
      <c r="C419" s="2">
        <v>33762059370</v>
      </c>
      <c r="D419" s="2">
        <v>828213315</v>
      </c>
      <c r="E419" s="2">
        <v>3564471467</v>
      </c>
      <c r="F419" s="2">
        <v>4392684782</v>
      </c>
      <c r="G419" s="2">
        <v>29369374588</v>
      </c>
      <c r="H419" s="2">
        <v>472807750</v>
      </c>
    </row>
    <row r="420" spans="1:8" x14ac:dyDescent="0.45">
      <c r="A420" s="1" t="s">
        <v>98</v>
      </c>
      <c r="B420" s="3">
        <f>SUMIFS('II PD'!C:C,'II PD'!A:A,'Budget 3 Juni 2024'!A420)</f>
        <v>873740000</v>
      </c>
      <c r="C420" s="3">
        <f>SUMIFS('II PD'!D:D,'II PD'!A:A,'Budget 3 Juni 2024'!A420)</f>
        <v>436870000</v>
      </c>
      <c r="D420" s="3">
        <f>SUMIFS('II PD'!E:E,'II PD'!A:A,'Budget 3 Juni 2024'!A420)</f>
        <v>404360000</v>
      </c>
      <c r="E420" s="3">
        <f>SUMIFS('II PD'!F:F,'II PD'!A:A,'Budget 3 Juni 2024'!A420)</f>
        <v>35605052</v>
      </c>
      <c r="F420" s="3">
        <f>SUMIFS('II PD'!G:G,'II PD'!A:A,'Budget 3 Juni 2024'!A420)</f>
        <v>439965052</v>
      </c>
      <c r="G420" s="3">
        <f>SUMIFS('II PD'!H:H,'II PD'!A:A,'Budget 3 Juni 2024'!A420)</f>
        <v>-3095052</v>
      </c>
      <c r="H420" s="3">
        <f>SUMIFS('II PD'!I:I,'II PD'!A:A,'Budget 3 Juni 2024'!A420)</f>
        <v>436870000</v>
      </c>
    </row>
    <row r="421" spans="1:8" x14ac:dyDescent="0.45">
      <c r="A421" s="1" t="s">
        <v>99</v>
      </c>
      <c r="B421" s="3">
        <f>SUMIFS('II PD'!C:C,'II PD'!A:A,'Budget 3 Juni 2024'!A421)</f>
        <v>0</v>
      </c>
      <c r="C421" s="3">
        <f>SUMIFS('II PD'!D:D,'II PD'!A:A,'Budget 3 Juni 2024'!A421)</f>
        <v>0</v>
      </c>
      <c r="D421" s="3">
        <f>SUMIFS('II PD'!E:E,'II PD'!A:A,'Budget 3 Juni 2024'!A421)</f>
        <v>0</v>
      </c>
      <c r="E421" s="3">
        <f>SUMIFS('II PD'!F:F,'II PD'!A:A,'Budget 3 Juni 2024'!A421)</f>
        <v>0</v>
      </c>
      <c r="F421" s="3">
        <f>SUMIFS('II PD'!G:G,'II PD'!A:A,'Budget 3 Juni 2024'!A421)</f>
        <v>0</v>
      </c>
      <c r="G421" s="3">
        <f>SUMIFS('II PD'!H:H,'II PD'!A:A,'Budget 3 Juni 2024'!A421)</f>
        <v>0</v>
      </c>
      <c r="H421" s="3">
        <f>SUMIFS('II PD'!I:I,'II PD'!A:A,'Budget 3 Juni 2024'!A421)</f>
        <v>0</v>
      </c>
    </row>
    <row r="422" spans="1:8" x14ac:dyDescent="0.45">
      <c r="A422" s="1" t="s">
        <v>100</v>
      </c>
      <c r="B422" s="3">
        <f>SUMIFS('II PD'!C:C,'II PD'!A:A,'Budget 3 Juni 2024'!A422)</f>
        <v>0</v>
      </c>
      <c r="C422" s="3">
        <f>SUMIFS('II PD'!D:D,'II PD'!A:A,'Budget 3 Juni 2024'!A422)</f>
        <v>0</v>
      </c>
      <c r="D422" s="3">
        <f>SUMIFS('II PD'!E:E,'II PD'!A:A,'Budget 3 Juni 2024'!A422)</f>
        <v>0</v>
      </c>
      <c r="E422" s="3">
        <f>SUMIFS('II PD'!F:F,'II PD'!A:A,'Budget 3 Juni 2024'!A422)</f>
        <v>0</v>
      </c>
      <c r="F422" s="3">
        <f>SUMIFS('II PD'!G:G,'II PD'!A:A,'Budget 3 Juni 2024'!A422)</f>
        <v>0</v>
      </c>
      <c r="G422" s="3">
        <f>SUMIFS('II PD'!H:H,'II PD'!A:A,'Budget 3 Juni 2024'!A422)</f>
        <v>0</v>
      </c>
      <c r="H422" s="3">
        <f>SUMIFS('II PD'!I:I,'II PD'!A:A,'Budget 3 Juni 2024'!A422)</f>
        <v>0</v>
      </c>
    </row>
    <row r="423" spans="1:8" x14ac:dyDescent="0.45">
      <c r="A423" s="1" t="s">
        <v>101</v>
      </c>
      <c r="B423" s="3">
        <f>SUMIFS('II PD'!C:C,'II PD'!A:A,'Budget 3 Juni 2024'!A423)</f>
        <v>0</v>
      </c>
      <c r="C423" s="3">
        <f>SUMIFS('II PD'!D:D,'II PD'!A:A,'Budget 3 Juni 2024'!A423)</f>
        <v>0</v>
      </c>
      <c r="D423" s="3">
        <f>SUMIFS('II PD'!E:E,'II PD'!A:A,'Budget 3 Juni 2024'!A423)</f>
        <v>0</v>
      </c>
      <c r="E423" s="3">
        <f>SUMIFS('II PD'!F:F,'II PD'!A:A,'Budget 3 Juni 2024'!A423)</f>
        <v>0</v>
      </c>
      <c r="F423" s="3">
        <f>SUMIFS('II PD'!G:G,'II PD'!A:A,'Budget 3 Juni 2024'!A423)</f>
        <v>0</v>
      </c>
      <c r="G423" s="3">
        <f>SUMIFS('II PD'!H:H,'II PD'!A:A,'Budget 3 Juni 2024'!A423)</f>
        <v>0</v>
      </c>
      <c r="H423" s="3">
        <f>SUMIFS('II PD'!I:I,'II PD'!A:A,'Budget 3 Juni 2024'!A423)</f>
        <v>0</v>
      </c>
    </row>
    <row r="424" spans="1:8" x14ac:dyDescent="0.45">
      <c r="A424" s="1" t="s">
        <v>102</v>
      </c>
      <c r="B424" s="3">
        <f>SUMIFS('II PD'!C:C,'II PD'!A:A,'Budget 3 Juni 2024'!A424)</f>
        <v>0</v>
      </c>
      <c r="C424" s="3">
        <f>SUMIFS('II PD'!D:D,'II PD'!A:A,'Budget 3 Juni 2024'!A424)</f>
        <v>0</v>
      </c>
      <c r="D424" s="3">
        <f>SUMIFS('II PD'!E:E,'II PD'!A:A,'Budget 3 Juni 2024'!A424)</f>
        <v>0</v>
      </c>
      <c r="E424" s="3">
        <f>SUMIFS('II PD'!F:F,'II PD'!A:A,'Budget 3 Juni 2024'!A424)</f>
        <v>0</v>
      </c>
      <c r="F424" s="3">
        <f>SUMIFS('II PD'!G:G,'II PD'!A:A,'Budget 3 Juni 2024'!A424)</f>
        <v>0</v>
      </c>
      <c r="G424" s="3">
        <f>SUMIFS('II PD'!H:H,'II PD'!A:A,'Budget 3 Juni 2024'!A424)</f>
        <v>0</v>
      </c>
      <c r="H424" s="3">
        <f>SUMIFS('II PD'!I:I,'II PD'!A:A,'Budget 3 Juni 2024'!A424)</f>
        <v>0</v>
      </c>
    </row>
    <row r="425" spans="1:8" x14ac:dyDescent="0.45">
      <c r="A425" s="1" t="s">
        <v>103</v>
      </c>
      <c r="B425" s="3">
        <f>SUMIFS('II PD'!C:C,'II PD'!A:A,'Budget 3 Juni 2024'!A425)</f>
        <v>0</v>
      </c>
      <c r="C425" s="3">
        <f>SUMIFS('II PD'!D:D,'II PD'!A:A,'Budget 3 Juni 2024'!A425)</f>
        <v>0</v>
      </c>
      <c r="D425" s="3">
        <f>SUMIFS('II PD'!E:E,'II PD'!A:A,'Budget 3 Juni 2024'!A425)</f>
        <v>0</v>
      </c>
      <c r="E425" s="3">
        <f>SUMIFS('II PD'!F:F,'II PD'!A:A,'Budget 3 Juni 2024'!A425)</f>
        <v>0</v>
      </c>
      <c r="F425" s="3">
        <f>SUMIFS('II PD'!G:G,'II PD'!A:A,'Budget 3 Juni 2024'!A425)</f>
        <v>0</v>
      </c>
      <c r="G425" s="3">
        <f>SUMIFS('II PD'!H:H,'II PD'!A:A,'Budget 3 Juni 2024'!A425)</f>
        <v>0</v>
      </c>
      <c r="H425" s="3">
        <f>SUMIFS('II PD'!I:I,'II PD'!A:A,'Budget 3 Juni 2024'!A425)</f>
        <v>0</v>
      </c>
    </row>
    <row r="426" spans="1:8" x14ac:dyDescent="0.45">
      <c r="A426" s="1" t="s">
        <v>104</v>
      </c>
      <c r="B426" s="3">
        <f>SUMIFS('II PD'!C:C,'II PD'!A:A,'Budget 3 Juni 2024'!A426)</f>
        <v>0</v>
      </c>
      <c r="C426" s="3">
        <f>SUMIFS('II PD'!D:D,'II PD'!A:A,'Budget 3 Juni 2024'!A426)</f>
        <v>0</v>
      </c>
      <c r="D426" s="3">
        <f>SUMIFS('II PD'!E:E,'II PD'!A:A,'Budget 3 Juni 2024'!A426)</f>
        <v>0</v>
      </c>
      <c r="E426" s="3">
        <f>SUMIFS('II PD'!F:F,'II PD'!A:A,'Budget 3 Juni 2024'!A426)</f>
        <v>0</v>
      </c>
      <c r="F426" s="3">
        <f>SUMIFS('II PD'!G:G,'II PD'!A:A,'Budget 3 Juni 2024'!A426)</f>
        <v>0</v>
      </c>
      <c r="G426" s="3">
        <f>SUMIFS('II PD'!H:H,'II PD'!A:A,'Budget 3 Juni 2024'!A426)</f>
        <v>0</v>
      </c>
      <c r="H426" s="3">
        <f>SUMIFS('II PD'!I:I,'II PD'!A:A,'Budget 3 Juni 2024'!A426)</f>
        <v>0</v>
      </c>
    </row>
    <row r="427" spans="1:8" x14ac:dyDescent="0.45">
      <c r="A427" s="1" t="s">
        <v>105</v>
      </c>
      <c r="B427" s="3">
        <f>SUMIFS('II PD'!C:C,'II PD'!A:A,'Budget 3 Juni 2024'!A427)</f>
        <v>0</v>
      </c>
      <c r="C427" s="3">
        <f>SUMIFS('II PD'!D:D,'II PD'!A:A,'Budget 3 Juni 2024'!A427)</f>
        <v>0</v>
      </c>
      <c r="D427" s="3">
        <f>SUMIFS('II PD'!E:E,'II PD'!A:A,'Budget 3 Juni 2024'!A427)</f>
        <v>0</v>
      </c>
      <c r="E427" s="3">
        <f>SUMIFS('II PD'!F:F,'II PD'!A:A,'Budget 3 Juni 2024'!A427)</f>
        <v>0</v>
      </c>
      <c r="F427" s="3">
        <f>SUMIFS('II PD'!G:G,'II PD'!A:A,'Budget 3 Juni 2024'!A427)</f>
        <v>0</v>
      </c>
      <c r="G427" s="3">
        <f>SUMIFS('II PD'!H:H,'II PD'!A:A,'Budget 3 Juni 2024'!A427)</f>
        <v>0</v>
      </c>
      <c r="H427" s="3">
        <f>SUMIFS('II PD'!I:I,'II PD'!A:A,'Budget 3 Juni 2024'!A427)</f>
        <v>0</v>
      </c>
    </row>
    <row r="428" spans="1:8" x14ac:dyDescent="0.45">
      <c r="A428" s="1" t="s">
        <v>106</v>
      </c>
      <c r="B428" s="3">
        <f>SUMIFS('II PD'!C:C,'II PD'!A:A,'Budget 3 Juni 2024'!A428)</f>
        <v>0</v>
      </c>
      <c r="C428" s="3">
        <f>SUMIFS('II PD'!D:D,'II PD'!A:A,'Budget 3 Juni 2024'!A428)</f>
        <v>0</v>
      </c>
      <c r="D428" s="3">
        <f>SUMIFS('II PD'!E:E,'II PD'!A:A,'Budget 3 Juni 2024'!A428)</f>
        <v>0</v>
      </c>
      <c r="E428" s="3">
        <f>SUMIFS('II PD'!F:F,'II PD'!A:A,'Budget 3 Juni 2024'!A428)</f>
        <v>0</v>
      </c>
      <c r="F428" s="3">
        <f>SUMIFS('II PD'!G:G,'II PD'!A:A,'Budget 3 Juni 2024'!A428)</f>
        <v>0</v>
      </c>
      <c r="G428" s="3">
        <f>SUMIFS('II PD'!H:H,'II PD'!A:A,'Budget 3 Juni 2024'!A428)</f>
        <v>0</v>
      </c>
      <c r="H428" s="3">
        <f>SUMIFS('II PD'!I:I,'II PD'!A:A,'Budget 3 Juni 2024'!A428)</f>
        <v>0</v>
      </c>
    </row>
    <row r="429" spans="1:8" x14ac:dyDescent="0.45">
      <c r="A429" s="1" t="s">
        <v>107</v>
      </c>
      <c r="B429" s="3">
        <f>SUMIFS('II PD'!C:C,'II PD'!A:A,'Budget 3 Juni 2024'!A429)</f>
        <v>0</v>
      </c>
      <c r="C429" s="3">
        <f>SUMIFS('II PD'!D:D,'II PD'!A:A,'Budget 3 Juni 2024'!A429)</f>
        <v>0</v>
      </c>
      <c r="D429" s="3">
        <f>SUMIFS('II PD'!E:E,'II PD'!A:A,'Budget 3 Juni 2024'!A429)</f>
        <v>0</v>
      </c>
      <c r="E429" s="3">
        <f>SUMIFS('II PD'!F:F,'II PD'!A:A,'Budget 3 Juni 2024'!A429)</f>
        <v>0</v>
      </c>
      <c r="F429" s="3">
        <f>SUMIFS('II PD'!G:G,'II PD'!A:A,'Budget 3 Juni 2024'!A429)</f>
        <v>0</v>
      </c>
      <c r="G429" s="3">
        <f>SUMIFS('II PD'!H:H,'II PD'!A:A,'Budget 3 Juni 2024'!A429)</f>
        <v>0</v>
      </c>
      <c r="H429" s="3">
        <f>SUMIFS('II PD'!I:I,'II PD'!A:A,'Budget 3 Juni 2024'!A429)</f>
        <v>0</v>
      </c>
    </row>
    <row r="430" spans="1:8" x14ac:dyDescent="0.45">
      <c r="A430" s="1" t="s">
        <v>108</v>
      </c>
      <c r="B430" s="3">
        <f>SUMIFS('II PD'!C:C,'II PD'!A:A,'Budget 3 Juni 2024'!A430)</f>
        <v>0</v>
      </c>
      <c r="C430" s="3">
        <f>SUMIFS('II PD'!D:D,'II PD'!A:A,'Budget 3 Juni 2024'!A430)</f>
        <v>0</v>
      </c>
      <c r="D430" s="3">
        <f>SUMIFS('II PD'!E:E,'II PD'!A:A,'Budget 3 Juni 2024'!A430)</f>
        <v>0</v>
      </c>
      <c r="E430" s="3">
        <f>SUMIFS('II PD'!F:F,'II PD'!A:A,'Budget 3 Juni 2024'!A430)</f>
        <v>0</v>
      </c>
      <c r="F430" s="3">
        <f>SUMIFS('II PD'!G:G,'II PD'!A:A,'Budget 3 Juni 2024'!A430)</f>
        <v>0</v>
      </c>
      <c r="G430" s="3">
        <f>SUMIFS('II PD'!H:H,'II PD'!A:A,'Budget 3 Juni 2024'!A430)</f>
        <v>0</v>
      </c>
      <c r="H430" s="3">
        <f>SUMIFS('II PD'!I:I,'II PD'!A:A,'Budget 3 Juni 2024'!A430)</f>
        <v>0</v>
      </c>
    </row>
    <row r="431" spans="1:8" x14ac:dyDescent="0.45">
      <c r="A431" s="1" t="s">
        <v>109</v>
      </c>
      <c r="B431" s="3">
        <f>SUMIFS('II PD'!C:C,'II PD'!A:A,'Budget 3 Juni 2024'!A431)</f>
        <v>0</v>
      </c>
      <c r="C431" s="3">
        <f>SUMIFS('II PD'!D:D,'II PD'!A:A,'Budget 3 Juni 2024'!A431)</f>
        <v>0</v>
      </c>
      <c r="D431" s="3">
        <f>SUMIFS('II PD'!E:E,'II PD'!A:A,'Budget 3 Juni 2024'!A431)</f>
        <v>0</v>
      </c>
      <c r="E431" s="3">
        <f>SUMIFS('II PD'!F:F,'II PD'!A:A,'Budget 3 Juni 2024'!A431)</f>
        <v>0</v>
      </c>
      <c r="F431" s="3">
        <f>SUMIFS('II PD'!G:G,'II PD'!A:A,'Budget 3 Juni 2024'!A431)</f>
        <v>0</v>
      </c>
      <c r="G431" s="3">
        <f>SUMIFS('II PD'!H:H,'II PD'!A:A,'Budget 3 Juni 2024'!A431)</f>
        <v>0</v>
      </c>
      <c r="H431" s="3">
        <f>SUMIFS('II PD'!I:I,'II PD'!A:A,'Budget 3 Juni 2024'!A431)</f>
        <v>0</v>
      </c>
    </row>
    <row r="432" spans="1:8" x14ac:dyDescent="0.45">
      <c r="A432" s="1" t="s">
        <v>110</v>
      </c>
      <c r="B432" s="3">
        <f>SUMIFS('II PD'!C:C,'II PD'!A:A,'Budget 3 Juni 2024'!A432)</f>
        <v>0</v>
      </c>
      <c r="C432" s="3">
        <f>SUMIFS('II PD'!D:D,'II PD'!A:A,'Budget 3 Juni 2024'!A432)</f>
        <v>0</v>
      </c>
      <c r="D432" s="3">
        <f>SUMIFS('II PD'!E:E,'II PD'!A:A,'Budget 3 Juni 2024'!A432)</f>
        <v>0</v>
      </c>
      <c r="E432" s="3">
        <f>SUMIFS('II PD'!F:F,'II PD'!A:A,'Budget 3 Juni 2024'!A432)</f>
        <v>0</v>
      </c>
      <c r="F432" s="3">
        <f>SUMIFS('II PD'!G:G,'II PD'!A:A,'Budget 3 Juni 2024'!A432)</f>
        <v>0</v>
      </c>
      <c r="G432" s="3">
        <f>SUMIFS('II PD'!H:H,'II PD'!A:A,'Budget 3 Juni 2024'!A432)</f>
        <v>0</v>
      </c>
      <c r="H432" s="3">
        <f>SUMIFS('II PD'!I:I,'II PD'!A:A,'Budget 3 Juni 2024'!A432)</f>
        <v>0</v>
      </c>
    </row>
    <row r="433" spans="1:8" x14ac:dyDescent="0.45">
      <c r="A433" s="1" t="s">
        <v>111</v>
      </c>
      <c r="B433" s="3">
        <f>SUMIFS('II PD'!C:C,'II PD'!A:A,'Budget 3 Juni 2024'!A433)</f>
        <v>0</v>
      </c>
      <c r="C433" s="3">
        <f>SUMIFS('II PD'!D:D,'II PD'!A:A,'Budget 3 Juni 2024'!A433)</f>
        <v>0</v>
      </c>
      <c r="D433" s="3">
        <f>SUMIFS('II PD'!E:E,'II PD'!A:A,'Budget 3 Juni 2024'!A433)</f>
        <v>0</v>
      </c>
      <c r="E433" s="3">
        <f>SUMIFS('II PD'!F:F,'II PD'!A:A,'Budget 3 Juni 2024'!A433)</f>
        <v>0</v>
      </c>
      <c r="F433" s="3">
        <f>SUMIFS('II PD'!G:G,'II PD'!A:A,'Budget 3 Juni 2024'!A433)</f>
        <v>0</v>
      </c>
      <c r="G433" s="3">
        <f>SUMIFS('II PD'!H:H,'II PD'!A:A,'Budget 3 Juni 2024'!A433)</f>
        <v>0</v>
      </c>
      <c r="H433" s="3">
        <f>SUMIFS('II PD'!I:I,'II PD'!A:A,'Budget 3 Juni 2024'!A433)</f>
        <v>0</v>
      </c>
    </row>
    <row r="434" spans="1:8" x14ac:dyDescent="0.45">
      <c r="A434" s="1" t="s">
        <v>112</v>
      </c>
      <c r="B434" s="3">
        <f>SUMIFS('II PD'!C:C,'II PD'!A:A,'Budget 3 Juni 2024'!A434)</f>
        <v>0</v>
      </c>
      <c r="C434" s="3">
        <f>SUMIFS('II PD'!D:D,'II PD'!A:A,'Budget 3 Juni 2024'!A434)</f>
        <v>0</v>
      </c>
      <c r="D434" s="3">
        <f>SUMIFS('II PD'!E:E,'II PD'!A:A,'Budget 3 Juni 2024'!A434)</f>
        <v>0</v>
      </c>
      <c r="E434" s="3">
        <f>SUMIFS('II PD'!F:F,'II PD'!A:A,'Budget 3 Juni 2024'!A434)</f>
        <v>0</v>
      </c>
      <c r="F434" s="3">
        <f>SUMIFS('II PD'!G:G,'II PD'!A:A,'Budget 3 Juni 2024'!A434)</f>
        <v>0</v>
      </c>
      <c r="G434" s="3">
        <f>SUMIFS('II PD'!H:H,'II PD'!A:A,'Budget 3 Juni 2024'!A434)</f>
        <v>0</v>
      </c>
      <c r="H434" s="3">
        <f>SUMIFS('II PD'!I:I,'II PD'!A:A,'Budget 3 Juni 2024'!A434)</f>
        <v>0</v>
      </c>
    </row>
    <row r="435" spans="1:8" x14ac:dyDescent="0.45">
      <c r="A435" s="1" t="s">
        <v>113</v>
      </c>
      <c r="B435" s="3">
        <f>SUMIFS('II PD'!C:C,'II PD'!A:A,'Budget 3 Juni 2024'!A435)</f>
        <v>0</v>
      </c>
      <c r="C435" s="3">
        <f>SUMIFS('II PD'!D:D,'II PD'!A:A,'Budget 3 Juni 2024'!A435)</f>
        <v>0</v>
      </c>
      <c r="D435" s="3">
        <f>SUMIFS('II PD'!E:E,'II PD'!A:A,'Budget 3 Juni 2024'!A435)</f>
        <v>0</v>
      </c>
      <c r="E435" s="3">
        <f>SUMIFS('II PD'!F:F,'II PD'!A:A,'Budget 3 Juni 2024'!A435)</f>
        <v>0</v>
      </c>
      <c r="F435" s="3">
        <f>SUMIFS('II PD'!G:G,'II PD'!A:A,'Budget 3 Juni 2024'!A435)</f>
        <v>0</v>
      </c>
      <c r="G435" s="3">
        <f>SUMIFS('II PD'!H:H,'II PD'!A:A,'Budget 3 Juni 2024'!A435)</f>
        <v>0</v>
      </c>
      <c r="H435" s="3">
        <f>SUMIFS('II PD'!I:I,'II PD'!A:A,'Budget 3 Juni 2024'!A435)</f>
        <v>0</v>
      </c>
    </row>
    <row r="436" spans="1:8" x14ac:dyDescent="0.45">
      <c r="A436" s="1" t="s">
        <v>114</v>
      </c>
      <c r="B436" s="3">
        <f>SUMIFS('II PD'!C:C,'II PD'!A:A,'Budget 3 Juni 2024'!A436)</f>
        <v>0</v>
      </c>
      <c r="C436" s="3">
        <f>SUMIFS('II PD'!D:D,'II PD'!A:A,'Budget 3 Juni 2024'!A436)</f>
        <v>0</v>
      </c>
      <c r="D436" s="3">
        <f>SUMIFS('II PD'!E:E,'II PD'!A:A,'Budget 3 Juni 2024'!A436)</f>
        <v>0</v>
      </c>
      <c r="E436" s="3">
        <f>SUMIFS('II PD'!F:F,'II PD'!A:A,'Budget 3 Juni 2024'!A436)</f>
        <v>0</v>
      </c>
      <c r="F436" s="3">
        <f>SUMIFS('II PD'!G:G,'II PD'!A:A,'Budget 3 Juni 2024'!A436)</f>
        <v>0</v>
      </c>
      <c r="G436" s="3">
        <f>SUMIFS('II PD'!H:H,'II PD'!A:A,'Budget 3 Juni 2024'!A436)</f>
        <v>0</v>
      </c>
      <c r="H436" s="3">
        <f>SUMIFS('II PD'!I:I,'II PD'!A:A,'Budget 3 Juni 2024'!A436)</f>
        <v>0</v>
      </c>
    </row>
    <row r="437" spans="1:8" x14ac:dyDescent="0.45">
      <c r="A437" s="1" t="s">
        <v>115</v>
      </c>
      <c r="B437" s="3">
        <f>SUMIFS('II PD'!C:C,'II PD'!A:A,'Budget 3 Juni 2024'!A437)</f>
        <v>474786000</v>
      </c>
      <c r="C437" s="3">
        <f>SUMIFS('II PD'!D:D,'II PD'!A:A,'Budget 3 Juni 2024'!A437)</f>
        <v>237393000</v>
      </c>
      <c r="D437" s="3">
        <f>SUMIFS('II PD'!E:E,'II PD'!A:A,'Budget 3 Juni 2024'!A437)</f>
        <v>0</v>
      </c>
      <c r="E437" s="3">
        <f>SUMIFS('II PD'!F:F,'II PD'!A:A,'Budget 3 Juni 2024'!A437)</f>
        <v>0</v>
      </c>
      <c r="F437" s="3">
        <f>SUMIFS('II PD'!G:G,'II PD'!A:A,'Budget 3 Juni 2024'!A437)</f>
        <v>0</v>
      </c>
      <c r="G437" s="3">
        <f>SUMIFS('II PD'!H:H,'II PD'!A:A,'Budget 3 Juni 2024'!A437)</f>
        <v>237393000</v>
      </c>
      <c r="H437" s="3">
        <f>SUMIFS('II PD'!I:I,'II PD'!A:A,'Budget 3 Juni 2024'!A437)</f>
        <v>237393000</v>
      </c>
    </row>
    <row r="438" spans="1:8" x14ac:dyDescent="0.45">
      <c r="A438" s="1" t="s">
        <v>116</v>
      </c>
      <c r="B438" s="3">
        <f>SUMIFS('II PD'!C:C,'II PD'!A:A,'Budget 3 Juni 2024'!A438)</f>
        <v>208425000</v>
      </c>
      <c r="C438" s="3">
        <f>SUMIFS('II PD'!D:D,'II PD'!A:A,'Budget 3 Juni 2024'!A438)</f>
        <v>104212500</v>
      </c>
      <c r="D438" s="3">
        <f>SUMIFS('II PD'!E:E,'II PD'!A:A,'Budget 3 Juni 2024'!A438)</f>
        <v>0</v>
      </c>
      <c r="E438" s="3">
        <f>SUMIFS('II PD'!F:F,'II PD'!A:A,'Budget 3 Juni 2024'!A438)</f>
        <v>0</v>
      </c>
      <c r="F438" s="3">
        <f>SUMIFS('II PD'!G:G,'II PD'!A:A,'Budget 3 Juni 2024'!A438)</f>
        <v>0</v>
      </c>
      <c r="G438" s="3">
        <f>SUMIFS('II PD'!H:H,'II PD'!A:A,'Budget 3 Juni 2024'!A438)</f>
        <v>104212500</v>
      </c>
      <c r="H438" s="3">
        <f>SUMIFS('II PD'!I:I,'II PD'!A:A,'Budget 3 Juni 2024'!A438)</f>
        <v>104212500</v>
      </c>
    </row>
    <row r="439" spans="1:8" x14ac:dyDescent="0.45">
      <c r="A439" s="1" t="s">
        <v>117</v>
      </c>
      <c r="B439" s="3">
        <f>SUMIFS('II PD'!C:C,'II PD'!A:A,'Budget 3 Juni 2024'!A439)</f>
        <v>20000000</v>
      </c>
      <c r="C439" s="3">
        <f>SUMIFS('II PD'!D:D,'II PD'!A:A,'Budget 3 Juni 2024'!A439)</f>
        <v>13970000</v>
      </c>
      <c r="D439" s="3">
        <f>SUMIFS('II PD'!E:E,'II PD'!A:A,'Budget 3 Juni 2024'!A439)</f>
        <v>13970000</v>
      </c>
      <c r="E439" s="3">
        <f>SUMIFS('II PD'!F:F,'II PD'!A:A,'Budget 3 Juni 2024'!A439)</f>
        <v>0</v>
      </c>
      <c r="F439" s="3">
        <f>SUMIFS('II PD'!G:G,'II PD'!A:A,'Budget 3 Juni 2024'!A439)</f>
        <v>13970000</v>
      </c>
      <c r="G439" s="3">
        <f>SUMIFS('II PD'!H:H,'II PD'!A:A,'Budget 3 Juni 2024'!A439)</f>
        <v>0</v>
      </c>
      <c r="H439" s="3">
        <f>SUMIFS('II PD'!I:I,'II PD'!A:A,'Budget 3 Juni 2024'!A439)</f>
        <v>6030000</v>
      </c>
    </row>
    <row r="440" spans="1:8" x14ac:dyDescent="0.45">
      <c r="A440" s="1" t="s">
        <v>118</v>
      </c>
      <c r="B440" s="3">
        <f>SUMIFS('II PD'!C:C,'II PD'!A:A,'Budget 3 Juni 2024'!A440)</f>
        <v>220000000</v>
      </c>
      <c r="C440" s="3">
        <f>SUMIFS('II PD'!D:D,'II PD'!A:A,'Budget 3 Juni 2024'!A440)</f>
        <v>110000000</v>
      </c>
      <c r="D440" s="3">
        <f>SUMIFS('II PD'!E:E,'II PD'!A:A,'Budget 3 Juni 2024'!A440)</f>
        <v>0</v>
      </c>
      <c r="E440" s="3">
        <f>SUMIFS('II PD'!F:F,'II PD'!A:A,'Budget 3 Juni 2024'!A440)</f>
        <v>29896778</v>
      </c>
      <c r="F440" s="3">
        <f>SUMIFS('II PD'!G:G,'II PD'!A:A,'Budget 3 Juni 2024'!A440)</f>
        <v>29896778</v>
      </c>
      <c r="G440" s="3">
        <f>SUMIFS('II PD'!H:H,'II PD'!A:A,'Budget 3 Juni 2024'!A440)</f>
        <v>80103222</v>
      </c>
      <c r="H440" s="3">
        <f>SUMIFS('II PD'!I:I,'II PD'!A:A,'Budget 3 Juni 2024'!A440)</f>
        <v>110000000</v>
      </c>
    </row>
    <row r="441" spans="1:8" x14ac:dyDescent="0.45">
      <c r="A441" s="1" t="s">
        <v>119</v>
      </c>
      <c r="B441" s="3">
        <f>SUMIFS('II PD'!C:C,'II PD'!A:A,'Budget 3 Juni 2024'!A441)</f>
        <v>75000000</v>
      </c>
      <c r="C441" s="3">
        <f>SUMIFS('II PD'!D:D,'II PD'!A:A,'Budget 3 Juni 2024'!A441)</f>
        <v>37500000</v>
      </c>
      <c r="D441" s="3">
        <f>SUMIFS('II PD'!E:E,'II PD'!A:A,'Budget 3 Juni 2024'!A441)</f>
        <v>0</v>
      </c>
      <c r="E441" s="3">
        <f>SUMIFS('II PD'!F:F,'II PD'!A:A,'Budget 3 Juni 2024'!A441)</f>
        <v>0</v>
      </c>
      <c r="F441" s="3">
        <f>SUMIFS('II PD'!G:G,'II PD'!A:A,'Budget 3 Juni 2024'!A441)</f>
        <v>0</v>
      </c>
      <c r="G441" s="3">
        <f>SUMIFS('II PD'!H:H,'II PD'!A:A,'Budget 3 Juni 2024'!A441)</f>
        <v>37500000</v>
      </c>
      <c r="H441" s="3">
        <f>SUMIFS('II PD'!I:I,'II PD'!A:A,'Budget 3 Juni 2024'!A441)</f>
        <v>37500000</v>
      </c>
    </row>
    <row r="442" spans="1:8" x14ac:dyDescent="0.45">
      <c r="A442" s="1" t="s">
        <v>120</v>
      </c>
      <c r="B442" s="3">
        <f>SUMIFS('II PD'!C:C,'II PD'!A:A,'Budget 3 Juni 2024'!A442)</f>
        <v>0</v>
      </c>
      <c r="C442" s="3">
        <f>SUMIFS('II PD'!D:D,'II PD'!A:A,'Budget 3 Juni 2024'!A442)</f>
        <v>0</v>
      </c>
      <c r="D442" s="3">
        <f>SUMIFS('II PD'!E:E,'II PD'!A:A,'Budget 3 Juni 2024'!A442)</f>
        <v>0</v>
      </c>
      <c r="E442" s="3">
        <f>SUMIFS('II PD'!F:F,'II PD'!A:A,'Budget 3 Juni 2024'!A442)</f>
        <v>0</v>
      </c>
      <c r="F442" s="3">
        <f>SUMIFS('II PD'!G:G,'II PD'!A:A,'Budget 3 Juni 2024'!A442)</f>
        <v>0</v>
      </c>
      <c r="G442" s="3">
        <f>SUMIFS('II PD'!H:H,'II PD'!A:A,'Budget 3 Juni 2024'!A442)</f>
        <v>0</v>
      </c>
      <c r="H442" s="3">
        <f>SUMIFS('II PD'!I:I,'II PD'!A:A,'Budget 3 Juni 2024'!A442)</f>
        <v>0</v>
      </c>
    </row>
    <row r="443" spans="1:8" x14ac:dyDescent="0.45">
      <c r="A443" s="1" t="s">
        <v>121</v>
      </c>
      <c r="B443" s="3">
        <f>SUMIFS('II PD'!C:C,'II PD'!A:A,'Budget 3 Juni 2024'!A443)</f>
        <v>0</v>
      </c>
      <c r="C443" s="3">
        <f>SUMIFS('II PD'!D:D,'II PD'!A:A,'Budget 3 Juni 2024'!A443)</f>
        <v>0</v>
      </c>
      <c r="D443" s="3">
        <f>SUMIFS('II PD'!E:E,'II PD'!A:A,'Budget 3 Juni 2024'!A443)</f>
        <v>0</v>
      </c>
      <c r="E443" s="3">
        <f>SUMIFS('II PD'!F:F,'II PD'!A:A,'Budget 3 Juni 2024'!A443)</f>
        <v>0</v>
      </c>
      <c r="F443" s="3">
        <f>SUMIFS('II PD'!G:G,'II PD'!A:A,'Budget 3 Juni 2024'!A443)</f>
        <v>0</v>
      </c>
      <c r="G443" s="3">
        <f>SUMIFS('II PD'!H:H,'II PD'!A:A,'Budget 3 Juni 2024'!A443)</f>
        <v>0</v>
      </c>
      <c r="H443" s="3">
        <f>SUMIFS('II PD'!I:I,'II PD'!A:A,'Budget 3 Juni 2024'!A443)</f>
        <v>0</v>
      </c>
    </row>
    <row r="444" spans="1:8" x14ac:dyDescent="0.45">
      <c r="A444" s="1" t="s">
        <v>122</v>
      </c>
      <c r="B444" s="3">
        <f>SUMIFS('II PD'!C:C,'II PD'!A:A,'Budget 3 Juni 2024'!A444)</f>
        <v>60000000</v>
      </c>
      <c r="C444" s="3">
        <f>SUMIFS('II PD'!D:D,'II PD'!A:A,'Budget 3 Juni 2024'!A444)</f>
        <v>30000000</v>
      </c>
      <c r="D444" s="3">
        <f>SUMIFS('II PD'!E:E,'II PD'!A:A,'Budget 3 Juni 2024'!A444)</f>
        <v>9000000</v>
      </c>
      <c r="E444" s="3">
        <f>SUMIFS('II PD'!F:F,'II PD'!A:A,'Budget 3 Juni 2024'!A444)</f>
        <v>0</v>
      </c>
      <c r="F444" s="3">
        <f>SUMIFS('II PD'!G:G,'II PD'!A:A,'Budget 3 Juni 2024'!A444)</f>
        <v>9000000</v>
      </c>
      <c r="G444" s="3">
        <f>SUMIFS('II PD'!H:H,'II PD'!A:A,'Budget 3 Juni 2024'!A444)</f>
        <v>21000000</v>
      </c>
      <c r="H444" s="3">
        <f>SUMIFS('II PD'!I:I,'II PD'!A:A,'Budget 3 Juni 2024'!A444)</f>
        <v>30000000</v>
      </c>
    </row>
    <row r="445" spans="1:8" x14ac:dyDescent="0.45">
      <c r="A445" s="1" t="s">
        <v>123</v>
      </c>
      <c r="B445" s="3">
        <f>SUMIFS('II PD'!C:C,'II PD'!A:A,'Budget 3 Juni 2024'!A445)</f>
        <v>45150000</v>
      </c>
      <c r="C445" s="3">
        <f>SUMIFS('II PD'!D:D,'II PD'!A:A,'Budget 3 Juni 2024'!A445)</f>
        <v>22575000</v>
      </c>
      <c r="D445" s="3">
        <f>SUMIFS('II PD'!E:E,'II PD'!A:A,'Budget 3 Juni 2024'!A445)</f>
        <v>6423200</v>
      </c>
      <c r="E445" s="3">
        <f>SUMIFS('II PD'!F:F,'II PD'!A:A,'Budget 3 Juni 2024'!A445)</f>
        <v>6119400</v>
      </c>
      <c r="F445" s="3">
        <f>SUMIFS('II PD'!G:G,'II PD'!A:A,'Budget 3 Juni 2024'!A445)</f>
        <v>12542600</v>
      </c>
      <c r="G445" s="3">
        <f>SUMIFS('II PD'!H:H,'II PD'!A:A,'Budget 3 Juni 2024'!A445)</f>
        <v>10032400</v>
      </c>
      <c r="H445" s="3">
        <f>SUMIFS('II PD'!I:I,'II PD'!A:A,'Budget 3 Juni 2024'!A445)</f>
        <v>22575000</v>
      </c>
    </row>
    <row r="446" spans="1:8" x14ac:dyDescent="0.45">
      <c r="A446" s="1" t="s">
        <v>124</v>
      </c>
      <c r="B446" s="3">
        <f>SUMIFS('II PD'!C:C,'II PD'!A:A,'Budget 3 Juni 2024'!A446)</f>
        <v>0</v>
      </c>
      <c r="C446" s="3">
        <f>SUMIFS('II PD'!D:D,'II PD'!A:A,'Budget 3 Juni 2024'!A446)</f>
        <v>0</v>
      </c>
      <c r="D446" s="3">
        <f>SUMIFS('II PD'!E:E,'II PD'!A:A,'Budget 3 Juni 2024'!A446)</f>
        <v>0</v>
      </c>
      <c r="E446" s="3">
        <f>SUMIFS('II PD'!F:F,'II PD'!A:A,'Budget 3 Juni 2024'!A446)</f>
        <v>0</v>
      </c>
      <c r="F446" s="3">
        <f>SUMIFS('II PD'!G:G,'II PD'!A:A,'Budget 3 Juni 2024'!A446)</f>
        <v>0</v>
      </c>
      <c r="G446" s="3">
        <f>SUMIFS('II PD'!H:H,'II PD'!A:A,'Budget 3 Juni 2024'!A446)</f>
        <v>0</v>
      </c>
      <c r="H446" s="3">
        <f>SUMIFS('II PD'!I:I,'II PD'!A:A,'Budget 3 Juni 2024'!A446)</f>
        <v>0</v>
      </c>
    </row>
    <row r="447" spans="1:8" x14ac:dyDescent="0.45">
      <c r="A447" s="1" t="s">
        <v>125</v>
      </c>
      <c r="B447" s="3">
        <f>SUMIFS('II PD'!C:C,'II PD'!A:A,'Budget 3 Juni 2024'!A447)</f>
        <v>0</v>
      </c>
      <c r="C447" s="3">
        <f>SUMIFS('II PD'!D:D,'II PD'!A:A,'Budget 3 Juni 2024'!A447)</f>
        <v>0</v>
      </c>
      <c r="D447" s="3">
        <f>SUMIFS('II PD'!E:E,'II PD'!A:A,'Budget 3 Juni 2024'!A447)</f>
        <v>0</v>
      </c>
      <c r="E447" s="3">
        <f>SUMIFS('II PD'!F:F,'II PD'!A:A,'Budget 3 Juni 2024'!A447)</f>
        <v>0</v>
      </c>
      <c r="F447" s="3">
        <f>SUMIFS('II PD'!G:G,'II PD'!A:A,'Budget 3 Juni 2024'!A447)</f>
        <v>0</v>
      </c>
      <c r="G447" s="3">
        <f>SUMIFS('II PD'!H:H,'II PD'!A:A,'Budget 3 Juni 2024'!A447)</f>
        <v>0</v>
      </c>
      <c r="H447" s="3">
        <f>SUMIFS('II PD'!I:I,'II PD'!A:A,'Budget 3 Juni 2024'!A447)</f>
        <v>0</v>
      </c>
    </row>
    <row r="448" spans="1:8" x14ac:dyDescent="0.45">
      <c r="A448" s="1" t="s">
        <v>126</v>
      </c>
      <c r="B448" s="3">
        <f>SUMIFS('II PD'!C:C,'II PD'!A:A,'Budget 3 Juni 2024'!A448)</f>
        <v>0</v>
      </c>
      <c r="C448" s="3">
        <f>SUMIFS('II PD'!D:D,'II PD'!A:A,'Budget 3 Juni 2024'!A448)</f>
        <v>0</v>
      </c>
      <c r="D448" s="3">
        <f>SUMIFS('II PD'!E:E,'II PD'!A:A,'Budget 3 Juni 2024'!A448)</f>
        <v>0</v>
      </c>
      <c r="E448" s="3">
        <f>SUMIFS('II PD'!F:F,'II PD'!A:A,'Budget 3 Juni 2024'!A448)</f>
        <v>0</v>
      </c>
      <c r="F448" s="3">
        <f>SUMIFS('II PD'!G:G,'II PD'!A:A,'Budget 3 Juni 2024'!A448)</f>
        <v>0</v>
      </c>
      <c r="G448" s="3">
        <f>SUMIFS('II PD'!H:H,'II PD'!A:A,'Budget 3 Juni 2024'!A448)</f>
        <v>0</v>
      </c>
      <c r="H448" s="3">
        <f>SUMIFS('II PD'!I:I,'II PD'!A:A,'Budget 3 Juni 2024'!A448)</f>
        <v>0</v>
      </c>
    </row>
    <row r="449" spans="1:8" x14ac:dyDescent="0.45">
      <c r="A449" s="1" t="s">
        <v>127</v>
      </c>
      <c r="B449" s="3">
        <f>SUMIFS('II PD'!C:C,'II PD'!A:A,'Budget 3 Juni 2024'!A449)</f>
        <v>0</v>
      </c>
      <c r="C449" s="3">
        <f>SUMIFS('II PD'!D:D,'II PD'!A:A,'Budget 3 Juni 2024'!A449)</f>
        <v>0</v>
      </c>
      <c r="D449" s="3">
        <f>SUMIFS('II PD'!E:E,'II PD'!A:A,'Budget 3 Juni 2024'!A449)</f>
        <v>0</v>
      </c>
      <c r="E449" s="3">
        <f>SUMIFS('II PD'!F:F,'II PD'!A:A,'Budget 3 Juni 2024'!A449)</f>
        <v>0</v>
      </c>
      <c r="F449" s="3">
        <f>SUMIFS('II PD'!G:G,'II PD'!A:A,'Budget 3 Juni 2024'!A449)</f>
        <v>0</v>
      </c>
      <c r="G449" s="3">
        <f>SUMIFS('II PD'!H:H,'II PD'!A:A,'Budget 3 Juni 2024'!A449)</f>
        <v>0</v>
      </c>
      <c r="H449" s="3">
        <f>SUMIFS('II PD'!I:I,'II PD'!A:A,'Budget 3 Juni 2024'!A449)</f>
        <v>0</v>
      </c>
    </row>
    <row r="450" spans="1:8" x14ac:dyDescent="0.45">
      <c r="A450" s="1" t="s">
        <v>128</v>
      </c>
      <c r="B450" s="3">
        <f>SUMIFS('II PD'!C:C,'II PD'!A:A,'Budget 3 Juni 2024'!A450)</f>
        <v>0</v>
      </c>
      <c r="C450" s="3">
        <f>SUMIFS('II PD'!D:D,'II PD'!A:A,'Budget 3 Juni 2024'!A450)</f>
        <v>0</v>
      </c>
      <c r="D450" s="3">
        <f>SUMIFS('II PD'!E:E,'II PD'!A:A,'Budget 3 Juni 2024'!A450)</f>
        <v>0</v>
      </c>
      <c r="E450" s="3">
        <f>SUMIFS('II PD'!F:F,'II PD'!A:A,'Budget 3 Juni 2024'!A450)</f>
        <v>0</v>
      </c>
      <c r="F450" s="3">
        <f>SUMIFS('II PD'!G:G,'II PD'!A:A,'Budget 3 Juni 2024'!A450)</f>
        <v>0</v>
      </c>
      <c r="G450" s="3">
        <f>SUMIFS('II PD'!H:H,'II PD'!A:A,'Budget 3 Juni 2024'!A450)</f>
        <v>0</v>
      </c>
      <c r="H450" s="3">
        <f>SUMIFS('II PD'!I:I,'II PD'!A:A,'Budget 3 Juni 2024'!A450)</f>
        <v>0</v>
      </c>
    </row>
    <row r="451" spans="1:8" x14ac:dyDescent="0.45">
      <c r="A451" s="1" t="s">
        <v>129</v>
      </c>
      <c r="B451" s="3">
        <f>SUMIFS('II PD'!C:C,'II PD'!A:A,'Budget 3 Juni 2024'!A451)</f>
        <v>0</v>
      </c>
      <c r="C451" s="3">
        <f>SUMIFS('II PD'!D:D,'II PD'!A:A,'Budget 3 Juni 2024'!A451)</f>
        <v>0</v>
      </c>
      <c r="D451" s="3">
        <f>SUMIFS('II PD'!E:E,'II PD'!A:A,'Budget 3 Juni 2024'!A451)</f>
        <v>0</v>
      </c>
      <c r="E451" s="3">
        <f>SUMIFS('II PD'!F:F,'II PD'!A:A,'Budget 3 Juni 2024'!A451)</f>
        <v>0</v>
      </c>
      <c r="F451" s="3">
        <f>SUMIFS('II PD'!G:G,'II PD'!A:A,'Budget 3 Juni 2024'!A451)</f>
        <v>0</v>
      </c>
      <c r="G451" s="3">
        <f>SUMIFS('II PD'!H:H,'II PD'!A:A,'Budget 3 Juni 2024'!A451)</f>
        <v>0</v>
      </c>
      <c r="H451" s="3">
        <f>SUMIFS('II PD'!I:I,'II PD'!A:A,'Budget 3 Juni 2024'!A451)</f>
        <v>0</v>
      </c>
    </row>
    <row r="452" spans="1:8" x14ac:dyDescent="0.45">
      <c r="A452" s="1" t="s">
        <v>130</v>
      </c>
      <c r="B452" s="3">
        <f>SUMIFS('II PD'!C:C,'II PD'!A:A,'Budget 3 Juni 2024'!A452)</f>
        <v>6000000</v>
      </c>
      <c r="C452" s="3">
        <f>SUMIFS('II PD'!D:D,'II PD'!A:A,'Budget 3 Juni 2024'!A452)</f>
        <v>1500000</v>
      </c>
      <c r="D452" s="3">
        <f>SUMIFS('II PD'!E:E,'II PD'!A:A,'Budget 3 Juni 2024'!A452)</f>
        <v>0</v>
      </c>
      <c r="E452" s="3">
        <f>SUMIFS('II PD'!F:F,'II PD'!A:A,'Budget 3 Juni 2024'!A452)</f>
        <v>0</v>
      </c>
      <c r="F452" s="3">
        <f>SUMIFS('II PD'!G:G,'II PD'!A:A,'Budget 3 Juni 2024'!A452)</f>
        <v>0</v>
      </c>
      <c r="G452" s="3">
        <f>SUMIFS('II PD'!H:H,'II PD'!A:A,'Budget 3 Juni 2024'!A452)</f>
        <v>1500000</v>
      </c>
      <c r="H452" s="3">
        <f>SUMIFS('II PD'!I:I,'II PD'!A:A,'Budget 3 Juni 2024'!A452)</f>
        <v>4500000</v>
      </c>
    </row>
    <row r="453" spans="1:8" x14ac:dyDescent="0.45">
      <c r="A453" s="1" t="s">
        <v>131</v>
      </c>
      <c r="B453" s="3">
        <f>SUMIFS('II PD'!C:C,'II PD'!A:A,'Budget 3 Juni 2024'!A453)</f>
        <v>41000000</v>
      </c>
      <c r="C453" s="3">
        <f>SUMIFS('II PD'!D:D,'II PD'!A:A,'Budget 3 Juni 2024'!A453)</f>
        <v>10250000</v>
      </c>
      <c r="D453" s="3">
        <f>SUMIFS('II PD'!E:E,'II PD'!A:A,'Budget 3 Juni 2024'!A453)</f>
        <v>1997700</v>
      </c>
      <c r="E453" s="3">
        <f>SUMIFS('II PD'!F:F,'II PD'!A:A,'Budget 3 Juni 2024'!A453)</f>
        <v>998400</v>
      </c>
      <c r="F453" s="3">
        <f>SUMIFS('II PD'!G:G,'II PD'!A:A,'Budget 3 Juni 2024'!A453)</f>
        <v>2996100</v>
      </c>
      <c r="G453" s="3">
        <f>SUMIFS('II PD'!H:H,'II PD'!A:A,'Budget 3 Juni 2024'!A453)</f>
        <v>7253900</v>
      </c>
      <c r="H453" s="3">
        <f>SUMIFS('II PD'!I:I,'II PD'!A:A,'Budget 3 Juni 2024'!A453)</f>
        <v>30750000</v>
      </c>
    </row>
    <row r="454" spans="1:8" x14ac:dyDescent="0.45">
      <c r="A454" s="1" t="s">
        <v>132</v>
      </c>
      <c r="B454" s="3">
        <f>SUMIFS('II PD'!C:C,'II PD'!A:A,'Budget 3 Juni 2024'!A454)</f>
        <v>12000000</v>
      </c>
      <c r="C454" s="3">
        <f>SUMIFS('II PD'!D:D,'II PD'!A:A,'Budget 3 Juni 2024'!A454)</f>
        <v>3000000</v>
      </c>
      <c r="D454" s="3">
        <f>SUMIFS('II PD'!E:E,'II PD'!A:A,'Budget 3 Juni 2024'!A454)</f>
        <v>0</v>
      </c>
      <c r="E454" s="3">
        <f>SUMIFS('II PD'!F:F,'II PD'!A:A,'Budget 3 Juni 2024'!A454)</f>
        <v>0</v>
      </c>
      <c r="F454" s="3">
        <f>SUMIFS('II PD'!G:G,'II PD'!A:A,'Budget 3 Juni 2024'!A454)</f>
        <v>0</v>
      </c>
      <c r="G454" s="3">
        <f>SUMIFS('II PD'!H:H,'II PD'!A:A,'Budget 3 Juni 2024'!A454)</f>
        <v>3000000</v>
      </c>
      <c r="H454" s="3">
        <f>SUMIFS('II PD'!I:I,'II PD'!A:A,'Budget 3 Juni 2024'!A454)</f>
        <v>9000000</v>
      </c>
    </row>
    <row r="455" spans="1:8" x14ac:dyDescent="0.45">
      <c r="A455" s="1" t="s">
        <v>133</v>
      </c>
      <c r="B455" s="3">
        <f>SUMIFS('II PD'!C:C,'II PD'!A:A,'Budget 3 Juni 2024'!A455)</f>
        <v>171000000</v>
      </c>
      <c r="C455" s="3">
        <f>SUMIFS('II PD'!D:D,'II PD'!A:A,'Budget 3 Juni 2024'!A455)</f>
        <v>42750000</v>
      </c>
      <c r="D455" s="3">
        <f>SUMIFS('II PD'!E:E,'II PD'!A:A,'Budget 3 Juni 2024'!A455)</f>
        <v>5880000</v>
      </c>
      <c r="E455" s="3">
        <f>SUMIFS('II PD'!F:F,'II PD'!A:A,'Budget 3 Juni 2024'!A455)</f>
        <v>0</v>
      </c>
      <c r="F455" s="3">
        <f>SUMIFS('II PD'!G:G,'II PD'!A:A,'Budget 3 Juni 2024'!A455)</f>
        <v>5880000</v>
      </c>
      <c r="G455" s="3">
        <f>SUMIFS('II PD'!H:H,'II PD'!A:A,'Budget 3 Juni 2024'!A455)</f>
        <v>36870000</v>
      </c>
      <c r="H455" s="3">
        <f>SUMIFS('II PD'!I:I,'II PD'!A:A,'Budget 3 Juni 2024'!A455)</f>
        <v>128250000</v>
      </c>
    </row>
    <row r="456" spans="1:8" x14ac:dyDescent="0.45">
      <c r="A456" s="1" t="s">
        <v>134</v>
      </c>
      <c r="B456" s="3">
        <f>SUMIFS('II PD'!C:C,'II PD'!A:A,'Budget 3 Juni 2024'!A456)</f>
        <v>130000000</v>
      </c>
      <c r="C456" s="3">
        <f>SUMIFS('II PD'!D:D,'II PD'!A:A,'Budget 3 Juni 2024'!A456)</f>
        <v>32500000</v>
      </c>
      <c r="D456" s="3">
        <f>SUMIFS('II PD'!E:E,'II PD'!A:A,'Budget 3 Juni 2024'!A456)</f>
        <v>0</v>
      </c>
      <c r="E456" s="3">
        <f>SUMIFS('II PD'!F:F,'II PD'!A:A,'Budget 3 Juni 2024'!A456)</f>
        <v>7381250</v>
      </c>
      <c r="F456" s="3">
        <f>SUMIFS('II PD'!G:G,'II PD'!A:A,'Budget 3 Juni 2024'!A456)</f>
        <v>7381250</v>
      </c>
      <c r="G456" s="3">
        <f>SUMIFS('II PD'!H:H,'II PD'!A:A,'Budget 3 Juni 2024'!A456)</f>
        <v>25118750</v>
      </c>
      <c r="H456" s="3">
        <f>SUMIFS('II PD'!I:I,'II PD'!A:A,'Budget 3 Juni 2024'!A456)</f>
        <v>97500000</v>
      </c>
    </row>
    <row r="457" spans="1:8" x14ac:dyDescent="0.45">
      <c r="A457" s="1" t="s">
        <v>135</v>
      </c>
      <c r="B457" s="3">
        <f>SUMIFS('II PD'!C:C,'II PD'!A:A,'Budget 3 Juni 2024'!A457)</f>
        <v>6660000</v>
      </c>
      <c r="C457" s="3">
        <f>SUMIFS('II PD'!D:D,'II PD'!A:A,'Budget 3 Juni 2024'!A457)</f>
        <v>1665000</v>
      </c>
      <c r="D457" s="3">
        <f>SUMIFS('II PD'!E:E,'II PD'!A:A,'Budget 3 Juni 2024'!A457)</f>
        <v>1665000</v>
      </c>
      <c r="E457" s="3">
        <f>SUMIFS('II PD'!F:F,'II PD'!A:A,'Budget 3 Juni 2024'!A457)</f>
        <v>0</v>
      </c>
      <c r="F457" s="3">
        <f>SUMIFS('II PD'!G:G,'II PD'!A:A,'Budget 3 Juni 2024'!A457)</f>
        <v>1665000</v>
      </c>
      <c r="G457" s="3">
        <f>SUMIFS('II PD'!H:H,'II PD'!A:A,'Budget 3 Juni 2024'!A457)</f>
        <v>0</v>
      </c>
      <c r="H457" s="3">
        <f>SUMIFS('II PD'!I:I,'II PD'!A:A,'Budget 3 Juni 2024'!A457)</f>
        <v>4995000</v>
      </c>
    </row>
    <row r="458" spans="1:8" x14ac:dyDescent="0.45">
      <c r="A458" s="1" t="s">
        <v>136</v>
      </c>
      <c r="B458" s="3">
        <f>SUMIFS('II PD'!C:C,'II PD'!A:A,'Budget 3 Juni 2024'!A458)</f>
        <v>6000000</v>
      </c>
      <c r="C458" s="3">
        <f>SUMIFS('II PD'!D:D,'II PD'!A:A,'Budget 3 Juni 2024'!A458)</f>
        <v>1500000</v>
      </c>
      <c r="D458" s="3">
        <f>SUMIFS('II PD'!E:E,'II PD'!A:A,'Budget 3 Juni 2024'!A458)</f>
        <v>0</v>
      </c>
      <c r="E458" s="3">
        <f>SUMIFS('II PD'!F:F,'II PD'!A:A,'Budget 3 Juni 2024'!A458)</f>
        <v>0</v>
      </c>
      <c r="F458" s="3">
        <f>SUMIFS('II PD'!G:G,'II PD'!A:A,'Budget 3 Juni 2024'!A458)</f>
        <v>0</v>
      </c>
      <c r="G458" s="3">
        <f>SUMIFS('II PD'!H:H,'II PD'!A:A,'Budget 3 Juni 2024'!A458)</f>
        <v>1500000</v>
      </c>
      <c r="H458" s="3">
        <f>SUMIFS('II PD'!I:I,'II PD'!A:A,'Budget 3 Juni 2024'!A458)</f>
        <v>4500000</v>
      </c>
    </row>
    <row r="459" spans="1:8" x14ac:dyDescent="0.45">
      <c r="A459" s="1" t="s">
        <v>137</v>
      </c>
      <c r="B459" s="3">
        <f>SUMIFS('II PD'!C:C,'II PD'!A:A,'Budget 3 Juni 2024'!A459)</f>
        <v>0</v>
      </c>
      <c r="C459" s="3">
        <f>SUMIFS('II PD'!D:D,'II PD'!A:A,'Budget 3 Juni 2024'!A459)</f>
        <v>0</v>
      </c>
      <c r="D459" s="3">
        <f>SUMIFS('II PD'!E:E,'II PD'!A:A,'Budget 3 Juni 2024'!A459)</f>
        <v>0</v>
      </c>
      <c r="E459" s="3">
        <f>SUMIFS('II PD'!F:F,'II PD'!A:A,'Budget 3 Juni 2024'!A459)</f>
        <v>0</v>
      </c>
      <c r="F459" s="3">
        <f>SUMIFS('II PD'!G:G,'II PD'!A:A,'Budget 3 Juni 2024'!A459)</f>
        <v>0</v>
      </c>
      <c r="G459" s="3">
        <f>SUMIFS('II PD'!H:H,'II PD'!A:A,'Budget 3 Juni 2024'!A459)</f>
        <v>0</v>
      </c>
      <c r="H459" s="3">
        <f>SUMIFS('II PD'!I:I,'II PD'!A:A,'Budget 3 Juni 2024'!A459)</f>
        <v>0</v>
      </c>
    </row>
    <row r="460" spans="1:8" x14ac:dyDescent="0.45">
      <c r="A460" s="1" t="s">
        <v>138</v>
      </c>
      <c r="B460" s="3">
        <f>SUMIFS('II PD'!C:C,'II PD'!A:A,'Budget 3 Juni 2024'!A460)</f>
        <v>0</v>
      </c>
      <c r="C460" s="3">
        <f>SUMIFS('II PD'!D:D,'II PD'!A:A,'Budget 3 Juni 2024'!A460)</f>
        <v>0</v>
      </c>
      <c r="D460" s="3">
        <f>SUMIFS('II PD'!E:E,'II PD'!A:A,'Budget 3 Juni 2024'!A460)</f>
        <v>0</v>
      </c>
      <c r="E460" s="3">
        <f>SUMIFS('II PD'!F:F,'II PD'!A:A,'Budget 3 Juni 2024'!A460)</f>
        <v>0</v>
      </c>
      <c r="F460" s="3">
        <f>SUMIFS('II PD'!G:G,'II PD'!A:A,'Budget 3 Juni 2024'!A460)</f>
        <v>0</v>
      </c>
      <c r="G460" s="3">
        <f>SUMIFS('II PD'!H:H,'II PD'!A:A,'Budget 3 Juni 2024'!A460)</f>
        <v>0</v>
      </c>
      <c r="H460" s="3">
        <f>SUMIFS('II PD'!I:I,'II PD'!A:A,'Budget 3 Juni 2024'!A460)</f>
        <v>0</v>
      </c>
    </row>
    <row r="461" spans="1:8" x14ac:dyDescent="0.45">
      <c r="A461" s="1" t="s">
        <v>139</v>
      </c>
      <c r="B461" s="3">
        <f>SUMIFS('II PD'!C:C,'II PD'!A:A,'Budget 3 Juni 2024'!A461)</f>
        <v>0</v>
      </c>
      <c r="C461" s="3">
        <f>SUMIFS('II PD'!D:D,'II PD'!A:A,'Budget 3 Juni 2024'!A461)</f>
        <v>0</v>
      </c>
      <c r="D461" s="3">
        <f>SUMIFS('II PD'!E:E,'II PD'!A:A,'Budget 3 Juni 2024'!A461)</f>
        <v>0</v>
      </c>
      <c r="E461" s="3">
        <f>SUMIFS('II PD'!F:F,'II PD'!A:A,'Budget 3 Juni 2024'!A461)</f>
        <v>0</v>
      </c>
      <c r="F461" s="3">
        <f>SUMIFS('II PD'!G:G,'II PD'!A:A,'Budget 3 Juni 2024'!A461)</f>
        <v>0</v>
      </c>
      <c r="G461" s="3">
        <f>SUMIFS('II PD'!H:H,'II PD'!A:A,'Budget 3 Juni 2024'!A461)</f>
        <v>0</v>
      </c>
      <c r="H461" s="3">
        <f>SUMIFS('II PD'!I:I,'II PD'!A:A,'Budget 3 Juni 2024'!A461)</f>
        <v>0</v>
      </c>
    </row>
    <row r="462" spans="1:8" x14ac:dyDescent="0.45">
      <c r="A462" s="1" t="s">
        <v>140</v>
      </c>
      <c r="B462" s="3">
        <f>SUMIFS('II PD'!C:C,'II PD'!A:A,'Budget 3 Juni 2024'!A462)</f>
        <v>0</v>
      </c>
      <c r="C462" s="3">
        <f>SUMIFS('II PD'!D:D,'II PD'!A:A,'Budget 3 Juni 2024'!A462)</f>
        <v>0</v>
      </c>
      <c r="D462" s="3">
        <f>SUMIFS('II PD'!E:E,'II PD'!A:A,'Budget 3 Juni 2024'!A462)</f>
        <v>0</v>
      </c>
      <c r="E462" s="3">
        <f>SUMIFS('II PD'!F:F,'II PD'!A:A,'Budget 3 Juni 2024'!A462)</f>
        <v>0</v>
      </c>
      <c r="F462" s="3">
        <f>SUMIFS('II PD'!G:G,'II PD'!A:A,'Budget 3 Juni 2024'!A462)</f>
        <v>0</v>
      </c>
      <c r="G462" s="3">
        <f>SUMIFS('II PD'!H:H,'II PD'!A:A,'Budget 3 Juni 2024'!A462)</f>
        <v>0</v>
      </c>
      <c r="H462" s="3">
        <f>SUMIFS('II PD'!I:I,'II PD'!A:A,'Budget 3 Juni 2024'!A462)</f>
        <v>0</v>
      </c>
    </row>
    <row r="463" spans="1:8" x14ac:dyDescent="0.45">
      <c r="A463" s="1" t="s">
        <v>141</v>
      </c>
      <c r="B463" s="3">
        <f>SUMIFS('II PD'!C:C,'II PD'!A:A,'Budget 3 Juni 2024'!A463)</f>
        <v>0</v>
      </c>
      <c r="C463" s="3">
        <f>SUMIFS('II PD'!D:D,'II PD'!A:A,'Budget 3 Juni 2024'!A463)</f>
        <v>0</v>
      </c>
      <c r="D463" s="3">
        <f>SUMIFS('II PD'!E:E,'II PD'!A:A,'Budget 3 Juni 2024'!A463)</f>
        <v>0</v>
      </c>
      <c r="E463" s="3">
        <f>SUMIFS('II PD'!F:F,'II PD'!A:A,'Budget 3 Juni 2024'!A463)</f>
        <v>0</v>
      </c>
      <c r="F463" s="3">
        <f>SUMIFS('II PD'!G:G,'II PD'!A:A,'Budget 3 Juni 2024'!A463)</f>
        <v>0</v>
      </c>
      <c r="G463" s="3">
        <f>SUMIFS('II PD'!H:H,'II PD'!A:A,'Budget 3 Juni 2024'!A463)</f>
        <v>0</v>
      </c>
      <c r="H463" s="3">
        <f>SUMIFS('II PD'!I:I,'II PD'!A:A,'Budget 3 Juni 2024'!A463)</f>
        <v>0</v>
      </c>
    </row>
    <row r="464" spans="1:8" x14ac:dyDescent="0.45">
      <c r="A464" s="1" t="s">
        <v>142</v>
      </c>
      <c r="B464" s="3">
        <f>SUMIFS('II PD'!C:C,'II PD'!A:A,'Budget 3 Juni 2024'!A464)</f>
        <v>0</v>
      </c>
      <c r="C464" s="3">
        <f>SUMIFS('II PD'!D:D,'II PD'!A:A,'Budget 3 Juni 2024'!A464)</f>
        <v>0</v>
      </c>
      <c r="D464" s="3">
        <f>SUMIFS('II PD'!E:E,'II PD'!A:A,'Budget 3 Juni 2024'!A464)</f>
        <v>0</v>
      </c>
      <c r="E464" s="3">
        <f>SUMIFS('II PD'!F:F,'II PD'!A:A,'Budget 3 Juni 2024'!A464)</f>
        <v>0</v>
      </c>
      <c r="F464" s="3">
        <f>SUMIFS('II PD'!G:G,'II PD'!A:A,'Budget 3 Juni 2024'!A464)</f>
        <v>0</v>
      </c>
      <c r="G464" s="3">
        <f>SUMIFS('II PD'!H:H,'II PD'!A:A,'Budget 3 Juni 2024'!A464)</f>
        <v>0</v>
      </c>
      <c r="H464" s="3">
        <f>SUMIFS('II PD'!I:I,'II PD'!A:A,'Budget 3 Juni 2024'!A464)</f>
        <v>0</v>
      </c>
    </row>
    <row r="465" spans="1:8" x14ac:dyDescent="0.45">
      <c r="A465" s="1" t="s">
        <v>143</v>
      </c>
      <c r="B465" s="3">
        <f>SUMIFS('II PD'!C:C,'II PD'!A:A,'Budget 3 Juni 2024'!A465)</f>
        <v>0</v>
      </c>
      <c r="C465" s="3">
        <f>SUMIFS('II PD'!D:D,'II PD'!A:A,'Budget 3 Juni 2024'!A465)</f>
        <v>0</v>
      </c>
      <c r="D465" s="3">
        <f>SUMIFS('II PD'!E:E,'II PD'!A:A,'Budget 3 Juni 2024'!A465)</f>
        <v>0</v>
      </c>
      <c r="E465" s="3">
        <f>SUMIFS('II PD'!F:F,'II PD'!A:A,'Budget 3 Juni 2024'!A465)</f>
        <v>0</v>
      </c>
      <c r="F465" s="3">
        <f>SUMIFS('II PD'!G:G,'II PD'!A:A,'Budget 3 Juni 2024'!A465)</f>
        <v>0</v>
      </c>
      <c r="G465" s="3">
        <f>SUMIFS('II PD'!H:H,'II PD'!A:A,'Budget 3 Juni 2024'!A465)</f>
        <v>0</v>
      </c>
      <c r="H465" s="3">
        <f>SUMIFS('II PD'!I:I,'II PD'!A:A,'Budget 3 Juni 2024'!A465)</f>
        <v>0</v>
      </c>
    </row>
    <row r="466" spans="1:8" x14ac:dyDescent="0.45">
      <c r="A466" s="1" t="s">
        <v>144</v>
      </c>
      <c r="B466" s="3">
        <f>SUMIFS('II PD'!C:C,'II PD'!A:A,'Budget 3 Juni 2024'!A466)</f>
        <v>0</v>
      </c>
      <c r="C466" s="3">
        <f>SUMIFS('II PD'!D:D,'II PD'!A:A,'Budget 3 Juni 2024'!A466)</f>
        <v>0</v>
      </c>
      <c r="D466" s="3">
        <f>SUMIFS('II PD'!E:E,'II PD'!A:A,'Budget 3 Juni 2024'!A466)</f>
        <v>0</v>
      </c>
      <c r="E466" s="3">
        <f>SUMIFS('II PD'!F:F,'II PD'!A:A,'Budget 3 Juni 2024'!A466)</f>
        <v>0</v>
      </c>
      <c r="F466" s="3">
        <f>SUMIFS('II PD'!G:G,'II PD'!A:A,'Budget 3 Juni 2024'!A466)</f>
        <v>0</v>
      </c>
      <c r="G466" s="3">
        <f>SUMIFS('II PD'!H:H,'II PD'!A:A,'Budget 3 Juni 2024'!A466)</f>
        <v>0</v>
      </c>
      <c r="H466" s="3">
        <f>SUMIFS('II PD'!I:I,'II PD'!A:A,'Budget 3 Juni 2024'!A466)</f>
        <v>0</v>
      </c>
    </row>
    <row r="467" spans="1:8" x14ac:dyDescent="0.45">
      <c r="A467" s="1" t="s">
        <v>145</v>
      </c>
      <c r="B467" s="3">
        <f>SUMIFS('II PD'!C:C,'II PD'!A:A,'Budget 3 Juni 2024'!A467)</f>
        <v>0</v>
      </c>
      <c r="C467" s="3">
        <f>SUMIFS('II PD'!D:D,'II PD'!A:A,'Budget 3 Juni 2024'!A467)</f>
        <v>0</v>
      </c>
      <c r="D467" s="3">
        <f>SUMIFS('II PD'!E:E,'II PD'!A:A,'Budget 3 Juni 2024'!A467)</f>
        <v>0</v>
      </c>
      <c r="E467" s="3">
        <f>SUMIFS('II PD'!F:F,'II PD'!A:A,'Budget 3 Juni 2024'!A467)</f>
        <v>0</v>
      </c>
      <c r="F467" s="3">
        <f>SUMIFS('II PD'!G:G,'II PD'!A:A,'Budget 3 Juni 2024'!A467)</f>
        <v>0</v>
      </c>
      <c r="G467" s="3">
        <f>SUMIFS('II PD'!H:H,'II PD'!A:A,'Budget 3 Juni 2024'!A467)</f>
        <v>0</v>
      </c>
      <c r="H467" s="3">
        <f>SUMIFS('II PD'!I:I,'II PD'!A:A,'Budget 3 Juni 2024'!A467)</f>
        <v>0</v>
      </c>
    </row>
    <row r="468" spans="1:8" x14ac:dyDescent="0.45">
      <c r="A468" s="1" t="s">
        <v>146</v>
      </c>
      <c r="B468" s="3">
        <f>SUMIFS('II PD'!C:C,'II PD'!A:A,'Budget 3 Juni 2024'!A468)</f>
        <v>0</v>
      </c>
      <c r="C468" s="3">
        <f>SUMIFS('II PD'!D:D,'II PD'!A:A,'Budget 3 Juni 2024'!A468)</f>
        <v>0</v>
      </c>
      <c r="D468" s="3">
        <f>SUMIFS('II PD'!E:E,'II PD'!A:A,'Budget 3 Juni 2024'!A468)</f>
        <v>0</v>
      </c>
      <c r="E468" s="3">
        <f>SUMIFS('II PD'!F:F,'II PD'!A:A,'Budget 3 Juni 2024'!A468)</f>
        <v>0</v>
      </c>
      <c r="F468" s="3">
        <f>SUMIFS('II PD'!G:G,'II PD'!A:A,'Budget 3 Juni 2024'!A468)</f>
        <v>0</v>
      </c>
      <c r="G468" s="3">
        <f>SUMIFS('II PD'!H:H,'II PD'!A:A,'Budget 3 Juni 2024'!A468)</f>
        <v>0</v>
      </c>
      <c r="H468" s="3">
        <f>SUMIFS('II PD'!I:I,'II PD'!A:A,'Budget 3 Juni 2024'!A468)</f>
        <v>0</v>
      </c>
    </row>
    <row r="469" spans="1:8" x14ac:dyDescent="0.45">
      <c r="A469" s="1" t="s">
        <v>147</v>
      </c>
      <c r="B469" s="3">
        <f>SUMIFS('II PD'!C:C,'II PD'!A:A,'Budget 3 Juni 2024'!A469)</f>
        <v>0</v>
      </c>
      <c r="C469" s="3">
        <f>SUMIFS('II PD'!D:D,'II PD'!A:A,'Budget 3 Juni 2024'!A469)</f>
        <v>0</v>
      </c>
      <c r="D469" s="3">
        <f>SUMIFS('II PD'!E:E,'II PD'!A:A,'Budget 3 Juni 2024'!A469)</f>
        <v>0</v>
      </c>
      <c r="E469" s="3">
        <f>SUMIFS('II PD'!F:F,'II PD'!A:A,'Budget 3 Juni 2024'!A469)</f>
        <v>0</v>
      </c>
      <c r="F469" s="3">
        <f>SUMIFS('II PD'!G:G,'II PD'!A:A,'Budget 3 Juni 2024'!A469)</f>
        <v>0</v>
      </c>
      <c r="G469" s="3">
        <f>SUMIFS('II PD'!H:H,'II PD'!A:A,'Budget 3 Juni 2024'!A469)</f>
        <v>0</v>
      </c>
      <c r="H469" s="3">
        <f>SUMIFS('II PD'!I:I,'II PD'!A:A,'Budget 3 Juni 2024'!A469)</f>
        <v>0</v>
      </c>
    </row>
    <row r="470" spans="1:8" x14ac:dyDescent="0.45">
      <c r="A470" s="1" t="s">
        <v>148</v>
      </c>
      <c r="B470" s="3">
        <f>SUMIFS('II PD'!C:C,'II PD'!A:A,'Budget 3 Juni 2024'!A470)</f>
        <v>0</v>
      </c>
      <c r="C470" s="3">
        <f>SUMIFS('II PD'!D:D,'II PD'!A:A,'Budget 3 Juni 2024'!A470)</f>
        <v>0</v>
      </c>
      <c r="D470" s="3">
        <f>SUMIFS('II PD'!E:E,'II PD'!A:A,'Budget 3 Juni 2024'!A470)</f>
        <v>0</v>
      </c>
      <c r="E470" s="3">
        <f>SUMIFS('II PD'!F:F,'II PD'!A:A,'Budget 3 Juni 2024'!A470)</f>
        <v>0</v>
      </c>
      <c r="F470" s="3">
        <f>SUMIFS('II PD'!G:G,'II PD'!A:A,'Budget 3 Juni 2024'!A470)</f>
        <v>0</v>
      </c>
      <c r="G470" s="3">
        <f>SUMIFS('II PD'!H:H,'II PD'!A:A,'Budget 3 Juni 2024'!A470)</f>
        <v>0</v>
      </c>
      <c r="H470" s="3">
        <f>SUMIFS('II PD'!I:I,'II PD'!A:A,'Budget 3 Juni 2024'!A470)</f>
        <v>0</v>
      </c>
    </row>
    <row r="471" spans="1:8" x14ac:dyDescent="0.45">
      <c r="A471" s="1" t="s">
        <v>149</v>
      </c>
      <c r="B471" s="3">
        <f>SUMIFS('II PD'!C:C,'II PD'!A:A,'Budget 3 Juni 2024'!A471)</f>
        <v>0</v>
      </c>
      <c r="C471" s="3">
        <f>SUMIFS('II PD'!D:D,'II PD'!A:A,'Budget 3 Juni 2024'!A471)</f>
        <v>0</v>
      </c>
      <c r="D471" s="3">
        <f>SUMIFS('II PD'!E:E,'II PD'!A:A,'Budget 3 Juni 2024'!A471)</f>
        <v>0</v>
      </c>
      <c r="E471" s="3">
        <f>SUMIFS('II PD'!F:F,'II PD'!A:A,'Budget 3 Juni 2024'!A471)</f>
        <v>0</v>
      </c>
      <c r="F471" s="3">
        <f>SUMIFS('II PD'!G:G,'II PD'!A:A,'Budget 3 Juni 2024'!A471)</f>
        <v>0</v>
      </c>
      <c r="G471" s="3">
        <f>SUMIFS('II PD'!H:H,'II PD'!A:A,'Budget 3 Juni 2024'!A471)</f>
        <v>0</v>
      </c>
      <c r="H471" s="3">
        <f>SUMIFS('II PD'!I:I,'II PD'!A:A,'Budget 3 Juni 2024'!A471)</f>
        <v>0</v>
      </c>
    </row>
    <row r="472" spans="1:8" x14ac:dyDescent="0.45">
      <c r="A472" s="1" t="s">
        <v>150</v>
      </c>
      <c r="B472" s="3">
        <f>SUMIFS('II PD'!C:C,'II PD'!A:A,'Budget 3 Juni 2024'!A472)</f>
        <v>2349761000</v>
      </c>
      <c r="C472" s="3">
        <f>SUMIFS('II PD'!D:D,'II PD'!A:A,'Budget 3 Juni 2024'!A472)</f>
        <v>1085685500</v>
      </c>
      <c r="D472" s="3">
        <f>SUMIFS('II PD'!E:E,'II PD'!A:A,'Budget 3 Juni 2024'!A472)</f>
        <v>443295900</v>
      </c>
      <c r="E472" s="3">
        <f>SUMIFS('II PD'!F:F,'II PD'!A:A,'Budget 3 Juni 2024'!A472)</f>
        <v>80000880</v>
      </c>
      <c r="F472" s="3">
        <f>SUMIFS('II PD'!G:G,'II PD'!A:A,'Budget 3 Juni 2024'!A472)</f>
        <v>523296780</v>
      </c>
      <c r="G472" s="3">
        <f>SUMIFS('II PD'!H:H,'II PD'!A:A,'Budget 3 Juni 2024'!A472)</f>
        <v>562388720</v>
      </c>
      <c r="H472" s="3">
        <f>SUMIFS('II PD'!I:I,'II PD'!A:A,'Budget 3 Juni 2024'!A472)</f>
        <v>1264075500</v>
      </c>
    </row>
    <row r="473" spans="1:8" x14ac:dyDescent="0.45">
      <c r="A473" t="s">
        <v>8</v>
      </c>
      <c r="B473" s="2">
        <v>10505111000</v>
      </c>
      <c r="C473" s="2">
        <v>10505111000</v>
      </c>
      <c r="D473" s="2">
        <v>7767056599</v>
      </c>
      <c r="E473" s="2">
        <v>0</v>
      </c>
      <c r="F473" s="2">
        <v>7767056599</v>
      </c>
      <c r="G473" s="2">
        <v>2738054401</v>
      </c>
      <c r="H473" s="2">
        <v>0</v>
      </c>
    </row>
    <row r="474" spans="1:8" x14ac:dyDescent="0.45">
      <c r="A474" t="s">
        <v>10</v>
      </c>
      <c r="B474" s="2">
        <v>0</v>
      </c>
      <c r="C474" s="2">
        <v>0</v>
      </c>
      <c r="D474" s="2">
        <v>0</v>
      </c>
      <c r="E474" s="2">
        <v>0</v>
      </c>
      <c r="F474" s="2">
        <v>0</v>
      </c>
      <c r="G474" s="2">
        <v>0</v>
      </c>
      <c r="H474" s="2">
        <v>0</v>
      </c>
    </row>
    <row r="475" spans="1:8" x14ac:dyDescent="0.45">
      <c r="A475" t="s">
        <v>11</v>
      </c>
      <c r="B475" s="2">
        <v>0</v>
      </c>
      <c r="C475" s="2">
        <v>0</v>
      </c>
      <c r="D475" s="2">
        <v>0</v>
      </c>
      <c r="E475" s="2">
        <v>0</v>
      </c>
      <c r="F475" s="2">
        <v>0</v>
      </c>
      <c r="G475" s="2">
        <v>0</v>
      </c>
      <c r="H475" s="2">
        <v>0</v>
      </c>
    </row>
    <row r="476" spans="1:8" x14ac:dyDescent="0.45">
      <c r="A476" t="s">
        <v>14</v>
      </c>
      <c r="B476" s="2">
        <v>0</v>
      </c>
      <c r="C476" s="2">
        <v>0</v>
      </c>
      <c r="D476" s="2">
        <v>0</v>
      </c>
      <c r="E476" s="2">
        <v>0</v>
      </c>
      <c r="F476" s="2">
        <v>0</v>
      </c>
      <c r="G476" s="2">
        <v>0</v>
      </c>
      <c r="H476" s="2">
        <v>0</v>
      </c>
    </row>
    <row r="477" spans="1:8" x14ac:dyDescent="0.45">
      <c r="A477" t="s">
        <v>15</v>
      </c>
      <c r="B477" s="2">
        <v>0</v>
      </c>
      <c r="C477" s="2">
        <v>0</v>
      </c>
      <c r="D477" s="2">
        <v>0</v>
      </c>
      <c r="E477" s="2">
        <v>0</v>
      </c>
      <c r="F477" s="2">
        <v>0</v>
      </c>
      <c r="G477" s="2">
        <v>0</v>
      </c>
      <c r="H477" s="2">
        <v>0</v>
      </c>
    </row>
    <row r="478" spans="1:8" x14ac:dyDescent="0.45">
      <c r="A478" t="s">
        <v>16</v>
      </c>
      <c r="B478" s="2">
        <v>0</v>
      </c>
      <c r="C478" s="2">
        <v>0</v>
      </c>
      <c r="D478" s="2">
        <v>0</v>
      </c>
      <c r="E478" s="2">
        <v>0</v>
      </c>
      <c r="F478" s="2">
        <v>0</v>
      </c>
      <c r="G478" s="2">
        <v>0</v>
      </c>
      <c r="H478" s="2">
        <v>0</v>
      </c>
    </row>
    <row r="479" spans="1:8" x14ac:dyDescent="0.45">
      <c r="A479" t="s">
        <v>87</v>
      </c>
      <c r="B479" s="2">
        <v>0</v>
      </c>
      <c r="C479" s="2">
        <v>0</v>
      </c>
      <c r="D479" s="2">
        <v>0</v>
      </c>
      <c r="E479" s="2">
        <v>0</v>
      </c>
      <c r="F479" s="2">
        <v>0</v>
      </c>
      <c r="G479" s="2">
        <v>0</v>
      </c>
      <c r="H479" s="2">
        <v>0</v>
      </c>
    </row>
    <row r="480" spans="1:8" x14ac:dyDescent="0.45">
      <c r="A480" t="s">
        <v>88</v>
      </c>
      <c r="B480" s="2">
        <v>2312795000</v>
      </c>
      <c r="C480" s="2">
        <v>2312795000</v>
      </c>
      <c r="D480" s="2">
        <v>1778331214</v>
      </c>
      <c r="E480" s="2">
        <v>0</v>
      </c>
      <c r="F480" s="2">
        <v>1778331214</v>
      </c>
      <c r="G480" s="2">
        <v>534463786</v>
      </c>
      <c r="H480" s="2">
        <v>0</v>
      </c>
    </row>
    <row r="481" spans="1:8" x14ac:dyDescent="0.45">
      <c r="A481" t="s">
        <v>53</v>
      </c>
      <c r="B481" s="2">
        <v>4989900000</v>
      </c>
      <c r="C481" s="2">
        <v>4989900000</v>
      </c>
      <c r="D481" s="2">
        <v>805666889</v>
      </c>
      <c r="E481" s="2">
        <v>333634248</v>
      </c>
      <c r="F481" s="2">
        <v>1139301137</v>
      </c>
      <c r="G481" s="2">
        <v>3850598863</v>
      </c>
      <c r="H481" s="2">
        <v>0</v>
      </c>
    </row>
    <row r="482" spans="1:8" x14ac:dyDescent="0.45">
      <c r="A482" t="s">
        <v>89</v>
      </c>
      <c r="B482" s="2">
        <v>0</v>
      </c>
      <c r="C482" s="2">
        <v>0</v>
      </c>
      <c r="D482" s="2">
        <v>0</v>
      </c>
      <c r="E482" s="2">
        <v>0</v>
      </c>
      <c r="F482" s="2">
        <v>0</v>
      </c>
      <c r="G482" s="2">
        <v>0</v>
      </c>
      <c r="H482" s="2">
        <v>0</v>
      </c>
    </row>
    <row r="483" spans="1:8" x14ac:dyDescent="0.45">
      <c r="A483" t="s">
        <v>54</v>
      </c>
      <c r="B483" s="2">
        <v>1680000000</v>
      </c>
      <c r="C483" s="2">
        <v>1680000000</v>
      </c>
      <c r="D483" s="2">
        <v>353557050</v>
      </c>
      <c r="E483" s="2">
        <v>0</v>
      </c>
      <c r="F483" s="2">
        <v>353557050</v>
      </c>
      <c r="G483" s="2">
        <v>1326442950</v>
      </c>
      <c r="H483" s="2">
        <v>0</v>
      </c>
    </row>
    <row r="484" spans="1:8" x14ac:dyDescent="0.45">
      <c r="A484" t="s">
        <v>77</v>
      </c>
      <c r="B484" s="2">
        <v>492066000</v>
      </c>
      <c r="C484" s="2">
        <v>492066000</v>
      </c>
      <c r="D484" s="2">
        <v>31501365</v>
      </c>
      <c r="E484" s="2">
        <v>7785500</v>
      </c>
      <c r="F484" s="2">
        <v>39286865</v>
      </c>
      <c r="G484" s="2">
        <v>452779135</v>
      </c>
      <c r="H484" s="2">
        <v>0</v>
      </c>
    </row>
    <row r="485" spans="1:8" x14ac:dyDescent="0.45">
      <c r="A485" t="s">
        <v>90</v>
      </c>
      <c r="B485" s="2">
        <v>624500000</v>
      </c>
      <c r="C485" s="2">
        <v>624500000</v>
      </c>
      <c r="D485" s="2">
        <v>0</v>
      </c>
      <c r="E485" s="2">
        <v>0</v>
      </c>
      <c r="F485" s="2">
        <v>0</v>
      </c>
      <c r="G485" s="2">
        <v>624500000</v>
      </c>
      <c r="H485" s="2">
        <v>0</v>
      </c>
    </row>
    <row r="486" spans="1:8" x14ac:dyDescent="0.45">
      <c r="A486" t="s">
        <v>91</v>
      </c>
      <c r="B486" s="2">
        <v>700000000</v>
      </c>
      <c r="C486" s="2">
        <v>700000000</v>
      </c>
      <c r="D486" s="2">
        <v>0</v>
      </c>
      <c r="E486" s="2">
        <v>0</v>
      </c>
      <c r="F486" s="2">
        <v>0</v>
      </c>
      <c r="G486" s="2">
        <v>700000000</v>
      </c>
      <c r="H486" s="2">
        <v>0</v>
      </c>
    </row>
    <row r="487" spans="1:8" x14ac:dyDescent="0.45">
      <c r="A487" t="s">
        <v>92</v>
      </c>
      <c r="B487" s="2">
        <v>0</v>
      </c>
      <c r="C487" s="2">
        <v>0</v>
      </c>
      <c r="D487" s="2">
        <v>0</v>
      </c>
      <c r="E487" s="2">
        <v>0</v>
      </c>
      <c r="F487" s="2">
        <v>0</v>
      </c>
      <c r="G487" s="2">
        <v>0</v>
      </c>
      <c r="H487" s="2">
        <v>0</v>
      </c>
    </row>
    <row r="488" spans="1:8" x14ac:dyDescent="0.45">
      <c r="A488" t="s">
        <v>93</v>
      </c>
      <c r="B488" s="2">
        <v>745000000</v>
      </c>
      <c r="C488" s="2">
        <v>745000000</v>
      </c>
      <c r="D488" s="2">
        <v>26235280</v>
      </c>
      <c r="E488" s="2">
        <v>32460000</v>
      </c>
      <c r="F488" s="2">
        <v>58695280</v>
      </c>
      <c r="G488" s="2">
        <v>686304720</v>
      </c>
      <c r="H488" s="2">
        <v>0</v>
      </c>
    </row>
    <row r="489" spans="1:8" x14ac:dyDescent="0.45">
      <c r="A489" t="s">
        <v>94</v>
      </c>
      <c r="B489" s="2">
        <v>4029356000</v>
      </c>
      <c r="C489" s="2">
        <v>4029356000</v>
      </c>
      <c r="D489" s="2">
        <v>2411599000</v>
      </c>
      <c r="E489" s="2">
        <v>29795000</v>
      </c>
      <c r="F489" s="2">
        <v>2441394000</v>
      </c>
      <c r="G489" s="2">
        <v>1587962000</v>
      </c>
      <c r="H489" s="2">
        <v>0</v>
      </c>
    </row>
    <row r="490" spans="1:8" x14ac:dyDescent="0.45">
      <c r="A490" t="s">
        <v>95</v>
      </c>
      <c r="B490" s="2">
        <v>297500000</v>
      </c>
      <c r="C490" s="2">
        <v>297500000</v>
      </c>
      <c r="D490" s="2">
        <v>0</v>
      </c>
      <c r="E490" s="2">
        <v>0</v>
      </c>
      <c r="F490" s="2">
        <v>0</v>
      </c>
      <c r="G490" s="2">
        <v>297500000</v>
      </c>
      <c r="H490" s="2">
        <v>0</v>
      </c>
    </row>
    <row r="491" spans="1:8" x14ac:dyDescent="0.45">
      <c r="A491" t="s">
        <v>55</v>
      </c>
      <c r="B491" s="2">
        <v>266250000</v>
      </c>
      <c r="C491" s="2">
        <v>266250000</v>
      </c>
      <c r="D491" s="2">
        <v>0</v>
      </c>
      <c r="E491" s="2">
        <v>40800000</v>
      </c>
      <c r="F491" s="2">
        <v>40800000</v>
      </c>
      <c r="G491" s="2">
        <v>225450000</v>
      </c>
      <c r="H491" s="2">
        <v>0</v>
      </c>
    </row>
    <row r="492" spans="1:8" x14ac:dyDescent="0.45">
      <c r="A492" t="s">
        <v>56</v>
      </c>
      <c r="B492" s="2">
        <v>1350000000</v>
      </c>
      <c r="C492" s="2">
        <v>1350000000</v>
      </c>
      <c r="D492" s="2">
        <v>0</v>
      </c>
      <c r="E492" s="2">
        <v>0</v>
      </c>
      <c r="F492" s="2">
        <v>0</v>
      </c>
      <c r="G492" s="2">
        <v>1350000000</v>
      </c>
      <c r="H492" s="2">
        <v>0</v>
      </c>
    </row>
    <row r="493" spans="1:8" x14ac:dyDescent="0.45">
      <c r="A493" t="s">
        <v>22</v>
      </c>
      <c r="B493" s="2">
        <v>100000000</v>
      </c>
      <c r="C493" s="2">
        <v>75000000</v>
      </c>
      <c r="D493" s="2">
        <v>0</v>
      </c>
      <c r="E493" s="2">
        <v>12720000</v>
      </c>
      <c r="F493" s="2">
        <v>12720000</v>
      </c>
      <c r="G493" s="2">
        <v>62280000</v>
      </c>
      <c r="H493" s="2">
        <v>25000000</v>
      </c>
    </row>
    <row r="494" spans="1:8" x14ac:dyDescent="0.45">
      <c r="A494" t="s">
        <v>57</v>
      </c>
      <c r="B494" s="2">
        <v>1016150000</v>
      </c>
      <c r="C494" s="2">
        <v>1016150000</v>
      </c>
      <c r="D494" s="2">
        <v>34825000</v>
      </c>
      <c r="E494" s="2">
        <v>128340000</v>
      </c>
      <c r="F494" s="2">
        <v>163165000</v>
      </c>
      <c r="G494" s="2">
        <v>852985000</v>
      </c>
      <c r="H494" s="2">
        <v>0</v>
      </c>
    </row>
    <row r="495" spans="1:8" x14ac:dyDescent="0.45">
      <c r="A495" t="s">
        <v>58</v>
      </c>
      <c r="B495" s="2">
        <v>2560000000</v>
      </c>
      <c r="C495" s="2">
        <v>2560000000</v>
      </c>
      <c r="D495" s="2">
        <v>8404406</v>
      </c>
      <c r="E495" s="2">
        <v>446630703</v>
      </c>
      <c r="F495" s="2">
        <v>455035109</v>
      </c>
      <c r="G495" s="2">
        <v>2104964891</v>
      </c>
      <c r="H495" s="2">
        <v>0</v>
      </c>
    </row>
    <row r="496" spans="1:8" x14ac:dyDescent="0.45">
      <c r="A496" t="s">
        <v>25</v>
      </c>
      <c r="B496" s="2">
        <v>891173000</v>
      </c>
      <c r="C496" s="2">
        <v>668379750</v>
      </c>
      <c r="D496" s="2">
        <v>29693828</v>
      </c>
      <c r="E496" s="2">
        <v>22370000</v>
      </c>
      <c r="F496" s="2">
        <v>52063828</v>
      </c>
      <c r="G496" s="2">
        <v>616315922</v>
      </c>
      <c r="H496" s="2">
        <v>222793250</v>
      </c>
    </row>
    <row r="497" spans="1:8" x14ac:dyDescent="0.45">
      <c r="A497" t="s">
        <v>26</v>
      </c>
      <c r="B497" s="2">
        <v>1160455000</v>
      </c>
      <c r="C497" s="2">
        <v>870341250</v>
      </c>
      <c r="D497" s="2">
        <v>95838170</v>
      </c>
      <c r="E497" s="2">
        <v>176941260</v>
      </c>
      <c r="F497" s="2">
        <v>272779430</v>
      </c>
      <c r="G497" s="2">
        <v>597561820</v>
      </c>
      <c r="H497" s="2">
        <v>290113750</v>
      </c>
    </row>
    <row r="498" spans="1:8" x14ac:dyDescent="0.45">
      <c r="A498" t="s">
        <v>27</v>
      </c>
      <c r="B498" s="2">
        <v>93000000</v>
      </c>
      <c r="C498" s="2">
        <v>93000000</v>
      </c>
      <c r="D498" s="2">
        <v>0</v>
      </c>
      <c r="E498" s="2">
        <v>14500000</v>
      </c>
      <c r="F498" s="2">
        <v>14500000</v>
      </c>
      <c r="G498" s="2">
        <v>78500000</v>
      </c>
      <c r="H498" s="2">
        <v>0</v>
      </c>
    </row>
    <row r="499" spans="1:8" x14ac:dyDescent="0.45">
      <c r="A499" t="s">
        <v>28</v>
      </c>
      <c r="B499" s="2">
        <v>562923000</v>
      </c>
      <c r="C499" s="2">
        <v>422192250</v>
      </c>
      <c r="D499" s="2">
        <v>19366000</v>
      </c>
      <c r="E499" s="2">
        <v>12640000</v>
      </c>
      <c r="F499" s="2">
        <v>32006000</v>
      </c>
      <c r="G499" s="2">
        <v>390186250</v>
      </c>
      <c r="H499" s="2">
        <v>140730750</v>
      </c>
    </row>
    <row r="500" spans="1:8" x14ac:dyDescent="0.45">
      <c r="A500" t="s">
        <v>30</v>
      </c>
      <c r="B500" s="2">
        <v>688578000</v>
      </c>
      <c r="C500" s="2">
        <v>516433500</v>
      </c>
      <c r="D500" s="2">
        <v>35082547</v>
      </c>
      <c r="E500" s="2">
        <v>77961880</v>
      </c>
      <c r="F500" s="2">
        <v>113044427</v>
      </c>
      <c r="G500" s="2">
        <v>403389073</v>
      </c>
      <c r="H500" s="2">
        <v>172144500</v>
      </c>
    </row>
    <row r="501" spans="1:8" x14ac:dyDescent="0.45">
      <c r="A501" t="s">
        <v>79</v>
      </c>
      <c r="B501" s="2">
        <v>36180000</v>
      </c>
      <c r="C501" s="2">
        <v>36180000</v>
      </c>
      <c r="D501" s="2">
        <v>1720000</v>
      </c>
      <c r="E501" s="2">
        <v>5342537</v>
      </c>
      <c r="F501" s="2">
        <v>7062537</v>
      </c>
      <c r="G501" s="2">
        <v>29117463</v>
      </c>
      <c r="H501" s="2">
        <v>0</v>
      </c>
    </row>
    <row r="502" spans="1:8" x14ac:dyDescent="0.45">
      <c r="A502" t="s">
        <v>31</v>
      </c>
      <c r="B502" s="2">
        <v>61741000</v>
      </c>
      <c r="C502" s="2">
        <v>61741000</v>
      </c>
      <c r="D502" s="2">
        <v>38255444</v>
      </c>
      <c r="E502" s="2">
        <v>0</v>
      </c>
      <c r="F502" s="2">
        <v>38255444</v>
      </c>
      <c r="G502" s="2">
        <v>23485556</v>
      </c>
      <c r="H502" s="2">
        <v>0</v>
      </c>
    </row>
    <row r="503" spans="1:8" x14ac:dyDescent="0.45">
      <c r="A503" t="s">
        <v>73</v>
      </c>
      <c r="B503" s="2">
        <v>0</v>
      </c>
      <c r="C503" s="2">
        <v>0</v>
      </c>
      <c r="D503" s="2">
        <v>0</v>
      </c>
      <c r="E503" s="2">
        <v>84819308</v>
      </c>
      <c r="F503" s="2">
        <v>84819308</v>
      </c>
      <c r="G503" s="2">
        <v>-84819308</v>
      </c>
      <c r="H503" s="2">
        <v>0</v>
      </c>
    </row>
    <row r="504" spans="1:8" x14ac:dyDescent="0.45">
      <c r="A504" t="s">
        <v>59</v>
      </c>
      <c r="B504" s="2">
        <v>0</v>
      </c>
      <c r="C504" s="2">
        <v>0</v>
      </c>
      <c r="D504" s="2">
        <v>0</v>
      </c>
      <c r="E504" s="2">
        <v>60889862</v>
      </c>
      <c r="F504" s="2">
        <v>60889862</v>
      </c>
      <c r="G504" s="2">
        <v>-60889862</v>
      </c>
      <c r="H504" s="2">
        <v>0</v>
      </c>
    </row>
    <row r="505" spans="1:8" x14ac:dyDescent="0.45">
      <c r="A505" t="s">
        <v>74</v>
      </c>
      <c r="B505" s="2">
        <v>0</v>
      </c>
      <c r="C505" s="2">
        <v>0</v>
      </c>
      <c r="D505" s="2">
        <v>0</v>
      </c>
      <c r="E505" s="2">
        <v>51753310</v>
      </c>
      <c r="F505" s="2">
        <v>51753310</v>
      </c>
      <c r="G505" s="2">
        <v>-51753310</v>
      </c>
      <c r="H505" s="2">
        <v>0</v>
      </c>
    </row>
    <row r="506" spans="1:8" x14ac:dyDescent="0.45">
      <c r="A506" t="s">
        <v>32</v>
      </c>
      <c r="B506" s="2">
        <v>12164281897</v>
      </c>
      <c r="C506" s="2">
        <v>12164281897</v>
      </c>
      <c r="D506" s="2">
        <v>0</v>
      </c>
      <c r="E506" s="2">
        <v>1814036400</v>
      </c>
      <c r="F506" s="2">
        <v>1814036400</v>
      </c>
      <c r="G506" s="2">
        <v>10350245497</v>
      </c>
      <c r="H506" s="2">
        <v>0</v>
      </c>
    </row>
    <row r="507" spans="1:8" x14ac:dyDescent="0.45">
      <c r="A507" t="s">
        <v>33</v>
      </c>
      <c r="B507" s="2">
        <v>111508199</v>
      </c>
      <c r="C507" s="2">
        <v>111508199</v>
      </c>
      <c r="D507" s="2">
        <v>0</v>
      </c>
      <c r="E507" s="2">
        <v>18414338</v>
      </c>
      <c r="F507" s="2">
        <v>18414338</v>
      </c>
      <c r="G507" s="2">
        <v>93093861</v>
      </c>
      <c r="H507" s="2">
        <v>0</v>
      </c>
    </row>
    <row r="508" spans="1:8" x14ac:dyDescent="0.45">
      <c r="A508" t="s">
        <v>34</v>
      </c>
      <c r="B508" s="2">
        <v>10801404197</v>
      </c>
      <c r="C508" s="2">
        <v>10801404197</v>
      </c>
      <c r="D508" s="2">
        <v>0</v>
      </c>
      <c r="E508" s="2">
        <v>1944632685</v>
      </c>
      <c r="F508" s="2">
        <v>1944632685</v>
      </c>
      <c r="G508" s="2">
        <v>8856771512</v>
      </c>
      <c r="H508" s="2">
        <v>0</v>
      </c>
    </row>
    <row r="509" spans="1:8" x14ac:dyDescent="0.45">
      <c r="A509" t="s">
        <v>35</v>
      </c>
      <c r="B509" s="2">
        <v>68210418</v>
      </c>
      <c r="C509" s="2">
        <v>68210418</v>
      </c>
      <c r="D509" s="2">
        <v>0</v>
      </c>
      <c r="E509" s="2">
        <v>0</v>
      </c>
      <c r="F509" s="2">
        <v>0</v>
      </c>
      <c r="G509" s="2">
        <v>68210418</v>
      </c>
      <c r="H509" s="2">
        <v>0</v>
      </c>
    </row>
    <row r="510" spans="1:8" x14ac:dyDescent="0.45">
      <c r="A510" t="s">
        <v>36</v>
      </c>
      <c r="B510" s="2">
        <v>1452685239</v>
      </c>
      <c r="C510" s="2">
        <v>1452685239</v>
      </c>
      <c r="D510" s="2">
        <v>0</v>
      </c>
      <c r="E510" s="2">
        <v>135898412</v>
      </c>
      <c r="F510" s="2">
        <v>135898412</v>
      </c>
      <c r="G510" s="2">
        <v>1316786827</v>
      </c>
      <c r="H510" s="2">
        <v>0</v>
      </c>
    </row>
    <row r="511" spans="1:8" x14ac:dyDescent="0.45">
      <c r="A511" t="s">
        <v>37</v>
      </c>
      <c r="B511" s="2">
        <v>35165398</v>
      </c>
      <c r="C511" s="2">
        <v>35165398</v>
      </c>
      <c r="D511" s="2">
        <v>0</v>
      </c>
      <c r="E511" s="2">
        <v>3651448</v>
      </c>
      <c r="F511" s="2">
        <v>3651448</v>
      </c>
      <c r="G511" s="2">
        <v>31513950</v>
      </c>
      <c r="H511" s="2">
        <v>0</v>
      </c>
    </row>
    <row r="512" spans="1:8" x14ac:dyDescent="0.45">
      <c r="A512" t="s">
        <v>38</v>
      </c>
      <c r="B512" s="2">
        <v>1698748501</v>
      </c>
      <c r="C512" s="2">
        <v>1698748501</v>
      </c>
      <c r="D512" s="2">
        <v>0</v>
      </c>
      <c r="E512" s="2">
        <v>259412564</v>
      </c>
      <c r="F512" s="2">
        <v>259412564</v>
      </c>
      <c r="G512" s="2">
        <v>1439335937</v>
      </c>
      <c r="H512" s="2">
        <v>0</v>
      </c>
    </row>
    <row r="513" spans="1:8" x14ac:dyDescent="0.45">
      <c r="A513" t="s">
        <v>39</v>
      </c>
      <c r="B513" s="2">
        <v>3850588</v>
      </c>
      <c r="C513" s="2">
        <v>3850588</v>
      </c>
      <c r="D513" s="2">
        <v>0</v>
      </c>
      <c r="E513" s="2">
        <v>0</v>
      </c>
      <c r="F513" s="2">
        <v>0</v>
      </c>
      <c r="G513" s="2">
        <v>3850588</v>
      </c>
      <c r="H513" s="2">
        <v>0</v>
      </c>
    </row>
    <row r="514" spans="1:8" x14ac:dyDescent="0.45">
      <c r="A514" t="s">
        <v>43</v>
      </c>
      <c r="B514" s="2">
        <v>0</v>
      </c>
      <c r="C514" s="2">
        <v>0</v>
      </c>
      <c r="D514" s="2">
        <v>0</v>
      </c>
      <c r="E514" s="2">
        <v>137977076</v>
      </c>
      <c r="F514" s="2">
        <v>137977076</v>
      </c>
      <c r="G514" s="2">
        <v>-137977076</v>
      </c>
      <c r="H514" s="2">
        <v>0</v>
      </c>
    </row>
    <row r="515" spans="1:8" x14ac:dyDescent="0.45">
      <c r="A515" t="s">
        <v>96</v>
      </c>
      <c r="B515" s="2">
        <v>61498532437</v>
      </c>
      <c r="C515" s="2">
        <v>60647750187</v>
      </c>
      <c r="D515" s="2">
        <v>13437132792</v>
      </c>
      <c r="E515" s="2">
        <v>5853406531</v>
      </c>
      <c r="F515" s="2">
        <v>19290539323</v>
      </c>
      <c r="G515" s="2">
        <v>41357210864</v>
      </c>
      <c r="H515" s="2">
        <v>850782250</v>
      </c>
    </row>
    <row r="516" spans="1:8" x14ac:dyDescent="0.45">
      <c r="A516" t="s">
        <v>8</v>
      </c>
      <c r="B516" s="2">
        <v>5574698000</v>
      </c>
      <c r="C516" s="2">
        <v>5574698000</v>
      </c>
      <c r="D516" s="2">
        <v>5471087865</v>
      </c>
      <c r="E516" s="2">
        <v>0</v>
      </c>
      <c r="F516" s="2">
        <v>5471087865</v>
      </c>
      <c r="G516" s="2">
        <v>103610135</v>
      </c>
      <c r="H516" s="2">
        <v>0</v>
      </c>
    </row>
    <row r="517" spans="1:8" x14ac:dyDescent="0.45">
      <c r="A517" t="s">
        <v>11</v>
      </c>
      <c r="B517" s="2">
        <v>1521000000</v>
      </c>
      <c r="C517" s="2">
        <v>1521000000</v>
      </c>
      <c r="D517" s="2">
        <v>1467022165</v>
      </c>
      <c r="E517" s="2">
        <v>3328300</v>
      </c>
      <c r="F517" s="2">
        <v>1470350465</v>
      </c>
      <c r="G517" s="2">
        <v>50649535</v>
      </c>
      <c r="H517" s="2">
        <v>0</v>
      </c>
    </row>
    <row r="518" spans="1:8" x14ac:dyDescent="0.45">
      <c r="A518" t="s">
        <v>12</v>
      </c>
      <c r="B518" s="2">
        <v>1694175000</v>
      </c>
      <c r="C518" s="2">
        <v>1694175000</v>
      </c>
      <c r="D518" s="2">
        <v>1694174158</v>
      </c>
      <c r="E518" s="2">
        <v>0</v>
      </c>
      <c r="F518" s="2">
        <v>1694174158</v>
      </c>
      <c r="G518" s="2">
        <v>842</v>
      </c>
      <c r="H518" s="2">
        <v>0</v>
      </c>
    </row>
    <row r="519" spans="1:8" x14ac:dyDescent="0.45">
      <c r="A519" t="s">
        <v>48</v>
      </c>
      <c r="B519" s="2">
        <v>2639000000</v>
      </c>
      <c r="C519" s="2">
        <v>2639000000</v>
      </c>
      <c r="D519" s="2">
        <v>546436863</v>
      </c>
      <c r="E519" s="2">
        <v>129199870</v>
      </c>
      <c r="F519" s="2">
        <v>675636733</v>
      </c>
      <c r="G519" s="2">
        <v>1963363267</v>
      </c>
      <c r="H519" s="2">
        <v>0</v>
      </c>
    </row>
    <row r="520" spans="1:8" x14ac:dyDescent="0.45">
      <c r="A520" t="s">
        <v>13</v>
      </c>
      <c r="B520" s="2">
        <v>150000000</v>
      </c>
      <c r="C520" s="2">
        <v>150000000</v>
      </c>
      <c r="D520" s="2">
        <v>9000000</v>
      </c>
      <c r="E520" s="2">
        <v>0</v>
      </c>
      <c r="F520" s="2">
        <v>9000000</v>
      </c>
      <c r="G520" s="2">
        <v>141000000</v>
      </c>
      <c r="H520" s="2">
        <v>0</v>
      </c>
    </row>
    <row r="521" spans="1:8" x14ac:dyDescent="0.45">
      <c r="A521" t="s">
        <v>14</v>
      </c>
      <c r="B521" s="2">
        <v>2721193000</v>
      </c>
      <c r="C521" s="2">
        <v>2721193000</v>
      </c>
      <c r="D521" s="2">
        <v>2263795563</v>
      </c>
      <c r="E521" s="2">
        <v>0</v>
      </c>
      <c r="F521" s="2">
        <v>2263795563</v>
      </c>
      <c r="G521" s="2">
        <v>457397437</v>
      </c>
      <c r="H521" s="2">
        <v>0</v>
      </c>
    </row>
    <row r="522" spans="1:8" x14ac:dyDescent="0.45">
      <c r="A522" t="s">
        <v>15</v>
      </c>
      <c r="B522" s="2">
        <v>9794675000</v>
      </c>
      <c r="C522" s="2">
        <v>9794675000</v>
      </c>
      <c r="D522" s="2">
        <v>8772973347</v>
      </c>
      <c r="E522" s="2">
        <v>3607897</v>
      </c>
      <c r="F522" s="2">
        <v>8776581244</v>
      </c>
      <c r="G522" s="2">
        <v>1018093756</v>
      </c>
      <c r="H522" s="2">
        <v>0</v>
      </c>
    </row>
    <row r="523" spans="1:8" x14ac:dyDescent="0.45">
      <c r="A523" t="s">
        <v>16</v>
      </c>
      <c r="B523" s="2">
        <v>2114698000</v>
      </c>
      <c r="C523" s="2">
        <v>2114698000</v>
      </c>
      <c r="D523" s="2">
        <v>0</v>
      </c>
      <c r="E523" s="2">
        <v>162049240</v>
      </c>
      <c r="F523" s="2">
        <v>162049240</v>
      </c>
      <c r="G523" s="2">
        <v>1952648760</v>
      </c>
      <c r="H523" s="2">
        <v>0</v>
      </c>
    </row>
    <row r="524" spans="1:8" x14ac:dyDescent="0.45">
      <c r="A524" t="s">
        <v>49</v>
      </c>
      <c r="B524" s="2">
        <v>1450000000</v>
      </c>
      <c r="C524" s="2">
        <v>1450000000</v>
      </c>
      <c r="D524" s="2">
        <v>0</v>
      </c>
      <c r="E524" s="2">
        <v>0</v>
      </c>
      <c r="F524" s="2">
        <v>0</v>
      </c>
      <c r="G524" s="2">
        <v>1450000000</v>
      </c>
      <c r="H524" s="2">
        <v>0</v>
      </c>
    </row>
    <row r="525" spans="1:8" x14ac:dyDescent="0.45">
      <c r="A525" t="s">
        <v>50</v>
      </c>
      <c r="B525" s="2">
        <v>0</v>
      </c>
      <c r="C525" s="2">
        <v>0</v>
      </c>
      <c r="D525" s="2">
        <v>0</v>
      </c>
      <c r="E525" s="2">
        <v>0</v>
      </c>
      <c r="F525" s="2">
        <v>0</v>
      </c>
      <c r="G525" s="2">
        <v>0</v>
      </c>
      <c r="H525" s="2">
        <v>0</v>
      </c>
    </row>
    <row r="526" spans="1:8" x14ac:dyDescent="0.45">
      <c r="A526" t="s">
        <v>52</v>
      </c>
      <c r="B526" s="2">
        <v>915811000</v>
      </c>
      <c r="C526" s="2">
        <v>915811000</v>
      </c>
      <c r="D526" s="2">
        <v>715028125</v>
      </c>
      <c r="E526" s="2">
        <v>0</v>
      </c>
      <c r="F526" s="2">
        <v>715028125</v>
      </c>
      <c r="G526" s="2">
        <v>200782875</v>
      </c>
      <c r="H526" s="2">
        <v>0</v>
      </c>
    </row>
    <row r="527" spans="1:8" x14ac:dyDescent="0.45">
      <c r="A527" t="s">
        <v>17</v>
      </c>
      <c r="B527" s="2">
        <v>1750000000</v>
      </c>
      <c r="C527" s="2">
        <v>1750000000</v>
      </c>
      <c r="D527" s="2">
        <v>957373034</v>
      </c>
      <c r="E527" s="2">
        <v>0</v>
      </c>
      <c r="F527" s="2">
        <v>957373034</v>
      </c>
      <c r="G527" s="2">
        <v>792626966</v>
      </c>
      <c r="H527" s="2">
        <v>0</v>
      </c>
    </row>
    <row r="528" spans="1:8" x14ac:dyDescent="0.45">
      <c r="A528" t="s">
        <v>77</v>
      </c>
      <c r="B528" s="2">
        <v>300000000</v>
      </c>
      <c r="C528" s="2">
        <v>300000000</v>
      </c>
      <c r="D528" s="2">
        <v>4951687</v>
      </c>
      <c r="E528" s="2">
        <v>0</v>
      </c>
      <c r="F528" s="2">
        <v>4951687</v>
      </c>
      <c r="G528" s="2">
        <v>295048313</v>
      </c>
      <c r="H528" s="2">
        <v>0</v>
      </c>
    </row>
    <row r="529" spans="1:8" x14ac:dyDescent="0.45">
      <c r="A529" t="s">
        <v>22</v>
      </c>
      <c r="B529" s="2">
        <v>645000000</v>
      </c>
      <c r="C529" s="2">
        <v>483750000</v>
      </c>
      <c r="D529" s="2">
        <v>114815000</v>
      </c>
      <c r="E529" s="2">
        <v>68355000</v>
      </c>
      <c r="F529" s="2">
        <v>183170000</v>
      </c>
      <c r="G529" s="2">
        <v>300580000</v>
      </c>
      <c r="H529" s="2">
        <v>161250000</v>
      </c>
    </row>
    <row r="530" spans="1:8" x14ac:dyDescent="0.45">
      <c r="A530" t="s">
        <v>57</v>
      </c>
      <c r="B530" s="2">
        <v>285978663</v>
      </c>
      <c r="C530" s="2">
        <v>285978663</v>
      </c>
      <c r="D530" s="2">
        <v>23285000</v>
      </c>
      <c r="E530" s="2">
        <v>32200000</v>
      </c>
      <c r="F530" s="2">
        <v>55485000</v>
      </c>
      <c r="G530" s="2">
        <v>230493663</v>
      </c>
      <c r="H530" s="2">
        <v>0</v>
      </c>
    </row>
    <row r="531" spans="1:8" x14ac:dyDescent="0.45">
      <c r="A531" t="s">
        <v>58</v>
      </c>
      <c r="B531" s="2">
        <v>1539315000</v>
      </c>
      <c r="C531" s="2">
        <v>1539315000</v>
      </c>
      <c r="D531" s="2">
        <v>3649654</v>
      </c>
      <c r="E531" s="2">
        <v>230704071</v>
      </c>
      <c r="F531" s="2">
        <v>234353725</v>
      </c>
      <c r="G531" s="2">
        <v>1304961275</v>
      </c>
      <c r="H531" s="2">
        <v>0</v>
      </c>
    </row>
    <row r="532" spans="1:8" x14ac:dyDescent="0.45">
      <c r="A532" t="s">
        <v>25</v>
      </c>
      <c r="B532" s="2">
        <v>550000000</v>
      </c>
      <c r="C532" s="2">
        <v>412500000</v>
      </c>
      <c r="D532" s="2">
        <v>6056400</v>
      </c>
      <c r="E532" s="2">
        <v>12632800</v>
      </c>
      <c r="F532" s="2">
        <v>18689200</v>
      </c>
      <c r="G532" s="2">
        <v>393810800</v>
      </c>
      <c r="H532" s="2">
        <v>137500000</v>
      </c>
    </row>
    <row r="533" spans="1:8" x14ac:dyDescent="0.45">
      <c r="A533" t="s">
        <v>26</v>
      </c>
      <c r="B533" s="2">
        <v>710500000</v>
      </c>
      <c r="C533" s="2">
        <v>532875000</v>
      </c>
      <c r="D533" s="2">
        <v>17800620</v>
      </c>
      <c r="E533" s="2">
        <v>49382229</v>
      </c>
      <c r="F533" s="2">
        <v>67182849</v>
      </c>
      <c r="G533" s="2">
        <v>465692151</v>
      </c>
      <c r="H533" s="2">
        <v>177625000</v>
      </c>
    </row>
    <row r="534" spans="1:8" x14ac:dyDescent="0.45">
      <c r="A534" t="s">
        <v>27</v>
      </c>
      <c r="B534" s="2">
        <v>95700000</v>
      </c>
      <c r="C534" s="2">
        <v>95700000</v>
      </c>
      <c r="D534" s="2">
        <v>0</v>
      </c>
      <c r="E534" s="2">
        <v>13500000</v>
      </c>
      <c r="F534" s="2">
        <v>13500000</v>
      </c>
      <c r="G534" s="2">
        <v>82200000</v>
      </c>
      <c r="H534" s="2">
        <v>0</v>
      </c>
    </row>
    <row r="535" spans="1:8" x14ac:dyDescent="0.45">
      <c r="A535" t="s">
        <v>28</v>
      </c>
      <c r="B535" s="2">
        <v>527665000</v>
      </c>
      <c r="C535" s="2">
        <v>395748750</v>
      </c>
      <c r="D535" s="2">
        <v>0</v>
      </c>
      <c r="E535" s="2">
        <v>0</v>
      </c>
      <c r="F535" s="2">
        <v>0</v>
      </c>
      <c r="G535" s="2">
        <v>395748750</v>
      </c>
      <c r="H535" s="2">
        <v>131916250</v>
      </c>
    </row>
    <row r="536" spans="1:8" x14ac:dyDescent="0.45">
      <c r="A536" t="s">
        <v>30</v>
      </c>
      <c r="B536" s="2">
        <v>449070000</v>
      </c>
      <c r="C536" s="2">
        <v>336802500</v>
      </c>
      <c r="D536" s="2">
        <v>17298750</v>
      </c>
      <c r="E536" s="2">
        <v>65252500</v>
      </c>
      <c r="F536" s="2">
        <v>82551250</v>
      </c>
      <c r="G536" s="2">
        <v>254251250</v>
      </c>
      <c r="H536" s="2">
        <v>112267500</v>
      </c>
    </row>
    <row r="537" spans="1:8" x14ac:dyDescent="0.45">
      <c r="A537" t="s">
        <v>31</v>
      </c>
      <c r="B537" s="2">
        <v>68288000</v>
      </c>
      <c r="C537" s="2">
        <v>68288000</v>
      </c>
      <c r="D537" s="2">
        <v>0</v>
      </c>
      <c r="E537" s="2">
        <v>0</v>
      </c>
      <c r="F537" s="2">
        <v>0</v>
      </c>
      <c r="G537" s="2">
        <v>68288000</v>
      </c>
      <c r="H537" s="2">
        <v>0</v>
      </c>
    </row>
    <row r="538" spans="1:8" x14ac:dyDescent="0.45">
      <c r="A538" t="s">
        <v>59</v>
      </c>
      <c r="B538" s="2">
        <v>0</v>
      </c>
      <c r="C538" s="2">
        <v>0</v>
      </c>
      <c r="D538" s="2">
        <v>0</v>
      </c>
      <c r="E538" s="2">
        <v>5592872</v>
      </c>
      <c r="F538" s="2">
        <v>5592872</v>
      </c>
      <c r="G538" s="2">
        <v>-5592872</v>
      </c>
      <c r="H538" s="2">
        <v>0</v>
      </c>
    </row>
    <row r="539" spans="1:8" x14ac:dyDescent="0.45">
      <c r="A539" t="s">
        <v>32</v>
      </c>
      <c r="B539" s="2">
        <v>10688916866</v>
      </c>
      <c r="C539" s="2">
        <v>10688916866</v>
      </c>
      <c r="D539" s="2">
        <v>0</v>
      </c>
      <c r="E539" s="2">
        <v>1592659004</v>
      </c>
      <c r="F539" s="2">
        <v>1592659004</v>
      </c>
      <c r="G539" s="2">
        <v>9096257862</v>
      </c>
      <c r="H539" s="2">
        <v>0</v>
      </c>
    </row>
    <row r="540" spans="1:8" x14ac:dyDescent="0.45">
      <c r="A540" t="s">
        <v>33</v>
      </c>
      <c r="B540" s="2">
        <v>106116051</v>
      </c>
      <c r="C540" s="2">
        <v>106116051</v>
      </c>
      <c r="D540" s="2">
        <v>0</v>
      </c>
      <c r="E540" s="2">
        <v>18102841</v>
      </c>
      <c r="F540" s="2">
        <v>18102841</v>
      </c>
      <c r="G540" s="2">
        <v>88013210</v>
      </c>
      <c r="H540" s="2">
        <v>0</v>
      </c>
    </row>
    <row r="541" spans="1:8" x14ac:dyDescent="0.45">
      <c r="A541" t="s">
        <v>34</v>
      </c>
      <c r="B541" s="2">
        <v>9218326343</v>
      </c>
      <c r="C541" s="2">
        <v>9218326343</v>
      </c>
      <c r="D541" s="2">
        <v>0</v>
      </c>
      <c r="E541" s="2">
        <v>1626624682</v>
      </c>
      <c r="F541" s="2">
        <v>1626624682</v>
      </c>
      <c r="G541" s="2">
        <v>7591701661</v>
      </c>
      <c r="H541" s="2">
        <v>0</v>
      </c>
    </row>
    <row r="542" spans="1:8" x14ac:dyDescent="0.45">
      <c r="A542" t="s">
        <v>35</v>
      </c>
      <c r="B542" s="2">
        <v>58858990</v>
      </c>
      <c r="C542" s="2">
        <v>58858990</v>
      </c>
      <c r="D542" s="2">
        <v>0</v>
      </c>
      <c r="E542" s="2">
        <v>0</v>
      </c>
      <c r="F542" s="2">
        <v>0</v>
      </c>
      <c r="G542" s="2">
        <v>58858990</v>
      </c>
      <c r="H542" s="2">
        <v>0</v>
      </c>
    </row>
    <row r="543" spans="1:8" x14ac:dyDescent="0.45">
      <c r="A543" t="s">
        <v>36</v>
      </c>
      <c r="B543" s="2">
        <v>1422805953</v>
      </c>
      <c r="C543" s="2">
        <v>1422805953</v>
      </c>
      <c r="D543" s="2">
        <v>0</v>
      </c>
      <c r="E543" s="2">
        <v>179659734</v>
      </c>
      <c r="F543" s="2">
        <v>179659734</v>
      </c>
      <c r="G543" s="2">
        <v>1243146219</v>
      </c>
      <c r="H543" s="2">
        <v>0</v>
      </c>
    </row>
    <row r="544" spans="1:8" x14ac:dyDescent="0.45">
      <c r="A544" t="s">
        <v>37</v>
      </c>
      <c r="B544" s="2">
        <v>13916758</v>
      </c>
      <c r="C544" s="2">
        <v>13916758</v>
      </c>
      <c r="D544" s="2">
        <v>0</v>
      </c>
      <c r="E544" s="2">
        <v>2273980</v>
      </c>
      <c r="F544" s="2">
        <v>2273980</v>
      </c>
      <c r="G544" s="2">
        <v>11642778</v>
      </c>
      <c r="H544" s="2">
        <v>0</v>
      </c>
    </row>
    <row r="545" spans="1:8" x14ac:dyDescent="0.45">
      <c r="A545" t="s">
        <v>38</v>
      </c>
      <c r="B545" s="2">
        <v>1559682761</v>
      </c>
      <c r="C545" s="2">
        <v>1559682761</v>
      </c>
      <c r="D545" s="2">
        <v>0</v>
      </c>
      <c r="E545" s="2">
        <v>300982812</v>
      </c>
      <c r="F545" s="2">
        <v>300982812</v>
      </c>
      <c r="G545" s="2">
        <v>1258699949</v>
      </c>
      <c r="H545" s="2">
        <v>0</v>
      </c>
    </row>
    <row r="546" spans="1:8" x14ac:dyDescent="0.45">
      <c r="A546" t="s">
        <v>39</v>
      </c>
      <c r="B546" s="2">
        <v>3850588</v>
      </c>
      <c r="C546" s="2">
        <v>3850588</v>
      </c>
      <c r="D546" s="2">
        <v>0</v>
      </c>
      <c r="E546" s="2">
        <v>0</v>
      </c>
      <c r="F546" s="2">
        <v>0</v>
      </c>
      <c r="G546" s="2">
        <v>3850588</v>
      </c>
      <c r="H546" s="2">
        <v>0</v>
      </c>
    </row>
    <row r="547" spans="1:8" x14ac:dyDescent="0.45">
      <c r="A547" t="s">
        <v>97</v>
      </c>
      <c r="B547" s="2">
        <v>58569240973</v>
      </c>
      <c r="C547" s="2">
        <v>57848682223</v>
      </c>
      <c r="D547" s="2">
        <v>22084748231</v>
      </c>
      <c r="E547" s="2">
        <v>4496107832</v>
      </c>
      <c r="F547" s="2">
        <v>26580856063</v>
      </c>
      <c r="G547" s="2">
        <v>31267826160</v>
      </c>
      <c r="H547" s="2">
        <v>720558750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037102-CAE5-4DA3-AC4F-276E222EA2EC}">
  <dimension ref="A1:I54"/>
  <sheetViews>
    <sheetView zoomScale="85" zoomScaleNormal="85" workbookViewId="0">
      <pane ySplit="1" topLeftCell="A2" activePane="bottomLeft" state="frozen"/>
      <selection pane="bottomLeft" activeCell="B54" sqref="B54"/>
    </sheetView>
  </sheetViews>
  <sheetFormatPr defaultColWidth="0" defaultRowHeight="14.25" customHeight="1" zeroHeight="1" x14ac:dyDescent="0.45"/>
  <cols>
    <col min="1" max="1" width="60.86328125" bestFit="1" customWidth="1"/>
    <col min="2" max="5" width="15.265625" style="12" bestFit="1" customWidth="1"/>
    <col min="6" max="6" width="14.265625" style="12" bestFit="1" customWidth="1"/>
    <col min="7" max="8" width="15.265625" style="12" bestFit="1" customWidth="1"/>
    <col min="9" max="9" width="13.265625" style="12" bestFit="1" customWidth="1"/>
    <col min="10" max="16384" width="9" hidden="1"/>
  </cols>
  <sheetData>
    <row r="1" spans="1:9" x14ac:dyDescent="0.45">
      <c r="A1" t="s">
        <v>0</v>
      </c>
      <c r="B1" s="6" t="s">
        <v>151</v>
      </c>
      <c r="C1" s="7" t="s">
        <v>1</v>
      </c>
      <c r="D1" s="7" t="s">
        <v>2</v>
      </c>
      <c r="E1" s="8" t="s">
        <v>3</v>
      </c>
      <c r="F1" s="7" t="s">
        <v>4</v>
      </c>
      <c r="G1" s="7" t="s">
        <v>5</v>
      </c>
      <c r="H1" s="8" t="s">
        <v>6</v>
      </c>
      <c r="I1" s="8" t="s">
        <v>7</v>
      </c>
    </row>
    <row r="2" spans="1:9" x14ac:dyDescent="0.45">
      <c r="A2" t="s">
        <v>98</v>
      </c>
      <c r="B2" s="4">
        <v>873740000</v>
      </c>
      <c r="C2" s="5">
        <f>B2</f>
        <v>873740000</v>
      </c>
      <c r="D2" s="5">
        <f>C2/2</f>
        <v>436870000</v>
      </c>
      <c r="E2" s="4">
        <f>IF(B2="","",G2-F2)</f>
        <v>404360000</v>
      </c>
      <c r="F2" s="5">
        <v>35605052</v>
      </c>
      <c r="G2" s="5">
        <v>439965052</v>
      </c>
      <c r="H2" s="4">
        <f>IF(B2="","",D2-G2)</f>
        <v>-3095052</v>
      </c>
      <c r="I2" s="4">
        <f>IF(B2="","",C2-D2)</f>
        <v>436870000</v>
      </c>
    </row>
    <row r="3" spans="1:9" hidden="1" x14ac:dyDescent="0.45">
      <c r="A3" t="s">
        <v>99</v>
      </c>
      <c r="B3" s="4"/>
      <c r="C3" s="5">
        <f t="shared" ref="C3:C27" si="0">B3</f>
        <v>0</v>
      </c>
      <c r="D3" s="5">
        <f t="shared" ref="D3:D27" si="1">C3/2</f>
        <v>0</v>
      </c>
      <c r="E3" s="4" t="str">
        <f t="shared" ref="E3:E53" si="2">IF(B3="","",G3-F3)</f>
        <v/>
      </c>
      <c r="F3" s="5"/>
      <c r="G3" s="5"/>
      <c r="H3" s="4" t="str">
        <f t="shared" ref="H3:H53" si="3">IF(B3="","",D3-G3)</f>
        <v/>
      </c>
      <c r="I3" s="4" t="str">
        <f t="shared" ref="I3:I53" si="4">IF(B3="","",C3-D3)</f>
        <v/>
      </c>
    </row>
    <row r="4" spans="1:9" hidden="1" x14ac:dyDescent="0.45">
      <c r="A4" t="s">
        <v>100</v>
      </c>
      <c r="B4" s="4"/>
      <c r="C4" s="5">
        <f t="shared" si="0"/>
        <v>0</v>
      </c>
      <c r="D4" s="5">
        <f t="shared" si="1"/>
        <v>0</v>
      </c>
      <c r="E4" s="4" t="str">
        <f t="shared" si="2"/>
        <v/>
      </c>
      <c r="F4" s="5"/>
      <c r="G4" s="5"/>
      <c r="H4" s="4" t="str">
        <f t="shared" si="3"/>
        <v/>
      </c>
      <c r="I4" s="4" t="str">
        <f t="shared" si="4"/>
        <v/>
      </c>
    </row>
    <row r="5" spans="1:9" hidden="1" x14ac:dyDescent="0.45">
      <c r="A5" t="s">
        <v>101</v>
      </c>
      <c r="B5" s="4"/>
      <c r="C5" s="5">
        <f t="shared" si="0"/>
        <v>0</v>
      </c>
      <c r="D5" s="5">
        <f t="shared" si="1"/>
        <v>0</v>
      </c>
      <c r="E5" s="4" t="str">
        <f t="shared" si="2"/>
        <v/>
      </c>
      <c r="F5" s="5"/>
      <c r="G5" s="5"/>
      <c r="H5" s="4" t="str">
        <f t="shared" si="3"/>
        <v/>
      </c>
      <c r="I5" s="4" t="str">
        <f t="shared" si="4"/>
        <v/>
      </c>
    </row>
    <row r="6" spans="1:9" hidden="1" x14ac:dyDescent="0.45">
      <c r="A6" t="s">
        <v>102</v>
      </c>
      <c r="B6" s="4"/>
      <c r="C6" s="5">
        <f t="shared" si="0"/>
        <v>0</v>
      </c>
      <c r="D6" s="5">
        <f t="shared" si="1"/>
        <v>0</v>
      </c>
      <c r="E6" s="4" t="str">
        <f t="shared" si="2"/>
        <v/>
      </c>
      <c r="F6" s="5"/>
      <c r="G6" s="5"/>
      <c r="H6" s="4" t="str">
        <f t="shared" si="3"/>
        <v/>
      </c>
      <c r="I6" s="4" t="str">
        <f t="shared" si="4"/>
        <v/>
      </c>
    </row>
    <row r="7" spans="1:9" hidden="1" x14ac:dyDescent="0.45">
      <c r="A7" t="s">
        <v>103</v>
      </c>
      <c r="B7" s="4"/>
      <c r="C7" s="5">
        <f t="shared" si="0"/>
        <v>0</v>
      </c>
      <c r="D7" s="5">
        <f t="shared" si="1"/>
        <v>0</v>
      </c>
      <c r="E7" s="4" t="str">
        <f t="shared" si="2"/>
        <v/>
      </c>
      <c r="F7" s="5"/>
      <c r="G7" s="5"/>
      <c r="H7" s="4" t="str">
        <f t="shared" si="3"/>
        <v/>
      </c>
      <c r="I7" s="4" t="str">
        <f t="shared" si="4"/>
        <v/>
      </c>
    </row>
    <row r="8" spans="1:9" hidden="1" x14ac:dyDescent="0.45">
      <c r="A8" t="s">
        <v>104</v>
      </c>
      <c r="B8" s="4"/>
      <c r="C8" s="5">
        <f t="shared" si="0"/>
        <v>0</v>
      </c>
      <c r="D8" s="5">
        <f t="shared" si="1"/>
        <v>0</v>
      </c>
      <c r="E8" s="4" t="str">
        <f t="shared" si="2"/>
        <v/>
      </c>
      <c r="F8" s="5"/>
      <c r="G8" s="5"/>
      <c r="H8" s="4" t="str">
        <f t="shared" si="3"/>
        <v/>
      </c>
      <c r="I8" s="4" t="str">
        <f t="shared" si="4"/>
        <v/>
      </c>
    </row>
    <row r="9" spans="1:9" hidden="1" x14ac:dyDescent="0.45">
      <c r="A9" t="s">
        <v>105</v>
      </c>
      <c r="B9" s="4"/>
      <c r="C9" s="5">
        <f t="shared" si="0"/>
        <v>0</v>
      </c>
      <c r="D9" s="5">
        <f t="shared" si="1"/>
        <v>0</v>
      </c>
      <c r="E9" s="4" t="str">
        <f t="shared" si="2"/>
        <v/>
      </c>
      <c r="F9" s="5"/>
      <c r="G9" s="5"/>
      <c r="H9" s="4" t="str">
        <f t="shared" si="3"/>
        <v/>
      </c>
      <c r="I9" s="4" t="str">
        <f t="shared" si="4"/>
        <v/>
      </c>
    </row>
    <row r="10" spans="1:9" hidden="1" x14ac:dyDescent="0.45">
      <c r="A10" t="s">
        <v>106</v>
      </c>
      <c r="B10" s="4"/>
      <c r="C10" s="5">
        <f t="shared" si="0"/>
        <v>0</v>
      </c>
      <c r="D10" s="5">
        <f t="shared" si="1"/>
        <v>0</v>
      </c>
      <c r="E10" s="4" t="str">
        <f t="shared" si="2"/>
        <v/>
      </c>
      <c r="F10" s="5"/>
      <c r="G10" s="5"/>
      <c r="H10" s="4" t="str">
        <f t="shared" si="3"/>
        <v/>
      </c>
      <c r="I10" s="4" t="str">
        <f t="shared" si="4"/>
        <v/>
      </c>
    </row>
    <row r="11" spans="1:9" hidden="1" x14ac:dyDescent="0.45">
      <c r="A11" t="s">
        <v>107</v>
      </c>
      <c r="B11" s="4"/>
      <c r="C11" s="5">
        <f t="shared" si="0"/>
        <v>0</v>
      </c>
      <c r="D11" s="5">
        <f t="shared" si="1"/>
        <v>0</v>
      </c>
      <c r="E11" s="4" t="str">
        <f t="shared" si="2"/>
        <v/>
      </c>
      <c r="F11" s="5"/>
      <c r="G11" s="5"/>
      <c r="H11" s="4" t="str">
        <f t="shared" si="3"/>
        <v/>
      </c>
      <c r="I11" s="4" t="str">
        <f t="shared" si="4"/>
        <v/>
      </c>
    </row>
    <row r="12" spans="1:9" hidden="1" x14ac:dyDescent="0.45">
      <c r="A12" t="s">
        <v>108</v>
      </c>
      <c r="B12" s="4"/>
      <c r="C12" s="5">
        <f t="shared" si="0"/>
        <v>0</v>
      </c>
      <c r="D12" s="5">
        <f t="shared" si="1"/>
        <v>0</v>
      </c>
      <c r="E12" s="4" t="str">
        <f t="shared" si="2"/>
        <v/>
      </c>
      <c r="F12" s="5"/>
      <c r="G12" s="5"/>
      <c r="H12" s="4" t="str">
        <f t="shared" si="3"/>
        <v/>
      </c>
      <c r="I12" s="4" t="str">
        <f t="shared" si="4"/>
        <v/>
      </c>
    </row>
    <row r="13" spans="1:9" hidden="1" x14ac:dyDescent="0.45">
      <c r="A13" t="s">
        <v>109</v>
      </c>
      <c r="B13" s="4"/>
      <c r="C13" s="5">
        <f t="shared" si="0"/>
        <v>0</v>
      </c>
      <c r="D13" s="5">
        <f t="shared" si="1"/>
        <v>0</v>
      </c>
      <c r="E13" s="4" t="str">
        <f t="shared" si="2"/>
        <v/>
      </c>
      <c r="F13" s="5"/>
      <c r="G13" s="5"/>
      <c r="H13" s="4" t="str">
        <f t="shared" si="3"/>
        <v/>
      </c>
      <c r="I13" s="4" t="str">
        <f t="shared" si="4"/>
        <v/>
      </c>
    </row>
    <row r="14" spans="1:9" hidden="1" x14ac:dyDescent="0.45">
      <c r="A14" t="s">
        <v>110</v>
      </c>
      <c r="B14" s="4"/>
      <c r="C14" s="5">
        <f t="shared" si="0"/>
        <v>0</v>
      </c>
      <c r="D14" s="5">
        <f t="shared" si="1"/>
        <v>0</v>
      </c>
      <c r="E14" s="4" t="str">
        <f t="shared" si="2"/>
        <v/>
      </c>
      <c r="F14" s="5"/>
      <c r="G14" s="5"/>
      <c r="H14" s="4" t="str">
        <f t="shared" si="3"/>
        <v/>
      </c>
      <c r="I14" s="4" t="str">
        <f t="shared" si="4"/>
        <v/>
      </c>
    </row>
    <row r="15" spans="1:9" hidden="1" x14ac:dyDescent="0.45">
      <c r="A15" t="s">
        <v>111</v>
      </c>
      <c r="B15" s="4"/>
      <c r="C15" s="5">
        <f t="shared" si="0"/>
        <v>0</v>
      </c>
      <c r="D15" s="5">
        <f t="shared" si="1"/>
        <v>0</v>
      </c>
      <c r="E15" s="4" t="str">
        <f t="shared" si="2"/>
        <v/>
      </c>
      <c r="F15" s="5"/>
      <c r="G15" s="5"/>
      <c r="H15" s="4" t="str">
        <f t="shared" si="3"/>
        <v/>
      </c>
      <c r="I15" s="4" t="str">
        <f t="shared" si="4"/>
        <v/>
      </c>
    </row>
    <row r="16" spans="1:9" hidden="1" x14ac:dyDescent="0.45">
      <c r="A16" t="s">
        <v>112</v>
      </c>
      <c r="B16" s="4"/>
      <c r="C16" s="5">
        <f t="shared" si="0"/>
        <v>0</v>
      </c>
      <c r="D16" s="5">
        <f t="shared" si="1"/>
        <v>0</v>
      </c>
      <c r="E16" s="4" t="str">
        <f t="shared" si="2"/>
        <v/>
      </c>
      <c r="F16" s="5"/>
      <c r="G16" s="5"/>
      <c r="H16" s="4" t="str">
        <f t="shared" si="3"/>
        <v/>
      </c>
      <c r="I16" s="4" t="str">
        <f t="shared" si="4"/>
        <v/>
      </c>
    </row>
    <row r="17" spans="1:9" hidden="1" x14ac:dyDescent="0.45">
      <c r="A17" t="s">
        <v>113</v>
      </c>
      <c r="B17" s="4"/>
      <c r="C17" s="5">
        <f t="shared" si="0"/>
        <v>0</v>
      </c>
      <c r="D17" s="5">
        <f t="shared" si="1"/>
        <v>0</v>
      </c>
      <c r="E17" s="4" t="str">
        <f t="shared" si="2"/>
        <v/>
      </c>
      <c r="F17" s="5"/>
      <c r="G17" s="5"/>
      <c r="H17" s="4" t="str">
        <f t="shared" si="3"/>
        <v/>
      </c>
      <c r="I17" s="4" t="str">
        <f t="shared" si="4"/>
        <v/>
      </c>
    </row>
    <row r="18" spans="1:9" hidden="1" x14ac:dyDescent="0.45">
      <c r="A18" t="s">
        <v>114</v>
      </c>
      <c r="B18" s="4"/>
      <c r="C18" s="5">
        <f t="shared" si="0"/>
        <v>0</v>
      </c>
      <c r="D18" s="5">
        <f t="shared" si="1"/>
        <v>0</v>
      </c>
      <c r="E18" s="4" t="str">
        <f t="shared" si="2"/>
        <v/>
      </c>
      <c r="F18" s="5"/>
      <c r="G18" s="5"/>
      <c r="H18" s="4" t="str">
        <f t="shared" si="3"/>
        <v/>
      </c>
      <c r="I18" s="4" t="str">
        <f t="shared" si="4"/>
        <v/>
      </c>
    </row>
    <row r="19" spans="1:9" x14ac:dyDescent="0.45">
      <c r="A19" t="s">
        <v>115</v>
      </c>
      <c r="B19" s="4">
        <v>474786000</v>
      </c>
      <c r="C19" s="5">
        <f t="shared" si="0"/>
        <v>474786000</v>
      </c>
      <c r="D19" s="5">
        <f t="shared" si="1"/>
        <v>237393000</v>
      </c>
      <c r="E19" s="4">
        <f t="shared" si="2"/>
        <v>0</v>
      </c>
      <c r="F19" s="5"/>
      <c r="G19" s="5"/>
      <c r="H19" s="4">
        <f t="shared" si="3"/>
        <v>237393000</v>
      </c>
      <c r="I19" s="4">
        <f t="shared" si="4"/>
        <v>237393000</v>
      </c>
    </row>
    <row r="20" spans="1:9" x14ac:dyDescent="0.45">
      <c r="A20" t="s">
        <v>116</v>
      </c>
      <c r="B20" s="4">
        <v>208425000</v>
      </c>
      <c r="C20" s="5">
        <f t="shared" si="0"/>
        <v>208425000</v>
      </c>
      <c r="D20" s="5">
        <f t="shared" si="1"/>
        <v>104212500</v>
      </c>
      <c r="E20" s="4">
        <f t="shared" si="2"/>
        <v>0</v>
      </c>
      <c r="F20" s="5"/>
      <c r="G20" s="5"/>
      <c r="H20" s="4">
        <f t="shared" si="3"/>
        <v>104212500</v>
      </c>
      <c r="I20" s="4">
        <f t="shared" si="4"/>
        <v>104212500</v>
      </c>
    </row>
    <row r="21" spans="1:9" x14ac:dyDescent="0.45">
      <c r="A21" t="s">
        <v>117</v>
      </c>
      <c r="B21" s="4">
        <v>20000000</v>
      </c>
      <c r="C21" s="5">
        <f>B21</f>
        <v>20000000</v>
      </c>
      <c r="D21" s="5">
        <v>13970000</v>
      </c>
      <c r="E21" s="4">
        <f t="shared" si="2"/>
        <v>13970000</v>
      </c>
      <c r="F21" s="5"/>
      <c r="G21" s="5">
        <v>13970000</v>
      </c>
      <c r="H21" s="4">
        <f t="shared" si="3"/>
        <v>0</v>
      </c>
      <c r="I21" s="4">
        <f t="shared" si="4"/>
        <v>6030000</v>
      </c>
    </row>
    <row r="22" spans="1:9" x14ac:dyDescent="0.45">
      <c r="A22" t="s">
        <v>118</v>
      </c>
      <c r="B22" s="4">
        <v>220000000</v>
      </c>
      <c r="C22" s="5">
        <f t="shared" si="0"/>
        <v>220000000</v>
      </c>
      <c r="D22" s="5">
        <f t="shared" si="1"/>
        <v>110000000</v>
      </c>
      <c r="E22" s="4">
        <f t="shared" si="2"/>
        <v>0</v>
      </c>
      <c r="F22" s="5">
        <v>29896778</v>
      </c>
      <c r="G22" s="5">
        <v>29896778</v>
      </c>
      <c r="H22" s="4">
        <f t="shared" si="3"/>
        <v>80103222</v>
      </c>
      <c r="I22" s="4">
        <f t="shared" si="4"/>
        <v>110000000</v>
      </c>
    </row>
    <row r="23" spans="1:9" x14ac:dyDescent="0.45">
      <c r="A23" t="s">
        <v>119</v>
      </c>
      <c r="B23" s="4">
        <v>75000000</v>
      </c>
      <c r="C23" s="5">
        <f t="shared" si="0"/>
        <v>75000000</v>
      </c>
      <c r="D23" s="5">
        <f t="shared" si="1"/>
        <v>37500000</v>
      </c>
      <c r="E23" s="4">
        <f t="shared" si="2"/>
        <v>0</v>
      </c>
      <c r="F23" s="5"/>
      <c r="G23" s="5"/>
      <c r="H23" s="4">
        <f t="shared" si="3"/>
        <v>37500000</v>
      </c>
      <c r="I23" s="4">
        <f t="shared" si="4"/>
        <v>37500000</v>
      </c>
    </row>
    <row r="24" spans="1:9" hidden="1" x14ac:dyDescent="0.45">
      <c r="A24" t="s">
        <v>120</v>
      </c>
      <c r="B24" s="4"/>
      <c r="C24" s="5">
        <f t="shared" si="0"/>
        <v>0</v>
      </c>
      <c r="D24" s="5">
        <f t="shared" si="1"/>
        <v>0</v>
      </c>
      <c r="E24" s="4" t="str">
        <f t="shared" si="2"/>
        <v/>
      </c>
      <c r="F24" s="5"/>
      <c r="G24" s="5"/>
      <c r="H24" s="4" t="str">
        <f t="shared" si="3"/>
        <v/>
      </c>
      <c r="I24" s="4" t="str">
        <f t="shared" si="4"/>
        <v/>
      </c>
    </row>
    <row r="25" spans="1:9" hidden="1" x14ac:dyDescent="0.45">
      <c r="A25" t="s">
        <v>121</v>
      </c>
      <c r="B25" s="4"/>
      <c r="C25" s="5">
        <f t="shared" si="0"/>
        <v>0</v>
      </c>
      <c r="D25" s="5">
        <f t="shared" si="1"/>
        <v>0</v>
      </c>
      <c r="E25" s="4" t="str">
        <f t="shared" si="2"/>
        <v/>
      </c>
      <c r="F25" s="5"/>
      <c r="G25" s="5"/>
      <c r="H25" s="4" t="str">
        <f t="shared" si="3"/>
        <v/>
      </c>
      <c r="I25" s="4" t="str">
        <f t="shared" si="4"/>
        <v/>
      </c>
    </row>
    <row r="26" spans="1:9" x14ac:dyDescent="0.45">
      <c r="A26" t="s">
        <v>122</v>
      </c>
      <c r="B26" s="4">
        <v>60000000</v>
      </c>
      <c r="C26" s="5">
        <f t="shared" si="0"/>
        <v>60000000</v>
      </c>
      <c r="D26" s="5">
        <f t="shared" si="1"/>
        <v>30000000</v>
      </c>
      <c r="E26" s="4">
        <f t="shared" si="2"/>
        <v>9000000</v>
      </c>
      <c r="F26" s="5"/>
      <c r="G26" s="5">
        <v>9000000</v>
      </c>
      <c r="H26" s="4">
        <f t="shared" si="3"/>
        <v>21000000</v>
      </c>
      <c r="I26" s="4">
        <f t="shared" si="4"/>
        <v>30000000</v>
      </c>
    </row>
    <row r="27" spans="1:9" x14ac:dyDescent="0.45">
      <c r="A27" t="s">
        <v>123</v>
      </c>
      <c r="B27" s="4">
        <v>45150000</v>
      </c>
      <c r="C27" s="5">
        <f t="shared" si="0"/>
        <v>45150000</v>
      </c>
      <c r="D27" s="5">
        <f t="shared" si="1"/>
        <v>22575000</v>
      </c>
      <c r="E27" s="4">
        <f t="shared" si="2"/>
        <v>6423200</v>
      </c>
      <c r="F27" s="5">
        <v>6119400</v>
      </c>
      <c r="G27" s="5">
        <v>12542600</v>
      </c>
      <c r="H27" s="4">
        <f t="shared" si="3"/>
        <v>10032400</v>
      </c>
      <c r="I27" s="4">
        <f t="shared" si="4"/>
        <v>22575000</v>
      </c>
    </row>
    <row r="28" spans="1:9" hidden="1" x14ac:dyDescent="0.45">
      <c r="A28" t="s">
        <v>124</v>
      </c>
      <c r="B28" s="4"/>
      <c r="C28" s="5"/>
      <c r="D28" s="5"/>
      <c r="E28" s="4" t="str">
        <f t="shared" si="2"/>
        <v/>
      </c>
      <c r="F28" s="5"/>
      <c r="G28" s="5"/>
      <c r="H28" s="4" t="str">
        <f t="shared" si="3"/>
        <v/>
      </c>
      <c r="I28" s="4" t="str">
        <f t="shared" si="4"/>
        <v/>
      </c>
    </row>
    <row r="29" spans="1:9" hidden="1" x14ac:dyDescent="0.45">
      <c r="A29" t="s">
        <v>125</v>
      </c>
      <c r="B29" s="4"/>
      <c r="C29" s="5"/>
      <c r="D29" s="5"/>
      <c r="E29" s="4" t="str">
        <f t="shared" si="2"/>
        <v/>
      </c>
      <c r="F29" s="5"/>
      <c r="G29" s="5"/>
      <c r="H29" s="4" t="str">
        <f t="shared" si="3"/>
        <v/>
      </c>
      <c r="I29" s="4" t="str">
        <f t="shared" si="4"/>
        <v/>
      </c>
    </row>
    <row r="30" spans="1:9" hidden="1" x14ac:dyDescent="0.45">
      <c r="A30" t="s">
        <v>126</v>
      </c>
      <c r="B30" s="4"/>
      <c r="C30" s="5"/>
      <c r="D30" s="5"/>
      <c r="E30" s="4" t="str">
        <f t="shared" si="2"/>
        <v/>
      </c>
      <c r="F30" s="5"/>
      <c r="G30" s="5"/>
      <c r="H30" s="4" t="str">
        <f t="shared" si="3"/>
        <v/>
      </c>
      <c r="I30" s="4" t="str">
        <f t="shared" si="4"/>
        <v/>
      </c>
    </row>
    <row r="31" spans="1:9" hidden="1" x14ac:dyDescent="0.45">
      <c r="A31" t="s">
        <v>127</v>
      </c>
      <c r="B31" s="4"/>
      <c r="C31" s="5"/>
      <c r="D31" s="5"/>
      <c r="E31" s="4" t="str">
        <f t="shared" si="2"/>
        <v/>
      </c>
      <c r="F31" s="5"/>
      <c r="G31" s="5"/>
      <c r="H31" s="4" t="str">
        <f t="shared" si="3"/>
        <v/>
      </c>
      <c r="I31" s="4" t="str">
        <f t="shared" si="4"/>
        <v/>
      </c>
    </row>
    <row r="32" spans="1:9" hidden="1" x14ac:dyDescent="0.45">
      <c r="A32" t="s">
        <v>128</v>
      </c>
      <c r="B32" s="4"/>
      <c r="C32" s="5"/>
      <c r="D32" s="5"/>
      <c r="E32" s="4" t="str">
        <f t="shared" si="2"/>
        <v/>
      </c>
      <c r="F32" s="5"/>
      <c r="G32" s="5"/>
      <c r="H32" s="4" t="str">
        <f t="shared" si="3"/>
        <v/>
      </c>
      <c r="I32" s="4" t="str">
        <f t="shared" si="4"/>
        <v/>
      </c>
    </row>
    <row r="33" spans="1:9" hidden="1" x14ac:dyDescent="0.45">
      <c r="A33" t="s">
        <v>129</v>
      </c>
      <c r="B33" s="4"/>
      <c r="C33" s="5"/>
      <c r="D33" s="5"/>
      <c r="E33" s="4" t="str">
        <f t="shared" si="2"/>
        <v/>
      </c>
      <c r="F33" s="5"/>
      <c r="G33" s="5"/>
      <c r="H33" s="4" t="str">
        <f t="shared" si="3"/>
        <v/>
      </c>
      <c r="I33" s="4" t="str">
        <f t="shared" si="4"/>
        <v/>
      </c>
    </row>
    <row r="34" spans="1:9" x14ac:dyDescent="0.45">
      <c r="A34" t="s">
        <v>130</v>
      </c>
      <c r="B34" s="4">
        <v>6000000</v>
      </c>
      <c r="C34" s="5">
        <f>B34</f>
        <v>6000000</v>
      </c>
      <c r="D34" s="5">
        <f>C34/4</f>
        <v>1500000</v>
      </c>
      <c r="E34" s="4">
        <f t="shared" si="2"/>
        <v>0</v>
      </c>
      <c r="F34" s="5"/>
      <c r="G34" s="5"/>
      <c r="H34" s="4">
        <f t="shared" si="3"/>
        <v>1500000</v>
      </c>
      <c r="I34" s="4">
        <f t="shared" si="4"/>
        <v>4500000</v>
      </c>
    </row>
    <row r="35" spans="1:9" x14ac:dyDescent="0.45">
      <c r="A35" t="s">
        <v>131</v>
      </c>
      <c r="B35" s="4">
        <v>41000000</v>
      </c>
      <c r="C35" s="5">
        <f t="shared" ref="C35:C40" si="5">B35</f>
        <v>41000000</v>
      </c>
      <c r="D35" s="5">
        <f t="shared" ref="D35:D40" si="6">C35/4</f>
        <v>10250000</v>
      </c>
      <c r="E35" s="4">
        <f t="shared" si="2"/>
        <v>1997700</v>
      </c>
      <c r="F35" s="5">
        <v>998400</v>
      </c>
      <c r="G35" s="5">
        <v>2996100</v>
      </c>
      <c r="H35" s="4">
        <f t="shared" si="3"/>
        <v>7253900</v>
      </c>
      <c r="I35" s="4">
        <f t="shared" si="4"/>
        <v>30750000</v>
      </c>
    </row>
    <row r="36" spans="1:9" x14ac:dyDescent="0.45">
      <c r="A36" t="s">
        <v>132</v>
      </c>
      <c r="B36" s="4">
        <v>12000000</v>
      </c>
      <c r="C36" s="5">
        <f t="shared" si="5"/>
        <v>12000000</v>
      </c>
      <c r="D36" s="5">
        <f t="shared" si="6"/>
        <v>3000000</v>
      </c>
      <c r="E36" s="4">
        <f t="shared" si="2"/>
        <v>0</v>
      </c>
      <c r="F36" s="5"/>
      <c r="G36" s="5"/>
      <c r="H36" s="4">
        <f t="shared" si="3"/>
        <v>3000000</v>
      </c>
      <c r="I36" s="4">
        <f t="shared" si="4"/>
        <v>9000000</v>
      </c>
    </row>
    <row r="37" spans="1:9" x14ac:dyDescent="0.45">
      <c r="A37" t="s">
        <v>133</v>
      </c>
      <c r="B37" s="4">
        <v>171000000</v>
      </c>
      <c r="C37" s="5">
        <f t="shared" si="5"/>
        <v>171000000</v>
      </c>
      <c r="D37" s="5">
        <f t="shared" si="6"/>
        <v>42750000</v>
      </c>
      <c r="E37" s="4">
        <f t="shared" si="2"/>
        <v>5880000</v>
      </c>
      <c r="F37" s="5"/>
      <c r="G37" s="5">
        <v>5880000</v>
      </c>
      <c r="H37" s="4">
        <f t="shared" si="3"/>
        <v>36870000</v>
      </c>
      <c r="I37" s="4">
        <f t="shared" si="4"/>
        <v>128250000</v>
      </c>
    </row>
    <row r="38" spans="1:9" x14ac:dyDescent="0.45">
      <c r="A38" t="s">
        <v>134</v>
      </c>
      <c r="B38" s="4">
        <v>130000000</v>
      </c>
      <c r="C38" s="5">
        <f t="shared" si="5"/>
        <v>130000000</v>
      </c>
      <c r="D38" s="5">
        <f t="shared" si="6"/>
        <v>32500000</v>
      </c>
      <c r="E38" s="4">
        <f t="shared" si="2"/>
        <v>0</v>
      </c>
      <c r="F38" s="5">
        <v>7381250</v>
      </c>
      <c r="G38" s="5">
        <v>7381250</v>
      </c>
      <c r="H38" s="4">
        <f t="shared" si="3"/>
        <v>25118750</v>
      </c>
      <c r="I38" s="4">
        <f t="shared" si="4"/>
        <v>97500000</v>
      </c>
    </row>
    <row r="39" spans="1:9" x14ac:dyDescent="0.45">
      <c r="A39" t="s">
        <v>135</v>
      </c>
      <c r="B39" s="4">
        <v>6660000</v>
      </c>
      <c r="C39" s="5">
        <f t="shared" si="5"/>
        <v>6660000</v>
      </c>
      <c r="D39" s="5">
        <f t="shared" si="6"/>
        <v>1665000</v>
      </c>
      <c r="E39" s="4">
        <f t="shared" si="2"/>
        <v>1665000</v>
      </c>
      <c r="F39" s="5"/>
      <c r="G39" s="5">
        <v>1665000</v>
      </c>
      <c r="H39" s="4">
        <f t="shared" si="3"/>
        <v>0</v>
      </c>
      <c r="I39" s="4">
        <f t="shared" si="4"/>
        <v>4995000</v>
      </c>
    </row>
    <row r="40" spans="1:9" x14ac:dyDescent="0.45">
      <c r="A40" t="s">
        <v>136</v>
      </c>
      <c r="B40" s="4">
        <v>6000000</v>
      </c>
      <c r="C40" s="5">
        <f t="shared" si="5"/>
        <v>6000000</v>
      </c>
      <c r="D40" s="5">
        <f t="shared" si="6"/>
        <v>1500000</v>
      </c>
      <c r="E40" s="4">
        <f t="shared" si="2"/>
        <v>0</v>
      </c>
      <c r="F40" s="5"/>
      <c r="G40" s="5"/>
      <c r="H40" s="4">
        <f t="shared" si="3"/>
        <v>1500000</v>
      </c>
      <c r="I40" s="4">
        <f t="shared" si="4"/>
        <v>4500000</v>
      </c>
    </row>
    <row r="41" spans="1:9" hidden="1" x14ac:dyDescent="0.45">
      <c r="A41" t="s">
        <v>137</v>
      </c>
      <c r="B41" s="4"/>
      <c r="C41" s="9"/>
      <c r="D41" s="9"/>
      <c r="E41" s="4" t="str">
        <f t="shared" si="2"/>
        <v/>
      </c>
      <c r="F41" s="9"/>
      <c r="G41" s="9"/>
      <c r="H41" s="4" t="str">
        <f t="shared" si="3"/>
        <v/>
      </c>
      <c r="I41" s="4" t="str">
        <f t="shared" si="4"/>
        <v/>
      </c>
    </row>
    <row r="42" spans="1:9" hidden="1" x14ac:dyDescent="0.45">
      <c r="A42" t="s">
        <v>138</v>
      </c>
      <c r="B42" s="4"/>
      <c r="C42" s="9"/>
      <c r="D42" s="9"/>
      <c r="E42" s="4" t="str">
        <f t="shared" si="2"/>
        <v/>
      </c>
      <c r="F42" s="9"/>
      <c r="G42" s="9"/>
      <c r="H42" s="4" t="str">
        <f t="shared" si="3"/>
        <v/>
      </c>
      <c r="I42" s="4" t="str">
        <f t="shared" si="4"/>
        <v/>
      </c>
    </row>
    <row r="43" spans="1:9" hidden="1" x14ac:dyDescent="0.45">
      <c r="A43" t="s">
        <v>139</v>
      </c>
      <c r="B43" s="4"/>
      <c r="C43" s="9"/>
      <c r="D43" s="9"/>
      <c r="E43" s="4" t="str">
        <f t="shared" si="2"/>
        <v/>
      </c>
      <c r="F43" s="9"/>
      <c r="G43" s="9"/>
      <c r="H43" s="4" t="str">
        <f t="shared" si="3"/>
        <v/>
      </c>
      <c r="I43" s="4" t="str">
        <f t="shared" si="4"/>
        <v/>
      </c>
    </row>
    <row r="44" spans="1:9" hidden="1" x14ac:dyDescent="0.45">
      <c r="A44" t="s">
        <v>140</v>
      </c>
      <c r="B44" s="4"/>
      <c r="C44" s="9"/>
      <c r="D44" s="9"/>
      <c r="E44" s="4" t="str">
        <f t="shared" si="2"/>
        <v/>
      </c>
      <c r="F44" s="9"/>
      <c r="G44" s="9"/>
      <c r="H44" s="4" t="str">
        <f t="shared" si="3"/>
        <v/>
      </c>
      <c r="I44" s="4" t="str">
        <f t="shared" si="4"/>
        <v/>
      </c>
    </row>
    <row r="45" spans="1:9" hidden="1" x14ac:dyDescent="0.45">
      <c r="A45" t="s">
        <v>141</v>
      </c>
      <c r="B45" s="4"/>
      <c r="C45" s="9"/>
      <c r="D45" s="9"/>
      <c r="E45" s="4" t="str">
        <f t="shared" si="2"/>
        <v/>
      </c>
      <c r="F45" s="9"/>
      <c r="G45" s="9"/>
      <c r="H45" s="4" t="str">
        <f t="shared" si="3"/>
        <v/>
      </c>
      <c r="I45" s="4" t="str">
        <f t="shared" si="4"/>
        <v/>
      </c>
    </row>
    <row r="46" spans="1:9" hidden="1" x14ac:dyDescent="0.45">
      <c r="A46" t="s">
        <v>142</v>
      </c>
      <c r="B46" s="4"/>
      <c r="C46" s="9"/>
      <c r="D46" s="9"/>
      <c r="E46" s="4" t="str">
        <f t="shared" si="2"/>
        <v/>
      </c>
      <c r="F46" s="9"/>
      <c r="G46" s="9"/>
      <c r="H46" s="4" t="str">
        <f t="shared" si="3"/>
        <v/>
      </c>
      <c r="I46" s="4" t="str">
        <f t="shared" si="4"/>
        <v/>
      </c>
    </row>
    <row r="47" spans="1:9" hidden="1" x14ac:dyDescent="0.45">
      <c r="A47" t="s">
        <v>143</v>
      </c>
      <c r="B47" s="4"/>
      <c r="C47" s="9"/>
      <c r="D47" s="9"/>
      <c r="E47" s="4" t="str">
        <f t="shared" si="2"/>
        <v/>
      </c>
      <c r="F47" s="9"/>
      <c r="G47" s="9"/>
      <c r="H47" s="4" t="str">
        <f t="shared" si="3"/>
        <v/>
      </c>
      <c r="I47" s="4" t="str">
        <f t="shared" si="4"/>
        <v/>
      </c>
    </row>
    <row r="48" spans="1:9" hidden="1" x14ac:dyDescent="0.45">
      <c r="A48" t="s">
        <v>144</v>
      </c>
      <c r="B48" s="4"/>
      <c r="C48" s="9"/>
      <c r="D48" s="9"/>
      <c r="E48" s="4" t="str">
        <f t="shared" si="2"/>
        <v/>
      </c>
      <c r="F48" s="9"/>
      <c r="G48" s="9"/>
      <c r="H48" s="4" t="str">
        <f t="shared" si="3"/>
        <v/>
      </c>
      <c r="I48" s="4" t="str">
        <f t="shared" si="4"/>
        <v/>
      </c>
    </row>
    <row r="49" spans="1:9" hidden="1" x14ac:dyDescent="0.45">
      <c r="A49" t="s">
        <v>145</v>
      </c>
      <c r="B49" s="4"/>
      <c r="C49" s="9"/>
      <c r="D49" s="9"/>
      <c r="E49" s="4" t="str">
        <f t="shared" si="2"/>
        <v/>
      </c>
      <c r="F49" s="9"/>
      <c r="G49" s="9"/>
      <c r="H49" s="4" t="str">
        <f t="shared" si="3"/>
        <v/>
      </c>
      <c r="I49" s="4" t="str">
        <f t="shared" si="4"/>
        <v/>
      </c>
    </row>
    <row r="50" spans="1:9" hidden="1" x14ac:dyDescent="0.45">
      <c r="A50" t="s">
        <v>146</v>
      </c>
      <c r="B50" s="4"/>
      <c r="C50" s="9"/>
      <c r="D50" s="9"/>
      <c r="E50" s="4" t="str">
        <f t="shared" si="2"/>
        <v/>
      </c>
      <c r="F50" s="9"/>
      <c r="G50" s="9"/>
      <c r="H50" s="4" t="str">
        <f t="shared" si="3"/>
        <v/>
      </c>
      <c r="I50" s="4" t="str">
        <f t="shared" si="4"/>
        <v/>
      </c>
    </row>
    <row r="51" spans="1:9" hidden="1" x14ac:dyDescent="0.45">
      <c r="A51" t="s">
        <v>147</v>
      </c>
      <c r="B51" s="4"/>
      <c r="C51" s="9"/>
      <c r="D51" s="9"/>
      <c r="E51" s="4" t="str">
        <f t="shared" si="2"/>
        <v/>
      </c>
      <c r="F51" s="9"/>
      <c r="G51" s="9"/>
      <c r="H51" s="4" t="str">
        <f t="shared" si="3"/>
        <v/>
      </c>
      <c r="I51" s="4" t="str">
        <f t="shared" si="4"/>
        <v/>
      </c>
    </row>
    <row r="52" spans="1:9" hidden="1" x14ac:dyDescent="0.45">
      <c r="A52" t="s">
        <v>148</v>
      </c>
      <c r="B52" s="4"/>
      <c r="C52" s="9"/>
      <c r="D52" s="9"/>
      <c r="E52" s="4" t="str">
        <f t="shared" si="2"/>
        <v/>
      </c>
      <c r="F52" s="9"/>
      <c r="G52" s="9"/>
      <c r="H52" s="4" t="str">
        <f t="shared" si="3"/>
        <v/>
      </c>
      <c r="I52" s="4" t="str">
        <f t="shared" si="4"/>
        <v/>
      </c>
    </row>
    <row r="53" spans="1:9" hidden="1" x14ac:dyDescent="0.45">
      <c r="A53" t="s">
        <v>149</v>
      </c>
      <c r="B53" s="4"/>
      <c r="C53" s="9"/>
      <c r="D53" s="9"/>
      <c r="E53" s="4" t="str">
        <f t="shared" si="2"/>
        <v/>
      </c>
      <c r="F53" s="9"/>
      <c r="G53" s="9"/>
      <c r="H53" s="4" t="str">
        <f t="shared" si="3"/>
        <v/>
      </c>
      <c r="I53" s="4" t="str">
        <f t="shared" si="4"/>
        <v/>
      </c>
    </row>
    <row r="54" spans="1:9" s="10" customFormat="1" x14ac:dyDescent="0.45">
      <c r="A54" s="10" t="s">
        <v>150</v>
      </c>
      <c r="B54" s="11">
        <f>SUM(B2:B53)</f>
        <v>2349761000</v>
      </c>
      <c r="C54" s="11">
        <f t="shared" ref="C54:I54" si="7">SUM(C2:C53)</f>
        <v>2349761000</v>
      </c>
      <c r="D54" s="11">
        <f t="shared" si="7"/>
        <v>1085685500</v>
      </c>
      <c r="E54" s="11">
        <f t="shared" si="7"/>
        <v>443295900</v>
      </c>
      <c r="F54" s="11">
        <f t="shared" si="7"/>
        <v>80000880</v>
      </c>
      <c r="G54" s="11">
        <f t="shared" si="7"/>
        <v>523296780</v>
      </c>
      <c r="H54" s="11">
        <f t="shared" si="7"/>
        <v>562388720</v>
      </c>
      <c r="I54" s="11">
        <f t="shared" si="7"/>
        <v>1264075500</v>
      </c>
    </row>
  </sheetData>
  <sheetProtection algorithmName="SHA-512" hashValue="1jAoxgEfH1v+py+BabjE1SWtZrOmBQzll5J+0nEkCC4zpdaAqkqUQlFy6oRCGkgRojK/rMDnTPHDGbW/CMwxXA==" saltValue="rHdoy6qRDxYzetfIY6x9cQ==" spinCount="100000" sheet="1" objects="1" scenarios="1"/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Budget 3 Juni 2024</vt:lpstr>
      <vt:lpstr>II PD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56781</dc:creator>
  <cp:lastModifiedBy>SANUSI ZULFIRMAN LUBIS</cp:lastModifiedBy>
  <dcterms:created xsi:type="dcterms:W3CDTF">2026-03-17T03:17:30Z</dcterms:created>
  <dcterms:modified xsi:type="dcterms:W3CDTF">2026-03-17T08:19:30Z</dcterms:modified>
</cp:coreProperties>
</file>