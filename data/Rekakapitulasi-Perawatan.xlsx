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3. TSSP.3\1. Laporan Bulanan\2026\2. Feb\KP\Perawatan Peralatan\"/>
    </mc:Choice>
  </mc:AlternateContent>
  <xr:revisionPtr revIDLastSave="0" documentId="13_ncr:1_{100962A3-B0F2-4ECC-82CE-2B38B6843834}" xr6:coauthVersionLast="47" xr6:coauthVersionMax="47" xr10:uidLastSave="{00000000-0000-0000-0000-000000000000}"/>
  <bookViews>
    <workbookView xWindow="-98" yWindow="-98" windowWidth="21795" windowHeight="12975" activeTab="1" xr2:uid="{89E2D6B6-1DCD-4189-A113-A83F3B882A03}"/>
  </bookViews>
  <sheets>
    <sheet name="Perawatan" sheetId="1" r:id="rId1"/>
    <sheet name="Pivot" sheetId="2" r:id="rId2"/>
  </sheets>
  <calcPr calcId="191029"/>
  <pivotCaches>
    <pivotCache cacheId="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8" i="2" l="1"/>
  <c r="G14" i="2"/>
  <c r="G12" i="2"/>
  <c r="G11" i="2"/>
  <c r="G10" i="2"/>
  <c r="G9" i="2"/>
  <c r="G8" i="2"/>
  <c r="G7" i="2"/>
  <c r="G6" i="2"/>
  <c r="G5" i="2"/>
  <c r="G4" i="2"/>
  <c r="G3" i="2"/>
  <c r="E16" i="2"/>
  <c r="G16" i="2" s="1"/>
  <c r="E15" i="2"/>
  <c r="G15" i="2" s="1"/>
  <c r="E14" i="2"/>
  <c r="E13" i="2"/>
  <c r="G13" i="2" s="1"/>
  <c r="E12" i="2"/>
  <c r="E11" i="2"/>
  <c r="E10" i="2"/>
  <c r="E9" i="2"/>
  <c r="E8" i="2"/>
  <c r="E7" i="2"/>
  <c r="E6" i="2"/>
  <c r="E5" i="2"/>
  <c r="E4" i="2"/>
  <c r="E3" i="2"/>
  <c r="C18" i="2"/>
  <c r="E18" i="2" l="1"/>
</calcChain>
</file>

<file path=xl/sharedStrings.xml><?xml version="1.0" encoding="utf-8"?>
<sst xmlns="http://schemas.openxmlformats.org/spreadsheetml/2006/main" count="1594" uniqueCount="118">
  <si>
    <t>Tahun</t>
  </si>
  <si>
    <t>Tanggal Update</t>
  </si>
  <si>
    <t>Wilayah</t>
  </si>
  <si>
    <t>Kelompok</t>
  </si>
  <si>
    <t>Kelompok Ceklis</t>
  </si>
  <si>
    <t>Periode</t>
  </si>
  <si>
    <t>Jumlah Aset</t>
  </si>
  <si>
    <t>Realisasi Perawatan</t>
  </si>
  <si>
    <t>Target Perawatan</t>
  </si>
  <si>
    <t>Persentase</t>
  </si>
  <si>
    <t>Daop 1 Jak</t>
  </si>
  <si>
    <t>Daop 1 Jak (LAA)</t>
  </si>
  <si>
    <t>Daop 2 Bd</t>
  </si>
  <si>
    <t>Daop 3 Cn</t>
  </si>
  <si>
    <t>Daop 4 Sm</t>
  </si>
  <si>
    <t>Daop 5 Pwt</t>
  </si>
  <si>
    <t>Daop 6 Yk</t>
  </si>
  <si>
    <t>Daop 7 Mn</t>
  </si>
  <si>
    <t>Daop 8 Sb</t>
  </si>
  <si>
    <t>Daop 9 Jr</t>
  </si>
  <si>
    <t>Divre I SU</t>
  </si>
  <si>
    <t>Divre II SB</t>
  </si>
  <si>
    <t>Divre III Pg</t>
  </si>
  <si>
    <t>Divre IV Tnk</t>
  </si>
  <si>
    <t>SINYAL</t>
  </si>
  <si>
    <t>TELKOM</t>
  </si>
  <si>
    <t>LAA</t>
  </si>
  <si>
    <t>Wesel E/M</t>
  </si>
  <si>
    <t>2 Mingguan</t>
  </si>
  <si>
    <t>PDS E/M</t>
  </si>
  <si>
    <t>1 Bulanan</t>
  </si>
  <si>
    <t>Peraga Sinyal E/M</t>
  </si>
  <si>
    <t>Pendeteksi KA</t>
  </si>
  <si>
    <t>Pintu Perlintasan</t>
  </si>
  <si>
    <t>Point Lock/Perintang/Pelalau</t>
  </si>
  <si>
    <t>Negative check Persinyalan mekanik</t>
  </si>
  <si>
    <t>CTC/CTS</t>
  </si>
  <si>
    <t>Location Case</t>
  </si>
  <si>
    <t>Catu Daya Sinyal</t>
  </si>
  <si>
    <t>Saluran kawat</t>
  </si>
  <si>
    <t>Radiolok</t>
  </si>
  <si>
    <t>1 Harian</t>
  </si>
  <si>
    <t>3 Bulanan</t>
  </si>
  <si>
    <t>1 Tahunan</t>
  </si>
  <si>
    <t>Way Station</t>
  </si>
  <si>
    <t>PK</t>
  </si>
  <si>
    <t>6 Bulanan</t>
  </si>
  <si>
    <t>Base Station</t>
  </si>
  <si>
    <t>FO</t>
  </si>
  <si>
    <t>Peralatan Telekomunikasi dalam stasiun</t>
  </si>
  <si>
    <t>Peralatan Telekomunikasi luar stasiun</t>
  </si>
  <si>
    <t>Peralatan Telekomunikasi JPL</t>
  </si>
  <si>
    <t>WLSE</t>
  </si>
  <si>
    <t>Saluran Blok</t>
  </si>
  <si>
    <t>Peralatan Gardu Traksi</t>
  </si>
  <si>
    <t>Perawatan SDSH</t>
  </si>
  <si>
    <t>Peralatan Panel AC DC Charger Baterai dan Baterai</t>
  </si>
  <si>
    <t>Peralatan HSCB</t>
  </si>
  <si>
    <t>Peralatan Sistem Pengendali Jarak Jauh (SPJJ)</t>
  </si>
  <si>
    <t>Uji Fungsi LBD</t>
  </si>
  <si>
    <t>Sistem Proteksi Petir dan Pentanahan Gardu Traksi</t>
  </si>
  <si>
    <t>Peralatan Kubikel 20 kV dan 6 kV</t>
  </si>
  <si>
    <t>Transformator Tipe Oli dan Sistem Proteksi</t>
  </si>
  <si>
    <t>Rectifier, Reaktor dan Sistem Proteksi</t>
  </si>
  <si>
    <t>Kubikel HSCB dan Kabel Outgoing</t>
  </si>
  <si>
    <t>Trafo Kering</t>
  </si>
  <si>
    <t>Trafo Location Case dan Trafo Tiang</t>
  </si>
  <si>
    <t>Perawatan dan Pengetesan Relay Proteksi DC Switch Gear</t>
  </si>
  <si>
    <t>Baterai Kering</t>
  </si>
  <si>
    <t>Perawatan dan Pengetesan Relay Proteksi 20 kV dan 6 kV</t>
  </si>
  <si>
    <t>Perawatan Manhole Kabel Negatif dan Terminasi Kabel di Rel</t>
  </si>
  <si>
    <t>Kubikel Negatif Gardu Traksi</t>
  </si>
  <si>
    <t>Bangunan E-House</t>
  </si>
  <si>
    <t>Peralatan Jaringan Catenary (Siang Hari)</t>
  </si>
  <si>
    <t>Detail Peralatan Jaringan Catenary (Window Time)</t>
  </si>
  <si>
    <t>Pengukuran Ketinggian pada Crossing</t>
  </si>
  <si>
    <t>Pengukuran Ketinggian dan Deviasi Kawat Trolley</t>
  </si>
  <si>
    <t>Pengukuran Ketebalan Kawat Trolley</t>
  </si>
  <si>
    <t>Section Insulator</t>
  </si>
  <si>
    <t>Overlap Air Section dan Air Joint</t>
  </si>
  <si>
    <t>Automatic Tensioning Device Type Pulley</t>
  </si>
  <si>
    <t>Disconnecting Switch</t>
  </si>
  <si>
    <t>Lightning Arrester Gardu Traksi</t>
  </si>
  <si>
    <t>Peralatan Overhead Conductor Rail (OCR)</t>
  </si>
  <si>
    <t>Pemeriksaan Peralatan Gardu Traksi</t>
  </si>
  <si>
    <t>Pemeriksaan SDSH</t>
  </si>
  <si>
    <t>Pemeriksaan Peralatan Jaringan Catenary (Siang Hari)</t>
  </si>
  <si>
    <t>Peralatan Telekomunikasi di JPL</t>
  </si>
  <si>
    <t>Negative check Persinyalan mekanik tanpa RS</t>
  </si>
  <si>
    <t>Negative check Persinyalan mekanik dengan RS</t>
  </si>
  <si>
    <t>Gardu Traksi Secheron</t>
  </si>
  <si>
    <t>Panel AC DC, Charger Baterai dan Baterai</t>
  </si>
  <si>
    <t>Peralatan HSCB Secheron</t>
  </si>
  <si>
    <t>Detail Peralatan HSCB Secheron</t>
  </si>
  <si>
    <t>Peralatan Kubikel 20KV</t>
  </si>
  <si>
    <t>Relay Proteksi DC Switchgear</t>
  </si>
  <si>
    <t>Relay Proteksi 20KV</t>
  </si>
  <si>
    <t>Manhole Kabel Negatif dan Terminasi kabel di Rel</t>
  </si>
  <si>
    <t>Pengukuran Ketinggian pada Crossing Kawat Trolley</t>
  </si>
  <si>
    <t>Automatic Tensioning Device - Type pulley (ATD)</t>
  </si>
  <si>
    <t>Detail Peralatan Overhead Conductor Rail</t>
  </si>
  <si>
    <t>Wesel M</t>
  </si>
  <si>
    <t>Wesel E</t>
  </si>
  <si>
    <t>PDS M</t>
  </si>
  <si>
    <t>PDS E</t>
  </si>
  <si>
    <t>Peraga Sinyal M</t>
  </si>
  <si>
    <t>Peraga Sinyal E</t>
  </si>
  <si>
    <t>Pendeteksi KA (Axc Siemens)</t>
  </si>
  <si>
    <t>Pendeteksi KA (Axc Altpro)</t>
  </si>
  <si>
    <t>Pendeteksi KA (Axc Frauscher)</t>
  </si>
  <si>
    <t>Track Circuit</t>
  </si>
  <si>
    <t>Kontak Deteksi Elektromekanis</t>
  </si>
  <si>
    <t>Axle Counter</t>
  </si>
  <si>
    <t>Row Labels</t>
  </si>
  <si>
    <t>Rata-rata Persentase</t>
  </si>
  <si>
    <t>Rata-rata STE</t>
  </si>
  <si>
    <t>Prog s.d
Feb</t>
  </si>
  <si>
    <t>Keterangan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</si>
</sst>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/>
    </xf>
    <xf numFmtId="10" fontId="0" fillId="0" borderId="0" xfId="1" applyNumberFormat="1" applyFont="1"/>
    <xf numFmtId="0" fontId="2" fillId="2" borderId="0" xfId="0" applyFont="1" applyFill="1" applyAlignment="1">
      <alignment horizontal="left"/>
    </xf>
    <xf numFmtId="10" fontId="2" fillId="2" borderId="0" xfId="0" applyNumberFormat="1" applyFont="1" applyFill="1"/>
    <xf numFmtId="0" fontId="0" fillId="0" borderId="0" xfId="0" pivotButton="1" applyAlignment="1">
      <alignment vertical="center" wrapText="1"/>
    </xf>
    <xf numFmtId="10" fontId="0" fillId="0" borderId="0" xfId="0" applyNumberFormat="1" applyAlignment="1">
      <alignment horizontal="right" vertical="center" wrapText="1"/>
    </xf>
    <xf numFmtId="0" fontId="0" fillId="0" borderId="0" xfId="0" applyAlignment="1">
      <alignment vertical="center" wrapText="1"/>
    </xf>
    <xf numFmtId="10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0" fontId="2" fillId="3" borderId="0" xfId="0" applyNumberFormat="1" applyFont="1" applyFill="1" applyAlignment="1">
      <alignment horizontal="right" vertical="center" wrapText="1"/>
    </xf>
    <xf numFmtId="10" fontId="2" fillId="3" borderId="0" xfId="0" applyNumberFormat="1" applyFont="1" applyFill="1" applyAlignment="1">
      <alignment horizontal="center" vertical="center" wrapText="1"/>
    </xf>
    <xf numFmtId="10" fontId="2" fillId="3" borderId="0" xfId="0" applyNumberFormat="1" applyFont="1" applyFill="1"/>
    <xf numFmtId="10" fontId="2" fillId="3" borderId="0" xfId="0" applyNumberFormat="1" applyFont="1" applyFill="1" applyAlignment="1">
      <alignment horizontal="center"/>
    </xf>
  </cellXfs>
  <cellStyles count="2">
    <cellStyle name="Normal" xfId="0" builtinId="0"/>
    <cellStyle name="Percent" xfId="1" builtinId="5"/>
  </cellStyles>
  <dxfs count="26"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numFmt numFmtId="14" formatCode="0.00%"/>
    </dxf>
    <dxf>
      <numFmt numFmtId="14" formatCode="0.00%"/>
    </dxf>
    <dxf>
      <alignment horizontal="right"/>
    </dxf>
    <dxf>
      <numFmt numFmtId="14" formatCode="0.00%"/>
    </dxf>
    <dxf>
      <numFmt numFmtId="14" formatCode="0.00%"/>
    </dxf>
    <dxf>
      <alignment horizontal="right"/>
    </dxf>
    <dxf>
      <alignment horizontal="right"/>
    </dxf>
    <dxf>
      <alignment horizontal="right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0.0%"/>
    </dxf>
    <dxf>
      <numFmt numFmtId="164" formatCode="0.0%"/>
    </dxf>
    <dxf>
      <numFmt numFmtId="14" formatCode="0.00%"/>
    </dxf>
    <dxf>
      <numFmt numFmtId="164" formatCode="0.0%"/>
    </dxf>
    <dxf>
      <numFmt numFmtId="164" formatCode="0.0%"/>
    </dxf>
    <dxf>
      <numFmt numFmtId="164" formatCode="0.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83.540880671295" createdVersion="7" refreshedVersion="7" minRefreshableVersion="3" recordCount="393" xr:uid="{88D458B4-39B6-4026-9E10-2FD1589CF6A2}">
  <cacheSource type="worksheet">
    <worksheetSource ref="A1:J1048576" sheet="Perawatan"/>
  </cacheSource>
  <cacheFields count="10">
    <cacheField name="Tanggal Update" numFmtId="0">
      <sharedItems containsNonDate="0" containsDate="1" containsString="0" containsBlank="1" minDate="2026-02-28T00:00:00" maxDate="2026-03-01T00:00:00"/>
    </cacheField>
    <cacheField name="Tahun" numFmtId="0">
      <sharedItems containsString="0" containsBlank="1" containsNumber="1" containsInteger="1" minValue="2026" maxValue="2026"/>
    </cacheField>
    <cacheField name="Wilayah" numFmtId="0">
      <sharedItems containsBlank="1" count="15">
        <s v="Daop 1 Jak"/>
        <s v="Daop 1 Jak (LAA)"/>
        <s v="Daop 2 Bd"/>
        <s v="Daop 3 Cn"/>
        <s v="Daop 4 Sm"/>
        <s v="Daop 5 Pwt"/>
        <s v="Daop 6 Yk"/>
        <s v="Daop 7 Mn"/>
        <s v="Daop 8 Sb"/>
        <s v="Daop 9 Jr"/>
        <s v="Divre I SU"/>
        <s v="Divre II SB"/>
        <s v="Divre III Pg"/>
        <s v="Divre IV Tnk"/>
        <m/>
      </sharedItems>
    </cacheField>
    <cacheField name="Kelompok" numFmtId="0">
      <sharedItems containsBlank="1"/>
    </cacheField>
    <cacheField name="Kelompok Ceklis" numFmtId="0">
      <sharedItems containsBlank="1"/>
    </cacheField>
    <cacheField name="Periode" numFmtId="0">
      <sharedItems containsBlank="1"/>
    </cacheField>
    <cacheField name="Jumlah Aset" numFmtId="0">
      <sharedItems containsString="0" containsBlank="1" containsNumber="1" containsInteger="1" minValue="1" maxValue="691280"/>
    </cacheField>
    <cacheField name="Realisasi Perawatan" numFmtId="0">
      <sharedItems containsString="0" containsBlank="1" containsNumber="1" containsInteger="1" minValue="0" maxValue="1348606"/>
    </cacheField>
    <cacheField name="Target Perawatan" numFmtId="0">
      <sharedItems containsString="0" containsBlank="1" containsNumber="1" containsInteger="1" minValue="1" maxValue="8295360"/>
    </cacheField>
    <cacheField name="Persentase" numFmtId="0">
      <sharedItems containsString="0" containsBlank="1" containsNumber="1" minValue="0" maxValue="0.93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3">
  <r>
    <d v="2026-02-28T00:00:00"/>
    <n v="2026"/>
    <x v="0"/>
    <s v="SINYAL"/>
    <s v="Wesel E/M"/>
    <s v="2 Mingguan"/>
    <n v="866"/>
    <n v="3430"/>
    <n v="20580"/>
    <n v="0.16669999999999999"/>
  </r>
  <r>
    <d v="2026-02-28T00:00:00"/>
    <n v="2026"/>
    <x v="0"/>
    <s v="SINYAL"/>
    <s v="PDS E/M"/>
    <s v="1 Bulanan"/>
    <n v="278"/>
    <n v="506"/>
    <n v="3024"/>
    <n v="0.1673"/>
  </r>
  <r>
    <d v="2026-02-28T00:00:00"/>
    <n v="2026"/>
    <x v="0"/>
    <s v="SINYAL"/>
    <s v="Peraga Sinyal E/M"/>
    <s v="1 Bulanan"/>
    <n v="1610"/>
    <n v="3234"/>
    <n v="19416"/>
    <n v="0.1666"/>
  </r>
  <r>
    <d v="2026-02-28T00:00:00"/>
    <n v="2026"/>
    <x v="0"/>
    <s v="SINYAL"/>
    <s v="Pendeteksi KA"/>
    <s v="1 Bulanan"/>
    <n v="2269"/>
    <n v="4566"/>
    <n v="27456"/>
    <n v="0.1663"/>
  </r>
  <r>
    <d v="2026-02-28T00:00:00"/>
    <n v="2026"/>
    <x v="0"/>
    <s v="SINYAL"/>
    <s v="Pintu Perlintasan"/>
    <s v="1 Bulanan"/>
    <n v="116"/>
    <n v="234"/>
    <n v="1404"/>
    <n v="0.16669999999999999"/>
  </r>
  <r>
    <d v="2026-02-28T00:00:00"/>
    <n v="2026"/>
    <x v="0"/>
    <s v="SINYAL"/>
    <s v="Point Lock/Perintang/Pelalau"/>
    <s v="2 Mingguan"/>
    <n v="24"/>
    <n v="92"/>
    <n v="556"/>
    <n v="0.16550000000000001"/>
  </r>
  <r>
    <d v="2026-02-28T00:00:00"/>
    <n v="2026"/>
    <x v="0"/>
    <s v="SINYAL"/>
    <s v="Negative check Persinyalan mekanik"/>
    <s v="1 Bulanan"/>
    <n v="4"/>
    <n v="9"/>
    <n v="48"/>
    <n v="0.1875"/>
  </r>
  <r>
    <d v="2026-02-28T00:00:00"/>
    <n v="2026"/>
    <x v="0"/>
    <s v="SINYAL"/>
    <s v="CTC/CTS"/>
    <s v="1 Bulanan"/>
    <n v="78"/>
    <n v="158"/>
    <n v="950"/>
    <n v="0.1663"/>
  </r>
  <r>
    <d v="2026-02-28T00:00:00"/>
    <n v="2026"/>
    <x v="0"/>
    <s v="SINYAL"/>
    <s v="Location Case"/>
    <s v="1 Bulanan"/>
    <n v="290"/>
    <n v="592"/>
    <n v="3552"/>
    <n v="0.16669999999999999"/>
  </r>
  <r>
    <d v="2026-02-28T00:00:00"/>
    <n v="2026"/>
    <x v="0"/>
    <s v="SINYAL"/>
    <s v="Catu Daya Sinyal"/>
    <s v="1 Bulanan"/>
    <n v="212"/>
    <n v="418"/>
    <n v="2508"/>
    <n v="0.16669999999999999"/>
  </r>
  <r>
    <d v="2026-02-28T00:00:00"/>
    <n v="2026"/>
    <x v="0"/>
    <s v="SINYAL"/>
    <s v="Saluran kawat"/>
    <s v="1 Bulanan"/>
    <n v="52"/>
    <n v="104"/>
    <n v="624"/>
    <n v="0.16669999999999999"/>
  </r>
  <r>
    <d v="2026-02-28T00:00:00"/>
    <n v="2026"/>
    <x v="0"/>
    <s v="TELKOM"/>
    <s v="Radiolok"/>
    <s v="1 Harian"/>
    <n v="58"/>
    <n v="4641"/>
    <n v="25564"/>
    <n v="0.18149999999999999"/>
  </r>
  <r>
    <d v="2026-02-28T00:00:00"/>
    <n v="2026"/>
    <x v="0"/>
    <s v="TELKOM"/>
    <s v="Radiolok"/>
    <s v="3 Bulanan"/>
    <n v="55"/>
    <n v="39"/>
    <n v="228"/>
    <n v="0.1711"/>
  </r>
  <r>
    <d v="2026-02-28T00:00:00"/>
    <n v="2026"/>
    <x v="0"/>
    <s v="TELKOM"/>
    <s v="Radiolok"/>
    <s v="1 Tahunan"/>
    <n v="55"/>
    <n v="10"/>
    <n v="57"/>
    <n v="0.1754"/>
  </r>
  <r>
    <d v="2026-02-28T00:00:00"/>
    <n v="2026"/>
    <x v="0"/>
    <s v="TELKOM"/>
    <s v="Way Station"/>
    <s v="3 Bulanan"/>
    <n v="133"/>
    <n v="114"/>
    <n v="548"/>
    <n v="0.20799999999999999"/>
  </r>
  <r>
    <d v="2026-02-28T00:00:00"/>
    <n v="2026"/>
    <x v="0"/>
    <s v="TELKOM"/>
    <s v="PK"/>
    <s v="6 Bulanan"/>
    <n v="6"/>
    <n v="6"/>
    <n v="12"/>
    <n v="0.5"/>
  </r>
  <r>
    <d v="2026-02-28T00:00:00"/>
    <n v="2026"/>
    <x v="0"/>
    <s v="TELKOM"/>
    <s v="Base Station"/>
    <s v="6 Bulanan"/>
    <n v="43"/>
    <n v="13"/>
    <n v="90"/>
    <n v="0.1444"/>
  </r>
  <r>
    <d v="2026-02-28T00:00:00"/>
    <n v="2026"/>
    <x v="0"/>
    <s v="TELKOM"/>
    <s v="FO"/>
    <s v="1 Bulanan"/>
    <n v="621"/>
    <n v="20841"/>
    <n v="117348"/>
    <n v="0.17760000000000001"/>
  </r>
  <r>
    <d v="2026-02-28T00:00:00"/>
    <n v="2026"/>
    <x v="0"/>
    <s v="TELKOM"/>
    <s v="Peralatan Telekomunikasi dalam stasiun"/>
    <s v="1 Bulanan"/>
    <n v="98"/>
    <n v="265"/>
    <n v="1584"/>
    <n v="0.1673"/>
  </r>
  <r>
    <d v="2026-02-28T00:00:00"/>
    <n v="2026"/>
    <x v="0"/>
    <s v="TELKOM"/>
    <s v="Peralatan Telekomunikasi luar stasiun"/>
    <s v="1 Bulanan"/>
    <n v="43"/>
    <n v="87"/>
    <n v="516"/>
    <n v="0.1686"/>
  </r>
  <r>
    <d v="2026-02-28T00:00:00"/>
    <n v="2026"/>
    <x v="0"/>
    <s v="TELKOM"/>
    <s v="Peralatan Telekomunikasi JPL"/>
    <s v="1 Bulanan"/>
    <n v="116"/>
    <n v="236"/>
    <n v="1416"/>
    <n v="0.16669999999999999"/>
  </r>
  <r>
    <d v="2026-02-28T00:00:00"/>
    <n v="2026"/>
    <x v="0"/>
    <s v="SINYAL"/>
    <s v="WLSE"/>
    <s v="1 Bulanan"/>
    <m/>
    <m/>
    <m/>
    <m/>
  </r>
  <r>
    <d v="2026-02-28T00:00:00"/>
    <n v="2026"/>
    <x v="0"/>
    <s v="TELKOM"/>
    <s v="Saluran Blok"/>
    <s v="1 Bulanan"/>
    <m/>
    <m/>
    <m/>
    <m/>
  </r>
  <r>
    <d v="2026-02-28T00:00:00"/>
    <n v="2026"/>
    <x v="0"/>
    <s v="TELKOM"/>
    <s v="Saluran Blok"/>
    <s v="6 Bulanan"/>
    <m/>
    <m/>
    <m/>
    <m/>
  </r>
  <r>
    <d v="2026-02-28T00:00:00"/>
    <n v="2026"/>
    <x v="0"/>
    <s v="TELKOM"/>
    <s v="Way Station"/>
    <s v="1 Tahunan"/>
    <m/>
    <m/>
    <m/>
    <m/>
  </r>
  <r>
    <d v="2026-02-28T00:00:00"/>
    <n v="2026"/>
    <x v="1"/>
    <s v="LAA"/>
    <s v="Peralatan Gardu Traksi"/>
    <s v="2 Mingguan"/>
    <n v="59"/>
    <n v="236"/>
    <n v="1416"/>
    <n v="0.16669999999999999"/>
  </r>
  <r>
    <d v="2026-02-28T00:00:00"/>
    <n v="2026"/>
    <x v="1"/>
    <s v="LAA"/>
    <s v="Perawatan SDSH"/>
    <s v="1 Bulanan"/>
    <n v="47"/>
    <n v="93"/>
    <n v="564"/>
    <n v="0.16489999999999999"/>
  </r>
  <r>
    <d v="2026-02-28T00:00:00"/>
    <n v="2026"/>
    <x v="1"/>
    <s v="LAA"/>
    <s v="Peralatan Panel AC DC Charger Baterai dan Baterai"/>
    <s v="1 Bulanan"/>
    <n v="59"/>
    <n v="118"/>
    <n v="708"/>
    <n v="0.16669999999999999"/>
  </r>
  <r>
    <d v="2026-02-28T00:00:00"/>
    <n v="2026"/>
    <x v="1"/>
    <s v="LAA"/>
    <s v="Peralatan HSCB"/>
    <s v="1 Bulanan"/>
    <n v="398"/>
    <n v="774"/>
    <n v="4776"/>
    <n v="0.16209999999999999"/>
  </r>
  <r>
    <d v="2026-02-28T00:00:00"/>
    <n v="2026"/>
    <x v="1"/>
    <s v="LAA"/>
    <s v="Peralatan HSCB"/>
    <s v="1 Tahunan"/>
    <n v="398"/>
    <n v="91"/>
    <n v="398"/>
    <n v="0.2286"/>
  </r>
  <r>
    <d v="2026-02-28T00:00:00"/>
    <n v="2026"/>
    <x v="1"/>
    <s v="LAA"/>
    <s v="Peralatan Sistem Pengendali Jarak Jauh (SPJJ)"/>
    <s v="1 Tahunan"/>
    <n v="64"/>
    <n v="33"/>
    <n v="128"/>
    <n v="0.25779999999999997"/>
  </r>
  <r>
    <d v="2026-02-28T00:00:00"/>
    <n v="2026"/>
    <x v="1"/>
    <s v="LAA"/>
    <s v="Uji Fungsi LBD"/>
    <s v="3 Bulanan"/>
    <n v="61"/>
    <n v="44"/>
    <n v="244"/>
    <n v="0.18029999999999999"/>
  </r>
  <r>
    <d v="2026-02-28T00:00:00"/>
    <n v="2026"/>
    <x v="1"/>
    <s v="LAA"/>
    <s v="Sistem Proteksi Petir dan Pentanahan Gardu Traksi"/>
    <s v="1 Tahunan"/>
    <n v="59"/>
    <n v="24"/>
    <n v="59"/>
    <n v="0.40679999999999999"/>
  </r>
  <r>
    <d v="2026-02-28T00:00:00"/>
    <n v="2026"/>
    <x v="1"/>
    <s v="LAA"/>
    <s v="Peralatan Kubikel 20 kV dan 6 kV"/>
    <s v="1 Tahunan"/>
    <n v="163"/>
    <n v="15"/>
    <n v="163"/>
    <n v="9.1999999999999998E-2"/>
  </r>
  <r>
    <d v="2026-02-28T00:00:00"/>
    <n v="2026"/>
    <x v="1"/>
    <s v="LAA"/>
    <s v="Transformator Tipe Oli dan Sistem Proteksi"/>
    <s v="1 Tahunan"/>
    <n v="265"/>
    <n v="22"/>
    <n v="265"/>
    <n v="8.3000000000000004E-2"/>
  </r>
  <r>
    <d v="2026-02-28T00:00:00"/>
    <n v="2026"/>
    <x v="1"/>
    <s v="LAA"/>
    <s v="Rectifier, Reaktor dan Sistem Proteksi"/>
    <s v="1 Tahunan"/>
    <n v="72"/>
    <n v="11"/>
    <n v="72"/>
    <n v="0.15279999999999999"/>
  </r>
  <r>
    <d v="2026-02-28T00:00:00"/>
    <n v="2026"/>
    <x v="1"/>
    <s v="LAA"/>
    <s v="Kubikel HSCB dan Kabel Outgoing"/>
    <s v="1 Tahunan"/>
    <n v="290"/>
    <n v="20"/>
    <n v="290"/>
    <n v="6.9000000000000006E-2"/>
  </r>
  <r>
    <d v="2026-02-28T00:00:00"/>
    <n v="2026"/>
    <x v="1"/>
    <s v="LAA"/>
    <s v="Trafo Kering"/>
    <s v="6 Bulanan"/>
    <n v="10"/>
    <m/>
    <n v="20"/>
    <n v="0"/>
  </r>
  <r>
    <d v="2026-02-28T00:00:00"/>
    <n v="2026"/>
    <x v="1"/>
    <s v="LAA"/>
    <s v="Trafo Location Case dan Trafo Tiang"/>
    <s v="6 Bulanan"/>
    <n v="30"/>
    <n v="12"/>
    <n v="60"/>
    <n v="0.2"/>
  </r>
  <r>
    <d v="2026-02-28T00:00:00"/>
    <n v="2026"/>
    <x v="1"/>
    <s v="LAA"/>
    <s v="Perawatan dan Pengetesan Relay Proteksi DC Switch Gear"/>
    <s v="1 Tahunan"/>
    <n v="395"/>
    <n v="131"/>
    <n v="395"/>
    <n v="0.33160000000000001"/>
  </r>
  <r>
    <d v="2026-02-28T00:00:00"/>
    <n v="2026"/>
    <x v="1"/>
    <s v="LAA"/>
    <s v="Baterai Kering"/>
    <s v="3 Bulanan"/>
    <n v="100"/>
    <n v="50"/>
    <n v="400"/>
    <n v="0.125"/>
  </r>
  <r>
    <d v="2026-02-28T00:00:00"/>
    <n v="2026"/>
    <x v="1"/>
    <s v="LAA"/>
    <s v="Perawatan dan Pengetesan Relay Proteksi 20 kV dan 6 kV"/>
    <s v="1 Tahunan"/>
    <n v="244"/>
    <n v="58"/>
    <n v="244"/>
    <n v="0.23769999999999999"/>
  </r>
  <r>
    <d v="2026-02-28T00:00:00"/>
    <n v="2026"/>
    <x v="1"/>
    <s v="LAA"/>
    <s v="Perawatan Manhole Kabel Negatif dan Terminasi Kabel di Rel"/>
    <s v="3 Bulanan"/>
    <n v="69"/>
    <n v="41"/>
    <n v="276"/>
    <n v="0.14860000000000001"/>
  </r>
  <r>
    <d v="2026-02-28T00:00:00"/>
    <n v="2026"/>
    <x v="1"/>
    <s v="LAA"/>
    <s v="Kubikel Negatif Gardu Traksi"/>
    <s v="1 Tahunan"/>
    <n v="61"/>
    <n v="7"/>
    <n v="61"/>
    <n v="0.1148"/>
  </r>
  <r>
    <d v="2026-02-28T00:00:00"/>
    <n v="2026"/>
    <x v="1"/>
    <s v="LAA"/>
    <s v="Bangunan E-House"/>
    <s v="1 Tahunan"/>
    <n v="3"/>
    <m/>
    <n v="3"/>
    <n v="0"/>
  </r>
  <r>
    <d v="2026-02-28T00:00:00"/>
    <n v="2026"/>
    <x v="1"/>
    <s v="LAA"/>
    <s v="Peralatan Jaringan Catenary (Siang Hari)"/>
    <s v="1 Bulanan"/>
    <n v="691280"/>
    <n v="1348606"/>
    <n v="8295360"/>
    <n v="0.16259999999999999"/>
  </r>
  <r>
    <d v="2026-02-28T00:00:00"/>
    <n v="2026"/>
    <x v="1"/>
    <s v="LAA"/>
    <s v="Detail Peralatan Jaringan Catenary (Window Time)"/>
    <s v="6 Bulanan"/>
    <n v="689046"/>
    <n v="211349"/>
    <n v="1378092"/>
    <n v="0.15340000000000001"/>
  </r>
  <r>
    <d v="2026-02-28T00:00:00"/>
    <n v="2026"/>
    <x v="1"/>
    <s v="LAA"/>
    <s v="Pengukuran Ketinggian pada Crossing"/>
    <s v="2 Mingguan"/>
    <n v="647"/>
    <n v="2520"/>
    <n v="15528"/>
    <n v="0.1623"/>
  </r>
  <r>
    <d v="2026-02-28T00:00:00"/>
    <n v="2026"/>
    <x v="1"/>
    <s v="LAA"/>
    <s v="Pengukuran Ketinggian dan Deviasi Kawat Trolley"/>
    <s v="3 Bulanan"/>
    <n v="691098"/>
    <n v="548459"/>
    <n v="2764392"/>
    <n v="0.19839999999999999"/>
  </r>
  <r>
    <d v="2026-02-28T00:00:00"/>
    <n v="2026"/>
    <x v="1"/>
    <s v="LAA"/>
    <s v="Pengukuran Ketebalan Kawat Trolley"/>
    <s v="1 Tahunan"/>
    <n v="691280"/>
    <n v="178733"/>
    <n v="691280"/>
    <n v="0.2586"/>
  </r>
  <r>
    <d v="2026-02-28T00:00:00"/>
    <n v="2026"/>
    <x v="1"/>
    <s v="LAA"/>
    <s v="Section Insulator"/>
    <s v="3 Bulanan"/>
    <n v="345"/>
    <n v="211"/>
    <n v="1380"/>
    <n v="0.15290000000000001"/>
  </r>
  <r>
    <d v="2026-02-28T00:00:00"/>
    <n v="2026"/>
    <x v="1"/>
    <s v="LAA"/>
    <s v="Overlap Air Section dan Air Joint"/>
    <s v="1 Tahunan"/>
    <n v="501"/>
    <n v="128"/>
    <n v="501"/>
    <n v="0.2555"/>
  </r>
  <r>
    <d v="2026-02-28T00:00:00"/>
    <n v="2026"/>
    <x v="1"/>
    <s v="LAA"/>
    <s v="Automatic Tensioning Device Type Pulley"/>
    <s v="6 Bulanan"/>
    <n v="1109"/>
    <n v="345"/>
    <n v="2218"/>
    <n v="0.1555"/>
  </r>
  <r>
    <d v="2026-02-28T00:00:00"/>
    <n v="2026"/>
    <x v="1"/>
    <s v="LAA"/>
    <s v="Disconnecting Switch"/>
    <s v="1 Tahunan"/>
    <n v="649"/>
    <n v="74"/>
    <n v="649"/>
    <n v="0.114"/>
  </r>
  <r>
    <d v="2026-02-28T00:00:00"/>
    <n v="2026"/>
    <x v="1"/>
    <s v="LAA"/>
    <s v="Lightning Arrester Gardu Traksi"/>
    <s v="1 Tahunan"/>
    <n v="331"/>
    <n v="16"/>
    <n v="331"/>
    <n v="4.8300000000000003E-2"/>
  </r>
  <r>
    <d v="2026-02-28T00:00:00"/>
    <n v="2026"/>
    <x v="1"/>
    <s v="LAA"/>
    <s v="Peralatan Overhead Conductor Rail (OCR)"/>
    <s v="6 Bulanan"/>
    <n v="2234"/>
    <m/>
    <n v="4468"/>
    <n v="0"/>
  </r>
  <r>
    <d v="2026-02-28T00:00:00"/>
    <n v="2026"/>
    <x v="1"/>
    <s v="LAA"/>
    <s v="Pemeriksaan Peralatan Gardu Traksi"/>
    <s v="2 Mingguan"/>
    <n v="59"/>
    <n v="234"/>
    <n v="1416"/>
    <n v="0.1653"/>
  </r>
  <r>
    <d v="2026-02-28T00:00:00"/>
    <n v="2026"/>
    <x v="1"/>
    <s v="LAA"/>
    <s v="Pemeriksaan SDSH"/>
    <s v="1 Bulanan"/>
    <n v="47"/>
    <n v="95"/>
    <n v="564"/>
    <n v="0.16839999999999999"/>
  </r>
  <r>
    <d v="2026-02-28T00:00:00"/>
    <n v="2026"/>
    <x v="1"/>
    <s v="LAA"/>
    <s v="Pemeriksaan Peralatan Jaringan Catenary (Siang Hari)"/>
    <s v="1 Bulanan"/>
    <m/>
    <m/>
    <m/>
    <m/>
  </r>
  <r>
    <d v="2026-02-28T00:00:00"/>
    <n v="2026"/>
    <x v="2"/>
    <s v="SINYAL"/>
    <s v="Wesel E/M"/>
    <s v="2 Mingguan"/>
    <n v="366"/>
    <n v="1464"/>
    <n v="8784"/>
    <n v="0.16669999999999999"/>
  </r>
  <r>
    <d v="2026-02-28T00:00:00"/>
    <n v="2026"/>
    <x v="2"/>
    <s v="SINYAL"/>
    <s v="PDS E/M"/>
    <s v="1 Bulanan"/>
    <n v="244"/>
    <n v="488"/>
    <n v="2928"/>
    <n v="0.16669999999999999"/>
  </r>
  <r>
    <d v="2026-02-28T00:00:00"/>
    <n v="2026"/>
    <x v="2"/>
    <s v="SINYAL"/>
    <s v="Peraga Sinyal E/M"/>
    <s v="1 Bulanan"/>
    <n v="640"/>
    <n v="1288"/>
    <n v="7680"/>
    <n v="0.16769999999999999"/>
  </r>
  <r>
    <d v="2026-02-28T00:00:00"/>
    <n v="2026"/>
    <x v="2"/>
    <s v="SINYAL"/>
    <s v="Pendeteksi KA"/>
    <s v="1 Bulanan"/>
    <n v="696"/>
    <n v="1486"/>
    <n v="8952"/>
    <n v="0.16600000000000001"/>
  </r>
  <r>
    <d v="2026-02-28T00:00:00"/>
    <n v="2026"/>
    <x v="2"/>
    <s v="SINYAL"/>
    <s v="Pintu Perlintasan"/>
    <s v="1 Bulanan"/>
    <n v="90"/>
    <n v="182"/>
    <n v="1104"/>
    <n v="0.16489999999999999"/>
  </r>
  <r>
    <d v="2026-02-28T00:00:00"/>
    <n v="2026"/>
    <x v="2"/>
    <s v="SINYAL"/>
    <s v="Point Lock/Perintang/Pelalau"/>
    <s v="2 Mingguan"/>
    <n v="8"/>
    <n v="42"/>
    <n v="192"/>
    <n v="0.21879999999999999"/>
  </r>
  <r>
    <d v="2026-02-28T00:00:00"/>
    <n v="2026"/>
    <x v="2"/>
    <s v="SINYAL"/>
    <s v="Negative check Persinyalan mekanik"/>
    <s v="1 Bulanan"/>
    <n v="25"/>
    <n v="47"/>
    <n v="300"/>
    <n v="0.15670000000000001"/>
  </r>
  <r>
    <d v="2026-02-28T00:00:00"/>
    <n v="2026"/>
    <x v="2"/>
    <s v="SINYAL"/>
    <s v="CTC/CTS"/>
    <s v="1 Bulanan"/>
    <n v="3"/>
    <n v="6"/>
    <n v="36"/>
    <n v="0.16669999999999999"/>
  </r>
  <r>
    <d v="2026-02-28T00:00:00"/>
    <n v="2026"/>
    <x v="2"/>
    <s v="SINYAL"/>
    <s v="Location Case"/>
    <s v="1 Bulanan"/>
    <n v="73"/>
    <n v="146"/>
    <n v="840"/>
    <n v="0.17380000000000001"/>
  </r>
  <r>
    <d v="2026-02-28T00:00:00"/>
    <n v="2026"/>
    <x v="2"/>
    <s v="SINYAL"/>
    <s v="Catu Daya Sinyal"/>
    <s v="1 Bulanan"/>
    <n v="139"/>
    <n v="278"/>
    <n v="1668"/>
    <n v="0.16669999999999999"/>
  </r>
  <r>
    <d v="2026-02-28T00:00:00"/>
    <n v="2026"/>
    <x v="2"/>
    <s v="SINYAL"/>
    <s v="Saluran kawat"/>
    <s v="1 Bulanan"/>
    <n v="273"/>
    <n v="546"/>
    <n v="3276"/>
    <n v="0.16669999999999999"/>
  </r>
  <r>
    <d v="2026-02-28T00:00:00"/>
    <n v="2026"/>
    <x v="2"/>
    <s v="TELKOM"/>
    <s v="Radiolok"/>
    <s v="1 Harian"/>
    <n v="14"/>
    <n v="826"/>
    <n v="5110"/>
    <n v="0.16159999999999999"/>
  </r>
  <r>
    <d v="2026-02-28T00:00:00"/>
    <n v="2026"/>
    <x v="2"/>
    <s v="TELKOM"/>
    <s v="Radiolok"/>
    <s v="3 Bulanan"/>
    <n v="30"/>
    <n v="14"/>
    <n v="120"/>
    <n v="0.1167"/>
  </r>
  <r>
    <d v="2026-02-28T00:00:00"/>
    <n v="2026"/>
    <x v="2"/>
    <s v="TELKOM"/>
    <s v="Radiolok"/>
    <s v="1 Tahunan"/>
    <n v="30"/>
    <n v="0"/>
    <n v="30"/>
    <n v="0"/>
  </r>
  <r>
    <d v="2026-02-28T00:00:00"/>
    <n v="2026"/>
    <x v="2"/>
    <s v="TELKOM"/>
    <s v="Way Station"/>
    <s v="3 Bulanan"/>
    <n v="52"/>
    <n v="46"/>
    <n v="208"/>
    <n v="0.22120000000000001"/>
  </r>
  <r>
    <d v="2026-02-28T00:00:00"/>
    <n v="2026"/>
    <x v="2"/>
    <s v="TELKOM"/>
    <s v="Way Station"/>
    <s v="1 Tahunan"/>
    <n v="47"/>
    <n v="34"/>
    <n v="52"/>
    <n v="0.65380000000000005"/>
  </r>
  <r>
    <d v="2026-02-28T00:00:00"/>
    <n v="2026"/>
    <x v="2"/>
    <s v="TELKOM"/>
    <s v="PK"/>
    <s v="6 Bulanan"/>
    <n v="3"/>
    <n v="0"/>
    <n v="6"/>
    <n v="0"/>
  </r>
  <r>
    <d v="2026-02-28T00:00:00"/>
    <n v="2026"/>
    <x v="2"/>
    <s v="TELKOM"/>
    <s v="Base Station"/>
    <s v="6 Bulanan"/>
    <n v="17"/>
    <n v="15"/>
    <n v="34"/>
    <n v="0.44119999999999998"/>
  </r>
  <r>
    <d v="2026-02-28T00:00:00"/>
    <n v="2026"/>
    <x v="2"/>
    <s v="TELKOM"/>
    <s v="FO"/>
    <s v="1 Bulanan"/>
    <n v="189"/>
    <n v="377"/>
    <n v="2268"/>
    <n v="0.16619999999999999"/>
  </r>
  <r>
    <d v="2026-02-28T00:00:00"/>
    <n v="2026"/>
    <x v="2"/>
    <s v="TELKOM"/>
    <s v="Peralatan Telekomunikasi dalam stasiun"/>
    <s v="1 Bulanan"/>
    <n v="287"/>
    <n v="580"/>
    <n v="3444"/>
    <n v="0.16839999999999999"/>
  </r>
  <r>
    <d v="2026-02-28T00:00:00"/>
    <n v="2026"/>
    <x v="2"/>
    <s v="TELKOM"/>
    <s v="Peralatan Telekomunikasi luar stasiun"/>
    <s v="1 Bulanan"/>
    <n v="74"/>
    <n v="158"/>
    <n v="948"/>
    <n v="0.16669999999999999"/>
  </r>
  <r>
    <d v="2026-02-28T00:00:00"/>
    <n v="2026"/>
    <x v="2"/>
    <s v="TELKOM"/>
    <s v="Peralatan Telekomunikasi JPL"/>
    <s v="1 Bulanan"/>
    <n v="123"/>
    <n v="269"/>
    <n v="1644"/>
    <n v="0.1636"/>
  </r>
  <r>
    <d v="2026-02-28T00:00:00"/>
    <n v="2026"/>
    <x v="2"/>
    <s v="SINYAL"/>
    <s v="WLSE"/>
    <s v="1 Bulanan"/>
    <m/>
    <m/>
    <m/>
    <m/>
  </r>
  <r>
    <d v="2026-02-28T00:00:00"/>
    <n v="2026"/>
    <x v="2"/>
    <s v="TELKOM"/>
    <s v="Saluran Blok"/>
    <s v="1 Bulanan"/>
    <n v="29"/>
    <n v="53"/>
    <n v="348"/>
    <n v="0.15229999999999999"/>
  </r>
  <r>
    <d v="2026-02-28T00:00:00"/>
    <n v="2026"/>
    <x v="2"/>
    <s v="TELKOM"/>
    <s v="Saluran Blok"/>
    <s v="6 Bulanan"/>
    <n v="15"/>
    <n v="12"/>
    <n v="30"/>
    <n v="0.4"/>
  </r>
  <r>
    <d v="2026-02-28T00:00:00"/>
    <n v="2026"/>
    <x v="3"/>
    <s v="SINYAL"/>
    <s v="Wesel E/M"/>
    <s v="2 Mingguan"/>
    <n v="293"/>
    <n v="1172"/>
    <n v="7032"/>
    <n v="0.16669999999999999"/>
  </r>
  <r>
    <d v="2026-02-28T00:00:00"/>
    <n v="2026"/>
    <x v="3"/>
    <s v="SINYAL"/>
    <s v="PDS E/M"/>
    <s v="1 Bulanan"/>
    <n v="37"/>
    <n v="74"/>
    <n v="444"/>
    <n v="0.16669999999999999"/>
  </r>
  <r>
    <d v="2026-02-28T00:00:00"/>
    <n v="2026"/>
    <x v="3"/>
    <s v="SINYAL"/>
    <s v="Peraga Sinyal E/M"/>
    <s v="1 Bulanan"/>
    <n v="493"/>
    <n v="499"/>
    <n v="5916"/>
    <n v="8.43E-2"/>
  </r>
  <r>
    <d v="2026-02-28T00:00:00"/>
    <n v="2026"/>
    <x v="3"/>
    <s v="SINYAL"/>
    <s v="CTC/CTS"/>
    <s v="1 Bulanan"/>
    <n v="2"/>
    <n v="4"/>
    <n v="24"/>
    <n v="0.16669999999999999"/>
  </r>
  <r>
    <d v="2026-02-28T00:00:00"/>
    <n v="2026"/>
    <x v="3"/>
    <s v="SINYAL"/>
    <s v="Pendeteksi KA"/>
    <s v="1 Bulanan"/>
    <n v="749"/>
    <n v="1499"/>
    <n v="8988"/>
    <n v="0.1668"/>
  </r>
  <r>
    <d v="2026-02-28T00:00:00"/>
    <n v="2026"/>
    <x v="3"/>
    <s v="SINYAL"/>
    <s v="Location Case"/>
    <s v="1 Bulanan"/>
    <n v="177"/>
    <n v="310"/>
    <n v="1932"/>
    <n v="0.1605"/>
  </r>
  <r>
    <d v="2026-02-28T00:00:00"/>
    <n v="2026"/>
    <x v="3"/>
    <s v="SINYAL"/>
    <s v="Point Lock/Perintang/Pelalau"/>
    <s v="2 Mingguan"/>
    <n v="45"/>
    <n v="188"/>
    <n v="1128"/>
    <n v="0.16669999999999999"/>
  </r>
  <r>
    <d v="2026-02-28T00:00:00"/>
    <n v="2026"/>
    <x v="3"/>
    <s v="SINYAL"/>
    <s v="Pintu Perlintasan"/>
    <s v="1 Bulanan"/>
    <n v="55"/>
    <n v="103"/>
    <n v="660"/>
    <n v="0.15609999999999999"/>
  </r>
  <r>
    <d v="2026-02-28T00:00:00"/>
    <n v="2026"/>
    <x v="3"/>
    <s v="SINYAL"/>
    <s v="Negative check Persinyalan mekanik"/>
    <s v="1 Bulanan"/>
    <m/>
    <m/>
    <m/>
    <m/>
  </r>
  <r>
    <d v="2026-02-28T00:00:00"/>
    <n v="2026"/>
    <x v="3"/>
    <s v="SINYAL"/>
    <s v="Catu Daya Sinyal"/>
    <s v="1 Bulanan"/>
    <n v="45"/>
    <n v="88"/>
    <n v="540"/>
    <n v="0.16300000000000001"/>
  </r>
  <r>
    <d v="2026-02-28T00:00:00"/>
    <n v="2026"/>
    <x v="3"/>
    <s v="SINYAL"/>
    <s v="Saluran kawat"/>
    <s v="1 Bulanan"/>
    <m/>
    <m/>
    <m/>
    <m/>
  </r>
  <r>
    <d v="2026-02-28T00:00:00"/>
    <n v="2026"/>
    <x v="3"/>
    <s v="TELKOM"/>
    <s v="Radiolok"/>
    <s v="1 Harian"/>
    <n v="3"/>
    <n v="257"/>
    <n v="1095"/>
    <n v="0.23469999999999999"/>
  </r>
  <r>
    <d v="2026-02-28T00:00:00"/>
    <n v="2026"/>
    <x v="3"/>
    <s v="TELKOM"/>
    <s v="Radiolok"/>
    <s v="3 Bulanan"/>
    <n v="14"/>
    <n v="10"/>
    <n v="60"/>
    <n v="0.16669999999999999"/>
  </r>
  <r>
    <d v="2026-02-28T00:00:00"/>
    <n v="2026"/>
    <x v="3"/>
    <s v="TELKOM"/>
    <s v="Radiolok"/>
    <s v="1 Tahunan"/>
    <n v="14"/>
    <n v="6"/>
    <n v="15"/>
    <n v="0.4"/>
  </r>
  <r>
    <d v="2026-02-28T00:00:00"/>
    <n v="2026"/>
    <x v="3"/>
    <s v="TELKOM"/>
    <s v="Way Station"/>
    <s v="3 Bulanan"/>
    <n v="33"/>
    <n v="27"/>
    <n v="132"/>
    <n v="0.20449999999999999"/>
  </r>
  <r>
    <d v="2026-02-28T00:00:00"/>
    <n v="2026"/>
    <x v="3"/>
    <s v="TELKOM"/>
    <s v="Way Station"/>
    <s v="1 Tahunan"/>
    <n v="33"/>
    <n v="4"/>
    <n v="33"/>
    <n v="0.1212"/>
  </r>
  <r>
    <d v="2026-02-28T00:00:00"/>
    <n v="2026"/>
    <x v="3"/>
    <s v="TELKOM"/>
    <s v="Base Station"/>
    <s v="6 Bulanan"/>
    <n v="8"/>
    <n v="4"/>
    <n v="18"/>
    <n v="0.22220000000000001"/>
  </r>
  <r>
    <d v="2026-02-28T00:00:00"/>
    <n v="2026"/>
    <x v="3"/>
    <s v="TELKOM"/>
    <s v="PK"/>
    <s v="6 Bulanan"/>
    <n v="3"/>
    <n v="1"/>
    <n v="4"/>
    <n v="0.25"/>
  </r>
  <r>
    <d v="2026-02-28T00:00:00"/>
    <n v="2026"/>
    <x v="3"/>
    <s v="TELKOM"/>
    <s v="Peralatan Telekomunikasi dalam stasiun"/>
    <s v="1 Bulanan"/>
    <n v="30"/>
    <n v="59"/>
    <n v="360"/>
    <n v="0.16389999999999999"/>
  </r>
  <r>
    <d v="2026-02-28T00:00:00"/>
    <n v="2026"/>
    <x v="3"/>
    <s v="TELKOM"/>
    <s v="Peralatan Telekomunikasi luar stasiun"/>
    <s v="1 Bulanan"/>
    <n v="6"/>
    <n v="11"/>
    <n v="72"/>
    <n v="0.15279999999999999"/>
  </r>
  <r>
    <d v="2026-02-28T00:00:00"/>
    <n v="2026"/>
    <x v="3"/>
    <s v="TELKOM"/>
    <s v="FO"/>
    <s v="1 Bulanan"/>
    <n v="45"/>
    <n v="90"/>
    <n v="552"/>
    <n v="0.16300000000000001"/>
  </r>
  <r>
    <d v="2026-02-28T00:00:00"/>
    <n v="2026"/>
    <x v="3"/>
    <s v="TELKOM"/>
    <s v="PK"/>
    <s v="1 Tahunan"/>
    <m/>
    <m/>
    <m/>
    <m/>
  </r>
  <r>
    <d v="2026-02-28T00:00:00"/>
    <n v="2026"/>
    <x v="3"/>
    <s v="TELKOM"/>
    <s v="Peralatan Telekomunikasi di JPL"/>
    <s v="1 Bulanan"/>
    <n v="50"/>
    <n v="95"/>
    <n v="611"/>
    <n v="0.1555"/>
  </r>
  <r>
    <d v="2026-02-28T00:00:00"/>
    <n v="2026"/>
    <x v="3"/>
    <s v="TELKOM"/>
    <s v="Saluran Blok"/>
    <s v="6 Bulanan"/>
    <m/>
    <m/>
    <m/>
    <m/>
  </r>
  <r>
    <d v="2026-02-28T00:00:00"/>
    <n v="2026"/>
    <x v="3"/>
    <s v="SINYAL"/>
    <s v="WLSE"/>
    <s v="1 Bulanan"/>
    <n v="16"/>
    <n v="32"/>
    <n v="192"/>
    <n v="0.16669999999999999"/>
  </r>
  <r>
    <d v="2026-02-28T00:00:00"/>
    <n v="2026"/>
    <x v="4"/>
    <s v="SINYAL"/>
    <s v="Wesel E/M"/>
    <s v="2 Mingguan"/>
    <n v="458"/>
    <n v="1280"/>
    <n v="10992"/>
    <n v="0.1164"/>
  </r>
  <r>
    <d v="2026-02-28T00:00:00"/>
    <n v="2026"/>
    <x v="4"/>
    <s v="SINYAL"/>
    <s v="WLSE"/>
    <s v="1 Bulanan"/>
    <n v="5"/>
    <n v="13"/>
    <n v="60"/>
    <n v="0.2167"/>
  </r>
  <r>
    <d v="2026-02-28T00:00:00"/>
    <n v="2026"/>
    <x v="4"/>
    <s v="SINYAL"/>
    <s v="PDS E/M"/>
    <s v="1 Bulanan"/>
    <n v="43"/>
    <n v="63"/>
    <n v="516"/>
    <n v="0.1221"/>
  </r>
  <r>
    <d v="2026-02-28T00:00:00"/>
    <n v="2026"/>
    <x v="4"/>
    <s v="SINYAL"/>
    <s v="Peraga Sinyal E/M"/>
    <s v="1 Bulanan"/>
    <n v="666"/>
    <n v="1649"/>
    <n v="7992"/>
    <n v="0.20630000000000001"/>
  </r>
  <r>
    <d v="2026-02-28T00:00:00"/>
    <n v="2026"/>
    <x v="4"/>
    <s v="SINYAL"/>
    <s v="Pendeteksi KA"/>
    <s v="1 Bulanan"/>
    <n v="1022"/>
    <n v="1114"/>
    <n v="12264"/>
    <n v="9.0800000000000006E-2"/>
  </r>
  <r>
    <d v="2026-02-28T00:00:00"/>
    <n v="2026"/>
    <x v="4"/>
    <s v="SINYAL"/>
    <s v="Pintu Perlintasan"/>
    <s v="1 Bulanan"/>
    <n v="71"/>
    <n v="101"/>
    <n v="852"/>
    <n v="0.11849999999999999"/>
  </r>
  <r>
    <d v="2026-02-28T00:00:00"/>
    <n v="2026"/>
    <x v="4"/>
    <s v="SINYAL"/>
    <s v="Point Lock/Perintang/Pelalau"/>
    <s v="2 Mingguan"/>
    <n v="22"/>
    <n v="54"/>
    <n v="528"/>
    <n v="0.1023"/>
  </r>
  <r>
    <d v="2026-02-28T00:00:00"/>
    <n v="2026"/>
    <x v="4"/>
    <s v="SINYAL"/>
    <s v="Negative check Persinyalan mekanik"/>
    <s v="1 Bulanan"/>
    <n v="5"/>
    <n v="5"/>
    <n v="60"/>
    <n v="8.3299999999999999E-2"/>
  </r>
  <r>
    <d v="2026-02-28T00:00:00"/>
    <n v="2026"/>
    <x v="4"/>
    <s v="SINYAL"/>
    <s v="CTC/CTS"/>
    <s v="1 Bulanan"/>
    <n v="1"/>
    <n v="1"/>
    <n v="12"/>
    <n v="8.3299999999999999E-2"/>
  </r>
  <r>
    <d v="2026-02-28T00:00:00"/>
    <n v="2026"/>
    <x v="4"/>
    <s v="SINYAL"/>
    <s v="Location Case"/>
    <s v="1 Bulanan"/>
    <n v="81"/>
    <n v="118"/>
    <n v="972"/>
    <n v="0.12139999999999999"/>
  </r>
  <r>
    <d v="2026-02-28T00:00:00"/>
    <n v="2026"/>
    <x v="4"/>
    <s v="SINYAL"/>
    <s v="Catu Daya Sinyal"/>
    <s v="1 Bulanan"/>
    <n v="52"/>
    <n v="66"/>
    <n v="624"/>
    <n v="0.10580000000000001"/>
  </r>
  <r>
    <d v="2026-02-28T00:00:00"/>
    <n v="2026"/>
    <x v="4"/>
    <s v="SINYAL"/>
    <s v="Saluran kawat"/>
    <s v="1 Bulanan"/>
    <n v="44"/>
    <n v="46"/>
    <n v="528"/>
    <n v="8.7099999999999997E-2"/>
  </r>
  <r>
    <d v="2026-02-28T00:00:00"/>
    <n v="2026"/>
    <x v="4"/>
    <s v="TELKOM"/>
    <s v="Radiolok"/>
    <s v="1 Harian"/>
    <n v="11"/>
    <n v="641"/>
    <n v="4046"/>
    <n v="0.15840000000000001"/>
  </r>
  <r>
    <d v="2026-02-28T00:00:00"/>
    <n v="2026"/>
    <x v="4"/>
    <s v="TELKOM"/>
    <s v="Radiolok"/>
    <s v="3 Bulanan"/>
    <n v="17"/>
    <n v="16"/>
    <n v="68"/>
    <n v="0.23530000000000001"/>
  </r>
  <r>
    <d v="2026-02-28T00:00:00"/>
    <n v="2026"/>
    <x v="4"/>
    <s v="TELKOM"/>
    <s v="Radiolok"/>
    <s v="1 Tahunan"/>
    <n v="17"/>
    <n v="0"/>
    <n v="17"/>
    <n v="0"/>
  </r>
  <r>
    <d v="2026-02-28T00:00:00"/>
    <n v="2026"/>
    <x v="4"/>
    <s v="TELKOM"/>
    <s v="Way Station"/>
    <s v="3 Bulanan"/>
    <n v="45"/>
    <n v="17"/>
    <n v="180"/>
    <n v="9.4399999999999998E-2"/>
  </r>
  <r>
    <d v="2026-02-28T00:00:00"/>
    <n v="2026"/>
    <x v="4"/>
    <s v="TELKOM"/>
    <s v="Way Station"/>
    <s v="1 Tahunan"/>
    <n v="45"/>
    <n v="14"/>
    <n v="45"/>
    <n v="0.31109999999999999"/>
  </r>
  <r>
    <d v="2026-02-28T00:00:00"/>
    <n v="2026"/>
    <x v="4"/>
    <s v="TELKOM"/>
    <s v="PK"/>
    <s v="6 Bulanan"/>
    <n v="2"/>
    <n v="0"/>
    <n v="4"/>
    <n v="0"/>
  </r>
  <r>
    <d v="2026-02-28T00:00:00"/>
    <n v="2026"/>
    <x v="4"/>
    <s v="TELKOM"/>
    <s v="Base Station"/>
    <s v="6 Bulanan"/>
    <n v="12"/>
    <n v="9"/>
    <n v="24"/>
    <n v="0.375"/>
  </r>
  <r>
    <d v="2026-02-28T00:00:00"/>
    <n v="2026"/>
    <x v="4"/>
    <s v="TELKOM"/>
    <s v="FO"/>
    <s v="1 Bulanan"/>
    <n v="188"/>
    <n v="349"/>
    <n v="2256"/>
    <n v="0.1547"/>
  </r>
  <r>
    <d v="2026-02-28T00:00:00"/>
    <n v="2026"/>
    <x v="4"/>
    <s v="TELKOM"/>
    <s v="Peralatan Telekomunikasi dalam stasiun"/>
    <s v="1 Bulanan"/>
    <n v="43"/>
    <n v="59"/>
    <n v="516"/>
    <n v="0.1143"/>
  </r>
  <r>
    <d v="2026-02-28T00:00:00"/>
    <n v="2026"/>
    <x v="4"/>
    <s v="TELKOM"/>
    <s v="Peralatan Telekomunikasi luar stasiun"/>
    <s v="1 Bulanan"/>
    <n v="14"/>
    <n v="27"/>
    <n v="168"/>
    <n v="0.16070000000000001"/>
  </r>
  <r>
    <d v="2026-02-28T00:00:00"/>
    <n v="2026"/>
    <x v="4"/>
    <s v="TELKOM"/>
    <s v="Peralatan Telekomunikasi JPL"/>
    <s v="1 Bulanan"/>
    <n v="52"/>
    <n v="86"/>
    <n v="624"/>
    <n v="0.13780000000000001"/>
  </r>
  <r>
    <d v="2026-02-28T00:00:00"/>
    <n v="2026"/>
    <x v="4"/>
    <s v="TELKOM"/>
    <s v="Saluran Blok"/>
    <s v="1 Bulanan"/>
    <m/>
    <m/>
    <m/>
    <m/>
  </r>
  <r>
    <d v="2026-02-28T00:00:00"/>
    <n v="2026"/>
    <x v="4"/>
    <s v="TELKOM"/>
    <s v="Saluran Blok"/>
    <s v="6 Bulanan"/>
    <m/>
    <m/>
    <m/>
    <m/>
  </r>
  <r>
    <d v="2026-02-28T00:00:00"/>
    <n v="2026"/>
    <x v="4"/>
    <s v="TELKOM"/>
    <s v="Way Station"/>
    <s v="1 Tahunan"/>
    <m/>
    <m/>
    <m/>
    <m/>
  </r>
  <r>
    <d v="2026-02-28T00:00:00"/>
    <n v="2026"/>
    <x v="5"/>
    <s v="SINYAL"/>
    <s v="PDS E/M"/>
    <s v="1 Bulanan"/>
    <n v="41"/>
    <n v="78"/>
    <n v="492"/>
    <n v="0.1585"/>
  </r>
  <r>
    <d v="2026-02-28T00:00:00"/>
    <n v="2026"/>
    <x v="5"/>
    <s v="SINYAL"/>
    <s v="Peraga Sinyal E/M"/>
    <s v="1 Bulanan"/>
    <n v="585"/>
    <n v="1171"/>
    <n v="7020"/>
    <n v="0.1668"/>
  </r>
  <r>
    <d v="2026-02-28T00:00:00"/>
    <n v="2026"/>
    <x v="5"/>
    <s v="SINYAL"/>
    <s v="Wesel E/M"/>
    <s v="2 Mingguan"/>
    <n v="383"/>
    <n v="1508"/>
    <n v="9144"/>
    <n v="0.16489999999999999"/>
  </r>
  <r>
    <d v="2026-02-28T00:00:00"/>
    <n v="2026"/>
    <x v="5"/>
    <s v="SINYAL"/>
    <s v="Negative check Persinyalan mekanik tanpa RS"/>
    <s v="1 Bulanan"/>
    <n v="1"/>
    <n v="2"/>
    <n v="12"/>
    <n v="0.16669999999999999"/>
  </r>
  <r>
    <d v="2026-02-28T00:00:00"/>
    <n v="2026"/>
    <x v="5"/>
    <s v="SINYAL"/>
    <s v="Negative check Persinyalan mekanik dengan RS"/>
    <s v="1 Bulanan"/>
    <n v="1"/>
    <n v="2"/>
    <n v="12"/>
    <n v="0.16669999999999999"/>
  </r>
  <r>
    <d v="2026-02-28T00:00:00"/>
    <n v="2026"/>
    <x v="5"/>
    <s v="SINYAL"/>
    <s v="Saluran kawat"/>
    <s v="1 Bulanan"/>
    <n v="22"/>
    <n v="44"/>
    <n v="264"/>
    <n v="0.16669999999999999"/>
  </r>
  <r>
    <d v="2026-02-28T00:00:00"/>
    <n v="2026"/>
    <x v="5"/>
    <s v="SINYAL"/>
    <s v="CTC/CTS"/>
    <s v="1 Bulanan"/>
    <n v="1"/>
    <n v="2"/>
    <n v="12"/>
    <n v="0.16669999999999999"/>
  </r>
  <r>
    <d v="2026-02-28T00:00:00"/>
    <n v="2026"/>
    <x v="5"/>
    <s v="SINYAL"/>
    <s v="Pendeteksi KA"/>
    <s v="1 Bulanan"/>
    <n v="898"/>
    <n v="1819"/>
    <n v="10776"/>
    <n v="0.16880000000000001"/>
  </r>
  <r>
    <d v="2026-02-28T00:00:00"/>
    <n v="2026"/>
    <x v="5"/>
    <s v="SINYAL"/>
    <s v="Location Case"/>
    <s v="1 Bulanan"/>
    <n v="126"/>
    <n v="253"/>
    <n v="1512"/>
    <n v="0.1673"/>
  </r>
  <r>
    <d v="2026-02-28T00:00:00"/>
    <n v="2026"/>
    <x v="5"/>
    <s v="SINYAL"/>
    <s v="Point Lock/Perintang/Pelalau"/>
    <s v="2 Mingguan"/>
    <n v="14"/>
    <n v="55"/>
    <n v="336"/>
    <n v="0.16370000000000001"/>
  </r>
  <r>
    <d v="2026-02-28T00:00:00"/>
    <n v="2026"/>
    <x v="5"/>
    <s v="SINYAL"/>
    <s v="Pintu Perlintasan"/>
    <s v="1 Bulanan"/>
    <n v="60"/>
    <n v="120"/>
    <n v="720"/>
    <n v="0.16669999999999999"/>
  </r>
  <r>
    <d v="2026-02-28T00:00:00"/>
    <n v="2026"/>
    <x v="5"/>
    <s v="SINYAL"/>
    <s v="Catu Daya Sinyal"/>
    <s v="1 Bulanan"/>
    <n v="51"/>
    <n v="103"/>
    <n v="624"/>
    <n v="0.1651"/>
  </r>
  <r>
    <d v="2026-02-28T00:00:00"/>
    <n v="2026"/>
    <x v="5"/>
    <s v="SINYAL"/>
    <s v="WLSE"/>
    <s v="1 Bulanan"/>
    <n v="7"/>
    <n v="14"/>
    <n v="84"/>
    <n v="0.16669999999999999"/>
  </r>
  <r>
    <d v="2026-02-28T00:00:00"/>
    <n v="2026"/>
    <x v="5"/>
    <s v="TELKOM"/>
    <s v="Saluran Blok"/>
    <s v="1 Bulanan"/>
    <n v="4"/>
    <n v="8"/>
    <n v="48"/>
    <n v="0.16669999999999999"/>
  </r>
  <r>
    <d v="2026-02-28T00:00:00"/>
    <n v="2026"/>
    <x v="5"/>
    <s v="TELKOM"/>
    <s v="Saluran Blok"/>
    <s v="6 Bulanan"/>
    <n v="4"/>
    <n v="4"/>
    <n v="8"/>
    <n v="0.5"/>
  </r>
  <r>
    <d v="2026-02-28T00:00:00"/>
    <n v="2026"/>
    <x v="5"/>
    <s v="TELKOM"/>
    <s v="Radiolok"/>
    <s v="1 Harian"/>
    <n v="13"/>
    <n v="924"/>
    <n v="4745"/>
    <n v="0.19470000000000001"/>
  </r>
  <r>
    <d v="2026-02-28T00:00:00"/>
    <n v="2026"/>
    <x v="5"/>
    <s v="TELKOM"/>
    <s v="Radiolok"/>
    <s v="3 Bulanan"/>
    <n v="29"/>
    <n v="27"/>
    <n v="112"/>
    <n v="0.24110000000000001"/>
  </r>
  <r>
    <d v="2026-02-28T00:00:00"/>
    <n v="2026"/>
    <x v="5"/>
    <s v="TELKOM"/>
    <s v="Radiolok"/>
    <s v="1 Tahunan"/>
    <n v="29"/>
    <n v="0"/>
    <n v="28"/>
    <n v="0"/>
  </r>
  <r>
    <d v="2026-02-28T00:00:00"/>
    <n v="2026"/>
    <x v="5"/>
    <s v="TELKOM"/>
    <s v="Way Station"/>
    <s v="3 Bulanan"/>
    <n v="45"/>
    <n v="42"/>
    <n v="180"/>
    <n v="0.23330000000000001"/>
  </r>
  <r>
    <d v="2026-02-28T00:00:00"/>
    <n v="2026"/>
    <x v="5"/>
    <s v="TELKOM"/>
    <s v="Way Station"/>
    <s v="1 Tahunan"/>
    <n v="45"/>
    <n v="7"/>
    <n v="45"/>
    <n v="0.15559999999999999"/>
  </r>
  <r>
    <d v="2026-02-28T00:00:00"/>
    <n v="2026"/>
    <x v="5"/>
    <s v="TELKOM"/>
    <s v="Base Station"/>
    <s v="6 Bulanan"/>
    <n v="9"/>
    <n v="5"/>
    <n v="18"/>
    <n v="0.27779999999999999"/>
  </r>
  <r>
    <d v="2026-02-28T00:00:00"/>
    <n v="2026"/>
    <x v="5"/>
    <s v="TELKOM"/>
    <s v="PK"/>
    <s v="6 Bulanan"/>
    <n v="1"/>
    <n v="0"/>
    <n v="2"/>
    <n v="0"/>
  </r>
  <r>
    <d v="2026-02-28T00:00:00"/>
    <n v="2026"/>
    <x v="5"/>
    <s v="TELKOM"/>
    <s v="Peralatan Telekomunikasi dalam stasiun"/>
    <s v="1 Bulanan"/>
    <n v="42"/>
    <n v="80"/>
    <n v="492"/>
    <n v="0.16259999999999999"/>
  </r>
  <r>
    <d v="2026-02-28T00:00:00"/>
    <n v="2026"/>
    <x v="5"/>
    <s v="TELKOM"/>
    <s v="Peralatan Telekomunikasi luar stasiun"/>
    <s v="1 Bulanan"/>
    <n v="12"/>
    <n v="23"/>
    <n v="144"/>
    <n v="0.15970000000000001"/>
  </r>
  <r>
    <d v="2026-02-28T00:00:00"/>
    <n v="2026"/>
    <x v="5"/>
    <s v="TELKOM"/>
    <s v="Peralatan Telekomunikasi JPL"/>
    <s v="1 Bulanan"/>
    <n v="58"/>
    <n v="117"/>
    <n v="708"/>
    <n v="0.1653"/>
  </r>
  <r>
    <d v="2026-02-28T00:00:00"/>
    <n v="2026"/>
    <x v="5"/>
    <s v="TELKOM"/>
    <s v="FO"/>
    <s v="1 Bulanan"/>
    <n v="64"/>
    <n v="344"/>
    <n v="1956"/>
    <n v="0.1759"/>
  </r>
  <r>
    <d v="2026-02-28T00:00:00"/>
    <n v="2026"/>
    <x v="6"/>
    <s v="SINYAL"/>
    <s v="Wesel E/M"/>
    <s v="2 Mingguan"/>
    <n v="387"/>
    <n v="1539"/>
    <n v="9288"/>
    <n v="0.16569999999999999"/>
  </r>
  <r>
    <d v="2026-02-28T00:00:00"/>
    <n v="2026"/>
    <x v="6"/>
    <s v="SINYAL"/>
    <s v="PDS E/M"/>
    <s v="1 Bulanan"/>
    <n v="39"/>
    <n v="78"/>
    <n v="468"/>
    <n v="0.16669999999999999"/>
  </r>
  <r>
    <d v="2026-02-28T00:00:00"/>
    <n v="2026"/>
    <x v="6"/>
    <s v="SINYAL"/>
    <s v="Peraga Sinyal E/M"/>
    <s v="1 Bulanan"/>
    <n v="590"/>
    <n v="1185"/>
    <n v="7080"/>
    <n v="0.16739999999999999"/>
  </r>
  <r>
    <d v="2026-02-28T00:00:00"/>
    <n v="2026"/>
    <x v="6"/>
    <s v="SINYAL"/>
    <s v="Pendeteksi KA"/>
    <s v="1 Bulanan"/>
    <n v="964"/>
    <n v="1920"/>
    <n v="11568"/>
    <n v="0.16600000000000001"/>
  </r>
  <r>
    <d v="2026-02-28T00:00:00"/>
    <n v="2026"/>
    <x v="6"/>
    <s v="SINYAL"/>
    <s v="Pintu Perlintasan"/>
    <s v="1 Bulanan"/>
    <n v="96"/>
    <n v="191"/>
    <n v="1152"/>
    <n v="0.1658"/>
  </r>
  <r>
    <d v="2026-02-28T00:00:00"/>
    <n v="2026"/>
    <x v="6"/>
    <s v="SINYAL"/>
    <s v="Point Lock/Perintang/Pelalau"/>
    <s v="2 Mingguan"/>
    <n v="13"/>
    <n v="52"/>
    <n v="312"/>
    <n v="0.16669999999999999"/>
  </r>
  <r>
    <d v="2026-02-28T00:00:00"/>
    <n v="2026"/>
    <x v="6"/>
    <s v="SINYAL"/>
    <s v="Negative check Persinyalan mekanik"/>
    <s v="1 Bulanan"/>
    <n v="7"/>
    <n v="14"/>
    <n v="84"/>
    <n v="0.16669999999999999"/>
  </r>
  <r>
    <d v="2026-02-28T00:00:00"/>
    <n v="2026"/>
    <x v="6"/>
    <s v="SINYAL"/>
    <s v="CTC/CTS"/>
    <s v="1 Bulanan"/>
    <n v="1"/>
    <n v="2"/>
    <n v="12"/>
    <n v="0.16669999999999999"/>
  </r>
  <r>
    <d v="2026-02-28T00:00:00"/>
    <n v="2026"/>
    <x v="6"/>
    <s v="SINYAL"/>
    <s v="Location Case"/>
    <s v="1 Bulanan"/>
    <n v="108"/>
    <n v="188"/>
    <n v="1296"/>
    <n v="0.14510000000000001"/>
  </r>
  <r>
    <d v="2026-02-28T00:00:00"/>
    <n v="2026"/>
    <x v="6"/>
    <s v="SINYAL"/>
    <s v="Catu Daya Sinyal"/>
    <s v="1 Bulanan"/>
    <n v="47"/>
    <n v="93"/>
    <n v="564"/>
    <n v="0.16489999999999999"/>
  </r>
  <r>
    <d v="2026-02-28T00:00:00"/>
    <n v="2026"/>
    <x v="6"/>
    <s v="SINYAL"/>
    <s v="Saluran kawat"/>
    <s v="1 Bulanan"/>
    <n v="7"/>
    <n v="14"/>
    <n v="84"/>
    <n v="0.16669999999999999"/>
  </r>
  <r>
    <d v="2026-02-28T00:00:00"/>
    <n v="2026"/>
    <x v="6"/>
    <s v="TELKOM"/>
    <s v="Radiolok"/>
    <s v="1 Harian"/>
    <n v="30"/>
    <n v="1958"/>
    <n v="10950"/>
    <n v="0.17879999999999999"/>
  </r>
  <r>
    <d v="2026-02-28T00:00:00"/>
    <n v="2026"/>
    <x v="6"/>
    <s v="TELKOM"/>
    <s v="Radiolok"/>
    <s v="3 Bulanan"/>
    <n v="57"/>
    <n v="32"/>
    <n v="228"/>
    <n v="0.1404"/>
  </r>
  <r>
    <d v="2026-02-28T00:00:00"/>
    <n v="2026"/>
    <x v="6"/>
    <s v="TELKOM"/>
    <s v="Radiolok"/>
    <s v="1 Tahunan"/>
    <n v="57"/>
    <m/>
    <n v="57"/>
    <n v="0"/>
  </r>
  <r>
    <d v="2026-02-28T00:00:00"/>
    <n v="2026"/>
    <x v="6"/>
    <s v="TELKOM"/>
    <s v="Way Station"/>
    <s v="3 Bulanan"/>
    <n v="37"/>
    <n v="29"/>
    <n v="148"/>
    <n v="0.19589999999999999"/>
  </r>
  <r>
    <d v="2026-02-28T00:00:00"/>
    <n v="2026"/>
    <x v="6"/>
    <s v="TELKOM"/>
    <s v="Way Station"/>
    <s v="1 Tahunan"/>
    <n v="37"/>
    <n v="6"/>
    <n v="37"/>
    <n v="0.16220000000000001"/>
  </r>
  <r>
    <d v="2026-02-28T00:00:00"/>
    <n v="2026"/>
    <x v="6"/>
    <s v="TELKOM"/>
    <s v="PK"/>
    <s v="6 Bulanan"/>
    <n v="2"/>
    <n v="1"/>
    <n v="4"/>
    <n v="0.25"/>
  </r>
  <r>
    <d v="2026-02-28T00:00:00"/>
    <n v="2026"/>
    <x v="6"/>
    <s v="TELKOM"/>
    <s v="Base Station"/>
    <s v="6 Bulanan"/>
    <n v="9"/>
    <n v="4"/>
    <n v="18"/>
    <n v="0.22220000000000001"/>
  </r>
  <r>
    <d v="2026-02-28T00:00:00"/>
    <n v="2026"/>
    <x v="6"/>
    <s v="TELKOM"/>
    <s v="FO"/>
    <s v="1 Bulanan"/>
    <n v="170"/>
    <n v="322"/>
    <n v="2040"/>
    <n v="0.1578"/>
  </r>
  <r>
    <d v="2026-02-28T00:00:00"/>
    <n v="2026"/>
    <x v="6"/>
    <s v="TELKOM"/>
    <s v="Peralatan Telekomunikasi dalam stasiun"/>
    <s v="1 Bulanan"/>
    <n v="36"/>
    <n v="71"/>
    <n v="432"/>
    <n v="0.16439999999999999"/>
  </r>
  <r>
    <d v="2026-02-28T00:00:00"/>
    <n v="2026"/>
    <x v="6"/>
    <s v="SINYAL"/>
    <s v="WLSE"/>
    <s v="1 Bulanan"/>
    <n v="13"/>
    <n v="26"/>
    <n v="156"/>
    <n v="0.16669999999999999"/>
  </r>
  <r>
    <d v="2026-02-28T00:00:00"/>
    <n v="2026"/>
    <x v="6"/>
    <s v="TELKOM"/>
    <s v="Peralatan Telekomunikasi luar stasiun"/>
    <s v="1 Bulanan"/>
    <n v="9"/>
    <n v="18"/>
    <n v="108"/>
    <n v="0.16669999999999999"/>
  </r>
  <r>
    <d v="2026-02-28T00:00:00"/>
    <n v="2026"/>
    <x v="6"/>
    <s v="TELKOM"/>
    <s v="Peralatan Telekomunikasi JPL"/>
    <s v="1 Bulanan"/>
    <n v="88"/>
    <n v="179"/>
    <n v="1056"/>
    <n v="0.16950000000000001"/>
  </r>
  <r>
    <d v="2026-02-28T00:00:00"/>
    <n v="2026"/>
    <x v="6"/>
    <s v="TELKOM"/>
    <s v="Saluran Blok"/>
    <s v="1 Bulanan"/>
    <m/>
    <m/>
    <m/>
    <m/>
  </r>
  <r>
    <d v="2026-02-28T00:00:00"/>
    <n v="2026"/>
    <x v="6"/>
    <s v="TELKOM"/>
    <s v="Saluran Blok"/>
    <s v="6 Bulanan"/>
    <n v="4"/>
    <n v="2"/>
    <n v="8"/>
    <n v="0.25"/>
  </r>
  <r>
    <d v="2026-02-28T00:00:00"/>
    <n v="2026"/>
    <x v="6"/>
    <s v="LAA"/>
    <s v="Gardu Traksi Secheron"/>
    <s v="2 Mingguan"/>
    <n v="9"/>
    <n v="36"/>
    <n v="216"/>
    <n v="0.16669999999999999"/>
  </r>
  <r>
    <d v="2026-02-28T00:00:00"/>
    <n v="2026"/>
    <x v="6"/>
    <s v="LAA"/>
    <s v="Panel AC DC, Charger Baterai dan Baterai"/>
    <s v="1 Bulanan"/>
    <n v="9"/>
    <n v="18"/>
    <n v="108"/>
    <n v="0.16669999999999999"/>
  </r>
  <r>
    <d v="2026-02-28T00:00:00"/>
    <n v="2026"/>
    <x v="6"/>
    <s v="LAA"/>
    <s v="Peralatan HSCB Secheron"/>
    <s v="1 Bulanan"/>
    <n v="59"/>
    <n v="118"/>
    <n v="708"/>
    <n v="0.16669999999999999"/>
  </r>
  <r>
    <d v="2026-02-28T00:00:00"/>
    <n v="2026"/>
    <x v="6"/>
    <s v="LAA"/>
    <s v="Detail Peralatan HSCB Secheron"/>
    <s v="1 Tahunan"/>
    <n v="59"/>
    <n v="18"/>
    <n v="59"/>
    <n v="0.30509999999999998"/>
  </r>
  <r>
    <d v="2026-02-28T00:00:00"/>
    <n v="2026"/>
    <x v="6"/>
    <s v="LAA"/>
    <s v="Peralatan Sistem Pengendali Jarak Jauh (SPJJ)"/>
    <s v="6 Bulanan"/>
    <n v="9"/>
    <n v="4"/>
    <n v="18"/>
    <n v="0.22220000000000001"/>
  </r>
  <r>
    <d v="2026-02-28T00:00:00"/>
    <n v="2026"/>
    <x v="6"/>
    <s v="LAA"/>
    <s v="Uji Fungsi LBD"/>
    <s v="3 Bulanan"/>
    <n v="9"/>
    <n v="9"/>
    <n v="36"/>
    <n v="0.25"/>
  </r>
  <r>
    <d v="2026-02-28T00:00:00"/>
    <n v="2026"/>
    <x v="6"/>
    <s v="LAA"/>
    <s v="Sistem Proteksi Petir dan Pentanahan Gardu Traksi"/>
    <s v="1 Tahunan"/>
    <n v="9"/>
    <n v="6"/>
    <n v="9"/>
    <n v="0.66669999999999996"/>
  </r>
  <r>
    <d v="2026-02-28T00:00:00"/>
    <n v="2026"/>
    <x v="6"/>
    <s v="LAA"/>
    <s v="Peralatan Kubikel 20KV"/>
    <s v="1 Tahunan"/>
    <n v="85"/>
    <n v="19"/>
    <n v="85"/>
    <n v="0.2235"/>
  </r>
  <r>
    <d v="2026-02-28T00:00:00"/>
    <n v="2026"/>
    <x v="6"/>
    <s v="LAA"/>
    <s v="Transformator Tipe Oli dan Sistem Proteksi"/>
    <s v="1 Tahunan"/>
    <n v="27"/>
    <n v="21"/>
    <n v="27"/>
    <n v="0.77780000000000005"/>
  </r>
  <r>
    <d v="2026-02-28T00:00:00"/>
    <n v="2026"/>
    <x v="6"/>
    <s v="LAA"/>
    <s v="Rectifier, Reaktor dan Sistem Proteksi"/>
    <s v="1 Tahunan"/>
    <n v="9"/>
    <n v="2"/>
    <n v="9"/>
    <n v="0.22220000000000001"/>
  </r>
  <r>
    <d v="2026-02-28T00:00:00"/>
    <n v="2026"/>
    <x v="6"/>
    <s v="LAA"/>
    <s v="Kubikel HSCB dan Kabel Outgoing"/>
    <s v="1 Tahunan"/>
    <n v="41"/>
    <n v="32"/>
    <n v="41"/>
    <n v="0.78049999999999997"/>
  </r>
  <r>
    <d v="2026-02-28T00:00:00"/>
    <n v="2026"/>
    <x v="6"/>
    <s v="LAA"/>
    <s v="Relay Proteksi DC Switchgear"/>
    <s v="1 Tahunan"/>
    <n v="59"/>
    <n v="29"/>
    <n v="59"/>
    <n v="0.49149999999999999"/>
  </r>
  <r>
    <d v="2026-02-28T00:00:00"/>
    <n v="2026"/>
    <x v="6"/>
    <s v="LAA"/>
    <s v="Baterai Kering"/>
    <s v="3 Bulanan"/>
    <n v="9"/>
    <n v="9"/>
    <n v="36"/>
    <n v="0.25"/>
  </r>
  <r>
    <d v="2026-02-28T00:00:00"/>
    <n v="2026"/>
    <x v="6"/>
    <s v="LAA"/>
    <s v="Relay Proteksi 20KV"/>
    <s v="1 Tahunan"/>
    <n v="45"/>
    <n v="20"/>
    <n v="45"/>
    <n v="0.44440000000000002"/>
  </r>
  <r>
    <d v="2026-02-28T00:00:00"/>
    <n v="2026"/>
    <x v="6"/>
    <s v="LAA"/>
    <s v="Manhole Kabel Negatif dan Terminasi kabel di Rel"/>
    <s v="3 Bulanan"/>
    <n v="9"/>
    <n v="5"/>
    <n v="36"/>
    <n v="0.1389"/>
  </r>
  <r>
    <d v="2026-02-28T00:00:00"/>
    <n v="2026"/>
    <x v="6"/>
    <s v="LAA"/>
    <s v="Kubikel Negatif Gardu Traksi"/>
    <s v="1 Tahunan"/>
    <n v="9"/>
    <n v="1"/>
    <n v="9"/>
    <n v="0.1111"/>
  </r>
  <r>
    <d v="2026-02-28T00:00:00"/>
    <n v="2026"/>
    <x v="6"/>
    <s v="LAA"/>
    <s v="Peralatan Jaringan Catenary (Siang Hari)"/>
    <s v="1 Bulanan"/>
    <n v="188993"/>
    <n v="377986"/>
    <n v="2267916"/>
    <n v="0.16669999999999999"/>
  </r>
  <r>
    <d v="2026-02-28T00:00:00"/>
    <n v="2026"/>
    <x v="6"/>
    <s v="LAA"/>
    <s v="Detail Peralatan Jaringan Catenary (Window Time)"/>
    <s v="6 Bulanan"/>
    <n v="183511"/>
    <n v="42045"/>
    <n v="367022"/>
    <n v="0.11459999999999999"/>
  </r>
  <r>
    <d v="2026-02-28T00:00:00"/>
    <n v="2026"/>
    <x v="6"/>
    <s v="LAA"/>
    <s v="Pengukuran Ketinggian pada Crossing Kawat Trolley"/>
    <s v="2 Mingguan"/>
    <n v="174"/>
    <n v="696"/>
    <n v="4176"/>
    <n v="0.16669999999999999"/>
  </r>
  <r>
    <d v="2026-02-28T00:00:00"/>
    <n v="2026"/>
    <x v="6"/>
    <s v="LAA"/>
    <s v="Pengukuran Ketinggian dan Deviasi Kawat Trolley"/>
    <s v="3 Bulanan"/>
    <n v="188993"/>
    <n v="179681"/>
    <n v="755972"/>
    <n v="0.23769999999999999"/>
  </r>
  <r>
    <d v="2026-02-28T00:00:00"/>
    <n v="2026"/>
    <x v="6"/>
    <s v="LAA"/>
    <s v="Pengukuran Ketebalan Kawat Trolley"/>
    <s v="1 Tahunan"/>
    <n v="188993"/>
    <n v="49159"/>
    <n v="188993"/>
    <n v="0.2601"/>
  </r>
  <r>
    <d v="2026-02-28T00:00:00"/>
    <n v="2026"/>
    <x v="6"/>
    <s v="LAA"/>
    <s v="Section Insulator"/>
    <s v="3 Bulanan"/>
    <n v="98"/>
    <n v="77"/>
    <n v="392"/>
    <n v="0.19639999999999999"/>
  </r>
  <r>
    <d v="2026-02-28T00:00:00"/>
    <n v="2026"/>
    <x v="6"/>
    <s v="LAA"/>
    <s v="Overlap Air Section dan Air Joint"/>
    <s v="1 Tahunan"/>
    <n v="127"/>
    <n v="32"/>
    <n v="127"/>
    <n v="0.252"/>
  </r>
  <r>
    <d v="2026-02-28T00:00:00"/>
    <n v="2026"/>
    <x v="6"/>
    <s v="LAA"/>
    <s v="Automatic Tensioning Device - Type pulley (ATD)"/>
    <s v="6 Bulanan"/>
    <n v="271"/>
    <n v="70"/>
    <n v="542"/>
    <n v="0.12920000000000001"/>
  </r>
  <r>
    <d v="2026-02-28T00:00:00"/>
    <n v="2026"/>
    <x v="6"/>
    <s v="LAA"/>
    <s v="Disconnecting Switch"/>
    <s v="1 Tahunan"/>
    <n v="133"/>
    <n v="48"/>
    <n v="133"/>
    <n v="0.3609"/>
  </r>
  <r>
    <d v="2026-02-28T00:00:00"/>
    <n v="2026"/>
    <x v="6"/>
    <s v="LAA"/>
    <s v="Lightning Arrester Gardu Traksi"/>
    <s v="1 Tahunan"/>
    <n v="67"/>
    <n v="19"/>
    <n v="67"/>
    <n v="0.28360000000000002"/>
  </r>
  <r>
    <d v="2026-02-28T00:00:00"/>
    <n v="2026"/>
    <x v="6"/>
    <s v="LAA"/>
    <s v="Detail Peralatan Overhead Conductor Rail"/>
    <s v="6 Bulanan"/>
    <n v="5482"/>
    <n v="3114"/>
    <n v="10964"/>
    <n v="0.28399999999999997"/>
  </r>
  <r>
    <d v="2026-02-28T00:00:00"/>
    <n v="2026"/>
    <x v="6"/>
    <s v="LAA"/>
    <s v="Pemeriksaan Peralatan Jaringan Catenary (Siang Hari)"/>
    <s v="1 Bulanan"/>
    <m/>
    <m/>
    <m/>
    <m/>
  </r>
  <r>
    <d v="2026-02-28T00:00:00"/>
    <n v="2026"/>
    <x v="7"/>
    <s v="SINYAL"/>
    <s v="Wesel E/M"/>
    <s v="2 Mingguan"/>
    <n v="263"/>
    <n v="1052"/>
    <n v="6312"/>
    <n v="0.16669999999999999"/>
  </r>
  <r>
    <d v="2026-02-28T00:00:00"/>
    <n v="2026"/>
    <x v="7"/>
    <s v="SINYAL"/>
    <s v="PDS E/M"/>
    <s v="1 Bulanan"/>
    <n v="40"/>
    <n v="80"/>
    <n v="480"/>
    <n v="0.16669999999999999"/>
  </r>
  <r>
    <d v="2026-02-28T00:00:00"/>
    <n v="2026"/>
    <x v="7"/>
    <s v="SINYAL"/>
    <s v="Peraga Sinyal E/M"/>
    <s v="1 Bulanan"/>
    <n v="408"/>
    <n v="818"/>
    <n v="4896"/>
    <n v="0.1671"/>
  </r>
  <r>
    <d v="2026-02-28T00:00:00"/>
    <n v="2026"/>
    <x v="7"/>
    <s v="SINYAL"/>
    <s v="Pendeteksi KA"/>
    <s v="1 Bulanan"/>
    <n v="550"/>
    <n v="1055"/>
    <n v="6600"/>
    <n v="0.1598"/>
  </r>
  <r>
    <d v="2026-02-28T00:00:00"/>
    <n v="2026"/>
    <x v="7"/>
    <s v="SINYAL"/>
    <s v="Pintu Perlintasan"/>
    <s v="1 Bulanan"/>
    <n v="76"/>
    <n v="149"/>
    <n v="912"/>
    <n v="0.16339999999999999"/>
  </r>
  <r>
    <d v="2026-02-28T00:00:00"/>
    <n v="2026"/>
    <x v="7"/>
    <s v="SINYAL"/>
    <s v="Point Lock/Perintang/Pelalau"/>
    <s v="2 Mingguan"/>
    <n v="6"/>
    <n v="23"/>
    <n v="144"/>
    <n v="0.15970000000000001"/>
  </r>
  <r>
    <d v="2026-02-28T00:00:00"/>
    <n v="2026"/>
    <x v="7"/>
    <s v="SINYAL"/>
    <s v="Negative check Persinyalan mekanik"/>
    <s v="1 Bulanan"/>
    <n v="19"/>
    <n v="37"/>
    <n v="228"/>
    <n v="0.1623"/>
  </r>
  <r>
    <d v="2026-02-28T00:00:00"/>
    <n v="2026"/>
    <x v="7"/>
    <s v="SINYAL"/>
    <s v="CTC/CTS"/>
    <s v="1 Bulanan"/>
    <n v="1"/>
    <n v="2"/>
    <n v="12"/>
    <n v="0.16669999999999999"/>
  </r>
  <r>
    <d v="2026-02-28T00:00:00"/>
    <n v="2026"/>
    <x v="7"/>
    <s v="SINYAL"/>
    <s v="Location Case"/>
    <s v="1 Bulanan"/>
    <n v="4"/>
    <n v="8"/>
    <n v="48"/>
    <n v="0.16669999999999999"/>
  </r>
  <r>
    <d v="2026-02-28T00:00:00"/>
    <n v="2026"/>
    <x v="7"/>
    <s v="SINYAL"/>
    <s v="Catu Daya Sinyal"/>
    <s v="1 Bulanan"/>
    <n v="31"/>
    <n v="61"/>
    <n v="372"/>
    <n v="0.16400000000000001"/>
  </r>
  <r>
    <d v="2026-02-28T00:00:00"/>
    <n v="2026"/>
    <x v="7"/>
    <s v="SINYAL"/>
    <s v="Saluran kawat"/>
    <s v="1 Bulanan"/>
    <n v="175"/>
    <n v="350"/>
    <n v="2100"/>
    <n v="0.16669999999999999"/>
  </r>
  <r>
    <d v="2026-02-28T00:00:00"/>
    <n v="2026"/>
    <x v="7"/>
    <s v="TELKOM"/>
    <s v="Radiolok"/>
    <s v="1 Harian"/>
    <n v="9"/>
    <n v="893"/>
    <n v="3285"/>
    <n v="0.27179999999999999"/>
  </r>
  <r>
    <d v="2026-02-28T00:00:00"/>
    <n v="2026"/>
    <x v="7"/>
    <s v="TELKOM"/>
    <s v="Radiolok"/>
    <s v="3 Bulanan"/>
    <n v="9"/>
    <n v="10"/>
    <n v="36"/>
    <n v="0.27779999999999999"/>
  </r>
  <r>
    <d v="2026-02-28T00:00:00"/>
    <n v="2026"/>
    <x v="7"/>
    <s v="TELKOM"/>
    <s v="Radiolok"/>
    <s v="1 Tahunan"/>
    <n v="9"/>
    <n v="4"/>
    <n v="9"/>
    <n v="0.44440000000000002"/>
  </r>
  <r>
    <d v="2026-02-28T00:00:00"/>
    <n v="2026"/>
    <x v="7"/>
    <s v="TELKOM"/>
    <s v="Way Station"/>
    <s v="3 Bulanan"/>
    <n v="34"/>
    <n v="41"/>
    <n v="132"/>
    <n v="0.31059999999999999"/>
  </r>
  <r>
    <d v="2026-02-28T00:00:00"/>
    <n v="2026"/>
    <x v="7"/>
    <s v="TELKOM"/>
    <s v="PK"/>
    <s v="6 Bulanan"/>
    <n v="2"/>
    <m/>
    <n v="4"/>
    <n v="0"/>
  </r>
  <r>
    <d v="2026-02-28T00:00:00"/>
    <n v="2026"/>
    <x v="7"/>
    <s v="TELKOM"/>
    <s v="Base Station"/>
    <s v="6 Bulanan"/>
    <n v="9"/>
    <n v="2"/>
    <n v="18"/>
    <n v="0.1111"/>
  </r>
  <r>
    <d v="2026-02-28T00:00:00"/>
    <n v="2026"/>
    <x v="7"/>
    <s v="TELKOM"/>
    <s v="FO"/>
    <s v="1 Bulanan"/>
    <n v="3654"/>
    <n v="6870"/>
    <n v="43848"/>
    <n v="0.15670000000000001"/>
  </r>
  <r>
    <d v="2026-02-28T00:00:00"/>
    <n v="2026"/>
    <x v="7"/>
    <s v="TELKOM"/>
    <s v="Peralatan Telekomunikasi dalam stasiun"/>
    <s v="1 Bulanan"/>
    <m/>
    <m/>
    <m/>
    <m/>
  </r>
  <r>
    <d v="2026-02-28T00:00:00"/>
    <n v="2026"/>
    <x v="7"/>
    <s v="TELKOM"/>
    <s v="Peralatan Telekomunikasi luar stasiun"/>
    <s v="1 Bulanan"/>
    <m/>
    <m/>
    <m/>
    <m/>
  </r>
  <r>
    <d v="2026-02-28T00:00:00"/>
    <n v="2026"/>
    <x v="7"/>
    <s v="TELKOM"/>
    <s v="Peralatan Telekomunikasi JPL"/>
    <s v="1 Bulanan"/>
    <m/>
    <m/>
    <m/>
    <m/>
  </r>
  <r>
    <d v="2026-02-28T00:00:00"/>
    <n v="2026"/>
    <x v="7"/>
    <s v="SINYAL"/>
    <s v="WLSE"/>
    <s v="1 Bulanan"/>
    <m/>
    <m/>
    <m/>
    <m/>
  </r>
  <r>
    <d v="2026-02-28T00:00:00"/>
    <n v="2026"/>
    <x v="7"/>
    <s v="TELKOM"/>
    <s v="Saluran Blok"/>
    <s v="1 Bulanan"/>
    <m/>
    <m/>
    <m/>
    <m/>
  </r>
  <r>
    <d v="2026-02-28T00:00:00"/>
    <n v="2026"/>
    <x v="7"/>
    <s v="TELKOM"/>
    <s v="Saluran Blok"/>
    <s v="6 Bulanan"/>
    <m/>
    <m/>
    <m/>
    <m/>
  </r>
  <r>
    <d v="2026-02-28T00:00:00"/>
    <n v="2026"/>
    <x v="7"/>
    <s v="TELKOM"/>
    <s v="Way Station"/>
    <s v="1 Tahunan"/>
    <n v="33"/>
    <m/>
    <n v="33"/>
    <n v="0"/>
  </r>
  <r>
    <d v="2026-02-28T00:00:00"/>
    <n v="2026"/>
    <x v="8"/>
    <s v="SINYAL"/>
    <s v="Wesel E/M"/>
    <s v="2 Mingguan"/>
    <n v="486"/>
    <n v="1949"/>
    <n v="11664"/>
    <n v="0.1671"/>
  </r>
  <r>
    <d v="2026-02-28T00:00:00"/>
    <n v="2026"/>
    <x v="8"/>
    <s v="SINYAL"/>
    <s v="WLSE"/>
    <s v="1 Bulanan"/>
    <n v="25"/>
    <n v="59"/>
    <n v="300"/>
    <n v="0.19670000000000001"/>
  </r>
  <r>
    <d v="2026-02-28T00:00:00"/>
    <n v="2026"/>
    <x v="8"/>
    <s v="SINYAL"/>
    <s v="PDS E/M"/>
    <s v="1 Bulanan"/>
    <n v="68"/>
    <n v="136"/>
    <n v="816"/>
    <n v="0.16669999999999999"/>
  </r>
  <r>
    <d v="2026-02-28T00:00:00"/>
    <n v="2026"/>
    <x v="8"/>
    <s v="SINYAL"/>
    <s v="Peraga Sinyal E/M"/>
    <s v="1 Bulanan"/>
    <n v="729"/>
    <n v="1463"/>
    <n v="8772"/>
    <n v="0.1668"/>
  </r>
  <r>
    <d v="2026-02-28T00:00:00"/>
    <n v="2026"/>
    <x v="8"/>
    <s v="SINYAL"/>
    <s v="Pendeteksi KA"/>
    <s v="1 Bulanan"/>
    <n v="854"/>
    <n v="1842"/>
    <n v="11040"/>
    <n v="0.1668"/>
  </r>
  <r>
    <d v="2026-02-28T00:00:00"/>
    <n v="2026"/>
    <x v="8"/>
    <s v="SINYAL"/>
    <s v="Pintu Perlintasan"/>
    <s v="1 Bulanan"/>
    <n v="121"/>
    <n v="243"/>
    <n v="1452"/>
    <n v="0.16739999999999999"/>
  </r>
  <r>
    <d v="2026-02-28T00:00:00"/>
    <n v="2026"/>
    <x v="8"/>
    <s v="SINYAL"/>
    <s v="Point Lock/Perintang/Pelalau"/>
    <s v="2 Mingguan"/>
    <n v="27"/>
    <n v="113"/>
    <n v="648"/>
    <n v="0.1744"/>
  </r>
  <r>
    <d v="2026-02-28T00:00:00"/>
    <n v="2026"/>
    <x v="8"/>
    <s v="SINYAL"/>
    <s v="Saluran Blok"/>
    <s v="6 Bulanan"/>
    <m/>
    <m/>
    <m/>
    <m/>
  </r>
  <r>
    <d v="2026-02-28T00:00:00"/>
    <n v="2026"/>
    <x v="8"/>
    <s v="SINYAL"/>
    <s v="CTC/CTS"/>
    <s v="1 Bulanan"/>
    <n v="2"/>
    <n v="4"/>
    <n v="24"/>
    <n v="0.16669999999999999"/>
  </r>
  <r>
    <d v="2026-02-28T00:00:00"/>
    <n v="2026"/>
    <x v="8"/>
    <s v="SINYAL"/>
    <s v="Location Case"/>
    <s v="1 Bulanan"/>
    <n v="30"/>
    <n v="60"/>
    <n v="360"/>
    <n v="0.16669999999999999"/>
  </r>
  <r>
    <d v="2026-02-28T00:00:00"/>
    <n v="2026"/>
    <x v="8"/>
    <s v="SINYAL"/>
    <s v="Catu Daya Sinyal"/>
    <s v="1 Bulanan"/>
    <n v="51"/>
    <n v="107"/>
    <n v="624"/>
    <n v="0.17150000000000001"/>
  </r>
  <r>
    <d v="2026-02-28T00:00:00"/>
    <n v="2026"/>
    <x v="8"/>
    <s v="SINYAL"/>
    <s v="Saluran kawat"/>
    <s v="1 Bulanan"/>
    <n v="337"/>
    <n v="677"/>
    <n v="4044"/>
    <n v="0.16739999999999999"/>
  </r>
  <r>
    <d v="2026-02-28T00:00:00"/>
    <n v="2026"/>
    <x v="8"/>
    <s v="TELKOM"/>
    <s v="Radiolok"/>
    <s v="1 Harian"/>
    <n v="50"/>
    <n v="3516"/>
    <n v="18972"/>
    <n v="0.18529999999999999"/>
  </r>
  <r>
    <d v="2026-02-28T00:00:00"/>
    <n v="2026"/>
    <x v="8"/>
    <s v="TELKOM"/>
    <s v="Radiolok"/>
    <s v="3 Bulanan"/>
    <n v="58"/>
    <n v="41"/>
    <n v="232"/>
    <n v="0.1767"/>
  </r>
  <r>
    <d v="2026-02-28T00:00:00"/>
    <n v="2026"/>
    <x v="8"/>
    <s v="TELKOM"/>
    <s v="Radiolok"/>
    <s v="1 Tahunan"/>
    <n v="58"/>
    <n v="0"/>
    <n v="58"/>
    <n v="0"/>
  </r>
  <r>
    <d v="2026-02-28T00:00:00"/>
    <n v="2026"/>
    <x v="8"/>
    <s v="TELKOM"/>
    <s v="Way Station"/>
    <s v="3 Bulanan"/>
    <n v="56"/>
    <n v="26"/>
    <n v="228"/>
    <n v="0.114"/>
  </r>
  <r>
    <d v="2026-02-28T00:00:00"/>
    <n v="2026"/>
    <x v="8"/>
    <s v="TELKOM"/>
    <s v="PK"/>
    <s v="6 Bulanan"/>
    <n v="3"/>
    <n v="0"/>
    <n v="6"/>
    <n v="0"/>
  </r>
  <r>
    <d v="2026-02-28T00:00:00"/>
    <n v="2026"/>
    <x v="8"/>
    <s v="TELKOM"/>
    <s v="FO"/>
    <s v="1 Bulanan"/>
    <n v="4610"/>
    <n v="9590"/>
    <n v="55320"/>
    <n v="0.1734"/>
  </r>
  <r>
    <d v="2026-02-28T00:00:00"/>
    <n v="2026"/>
    <x v="8"/>
    <s v="TELKOM"/>
    <s v="Saluran Blok"/>
    <s v="1 Bulanan"/>
    <n v="44"/>
    <n v="78"/>
    <n v="468"/>
    <n v="0.16669999999999999"/>
  </r>
  <r>
    <d v="2026-02-28T00:00:00"/>
    <n v="2026"/>
    <x v="8"/>
    <s v="TELKOM"/>
    <s v="Saluran Blok"/>
    <s v="6 Bulanan"/>
    <n v="44"/>
    <n v="8"/>
    <n v="78"/>
    <n v="0.1026"/>
  </r>
  <r>
    <d v="2026-02-28T00:00:00"/>
    <n v="2026"/>
    <x v="8"/>
    <s v="TELKOM"/>
    <s v="Peralatan Telekomunikasi dalam stasiun"/>
    <s v="1 Bulanan"/>
    <n v="90"/>
    <n v="180"/>
    <n v="1080"/>
    <n v="0.16669999999999999"/>
  </r>
  <r>
    <d v="2026-02-28T00:00:00"/>
    <n v="2026"/>
    <x v="8"/>
    <s v="TELKOM"/>
    <s v="Peralatan Telekomunikasi luar stasiun"/>
    <s v="1 Bulanan"/>
    <n v="27"/>
    <n v="32"/>
    <n v="192"/>
    <n v="0.16669999999999999"/>
  </r>
  <r>
    <d v="2026-02-28T00:00:00"/>
    <n v="2026"/>
    <x v="8"/>
    <s v="TELKOM"/>
    <s v="Peralatan Telekomunikasi JPL"/>
    <s v="1 Bulanan"/>
    <n v="121"/>
    <n v="239"/>
    <n v="1428"/>
    <n v="0.16739999999999999"/>
  </r>
  <r>
    <d v="2026-02-28T00:00:00"/>
    <n v="2026"/>
    <x v="8"/>
    <s v="TELKOM"/>
    <s v="Base Station"/>
    <s v="6 Bulanan"/>
    <n v="12"/>
    <n v="3"/>
    <n v="24"/>
    <n v="0.125"/>
  </r>
  <r>
    <d v="2026-02-28T00:00:00"/>
    <n v="2026"/>
    <x v="9"/>
    <s v="SINYAL"/>
    <s v="Wesel E/M"/>
    <s v="2 Mingguan"/>
    <n v="351"/>
    <n v="712"/>
    <n v="4291"/>
    <n v="0.16589999999999999"/>
  </r>
  <r>
    <d v="2026-02-28T00:00:00"/>
    <n v="2026"/>
    <x v="9"/>
    <s v="SINYAL"/>
    <s v="PDS E/M"/>
    <s v="1 Bulanan"/>
    <n v="70"/>
    <n v="35"/>
    <n v="420"/>
    <n v="8.3299999999999999E-2"/>
  </r>
  <r>
    <d v="2026-02-28T00:00:00"/>
    <n v="2026"/>
    <x v="9"/>
    <s v="SINYAL"/>
    <s v="Peraga Sinyal E/M"/>
    <s v="1 Bulanan"/>
    <n v="232"/>
    <n v="464"/>
    <n v="2784"/>
    <n v="0.16669999999999999"/>
  </r>
  <r>
    <d v="2026-02-28T00:00:00"/>
    <n v="2026"/>
    <x v="9"/>
    <s v="SINYAL"/>
    <s v="Pendeteksi KA"/>
    <s v="1 Bulanan"/>
    <n v="66"/>
    <n v="132"/>
    <n v="792"/>
    <n v="0.16669999999999999"/>
  </r>
  <r>
    <d v="2026-02-28T00:00:00"/>
    <n v="2026"/>
    <x v="9"/>
    <s v="SINYAL"/>
    <s v="Pintu Perlintasan"/>
    <s v="1 Bulanan"/>
    <n v="84"/>
    <n v="168"/>
    <n v="1008"/>
    <n v="0.16669999999999999"/>
  </r>
  <r>
    <d v="2026-02-28T00:00:00"/>
    <n v="2026"/>
    <x v="9"/>
    <s v="SINYAL"/>
    <s v="Point Lock/Perintang/Pelalau"/>
    <s v="2 Mingguan"/>
    <m/>
    <m/>
    <m/>
    <m/>
  </r>
  <r>
    <d v="2026-02-28T00:00:00"/>
    <n v="2026"/>
    <x v="9"/>
    <s v="SINYAL"/>
    <s v="Negative check Persinyalan mekanik tanpa RS"/>
    <s v="1 Bulanan"/>
    <n v="33"/>
    <n v="64"/>
    <n v="384"/>
    <n v="0.16669999999999999"/>
  </r>
  <r>
    <d v="2026-02-28T00:00:00"/>
    <n v="2026"/>
    <x v="9"/>
    <s v="SINYAL"/>
    <s v="Negative check Persinyalan mekanik dengan RS"/>
    <s v="1 Bulanan"/>
    <n v="3"/>
    <n v="6"/>
    <n v="36"/>
    <n v="0.16669999999999999"/>
  </r>
  <r>
    <d v="2026-02-28T00:00:00"/>
    <n v="2026"/>
    <x v="9"/>
    <s v="SINYAL"/>
    <s v="CTC/CTS"/>
    <s v="1 Bulanan"/>
    <m/>
    <m/>
    <m/>
    <m/>
  </r>
  <r>
    <d v="2026-02-28T00:00:00"/>
    <n v="2026"/>
    <x v="9"/>
    <s v="SINYAL"/>
    <s v="Location Case"/>
    <s v="1 Bulanan"/>
    <m/>
    <m/>
    <m/>
    <m/>
  </r>
  <r>
    <d v="2026-02-28T00:00:00"/>
    <n v="2026"/>
    <x v="9"/>
    <s v="SINYAL"/>
    <s v="Catu Daya Sinyal"/>
    <s v="1 Bulanan"/>
    <n v="51"/>
    <n v="46"/>
    <n v="276"/>
    <n v="0.16669999999999999"/>
  </r>
  <r>
    <d v="2026-02-28T00:00:00"/>
    <n v="2026"/>
    <x v="9"/>
    <s v="SINYAL"/>
    <s v="Saluran kawat"/>
    <s v="1 Bulanan"/>
    <n v="445"/>
    <n v="890"/>
    <n v="5340"/>
    <n v="0.16669999999999999"/>
  </r>
  <r>
    <d v="2026-02-28T00:00:00"/>
    <n v="2026"/>
    <x v="9"/>
    <s v="TELKOM"/>
    <s v="Radiolok"/>
    <s v="1 Harian"/>
    <n v="17"/>
    <n v="860"/>
    <n v="5110"/>
    <n v="0.16830000000000001"/>
  </r>
  <r>
    <d v="2026-02-28T00:00:00"/>
    <n v="2026"/>
    <x v="9"/>
    <s v="TELKOM"/>
    <s v="Radiolok"/>
    <s v="3 Bulanan"/>
    <n v="11"/>
    <n v="10"/>
    <n v="44"/>
    <n v="0.2273"/>
  </r>
  <r>
    <d v="2026-02-28T00:00:00"/>
    <n v="2026"/>
    <x v="9"/>
    <s v="TELKOM"/>
    <s v="Radiolok"/>
    <s v="1 Tahunan"/>
    <n v="11"/>
    <n v="5"/>
    <n v="11"/>
    <n v="0.45450000000000002"/>
  </r>
  <r>
    <d v="2026-02-28T00:00:00"/>
    <n v="2026"/>
    <x v="9"/>
    <s v="TELKOM"/>
    <s v="Way Station"/>
    <s v="3 Bulanan"/>
    <n v="34"/>
    <n v="34"/>
    <n v="136"/>
    <n v="0.25"/>
  </r>
  <r>
    <d v="2026-02-28T00:00:00"/>
    <n v="2026"/>
    <x v="9"/>
    <s v="TELKOM"/>
    <s v="Way Station"/>
    <s v="1 Tahunan"/>
    <n v="34"/>
    <n v="2"/>
    <n v="34"/>
    <n v="5.8799999999999998E-2"/>
  </r>
  <r>
    <d v="2026-02-28T00:00:00"/>
    <n v="2026"/>
    <x v="9"/>
    <s v="TELKOM"/>
    <s v="Base Station"/>
    <s v="6 Bulanan"/>
    <n v="6"/>
    <n v="4"/>
    <n v="12"/>
    <n v="0.33329999999999999"/>
  </r>
  <r>
    <d v="2026-02-28T00:00:00"/>
    <n v="2026"/>
    <x v="9"/>
    <s v="TELKOM"/>
    <s v="PK"/>
    <s v="6 Bulanan"/>
    <n v="2"/>
    <n v="2"/>
    <n v="4"/>
    <n v="0.5"/>
  </r>
  <r>
    <d v="2026-02-28T00:00:00"/>
    <n v="2026"/>
    <x v="9"/>
    <s v="TELKOM"/>
    <s v="FO"/>
    <s v="1 Bulanan"/>
    <n v="12"/>
    <n v="504"/>
    <n v="5904"/>
    <n v="8.5400000000000004E-2"/>
  </r>
  <r>
    <d v="2026-02-28T00:00:00"/>
    <n v="2026"/>
    <x v="9"/>
    <s v="TELKOM"/>
    <s v="Peralatan Telekomunikasi dalam stasiun"/>
    <s v="1 Bulanan"/>
    <n v="33"/>
    <n v="66"/>
    <n v="396"/>
    <n v="0.16669999999999999"/>
  </r>
  <r>
    <d v="2026-02-28T00:00:00"/>
    <n v="2026"/>
    <x v="9"/>
    <s v="TELKOM"/>
    <s v="Peralatan Telekomunikasi luar stasiun"/>
    <s v="1 Bulanan"/>
    <n v="23"/>
    <n v="46"/>
    <n v="276"/>
    <n v="0.16669999999999999"/>
  </r>
  <r>
    <d v="2026-02-28T00:00:00"/>
    <n v="2026"/>
    <x v="9"/>
    <s v="TELKOM"/>
    <s v="Peralatan Telekomunikasi JPL"/>
    <s v="1 Bulanan"/>
    <n v="79"/>
    <n v="158"/>
    <n v="948"/>
    <n v="0.16669999999999999"/>
  </r>
  <r>
    <d v="2026-02-28T00:00:00"/>
    <n v="2026"/>
    <x v="9"/>
    <s v="SINYAL"/>
    <s v="WLSE"/>
    <s v="1 Bulanan"/>
    <m/>
    <m/>
    <m/>
    <m/>
  </r>
  <r>
    <d v="2026-02-28T00:00:00"/>
    <n v="2026"/>
    <x v="9"/>
    <s v="TELKOM"/>
    <s v="Saluran Blok"/>
    <s v="1 Bulanan"/>
    <n v="21"/>
    <n v="44"/>
    <n v="264"/>
    <n v="0.16669999999999999"/>
  </r>
  <r>
    <d v="2026-02-28T00:00:00"/>
    <n v="2026"/>
    <x v="9"/>
    <s v="TELKOM"/>
    <s v="Saluran Blok"/>
    <s v="6 Bulanan"/>
    <n v="22"/>
    <n v="12"/>
    <n v="44"/>
    <n v="0.2727"/>
  </r>
  <r>
    <d v="2026-02-28T00:00:00"/>
    <n v="2026"/>
    <x v="10"/>
    <s v="SINYAL"/>
    <s v="Wesel M"/>
    <s v="2 Mingguan"/>
    <n v="82"/>
    <n v="328"/>
    <n v="1968"/>
    <n v="0.16669999999999999"/>
  </r>
  <r>
    <d v="2026-02-28T00:00:00"/>
    <n v="2026"/>
    <x v="10"/>
    <s v="SINYAL"/>
    <s v="Wesel E"/>
    <s v="2 Mingguan"/>
    <n v="173"/>
    <n v="688"/>
    <n v="4128"/>
    <n v="0.16669999999999999"/>
  </r>
  <r>
    <d v="2026-02-28T00:00:00"/>
    <n v="2026"/>
    <x v="10"/>
    <s v="SINYAL"/>
    <s v="PDS M"/>
    <s v="1 Bulanan"/>
    <n v="74"/>
    <n v="148"/>
    <n v="888"/>
    <n v="0.16669999999999999"/>
  </r>
  <r>
    <d v="2026-02-28T00:00:00"/>
    <n v="2026"/>
    <x v="10"/>
    <s v="SINYAL"/>
    <s v="PDS E"/>
    <s v="1 Bulanan"/>
    <n v="110"/>
    <n v="215"/>
    <n v="1320"/>
    <n v="0.16289999999999999"/>
  </r>
  <r>
    <d v="2026-02-28T00:00:00"/>
    <n v="2026"/>
    <x v="10"/>
    <s v="SINYAL"/>
    <s v="Peraga Sinyal M"/>
    <s v="1 Bulanan"/>
    <n v="160"/>
    <n v="319"/>
    <n v="1920"/>
    <n v="0.1661"/>
  </r>
  <r>
    <d v="2026-02-28T00:00:00"/>
    <n v="2026"/>
    <x v="10"/>
    <s v="SINYAL"/>
    <s v="Peraga Sinyal E"/>
    <s v="1 Bulanan"/>
    <n v="311"/>
    <n v="615"/>
    <n v="3732"/>
    <n v="0.1648"/>
  </r>
  <r>
    <d v="2026-02-28T00:00:00"/>
    <n v="2026"/>
    <x v="10"/>
    <s v="SINYAL"/>
    <s v="Pendeteksi KA (Axc Siemens)"/>
    <s v="1 Bulanan"/>
    <n v="286"/>
    <n v="572"/>
    <n v="3432"/>
    <n v="0.16669999999999999"/>
  </r>
  <r>
    <d v="2026-02-28T00:00:00"/>
    <n v="2026"/>
    <x v="10"/>
    <s v="SINYAL"/>
    <s v="Pendeteksi KA (Axc Altpro)"/>
    <s v="1 Bulanan"/>
    <n v="12"/>
    <n v="24"/>
    <n v="144"/>
    <n v="0.16669999999999999"/>
  </r>
  <r>
    <d v="2026-02-28T00:00:00"/>
    <n v="2026"/>
    <x v="10"/>
    <s v="SINYAL"/>
    <s v="Pendeteksi KA (Axc Frauscher)"/>
    <s v="1 Bulanan"/>
    <n v="85"/>
    <n v="171"/>
    <n v="1020"/>
    <n v="0.1676"/>
  </r>
  <r>
    <d v="2026-02-28T00:00:00"/>
    <n v="2026"/>
    <x v="10"/>
    <s v="SINYAL"/>
    <s v="Track Circuit"/>
    <s v="1 Bulanan"/>
    <n v="44"/>
    <n v="88"/>
    <n v="528"/>
    <n v="0.16669999999999999"/>
  </r>
  <r>
    <d v="2026-02-28T00:00:00"/>
    <n v="2026"/>
    <x v="10"/>
    <s v="SINYAL"/>
    <s v="Kontak Deteksi Elektromekanis"/>
    <s v="1 Bulanan"/>
    <n v="47"/>
    <n v="94"/>
    <n v="564"/>
    <n v="0.16669999999999999"/>
  </r>
  <r>
    <d v="2026-02-28T00:00:00"/>
    <n v="2026"/>
    <x v="10"/>
    <s v="SINYAL"/>
    <s v="Pintu Perlintasan"/>
    <s v="1 Bulanan"/>
    <n v="91"/>
    <n v="182"/>
    <n v="1092"/>
    <n v="0.16669999999999999"/>
  </r>
  <r>
    <d v="2026-02-28T00:00:00"/>
    <n v="2026"/>
    <x v="10"/>
    <s v="SINYAL"/>
    <s v="Point Lock/Perintang/Pelalau"/>
    <s v="2 Mingguan"/>
    <n v="13"/>
    <n v="64"/>
    <n v="384"/>
    <n v="0.16669999999999999"/>
  </r>
  <r>
    <d v="2026-02-28T00:00:00"/>
    <n v="2026"/>
    <x v="10"/>
    <s v="SINYAL"/>
    <s v="Negative check Persinyalan mekanik"/>
    <s v="1 Bulanan"/>
    <m/>
    <m/>
    <m/>
    <m/>
  </r>
  <r>
    <d v="2026-02-28T00:00:00"/>
    <n v="2026"/>
    <x v="10"/>
    <s v="SINYAL"/>
    <s v="CTC/CTS"/>
    <s v="1 Bulanan"/>
    <m/>
    <m/>
    <m/>
    <m/>
  </r>
  <r>
    <d v="2026-02-28T00:00:00"/>
    <n v="2026"/>
    <x v="10"/>
    <s v="SINYAL"/>
    <s v="Location Case"/>
    <s v="1 Bulanan"/>
    <n v="17"/>
    <n v="34"/>
    <n v="204"/>
    <n v="0.16669999999999999"/>
  </r>
  <r>
    <d v="2026-02-28T00:00:00"/>
    <n v="2026"/>
    <x v="10"/>
    <s v="SINYAL"/>
    <s v="Catu Daya Sinyal"/>
    <s v="1 Bulanan"/>
    <n v="48"/>
    <n v="94"/>
    <n v="564"/>
    <n v="0.16669999999999999"/>
  </r>
  <r>
    <d v="2026-02-28T00:00:00"/>
    <n v="2026"/>
    <x v="10"/>
    <s v="SINYAL"/>
    <s v="Saluran kawat"/>
    <s v="1 Bulanan"/>
    <n v="227"/>
    <n v="449"/>
    <n v="2724"/>
    <n v="0.1648"/>
  </r>
  <r>
    <d v="2026-02-28T00:00:00"/>
    <n v="2026"/>
    <x v="10"/>
    <s v="TELKOM"/>
    <s v="Radiolok"/>
    <s v="1 Harian"/>
    <n v="16"/>
    <n v="945"/>
    <n v="5842"/>
    <n v="0.1618"/>
  </r>
  <r>
    <d v="2026-02-28T00:00:00"/>
    <n v="2026"/>
    <x v="10"/>
    <s v="TELKOM"/>
    <s v="Radiolok"/>
    <s v="3 Bulanan"/>
    <n v="39"/>
    <n v="39"/>
    <n v="156"/>
    <n v="0.25"/>
  </r>
  <r>
    <d v="2026-02-28T00:00:00"/>
    <n v="2026"/>
    <x v="10"/>
    <s v="TELKOM"/>
    <s v="Radiolok"/>
    <s v="1 Tahunan"/>
    <n v="39"/>
    <n v="10"/>
    <n v="39"/>
    <n v="0.25640000000000002"/>
  </r>
  <r>
    <d v="2026-02-28T00:00:00"/>
    <n v="2026"/>
    <x v="10"/>
    <s v="TELKOM"/>
    <s v="Way Station"/>
    <s v="3 Bulanan"/>
    <n v="44"/>
    <n v="39"/>
    <n v="180"/>
    <n v="0.2167"/>
  </r>
  <r>
    <d v="2026-02-28T00:00:00"/>
    <n v="2026"/>
    <x v="10"/>
    <s v="TELKOM"/>
    <s v="Way Station"/>
    <s v="1 Tahunan"/>
    <n v="44"/>
    <n v="10"/>
    <n v="45"/>
    <n v="0.22220000000000001"/>
  </r>
  <r>
    <d v="2026-02-28T00:00:00"/>
    <n v="2026"/>
    <x v="10"/>
    <s v="TELKOM"/>
    <s v="PK"/>
    <s v="6 Bulanan"/>
    <n v="2"/>
    <n v="2"/>
    <n v="4"/>
    <n v="0.5"/>
  </r>
  <r>
    <d v="2026-02-28T00:00:00"/>
    <n v="2026"/>
    <x v="10"/>
    <s v="TELKOM"/>
    <s v="Base Station"/>
    <s v="6 Bulanan"/>
    <n v="9"/>
    <n v="2"/>
    <n v="18"/>
    <n v="0.1111"/>
  </r>
  <r>
    <d v="2026-02-28T00:00:00"/>
    <n v="2026"/>
    <x v="10"/>
    <s v="TELKOM"/>
    <s v="FO"/>
    <s v="1 Bulanan"/>
    <n v="87"/>
    <n v="87"/>
    <n v="1044"/>
    <n v="8.3299999999999999E-2"/>
  </r>
  <r>
    <d v="2026-02-28T00:00:00"/>
    <n v="2026"/>
    <x v="10"/>
    <s v="TELKOM"/>
    <s v="Peralatan Telekomunikasi dalam stasiun"/>
    <s v="1 Bulanan"/>
    <n v="228"/>
    <n v="462"/>
    <n v="2736"/>
    <n v="0.16889999999999999"/>
  </r>
  <r>
    <d v="2026-02-28T00:00:00"/>
    <n v="2026"/>
    <x v="10"/>
    <s v="TELKOM"/>
    <s v="Peralatan Telekomunikasi luar stasiun"/>
    <s v="1 Bulanan"/>
    <n v="22"/>
    <n v="46"/>
    <n v="300"/>
    <n v="0.15329999999999999"/>
  </r>
  <r>
    <d v="2026-02-28T00:00:00"/>
    <n v="2026"/>
    <x v="10"/>
    <s v="TELKOM"/>
    <s v="Peralatan Telekomunikasi JPL"/>
    <s v="1 Bulanan"/>
    <n v="184"/>
    <n v="365"/>
    <n v="2196"/>
    <n v="0.16619999999999999"/>
  </r>
  <r>
    <d v="2026-02-28T00:00:00"/>
    <n v="2026"/>
    <x v="10"/>
    <s v="SINYAL"/>
    <s v="WLSE"/>
    <s v="1 Bulanan"/>
    <n v="3"/>
    <n v="6"/>
    <n v="36"/>
    <n v="0.16669999999999999"/>
  </r>
  <r>
    <d v="2026-02-28T00:00:00"/>
    <n v="2026"/>
    <x v="10"/>
    <s v="TELKOM"/>
    <s v="Saluran Blok"/>
    <s v="1 Bulanan"/>
    <m/>
    <m/>
    <m/>
    <m/>
  </r>
  <r>
    <d v="2026-02-28T00:00:00"/>
    <n v="2026"/>
    <x v="10"/>
    <s v="TELKOM"/>
    <s v="Saluran Blok"/>
    <s v="6 Bulanan"/>
    <m/>
    <m/>
    <m/>
    <m/>
  </r>
  <r>
    <d v="2026-02-28T00:00:00"/>
    <n v="2026"/>
    <x v="10"/>
    <s v="SINYAL"/>
    <m/>
    <s v="1 Bulanan"/>
    <m/>
    <m/>
    <m/>
    <m/>
  </r>
  <r>
    <d v="2026-02-28T00:00:00"/>
    <n v="2026"/>
    <x v="11"/>
    <s v="SINYAL"/>
    <s v="Wesel E/M"/>
    <s v="2 Mingguan"/>
    <n v="96"/>
    <n v="384"/>
    <n v="2304"/>
    <n v="0.16669999999999999"/>
  </r>
  <r>
    <d v="2026-02-28T00:00:00"/>
    <n v="2026"/>
    <x v="11"/>
    <s v="SINYAL"/>
    <s v="PDS E/M"/>
    <s v="1 Bulanan"/>
    <n v="17"/>
    <n v="34"/>
    <n v="204"/>
    <n v="0.16669999999999999"/>
  </r>
  <r>
    <d v="2026-02-28T00:00:00"/>
    <n v="2026"/>
    <x v="11"/>
    <s v="SINYAL"/>
    <s v="Peraga Sinyal E/M"/>
    <s v="1 Bulanan"/>
    <n v="109"/>
    <n v="218"/>
    <n v="1308"/>
    <n v="0.16669999999999999"/>
  </r>
  <r>
    <d v="2026-02-28T00:00:00"/>
    <n v="2026"/>
    <x v="11"/>
    <s v="SINYAL"/>
    <s v="Pendeteksi KA"/>
    <s v="1 Bulanan"/>
    <n v="8"/>
    <n v="16"/>
    <n v="96"/>
    <n v="0.16669999999999999"/>
  </r>
  <r>
    <d v="2026-02-28T00:00:00"/>
    <n v="2026"/>
    <x v="11"/>
    <s v="SINYAL"/>
    <s v="Pintu Perlintasan"/>
    <s v="1 Bulanan"/>
    <n v="34"/>
    <n v="68"/>
    <n v="408"/>
    <n v="0.16669999999999999"/>
  </r>
  <r>
    <d v="2026-02-28T00:00:00"/>
    <n v="2026"/>
    <x v="11"/>
    <s v="SINYAL"/>
    <s v="Point Lock/Perintang/Pelalau"/>
    <s v="2 Mingguan"/>
    <n v="5"/>
    <n v="20"/>
    <n v="120"/>
    <n v="0.16669999999999999"/>
  </r>
  <r>
    <d v="2026-02-28T00:00:00"/>
    <n v="2026"/>
    <x v="11"/>
    <s v="SINYAL"/>
    <s v="Negative check Persinyalan mekanik"/>
    <s v="1 Bulanan"/>
    <n v="17"/>
    <n v="34"/>
    <n v="204"/>
    <n v="0.16669999999999999"/>
  </r>
  <r>
    <d v="2026-02-28T00:00:00"/>
    <n v="2026"/>
    <x v="11"/>
    <s v="SINYAL"/>
    <s v="Catu Daya Sinyal"/>
    <s v="1 Bulanan"/>
    <n v="7"/>
    <n v="14"/>
    <n v="84"/>
    <n v="0.16669999999999999"/>
  </r>
  <r>
    <d v="2026-02-28T00:00:00"/>
    <n v="2026"/>
    <x v="11"/>
    <s v="SINYAL"/>
    <s v="Saluran kawat"/>
    <s v="1 Bulanan"/>
    <n v="200"/>
    <n v="400"/>
    <n v="2400"/>
    <n v="0.16669999999999999"/>
  </r>
  <r>
    <d v="2026-02-28T00:00:00"/>
    <n v="2026"/>
    <x v="11"/>
    <s v="TELKOM"/>
    <s v="Radiolok"/>
    <s v="1 Harian"/>
    <n v="14"/>
    <n v="826"/>
    <n v="5110"/>
    <n v="0.16159999999999999"/>
  </r>
  <r>
    <d v="2026-02-28T00:00:00"/>
    <n v="2026"/>
    <x v="11"/>
    <s v="TELKOM"/>
    <s v="Radiolok"/>
    <s v="3 Bulanan"/>
    <n v="19"/>
    <n v="0"/>
    <n v="76"/>
    <n v="0"/>
  </r>
  <r>
    <d v="2026-02-28T00:00:00"/>
    <n v="2026"/>
    <x v="11"/>
    <s v="TELKOM"/>
    <s v="Radiolok"/>
    <s v="1 Tahunan"/>
    <n v="19"/>
    <n v="0"/>
    <n v="19"/>
    <n v="0"/>
  </r>
  <r>
    <d v="2026-02-28T00:00:00"/>
    <n v="2026"/>
    <x v="11"/>
    <s v="TELKOM"/>
    <s v="Way Station"/>
    <s v="3 Bulanan"/>
    <n v="5"/>
    <n v="0"/>
    <n v="20"/>
    <n v="0"/>
  </r>
  <r>
    <d v="2026-02-28T00:00:00"/>
    <n v="2026"/>
    <x v="11"/>
    <s v="TELKOM"/>
    <s v="Base Station"/>
    <s v="6 Bulanan"/>
    <n v="2"/>
    <n v="0"/>
    <n v="4"/>
    <n v="0"/>
  </r>
  <r>
    <d v="2026-02-28T00:00:00"/>
    <n v="2026"/>
    <x v="11"/>
    <s v="TELKOM"/>
    <s v="FO"/>
    <s v="1 Bulanan"/>
    <n v="10"/>
    <n v="20"/>
    <n v="120"/>
    <n v="0.16669999999999999"/>
  </r>
  <r>
    <d v="2026-02-28T00:00:00"/>
    <n v="2026"/>
    <x v="11"/>
    <s v="TELKOM"/>
    <s v="PK"/>
    <s v="1 Tahunan"/>
    <n v="1"/>
    <n v="0"/>
    <n v="1"/>
    <n v="0"/>
  </r>
  <r>
    <d v="2026-02-28T00:00:00"/>
    <n v="2026"/>
    <x v="11"/>
    <s v="TELKOM"/>
    <s v="Peralatan Telekomunikasi dalam stasiun"/>
    <s v="1 Bulanan"/>
    <m/>
    <m/>
    <m/>
    <m/>
  </r>
  <r>
    <d v="2026-02-28T00:00:00"/>
    <n v="2026"/>
    <x v="11"/>
    <s v="TELKOM"/>
    <s v="Peralatan Telekomunikasi luar stasiun"/>
    <s v="1 Bulanan"/>
    <m/>
    <m/>
    <m/>
    <m/>
  </r>
  <r>
    <d v="2026-02-28T00:00:00"/>
    <n v="2026"/>
    <x v="11"/>
    <s v="TELKOM"/>
    <s v="Peralatan Telekomunikasi JPL"/>
    <s v="1 Bulanan"/>
    <m/>
    <m/>
    <m/>
    <m/>
  </r>
  <r>
    <d v="2026-02-28T00:00:00"/>
    <n v="2026"/>
    <x v="12"/>
    <s v="SINYAL"/>
    <s v="Wesel E/M"/>
    <s v="2 Mingguan"/>
    <n v="392"/>
    <n v="1568"/>
    <n v="9250"/>
    <n v="0.16950000000000001"/>
  </r>
  <r>
    <d v="2026-02-28T00:00:00"/>
    <n v="2026"/>
    <x v="12"/>
    <s v="SINYAL"/>
    <s v="PDS E/M"/>
    <s v="1 Bulanan"/>
    <n v="39"/>
    <n v="78"/>
    <n v="468"/>
    <n v="0.16669999999999999"/>
  </r>
  <r>
    <d v="2026-02-28T00:00:00"/>
    <n v="2026"/>
    <x v="12"/>
    <s v="SINYAL"/>
    <s v="Peraga Sinyal E/M"/>
    <s v="1 Bulanan"/>
    <n v="778"/>
    <n v="1556"/>
    <n v="9201"/>
    <n v="0.1691"/>
  </r>
  <r>
    <d v="2026-02-28T00:00:00"/>
    <n v="2026"/>
    <x v="12"/>
    <s v="SINYAL"/>
    <s v="Pendeteksi KA"/>
    <s v="1 Bulanan"/>
    <n v="16"/>
    <n v="32"/>
    <n v="192"/>
    <n v="0.16669999999999999"/>
  </r>
  <r>
    <d v="2026-02-28T00:00:00"/>
    <n v="2026"/>
    <x v="12"/>
    <s v="SINYAL"/>
    <s v="Pintu Perlintasan"/>
    <s v="1 Bulanan"/>
    <n v="26"/>
    <n v="53"/>
    <n v="312"/>
    <n v="0.1699"/>
  </r>
  <r>
    <d v="2026-02-28T00:00:00"/>
    <n v="2026"/>
    <x v="12"/>
    <s v="SINYAL"/>
    <s v="Point Lock/Perintang/Pelalau"/>
    <s v="2 Mingguan"/>
    <n v="24"/>
    <n v="96"/>
    <n v="576"/>
    <n v="0.16669999999999999"/>
  </r>
  <r>
    <d v="2026-02-28T00:00:00"/>
    <n v="2026"/>
    <x v="12"/>
    <s v="SINYAL"/>
    <s v="Negative check Persinyalan mekanik tanpa RS"/>
    <s v="1 Bulanan"/>
    <n v="7"/>
    <n v="14"/>
    <n v="40"/>
    <n v="0.35"/>
  </r>
  <r>
    <d v="2026-02-28T00:00:00"/>
    <n v="2026"/>
    <x v="12"/>
    <s v="SINYAL"/>
    <s v="Negative check Persinyalan mekanik dengan RS"/>
    <s v="1 Bulanan"/>
    <n v="9"/>
    <n v="18"/>
    <n v="108"/>
    <n v="0.16669999999999999"/>
  </r>
  <r>
    <d v="2026-02-28T00:00:00"/>
    <n v="2026"/>
    <x v="12"/>
    <s v="SINYAL"/>
    <s v="Axle Counter"/>
    <s v="1 Bulanan"/>
    <n v="925"/>
    <n v="1850"/>
    <n v="10766"/>
    <n v="0.17180000000000001"/>
  </r>
  <r>
    <d v="2026-02-28T00:00:00"/>
    <n v="2026"/>
    <x v="12"/>
    <s v="SINYAL"/>
    <s v="Location Case"/>
    <s v="1 Bulanan"/>
    <n v="45"/>
    <n v="90"/>
    <n v="540"/>
    <n v="0.16669999999999999"/>
  </r>
  <r>
    <d v="2026-02-28T00:00:00"/>
    <n v="2026"/>
    <x v="12"/>
    <s v="SINYAL"/>
    <s v="Catu Daya Sinyal"/>
    <s v="1 Bulanan"/>
    <n v="35"/>
    <n v="70"/>
    <n v="420"/>
    <n v="0.16669999999999999"/>
  </r>
  <r>
    <d v="2026-02-28T00:00:00"/>
    <n v="2026"/>
    <x v="12"/>
    <s v="SINYAL"/>
    <s v="Saluran kawat"/>
    <s v="1 Bulanan"/>
    <n v="145"/>
    <n v="290"/>
    <n v="1740"/>
    <n v="0.16669999999999999"/>
  </r>
  <r>
    <d v="2026-02-28T00:00:00"/>
    <n v="2026"/>
    <x v="12"/>
    <s v="TELKOM"/>
    <s v="Radiolok"/>
    <s v="1 Harian"/>
    <n v="105"/>
    <n v="5518"/>
    <n v="38161"/>
    <n v="0.14460000000000001"/>
  </r>
  <r>
    <d v="2026-02-28T00:00:00"/>
    <n v="2026"/>
    <x v="12"/>
    <s v="TELKOM"/>
    <s v="Radiolok"/>
    <s v="3 Bulanan"/>
    <n v="88"/>
    <n v="40"/>
    <n v="352"/>
    <n v="0.11360000000000001"/>
  </r>
  <r>
    <d v="2026-02-28T00:00:00"/>
    <n v="2026"/>
    <x v="12"/>
    <s v="TELKOM"/>
    <s v="Radiolok"/>
    <s v="1 Tahunan"/>
    <n v="88"/>
    <n v="40"/>
    <n v="88"/>
    <n v="0.45450000000000002"/>
  </r>
  <r>
    <d v="2026-02-28T00:00:00"/>
    <n v="2026"/>
    <x v="12"/>
    <s v="TELKOM"/>
    <s v="Way Station"/>
    <s v="3 Bulanan"/>
    <n v="33"/>
    <n v="29"/>
    <n v="132"/>
    <n v="0.21970000000000001"/>
  </r>
  <r>
    <d v="2026-02-28T00:00:00"/>
    <n v="2026"/>
    <x v="12"/>
    <s v="TELKOM"/>
    <s v="Way Station"/>
    <s v="1 Tahunan"/>
    <n v="33"/>
    <n v="11"/>
    <n v="33"/>
    <n v="0.33329999999999999"/>
  </r>
  <r>
    <d v="2026-02-28T00:00:00"/>
    <n v="2026"/>
    <x v="12"/>
    <s v="TELKOM"/>
    <s v="PK"/>
    <s v="6 Bulanan"/>
    <n v="6"/>
    <n v="6"/>
    <n v="24"/>
    <n v="0.25"/>
  </r>
  <r>
    <d v="2026-02-28T00:00:00"/>
    <n v="2026"/>
    <x v="12"/>
    <s v="TELKOM"/>
    <s v="Base Station"/>
    <s v="6 Bulanan"/>
    <n v="10"/>
    <n v="5"/>
    <n v="20"/>
    <n v="0.25"/>
  </r>
  <r>
    <d v="2026-02-28T00:00:00"/>
    <n v="2026"/>
    <x v="12"/>
    <s v="TELKOM"/>
    <s v="FO"/>
    <s v="1 Bulanan"/>
    <n v="3536"/>
    <n v="7072"/>
    <n v="42432"/>
    <n v="0.16669999999999999"/>
  </r>
  <r>
    <d v="2026-02-28T00:00:00"/>
    <n v="2026"/>
    <x v="12"/>
    <s v="TELKOM"/>
    <s v="Peralatan Telekomunikasi dalam stasiun"/>
    <s v="1 Bulanan"/>
    <n v="33"/>
    <n v="66"/>
    <n v="396"/>
    <n v="0.16669999999999999"/>
  </r>
  <r>
    <d v="2026-02-28T00:00:00"/>
    <n v="2026"/>
    <x v="12"/>
    <s v="TELKOM"/>
    <s v="Peralatan Telekomunikasi luar stasiun"/>
    <s v="1 Bulanan"/>
    <n v="11"/>
    <n v="22"/>
    <n v="132"/>
    <n v="0.16669999999999999"/>
  </r>
  <r>
    <d v="2026-02-28T00:00:00"/>
    <n v="2026"/>
    <x v="12"/>
    <s v="TELKOM"/>
    <s v="Peralatan Telekomunikasi JPL"/>
    <s v="1 Bulanan"/>
    <n v="24"/>
    <n v="48"/>
    <n v="288"/>
    <n v="0.16669999999999999"/>
  </r>
  <r>
    <d v="2026-02-28T00:00:00"/>
    <n v="2026"/>
    <x v="12"/>
    <s v="SINYAL"/>
    <s v="WLSE"/>
    <s v="1 Bulanan"/>
    <n v="4"/>
    <n v="8"/>
    <n v="48"/>
    <n v="0.16669999999999999"/>
  </r>
  <r>
    <d v="2026-02-28T00:00:00"/>
    <n v="2026"/>
    <x v="12"/>
    <s v="TELKOM"/>
    <s v="Saluran Blok"/>
    <s v="1 Bulanan"/>
    <n v="4"/>
    <n v="8"/>
    <n v="64"/>
    <n v="0.125"/>
  </r>
  <r>
    <d v="2026-02-28T00:00:00"/>
    <n v="2026"/>
    <x v="12"/>
    <s v="TELKOM"/>
    <m/>
    <m/>
    <m/>
    <m/>
    <m/>
    <m/>
  </r>
  <r>
    <d v="2026-02-28T00:00:00"/>
    <n v="2026"/>
    <x v="13"/>
    <s v="SINYAL"/>
    <s v="Wesel E/M"/>
    <s v="2 Mingguan"/>
    <n v="279"/>
    <n v="688"/>
    <n v="6696"/>
    <n v="0.1027"/>
  </r>
  <r>
    <d v="2026-02-28T00:00:00"/>
    <n v="2026"/>
    <x v="13"/>
    <s v="SINYAL"/>
    <s v="PDS E/M"/>
    <s v="1 Bulanan"/>
    <n v="129"/>
    <n v="160"/>
    <n v="1548"/>
    <n v="0.10340000000000001"/>
  </r>
  <r>
    <d v="2026-02-28T00:00:00"/>
    <n v="2026"/>
    <x v="13"/>
    <s v="SINYAL"/>
    <s v="Peraga Sinyal E/M"/>
    <s v="1 Bulanan"/>
    <n v="533"/>
    <n v="600"/>
    <n v="6396"/>
    <n v="9.3799999999999994E-2"/>
  </r>
  <r>
    <d v="2026-02-28T00:00:00"/>
    <n v="2026"/>
    <x v="13"/>
    <s v="SINYAL"/>
    <s v="Pendeteksi KA"/>
    <s v="1 Bulanan"/>
    <n v="315"/>
    <n v="389"/>
    <n v="3786"/>
    <n v="0.1027"/>
  </r>
  <r>
    <d v="2026-02-28T00:00:00"/>
    <n v="2026"/>
    <x v="13"/>
    <s v="SINYAL"/>
    <s v="Pintu Perlintasan"/>
    <s v="1 Bulanan"/>
    <n v="20"/>
    <n v="22"/>
    <n v="240"/>
    <n v="9.1700000000000004E-2"/>
  </r>
  <r>
    <d v="2026-02-28T00:00:00"/>
    <n v="2026"/>
    <x v="13"/>
    <s v="TELKOM"/>
    <s v="Peralatan Telekomunikasi JPL"/>
    <s v="1 Bulanan"/>
    <n v="19"/>
    <n v="23"/>
    <n v="228"/>
    <n v="0.1009"/>
  </r>
  <r>
    <d v="2026-02-28T00:00:00"/>
    <n v="2026"/>
    <x v="13"/>
    <s v="SINYAL"/>
    <s v="Point Lock/Perintang/Pelalau"/>
    <s v="2 Mingguan"/>
    <n v="21"/>
    <n v="48"/>
    <n v="504"/>
    <n v="9.5200000000000007E-2"/>
  </r>
  <r>
    <d v="2026-02-28T00:00:00"/>
    <n v="2026"/>
    <x v="13"/>
    <s v="SINYAL"/>
    <s v="Negative check Persinyalan mekanik"/>
    <s v="1 Bulanan"/>
    <n v="86"/>
    <n v="94"/>
    <n v="1032"/>
    <n v="9.11E-2"/>
  </r>
  <r>
    <d v="2026-02-28T00:00:00"/>
    <n v="2026"/>
    <x v="13"/>
    <s v="SINYAL"/>
    <s v="CTC/CTS"/>
    <s v="1 Bulanan"/>
    <m/>
    <m/>
    <m/>
    <m/>
  </r>
  <r>
    <d v="2026-02-28T00:00:00"/>
    <n v="2026"/>
    <x v="13"/>
    <s v="SINYAL"/>
    <s v="Location Case"/>
    <s v="1 Bulanan"/>
    <n v="2"/>
    <n v="2"/>
    <n v="24"/>
    <n v="8.3299999999999999E-2"/>
  </r>
  <r>
    <d v="2026-02-28T00:00:00"/>
    <n v="2026"/>
    <x v="13"/>
    <s v="SINYAL"/>
    <s v="Catu Daya Sinyal"/>
    <s v="1 Bulanan"/>
    <n v="32"/>
    <n v="32"/>
    <n v="384"/>
    <n v="8.3299999999999999E-2"/>
  </r>
  <r>
    <d v="2026-02-28T00:00:00"/>
    <n v="2026"/>
    <x v="13"/>
    <s v="SINYAL"/>
    <s v="Saluran kawat"/>
    <s v="1 Bulanan"/>
    <n v="601"/>
    <n v="699"/>
    <n v="7212"/>
    <n v="9.69E-2"/>
  </r>
  <r>
    <d v="2026-02-28T00:00:00"/>
    <n v="2026"/>
    <x v="13"/>
    <s v="TELKOM"/>
    <s v="Radiolok"/>
    <s v="1 Harian"/>
    <n v="172"/>
    <n v="1653"/>
    <n v="17695"/>
    <n v="9.3399999999999997E-2"/>
  </r>
  <r>
    <d v="2026-02-28T00:00:00"/>
    <n v="2026"/>
    <x v="13"/>
    <s v="TELKOM"/>
    <s v="Radiolok"/>
    <s v="3 Bulanan"/>
    <n v="175"/>
    <n v="135"/>
    <n v="700"/>
    <n v="0.19289999999999999"/>
  </r>
  <r>
    <d v="2026-02-28T00:00:00"/>
    <n v="2026"/>
    <x v="13"/>
    <s v="TELKOM"/>
    <s v="Radiolok"/>
    <s v="1 Tahunan"/>
    <n v="175"/>
    <n v="135"/>
    <n v="175"/>
    <n v="0.77139999999999997"/>
  </r>
  <r>
    <d v="2026-02-28T00:00:00"/>
    <n v="2026"/>
    <x v="13"/>
    <s v="TELKOM"/>
    <s v="Way Station"/>
    <s v="3 Bulanan"/>
    <n v="48"/>
    <n v="49"/>
    <n v="192"/>
    <n v="0.25519999999999998"/>
  </r>
  <r>
    <d v="2026-02-28T00:00:00"/>
    <n v="2026"/>
    <x v="13"/>
    <s v="TELKOM"/>
    <s v="Way Station"/>
    <s v="1 Tahunan"/>
    <n v="48"/>
    <n v="45"/>
    <n v="48"/>
    <n v="0.9375"/>
  </r>
  <r>
    <d v="2026-02-28T00:00:00"/>
    <n v="2026"/>
    <x v="13"/>
    <s v="TELKOM"/>
    <s v="PK"/>
    <s v="6 Bulanan"/>
    <m/>
    <m/>
    <m/>
    <m/>
  </r>
  <r>
    <d v="2026-02-28T00:00:00"/>
    <n v="2026"/>
    <x v="13"/>
    <s v="TELKOM"/>
    <s v="Base Station"/>
    <s v="6 Bulanan"/>
    <n v="13"/>
    <n v="8"/>
    <n v="26"/>
    <n v="0.30769999999999997"/>
  </r>
  <r>
    <d v="2026-02-28T00:00:00"/>
    <n v="2026"/>
    <x v="13"/>
    <s v="TELKOM"/>
    <s v="FO"/>
    <s v="1 Bulanan"/>
    <n v="50"/>
    <n v="60"/>
    <n v="600"/>
    <n v="0.1"/>
  </r>
  <r>
    <d v="2026-02-28T00:00:00"/>
    <n v="2026"/>
    <x v="13"/>
    <s v="TELKOM"/>
    <s v="Peralatan Telekomunikasi dalam stasiun"/>
    <s v="1 Bulanan"/>
    <n v="48"/>
    <n v="55"/>
    <n v="576"/>
    <n v="9.5500000000000002E-2"/>
  </r>
  <r>
    <d v="2026-02-28T00:00:00"/>
    <n v="2026"/>
    <x v="13"/>
    <s v="TELKOM"/>
    <s v="Peralatan Telekomunikasi luar stasiun"/>
    <s v="1 Bulanan"/>
    <n v="17"/>
    <n v="20"/>
    <n v="216"/>
    <n v="9.2600000000000002E-2"/>
  </r>
  <r>
    <d v="2026-02-28T00:00:00"/>
    <n v="2026"/>
    <x v="13"/>
    <s v="SINYAL"/>
    <s v="WLSE"/>
    <s v="1 Bulanan"/>
    <n v="25"/>
    <n v="25"/>
    <n v="300"/>
    <n v="8.3299999999999999E-2"/>
  </r>
  <r>
    <d v="2026-02-28T00:00:00"/>
    <n v="2026"/>
    <x v="13"/>
    <s v="TELKOM"/>
    <s v="Saluran Blok"/>
    <s v="1 Bulanan"/>
    <n v="62"/>
    <n v="70"/>
    <n v="744"/>
    <n v="9.4100000000000003E-2"/>
  </r>
  <r>
    <d v="2026-02-28T00:00:00"/>
    <n v="2026"/>
    <x v="13"/>
    <s v="TELKOM"/>
    <s v="Saluran Blok"/>
    <s v="6 Bulanan"/>
    <n v="16"/>
    <n v="16"/>
    <n v="744"/>
    <n v="2.1499999999999998E-2"/>
  </r>
  <r>
    <m/>
    <m/>
    <x v="14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F49C53-0D3A-4E91-A1C4-C11846B71743}" name="PivotTable1" cacheId="2" applyNumberFormats="0" applyBorderFormats="0" applyFontFormats="0" applyPatternFormats="0" applyAlignmentFormats="0" applyWidthHeightFormats="1" dataCaption="Values" updatedVersion="7" minRefreshableVersion="3" rowGrandTotals="0" itemPrintTitles="1" createdVersion="7" indent="0" outline="1" outlineData="1" multipleFieldFilters="0">
  <location ref="B2:C16" firstHeaderRow="1" firstDataRow="1" firstDataCol="1"/>
  <pivotFields count="10">
    <pivotField showAll="0"/>
    <pivotField showAll="0"/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h="1" x="1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2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Rata-rata Persentase" fld="9" subtotal="average" baseField="2" baseItem="0" numFmtId="10"/>
  </dataFields>
  <formats count="7">
    <format dxfId="22">
      <pivotArea outline="0" collapsedLevelsAreSubtotals="1" fieldPosition="0"/>
    </format>
    <format dxfId="19">
      <pivotArea dataOnly="0" labelOnly="1" outline="0" axis="axisValues" fieldPosition="0"/>
    </format>
    <format dxfId="13">
      <pivotArea dataOnly="0" labelOnly="1" outline="0" axis="axisValues" fieldPosition="0"/>
    </format>
    <format dxfId="5">
      <pivotArea field="2" type="button" dataOnly="0" labelOnly="1" outline="0" axis="axisRow" fieldPosition="0"/>
    </format>
    <format dxfId="4">
      <pivotArea dataOnly="0" labelOnly="1" outline="0" axis="axisValues" fieldPosition="0"/>
    </format>
    <format dxfId="2">
      <pivotArea field="2" type="button" dataOnly="0" labelOnly="1" outline="0" axis="axisRow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E82A1-AFA5-46B1-A9F4-12F5B515B637}">
  <dimension ref="A1:J393"/>
  <sheetViews>
    <sheetView workbookViewId="0">
      <pane ySplit="1" topLeftCell="A5" activePane="bottomLeft" state="frozen"/>
      <selection pane="bottomLeft" activeCell="E10" sqref="E10"/>
    </sheetView>
  </sheetViews>
  <sheetFormatPr defaultColWidth="0" defaultRowHeight="14.25" x14ac:dyDescent="0.45"/>
  <cols>
    <col min="1" max="1" width="14" style="2" customWidth="1"/>
    <col min="2" max="2" width="9.06640625" style="2" customWidth="1"/>
    <col min="3" max="3" width="14.9296875" style="2" customWidth="1"/>
    <col min="4" max="4" width="9.06640625" style="2" customWidth="1"/>
    <col min="5" max="5" width="49.59765625" bestFit="1" customWidth="1"/>
    <col min="6" max="6" width="11.33203125" style="2" customWidth="1"/>
    <col min="7" max="10" width="11.3984375" customWidth="1"/>
    <col min="11" max="16384" width="9.06640625" hidden="1"/>
  </cols>
  <sheetData>
    <row r="1" spans="1:10" s="4" customFormat="1" ht="28.5" x14ac:dyDescent="0.45">
      <c r="A1" s="4" t="s">
        <v>1</v>
      </c>
      <c r="B1" s="4" t="s">
        <v>0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x14ac:dyDescent="0.45">
      <c r="A2" s="3">
        <v>46081</v>
      </c>
      <c r="B2" s="2">
        <v>2026</v>
      </c>
      <c r="C2" s="2" t="s">
        <v>10</v>
      </c>
      <c r="D2" s="2" t="s">
        <v>24</v>
      </c>
      <c r="E2" t="s">
        <v>27</v>
      </c>
      <c r="F2" s="2" t="s">
        <v>28</v>
      </c>
      <c r="G2">
        <v>866</v>
      </c>
      <c r="H2">
        <v>3430</v>
      </c>
      <c r="I2">
        <v>20580</v>
      </c>
      <c r="J2" s="1">
        <v>0.16669999999999999</v>
      </c>
    </row>
    <row r="3" spans="1:10" x14ac:dyDescent="0.45">
      <c r="A3" s="3">
        <v>46081</v>
      </c>
      <c r="B3" s="2">
        <v>2026</v>
      </c>
      <c r="C3" s="2" t="s">
        <v>10</v>
      </c>
      <c r="D3" s="2" t="s">
        <v>24</v>
      </c>
      <c r="E3" t="s">
        <v>29</v>
      </c>
      <c r="F3" s="2" t="s">
        <v>30</v>
      </c>
      <c r="G3">
        <v>278</v>
      </c>
      <c r="H3">
        <v>506</v>
      </c>
      <c r="I3">
        <v>3024</v>
      </c>
      <c r="J3" s="1">
        <v>0.1673</v>
      </c>
    </row>
    <row r="4" spans="1:10" x14ac:dyDescent="0.45">
      <c r="A4" s="3">
        <v>46081</v>
      </c>
      <c r="B4" s="2">
        <v>2026</v>
      </c>
      <c r="C4" s="2" t="s">
        <v>10</v>
      </c>
      <c r="D4" s="2" t="s">
        <v>24</v>
      </c>
      <c r="E4" t="s">
        <v>31</v>
      </c>
      <c r="F4" s="2" t="s">
        <v>30</v>
      </c>
      <c r="G4">
        <v>1610</v>
      </c>
      <c r="H4">
        <v>3234</v>
      </c>
      <c r="I4">
        <v>19416</v>
      </c>
      <c r="J4" s="1">
        <v>0.1666</v>
      </c>
    </row>
    <row r="5" spans="1:10" x14ac:dyDescent="0.45">
      <c r="A5" s="3">
        <v>46081</v>
      </c>
      <c r="B5" s="2">
        <v>2026</v>
      </c>
      <c r="C5" s="2" t="s">
        <v>10</v>
      </c>
      <c r="D5" s="2" t="s">
        <v>24</v>
      </c>
      <c r="E5" t="s">
        <v>32</v>
      </c>
      <c r="F5" s="2" t="s">
        <v>30</v>
      </c>
      <c r="G5">
        <v>2269</v>
      </c>
      <c r="H5">
        <v>4566</v>
      </c>
      <c r="I5">
        <v>27456</v>
      </c>
      <c r="J5" s="1">
        <v>0.1663</v>
      </c>
    </row>
    <row r="6" spans="1:10" x14ac:dyDescent="0.45">
      <c r="A6" s="3">
        <v>46081</v>
      </c>
      <c r="B6" s="2">
        <v>2026</v>
      </c>
      <c r="C6" s="2" t="s">
        <v>10</v>
      </c>
      <c r="D6" s="2" t="s">
        <v>24</v>
      </c>
      <c r="E6" t="s">
        <v>33</v>
      </c>
      <c r="F6" s="2" t="s">
        <v>30</v>
      </c>
      <c r="G6">
        <v>116</v>
      </c>
      <c r="H6">
        <v>234</v>
      </c>
      <c r="I6">
        <v>1404</v>
      </c>
      <c r="J6" s="1">
        <v>0.16669999999999999</v>
      </c>
    </row>
    <row r="7" spans="1:10" x14ac:dyDescent="0.45">
      <c r="A7" s="3">
        <v>46081</v>
      </c>
      <c r="B7" s="2">
        <v>2026</v>
      </c>
      <c r="C7" s="2" t="s">
        <v>10</v>
      </c>
      <c r="D7" s="2" t="s">
        <v>24</v>
      </c>
      <c r="E7" t="s">
        <v>34</v>
      </c>
      <c r="F7" s="2" t="s">
        <v>28</v>
      </c>
      <c r="G7">
        <v>24</v>
      </c>
      <c r="H7">
        <v>92</v>
      </c>
      <c r="I7">
        <v>556</v>
      </c>
      <c r="J7" s="1">
        <v>0.16550000000000001</v>
      </c>
    </row>
    <row r="8" spans="1:10" x14ac:dyDescent="0.45">
      <c r="A8" s="3">
        <v>46081</v>
      </c>
      <c r="B8" s="2">
        <v>2026</v>
      </c>
      <c r="C8" s="2" t="s">
        <v>10</v>
      </c>
      <c r="D8" s="2" t="s">
        <v>24</v>
      </c>
      <c r="E8" t="s">
        <v>35</v>
      </c>
      <c r="F8" s="2" t="s">
        <v>30</v>
      </c>
      <c r="G8">
        <v>4</v>
      </c>
      <c r="H8">
        <v>9</v>
      </c>
      <c r="I8">
        <v>48</v>
      </c>
      <c r="J8" s="1">
        <v>0.1875</v>
      </c>
    </row>
    <row r="9" spans="1:10" x14ac:dyDescent="0.45">
      <c r="A9" s="3">
        <v>46081</v>
      </c>
      <c r="B9" s="2">
        <v>2026</v>
      </c>
      <c r="C9" s="2" t="s">
        <v>10</v>
      </c>
      <c r="D9" s="2" t="s">
        <v>24</v>
      </c>
      <c r="E9" t="s">
        <v>36</v>
      </c>
      <c r="F9" s="2" t="s">
        <v>30</v>
      </c>
      <c r="G9">
        <v>78</v>
      </c>
      <c r="H9">
        <v>158</v>
      </c>
      <c r="I9">
        <v>950</v>
      </c>
      <c r="J9" s="1">
        <v>0.1663</v>
      </c>
    </row>
    <row r="10" spans="1:10" x14ac:dyDescent="0.45">
      <c r="A10" s="3">
        <v>46081</v>
      </c>
      <c r="B10" s="2">
        <v>2026</v>
      </c>
      <c r="C10" s="2" t="s">
        <v>10</v>
      </c>
      <c r="D10" s="2" t="s">
        <v>24</v>
      </c>
      <c r="E10" t="s">
        <v>37</v>
      </c>
      <c r="F10" s="2" t="s">
        <v>30</v>
      </c>
      <c r="G10">
        <v>290</v>
      </c>
      <c r="H10">
        <v>592</v>
      </c>
      <c r="I10">
        <v>3552</v>
      </c>
      <c r="J10" s="1">
        <v>0.16669999999999999</v>
      </c>
    </row>
    <row r="11" spans="1:10" x14ac:dyDescent="0.45">
      <c r="A11" s="3">
        <v>46081</v>
      </c>
      <c r="B11" s="2">
        <v>2026</v>
      </c>
      <c r="C11" s="2" t="s">
        <v>10</v>
      </c>
      <c r="D11" s="2" t="s">
        <v>24</v>
      </c>
      <c r="E11" t="s">
        <v>38</v>
      </c>
      <c r="F11" s="2" t="s">
        <v>30</v>
      </c>
      <c r="G11">
        <v>212</v>
      </c>
      <c r="H11">
        <v>418</v>
      </c>
      <c r="I11">
        <v>2508</v>
      </c>
      <c r="J11" s="1">
        <v>0.16669999999999999</v>
      </c>
    </row>
    <row r="12" spans="1:10" x14ac:dyDescent="0.45">
      <c r="A12" s="3">
        <v>46081</v>
      </c>
      <c r="B12" s="2">
        <v>2026</v>
      </c>
      <c r="C12" s="2" t="s">
        <v>10</v>
      </c>
      <c r="D12" s="2" t="s">
        <v>24</v>
      </c>
      <c r="E12" t="s">
        <v>39</v>
      </c>
      <c r="F12" s="2" t="s">
        <v>30</v>
      </c>
      <c r="G12">
        <v>52</v>
      </c>
      <c r="H12">
        <v>104</v>
      </c>
      <c r="I12">
        <v>624</v>
      </c>
      <c r="J12" s="1">
        <v>0.16669999999999999</v>
      </c>
    </row>
    <row r="13" spans="1:10" x14ac:dyDescent="0.45">
      <c r="A13" s="3">
        <v>46081</v>
      </c>
      <c r="B13" s="2">
        <v>2026</v>
      </c>
      <c r="C13" s="2" t="s">
        <v>10</v>
      </c>
      <c r="D13" s="2" t="s">
        <v>25</v>
      </c>
      <c r="E13" t="s">
        <v>40</v>
      </c>
      <c r="F13" s="2" t="s">
        <v>41</v>
      </c>
      <c r="G13">
        <v>58</v>
      </c>
      <c r="H13">
        <v>4641</v>
      </c>
      <c r="I13">
        <v>25564</v>
      </c>
      <c r="J13" s="1">
        <v>0.18149999999999999</v>
      </c>
    </row>
    <row r="14" spans="1:10" x14ac:dyDescent="0.45">
      <c r="A14" s="3">
        <v>46081</v>
      </c>
      <c r="B14" s="2">
        <v>2026</v>
      </c>
      <c r="C14" s="2" t="s">
        <v>10</v>
      </c>
      <c r="D14" s="2" t="s">
        <v>25</v>
      </c>
      <c r="E14" t="s">
        <v>40</v>
      </c>
      <c r="F14" s="2" t="s">
        <v>42</v>
      </c>
      <c r="G14">
        <v>55</v>
      </c>
      <c r="H14">
        <v>39</v>
      </c>
      <c r="I14">
        <v>228</v>
      </c>
      <c r="J14" s="1">
        <v>0.1711</v>
      </c>
    </row>
    <row r="15" spans="1:10" x14ac:dyDescent="0.45">
      <c r="A15" s="3">
        <v>46081</v>
      </c>
      <c r="B15" s="2">
        <v>2026</v>
      </c>
      <c r="C15" s="2" t="s">
        <v>10</v>
      </c>
      <c r="D15" s="2" t="s">
        <v>25</v>
      </c>
      <c r="E15" t="s">
        <v>40</v>
      </c>
      <c r="F15" s="2" t="s">
        <v>43</v>
      </c>
      <c r="G15">
        <v>55</v>
      </c>
      <c r="H15">
        <v>10</v>
      </c>
      <c r="I15">
        <v>57</v>
      </c>
      <c r="J15" s="1">
        <v>0.1754</v>
      </c>
    </row>
    <row r="16" spans="1:10" x14ac:dyDescent="0.45">
      <c r="A16" s="3">
        <v>46081</v>
      </c>
      <c r="B16" s="2">
        <v>2026</v>
      </c>
      <c r="C16" s="2" t="s">
        <v>10</v>
      </c>
      <c r="D16" s="2" t="s">
        <v>25</v>
      </c>
      <c r="E16" t="s">
        <v>44</v>
      </c>
      <c r="F16" s="2" t="s">
        <v>42</v>
      </c>
      <c r="G16">
        <v>133</v>
      </c>
      <c r="H16">
        <v>114</v>
      </c>
      <c r="I16">
        <v>548</v>
      </c>
      <c r="J16" s="1">
        <v>0.20799999999999999</v>
      </c>
    </row>
    <row r="17" spans="1:10" x14ac:dyDescent="0.45">
      <c r="A17" s="3">
        <v>46081</v>
      </c>
      <c r="B17" s="2">
        <v>2026</v>
      </c>
      <c r="C17" s="2" t="s">
        <v>10</v>
      </c>
      <c r="D17" s="2" t="s">
        <v>25</v>
      </c>
      <c r="E17" t="s">
        <v>45</v>
      </c>
      <c r="F17" s="2" t="s">
        <v>46</v>
      </c>
      <c r="G17">
        <v>6</v>
      </c>
      <c r="H17">
        <v>6</v>
      </c>
      <c r="I17">
        <v>12</v>
      </c>
      <c r="J17" s="1">
        <v>0.5</v>
      </c>
    </row>
    <row r="18" spans="1:10" x14ac:dyDescent="0.45">
      <c r="A18" s="3">
        <v>46081</v>
      </c>
      <c r="B18" s="2">
        <v>2026</v>
      </c>
      <c r="C18" s="2" t="s">
        <v>10</v>
      </c>
      <c r="D18" s="2" t="s">
        <v>25</v>
      </c>
      <c r="E18" t="s">
        <v>47</v>
      </c>
      <c r="F18" s="2" t="s">
        <v>46</v>
      </c>
      <c r="G18">
        <v>43</v>
      </c>
      <c r="H18">
        <v>13</v>
      </c>
      <c r="I18">
        <v>90</v>
      </c>
      <c r="J18" s="1">
        <v>0.1444</v>
      </c>
    </row>
    <row r="19" spans="1:10" x14ac:dyDescent="0.45">
      <c r="A19" s="3">
        <v>46081</v>
      </c>
      <c r="B19" s="2">
        <v>2026</v>
      </c>
      <c r="C19" s="2" t="s">
        <v>10</v>
      </c>
      <c r="D19" s="2" t="s">
        <v>25</v>
      </c>
      <c r="E19" t="s">
        <v>48</v>
      </c>
      <c r="F19" s="2" t="s">
        <v>30</v>
      </c>
      <c r="G19">
        <v>621</v>
      </c>
      <c r="H19">
        <v>20841</v>
      </c>
      <c r="I19">
        <v>117348</v>
      </c>
      <c r="J19" s="1">
        <v>0.17760000000000001</v>
      </c>
    </row>
    <row r="20" spans="1:10" x14ac:dyDescent="0.45">
      <c r="A20" s="3">
        <v>46081</v>
      </c>
      <c r="B20" s="2">
        <v>2026</v>
      </c>
      <c r="C20" s="2" t="s">
        <v>10</v>
      </c>
      <c r="D20" s="2" t="s">
        <v>25</v>
      </c>
      <c r="E20" t="s">
        <v>49</v>
      </c>
      <c r="F20" s="2" t="s">
        <v>30</v>
      </c>
      <c r="G20">
        <v>98</v>
      </c>
      <c r="H20">
        <v>265</v>
      </c>
      <c r="I20">
        <v>1584</v>
      </c>
      <c r="J20" s="1">
        <v>0.1673</v>
      </c>
    </row>
    <row r="21" spans="1:10" x14ac:dyDescent="0.45">
      <c r="A21" s="3">
        <v>46081</v>
      </c>
      <c r="B21" s="2">
        <v>2026</v>
      </c>
      <c r="C21" s="2" t="s">
        <v>10</v>
      </c>
      <c r="D21" s="2" t="s">
        <v>25</v>
      </c>
      <c r="E21" t="s">
        <v>50</v>
      </c>
      <c r="F21" s="2" t="s">
        <v>30</v>
      </c>
      <c r="G21">
        <v>43</v>
      </c>
      <c r="H21">
        <v>87</v>
      </c>
      <c r="I21">
        <v>516</v>
      </c>
      <c r="J21" s="1">
        <v>0.1686</v>
      </c>
    </row>
    <row r="22" spans="1:10" x14ac:dyDescent="0.45">
      <c r="A22" s="3">
        <v>46081</v>
      </c>
      <c r="B22" s="2">
        <v>2026</v>
      </c>
      <c r="C22" s="2" t="s">
        <v>10</v>
      </c>
      <c r="D22" s="2" t="s">
        <v>25</v>
      </c>
      <c r="E22" t="s">
        <v>51</v>
      </c>
      <c r="F22" s="2" t="s">
        <v>30</v>
      </c>
      <c r="G22">
        <v>116</v>
      </c>
      <c r="H22">
        <v>236</v>
      </c>
      <c r="I22">
        <v>1416</v>
      </c>
      <c r="J22" s="1">
        <v>0.16669999999999999</v>
      </c>
    </row>
    <row r="23" spans="1:10" x14ac:dyDescent="0.45">
      <c r="A23" s="3">
        <v>46081</v>
      </c>
      <c r="B23" s="2">
        <v>2026</v>
      </c>
      <c r="C23" s="2" t="s">
        <v>10</v>
      </c>
      <c r="D23" s="2" t="s">
        <v>24</v>
      </c>
      <c r="E23" t="s">
        <v>52</v>
      </c>
      <c r="F23" s="2" t="s">
        <v>30</v>
      </c>
    </row>
    <row r="24" spans="1:10" x14ac:dyDescent="0.45">
      <c r="A24" s="3">
        <v>46081</v>
      </c>
      <c r="B24" s="2">
        <v>2026</v>
      </c>
      <c r="C24" s="2" t="s">
        <v>10</v>
      </c>
      <c r="D24" s="2" t="s">
        <v>25</v>
      </c>
      <c r="E24" t="s">
        <v>53</v>
      </c>
      <c r="F24" s="2" t="s">
        <v>30</v>
      </c>
    </row>
    <row r="25" spans="1:10" x14ac:dyDescent="0.45">
      <c r="A25" s="3">
        <v>46081</v>
      </c>
      <c r="B25" s="2">
        <v>2026</v>
      </c>
      <c r="C25" s="2" t="s">
        <v>10</v>
      </c>
      <c r="D25" s="2" t="s">
        <v>25</v>
      </c>
      <c r="E25" t="s">
        <v>53</v>
      </c>
      <c r="F25" s="2" t="s">
        <v>46</v>
      </c>
      <c r="J25" s="1"/>
    </row>
    <row r="26" spans="1:10" x14ac:dyDescent="0.45">
      <c r="A26" s="3">
        <v>46081</v>
      </c>
      <c r="B26" s="2">
        <v>2026</v>
      </c>
      <c r="C26" s="2" t="s">
        <v>10</v>
      </c>
      <c r="D26" s="2" t="s">
        <v>25</v>
      </c>
      <c r="E26" t="s">
        <v>44</v>
      </c>
      <c r="F26" s="2" t="s">
        <v>43</v>
      </c>
      <c r="J26" s="1"/>
    </row>
    <row r="27" spans="1:10" x14ac:dyDescent="0.45">
      <c r="A27" s="3">
        <v>46081</v>
      </c>
      <c r="B27" s="2">
        <v>2026</v>
      </c>
      <c r="C27" s="2" t="s">
        <v>11</v>
      </c>
      <c r="D27" s="2" t="s">
        <v>26</v>
      </c>
      <c r="E27" t="s">
        <v>54</v>
      </c>
      <c r="F27" s="2" t="s">
        <v>28</v>
      </c>
      <c r="G27">
        <v>59</v>
      </c>
      <c r="H27">
        <v>236</v>
      </c>
      <c r="I27">
        <v>1416</v>
      </c>
      <c r="J27" s="1">
        <v>0.16669999999999999</v>
      </c>
    </row>
    <row r="28" spans="1:10" x14ac:dyDescent="0.45">
      <c r="A28" s="3">
        <v>46081</v>
      </c>
      <c r="B28" s="2">
        <v>2026</v>
      </c>
      <c r="C28" s="2" t="s">
        <v>11</v>
      </c>
      <c r="D28" s="2" t="s">
        <v>26</v>
      </c>
      <c r="E28" t="s">
        <v>55</v>
      </c>
      <c r="F28" s="2" t="s">
        <v>30</v>
      </c>
      <c r="G28">
        <v>47</v>
      </c>
      <c r="H28">
        <v>93</v>
      </c>
      <c r="I28">
        <v>564</v>
      </c>
      <c r="J28" s="1">
        <v>0.16489999999999999</v>
      </c>
    </row>
    <row r="29" spans="1:10" x14ac:dyDescent="0.45">
      <c r="A29" s="3">
        <v>46081</v>
      </c>
      <c r="B29" s="2">
        <v>2026</v>
      </c>
      <c r="C29" s="2" t="s">
        <v>11</v>
      </c>
      <c r="D29" s="2" t="s">
        <v>26</v>
      </c>
      <c r="E29" t="s">
        <v>56</v>
      </c>
      <c r="F29" s="2" t="s">
        <v>30</v>
      </c>
      <c r="G29">
        <v>59</v>
      </c>
      <c r="H29">
        <v>118</v>
      </c>
      <c r="I29">
        <v>708</v>
      </c>
      <c r="J29" s="1">
        <v>0.16669999999999999</v>
      </c>
    </row>
    <row r="30" spans="1:10" x14ac:dyDescent="0.45">
      <c r="A30" s="3">
        <v>46081</v>
      </c>
      <c r="B30" s="2">
        <v>2026</v>
      </c>
      <c r="C30" s="2" t="s">
        <v>11</v>
      </c>
      <c r="D30" s="2" t="s">
        <v>26</v>
      </c>
      <c r="E30" t="s">
        <v>57</v>
      </c>
      <c r="F30" s="2" t="s">
        <v>30</v>
      </c>
      <c r="G30">
        <v>398</v>
      </c>
      <c r="H30">
        <v>774</v>
      </c>
      <c r="I30">
        <v>4776</v>
      </c>
      <c r="J30" s="1">
        <v>0.16209999999999999</v>
      </c>
    </row>
    <row r="31" spans="1:10" x14ac:dyDescent="0.45">
      <c r="A31" s="3">
        <v>46081</v>
      </c>
      <c r="B31" s="2">
        <v>2026</v>
      </c>
      <c r="C31" s="2" t="s">
        <v>11</v>
      </c>
      <c r="D31" s="2" t="s">
        <v>26</v>
      </c>
      <c r="E31" t="s">
        <v>57</v>
      </c>
      <c r="F31" s="2" t="s">
        <v>43</v>
      </c>
      <c r="G31">
        <v>398</v>
      </c>
      <c r="H31">
        <v>91</v>
      </c>
      <c r="I31">
        <v>398</v>
      </c>
      <c r="J31" s="1">
        <v>0.2286</v>
      </c>
    </row>
    <row r="32" spans="1:10" x14ac:dyDescent="0.45">
      <c r="A32" s="3">
        <v>46081</v>
      </c>
      <c r="B32" s="2">
        <v>2026</v>
      </c>
      <c r="C32" s="2" t="s">
        <v>11</v>
      </c>
      <c r="D32" s="2" t="s">
        <v>26</v>
      </c>
      <c r="E32" t="s">
        <v>58</v>
      </c>
      <c r="F32" s="2" t="s">
        <v>43</v>
      </c>
      <c r="G32">
        <v>64</v>
      </c>
      <c r="H32">
        <v>33</v>
      </c>
      <c r="I32">
        <v>128</v>
      </c>
      <c r="J32" s="1">
        <v>0.25779999999999997</v>
      </c>
    </row>
    <row r="33" spans="1:10" x14ac:dyDescent="0.45">
      <c r="A33" s="3">
        <v>46081</v>
      </c>
      <c r="B33" s="2">
        <v>2026</v>
      </c>
      <c r="C33" s="2" t="s">
        <v>11</v>
      </c>
      <c r="D33" s="2" t="s">
        <v>26</v>
      </c>
      <c r="E33" t="s">
        <v>59</v>
      </c>
      <c r="F33" s="2" t="s">
        <v>42</v>
      </c>
      <c r="G33">
        <v>61</v>
      </c>
      <c r="H33">
        <v>44</v>
      </c>
      <c r="I33">
        <v>244</v>
      </c>
      <c r="J33" s="1">
        <v>0.18029999999999999</v>
      </c>
    </row>
    <row r="34" spans="1:10" x14ac:dyDescent="0.45">
      <c r="A34" s="3">
        <v>46081</v>
      </c>
      <c r="B34" s="2">
        <v>2026</v>
      </c>
      <c r="C34" s="2" t="s">
        <v>11</v>
      </c>
      <c r="D34" s="2" t="s">
        <v>26</v>
      </c>
      <c r="E34" t="s">
        <v>60</v>
      </c>
      <c r="F34" s="2" t="s">
        <v>43</v>
      </c>
      <c r="G34">
        <v>59</v>
      </c>
      <c r="H34">
        <v>24</v>
      </c>
      <c r="I34">
        <v>59</v>
      </c>
      <c r="J34" s="1">
        <v>0.40679999999999999</v>
      </c>
    </row>
    <row r="35" spans="1:10" x14ac:dyDescent="0.45">
      <c r="A35" s="3">
        <v>46081</v>
      </c>
      <c r="B35" s="2">
        <v>2026</v>
      </c>
      <c r="C35" s="2" t="s">
        <v>11</v>
      </c>
      <c r="D35" s="2" t="s">
        <v>26</v>
      </c>
      <c r="E35" t="s">
        <v>61</v>
      </c>
      <c r="F35" s="2" t="s">
        <v>43</v>
      </c>
      <c r="G35">
        <v>163</v>
      </c>
      <c r="H35">
        <v>15</v>
      </c>
      <c r="I35">
        <v>163</v>
      </c>
      <c r="J35" s="1">
        <v>9.1999999999999998E-2</v>
      </c>
    </row>
    <row r="36" spans="1:10" x14ac:dyDescent="0.45">
      <c r="A36" s="3">
        <v>46081</v>
      </c>
      <c r="B36" s="2">
        <v>2026</v>
      </c>
      <c r="C36" s="2" t="s">
        <v>11</v>
      </c>
      <c r="D36" s="2" t="s">
        <v>26</v>
      </c>
      <c r="E36" t="s">
        <v>62</v>
      </c>
      <c r="F36" s="2" t="s">
        <v>43</v>
      </c>
      <c r="G36">
        <v>265</v>
      </c>
      <c r="H36">
        <v>22</v>
      </c>
      <c r="I36">
        <v>265</v>
      </c>
      <c r="J36" s="1">
        <v>8.3000000000000004E-2</v>
      </c>
    </row>
    <row r="37" spans="1:10" x14ac:dyDescent="0.45">
      <c r="A37" s="3">
        <v>46081</v>
      </c>
      <c r="B37" s="2">
        <v>2026</v>
      </c>
      <c r="C37" s="2" t="s">
        <v>11</v>
      </c>
      <c r="D37" s="2" t="s">
        <v>26</v>
      </c>
      <c r="E37" t="s">
        <v>63</v>
      </c>
      <c r="F37" s="2" t="s">
        <v>43</v>
      </c>
      <c r="G37">
        <v>72</v>
      </c>
      <c r="H37">
        <v>11</v>
      </c>
      <c r="I37">
        <v>72</v>
      </c>
      <c r="J37" s="1">
        <v>0.15279999999999999</v>
      </c>
    </row>
    <row r="38" spans="1:10" x14ac:dyDescent="0.45">
      <c r="A38" s="3">
        <v>46081</v>
      </c>
      <c r="B38" s="2">
        <v>2026</v>
      </c>
      <c r="C38" s="2" t="s">
        <v>11</v>
      </c>
      <c r="D38" s="2" t="s">
        <v>26</v>
      </c>
      <c r="E38" t="s">
        <v>64</v>
      </c>
      <c r="F38" s="2" t="s">
        <v>43</v>
      </c>
      <c r="G38">
        <v>290</v>
      </c>
      <c r="H38">
        <v>20</v>
      </c>
      <c r="I38">
        <v>290</v>
      </c>
      <c r="J38" s="1">
        <v>6.9000000000000006E-2</v>
      </c>
    </row>
    <row r="39" spans="1:10" x14ac:dyDescent="0.45">
      <c r="A39" s="3">
        <v>46081</v>
      </c>
      <c r="B39" s="2">
        <v>2026</v>
      </c>
      <c r="C39" s="2" t="s">
        <v>11</v>
      </c>
      <c r="D39" s="2" t="s">
        <v>26</v>
      </c>
      <c r="E39" t="s">
        <v>65</v>
      </c>
      <c r="F39" s="2" t="s">
        <v>46</v>
      </c>
      <c r="G39">
        <v>10</v>
      </c>
      <c r="I39">
        <v>20</v>
      </c>
      <c r="J39" s="1">
        <v>0</v>
      </c>
    </row>
    <row r="40" spans="1:10" x14ac:dyDescent="0.45">
      <c r="A40" s="3">
        <v>46081</v>
      </c>
      <c r="B40" s="2">
        <v>2026</v>
      </c>
      <c r="C40" s="2" t="s">
        <v>11</v>
      </c>
      <c r="D40" s="2" t="s">
        <v>26</v>
      </c>
      <c r="E40" t="s">
        <v>66</v>
      </c>
      <c r="F40" s="2" t="s">
        <v>46</v>
      </c>
      <c r="G40">
        <v>30</v>
      </c>
      <c r="H40">
        <v>12</v>
      </c>
      <c r="I40">
        <v>60</v>
      </c>
      <c r="J40" s="1">
        <v>0.2</v>
      </c>
    </row>
    <row r="41" spans="1:10" x14ac:dyDescent="0.45">
      <c r="A41" s="3">
        <v>46081</v>
      </c>
      <c r="B41" s="2">
        <v>2026</v>
      </c>
      <c r="C41" s="2" t="s">
        <v>11</v>
      </c>
      <c r="D41" s="2" t="s">
        <v>26</v>
      </c>
      <c r="E41" t="s">
        <v>67</v>
      </c>
      <c r="F41" s="2" t="s">
        <v>43</v>
      </c>
      <c r="G41">
        <v>395</v>
      </c>
      <c r="H41">
        <v>131</v>
      </c>
      <c r="I41">
        <v>395</v>
      </c>
      <c r="J41" s="1">
        <v>0.33160000000000001</v>
      </c>
    </row>
    <row r="42" spans="1:10" x14ac:dyDescent="0.45">
      <c r="A42" s="3">
        <v>46081</v>
      </c>
      <c r="B42" s="2">
        <v>2026</v>
      </c>
      <c r="C42" s="2" t="s">
        <v>11</v>
      </c>
      <c r="D42" s="2" t="s">
        <v>26</v>
      </c>
      <c r="E42" t="s">
        <v>68</v>
      </c>
      <c r="F42" s="2" t="s">
        <v>42</v>
      </c>
      <c r="G42">
        <v>100</v>
      </c>
      <c r="H42">
        <v>50</v>
      </c>
      <c r="I42">
        <v>400</v>
      </c>
      <c r="J42" s="1">
        <v>0.125</v>
      </c>
    </row>
    <row r="43" spans="1:10" x14ac:dyDescent="0.45">
      <c r="A43" s="3">
        <v>46081</v>
      </c>
      <c r="B43" s="2">
        <v>2026</v>
      </c>
      <c r="C43" s="2" t="s">
        <v>11</v>
      </c>
      <c r="D43" s="2" t="s">
        <v>26</v>
      </c>
      <c r="E43" t="s">
        <v>69</v>
      </c>
      <c r="F43" s="2" t="s">
        <v>43</v>
      </c>
      <c r="G43">
        <v>244</v>
      </c>
      <c r="H43">
        <v>58</v>
      </c>
      <c r="I43">
        <v>244</v>
      </c>
      <c r="J43" s="1">
        <v>0.23769999999999999</v>
      </c>
    </row>
    <row r="44" spans="1:10" x14ac:dyDescent="0.45">
      <c r="A44" s="3">
        <v>46081</v>
      </c>
      <c r="B44" s="2">
        <v>2026</v>
      </c>
      <c r="C44" s="2" t="s">
        <v>11</v>
      </c>
      <c r="D44" s="2" t="s">
        <v>26</v>
      </c>
      <c r="E44" t="s">
        <v>70</v>
      </c>
      <c r="F44" s="2" t="s">
        <v>42</v>
      </c>
      <c r="G44">
        <v>69</v>
      </c>
      <c r="H44">
        <v>41</v>
      </c>
      <c r="I44">
        <v>276</v>
      </c>
      <c r="J44" s="1">
        <v>0.14860000000000001</v>
      </c>
    </row>
    <row r="45" spans="1:10" x14ac:dyDescent="0.45">
      <c r="A45" s="3">
        <v>46081</v>
      </c>
      <c r="B45" s="2">
        <v>2026</v>
      </c>
      <c r="C45" s="2" t="s">
        <v>11</v>
      </c>
      <c r="D45" s="2" t="s">
        <v>26</v>
      </c>
      <c r="E45" t="s">
        <v>71</v>
      </c>
      <c r="F45" s="2" t="s">
        <v>43</v>
      </c>
      <c r="G45">
        <v>61</v>
      </c>
      <c r="H45">
        <v>7</v>
      </c>
      <c r="I45">
        <v>61</v>
      </c>
      <c r="J45" s="1">
        <v>0.1148</v>
      </c>
    </row>
    <row r="46" spans="1:10" x14ac:dyDescent="0.45">
      <c r="A46" s="3">
        <v>46081</v>
      </c>
      <c r="B46" s="2">
        <v>2026</v>
      </c>
      <c r="C46" s="2" t="s">
        <v>11</v>
      </c>
      <c r="D46" s="2" t="s">
        <v>26</v>
      </c>
      <c r="E46" t="s">
        <v>72</v>
      </c>
      <c r="F46" s="2" t="s">
        <v>43</v>
      </c>
      <c r="G46">
        <v>3</v>
      </c>
      <c r="I46">
        <v>3</v>
      </c>
      <c r="J46" s="1">
        <v>0</v>
      </c>
    </row>
    <row r="47" spans="1:10" x14ac:dyDescent="0.45">
      <c r="A47" s="3">
        <v>46081</v>
      </c>
      <c r="B47" s="2">
        <v>2026</v>
      </c>
      <c r="C47" s="2" t="s">
        <v>11</v>
      </c>
      <c r="D47" s="2" t="s">
        <v>26</v>
      </c>
      <c r="E47" t="s">
        <v>73</v>
      </c>
      <c r="F47" s="2" t="s">
        <v>30</v>
      </c>
      <c r="G47">
        <v>691280</v>
      </c>
      <c r="H47">
        <v>1348606</v>
      </c>
      <c r="I47">
        <v>8295360</v>
      </c>
      <c r="J47" s="1">
        <v>0.16259999999999999</v>
      </c>
    </row>
    <row r="48" spans="1:10" x14ac:dyDescent="0.45">
      <c r="A48" s="3">
        <v>46081</v>
      </c>
      <c r="B48" s="2">
        <v>2026</v>
      </c>
      <c r="C48" s="2" t="s">
        <v>11</v>
      </c>
      <c r="D48" s="2" t="s">
        <v>26</v>
      </c>
      <c r="E48" t="s">
        <v>74</v>
      </c>
      <c r="F48" s="2" t="s">
        <v>46</v>
      </c>
      <c r="G48">
        <v>689046</v>
      </c>
      <c r="H48">
        <v>211349</v>
      </c>
      <c r="I48">
        <v>1378092</v>
      </c>
      <c r="J48" s="1">
        <v>0.15340000000000001</v>
      </c>
    </row>
    <row r="49" spans="1:10" x14ac:dyDescent="0.45">
      <c r="A49" s="3">
        <v>46081</v>
      </c>
      <c r="B49" s="2">
        <v>2026</v>
      </c>
      <c r="C49" s="2" t="s">
        <v>11</v>
      </c>
      <c r="D49" s="2" t="s">
        <v>26</v>
      </c>
      <c r="E49" t="s">
        <v>75</v>
      </c>
      <c r="F49" s="2" t="s">
        <v>28</v>
      </c>
      <c r="G49">
        <v>647</v>
      </c>
      <c r="H49">
        <v>2520</v>
      </c>
      <c r="I49">
        <v>15528</v>
      </c>
      <c r="J49" s="1">
        <v>0.1623</v>
      </c>
    </row>
    <row r="50" spans="1:10" x14ac:dyDescent="0.45">
      <c r="A50" s="3">
        <v>46081</v>
      </c>
      <c r="B50" s="2">
        <v>2026</v>
      </c>
      <c r="C50" s="2" t="s">
        <v>11</v>
      </c>
      <c r="D50" s="2" t="s">
        <v>26</v>
      </c>
      <c r="E50" t="s">
        <v>76</v>
      </c>
      <c r="F50" s="2" t="s">
        <v>42</v>
      </c>
      <c r="G50">
        <v>691098</v>
      </c>
      <c r="H50">
        <v>548459</v>
      </c>
      <c r="I50">
        <v>2764392</v>
      </c>
      <c r="J50" s="1">
        <v>0.19839999999999999</v>
      </c>
    </row>
    <row r="51" spans="1:10" x14ac:dyDescent="0.45">
      <c r="A51" s="3">
        <v>46081</v>
      </c>
      <c r="B51" s="2">
        <v>2026</v>
      </c>
      <c r="C51" s="2" t="s">
        <v>11</v>
      </c>
      <c r="D51" s="2" t="s">
        <v>26</v>
      </c>
      <c r="E51" t="s">
        <v>77</v>
      </c>
      <c r="F51" s="2" t="s">
        <v>43</v>
      </c>
      <c r="G51">
        <v>691280</v>
      </c>
      <c r="H51">
        <v>178733</v>
      </c>
      <c r="I51">
        <v>691280</v>
      </c>
      <c r="J51" s="1">
        <v>0.2586</v>
      </c>
    </row>
    <row r="52" spans="1:10" x14ac:dyDescent="0.45">
      <c r="A52" s="3">
        <v>46081</v>
      </c>
      <c r="B52" s="2">
        <v>2026</v>
      </c>
      <c r="C52" s="2" t="s">
        <v>11</v>
      </c>
      <c r="D52" s="2" t="s">
        <v>26</v>
      </c>
      <c r="E52" t="s">
        <v>78</v>
      </c>
      <c r="F52" s="2" t="s">
        <v>42</v>
      </c>
      <c r="G52">
        <v>345</v>
      </c>
      <c r="H52">
        <v>211</v>
      </c>
      <c r="I52">
        <v>1380</v>
      </c>
      <c r="J52" s="1">
        <v>0.15290000000000001</v>
      </c>
    </row>
    <row r="53" spans="1:10" x14ac:dyDescent="0.45">
      <c r="A53" s="3">
        <v>46081</v>
      </c>
      <c r="B53" s="2">
        <v>2026</v>
      </c>
      <c r="C53" s="2" t="s">
        <v>11</v>
      </c>
      <c r="D53" s="2" t="s">
        <v>26</v>
      </c>
      <c r="E53" t="s">
        <v>79</v>
      </c>
      <c r="F53" s="2" t="s">
        <v>43</v>
      </c>
      <c r="G53">
        <v>501</v>
      </c>
      <c r="H53">
        <v>128</v>
      </c>
      <c r="I53">
        <v>501</v>
      </c>
      <c r="J53" s="1">
        <v>0.2555</v>
      </c>
    </row>
    <row r="54" spans="1:10" x14ac:dyDescent="0.45">
      <c r="A54" s="3">
        <v>46081</v>
      </c>
      <c r="B54" s="2">
        <v>2026</v>
      </c>
      <c r="C54" s="2" t="s">
        <v>11</v>
      </c>
      <c r="D54" s="2" t="s">
        <v>26</v>
      </c>
      <c r="E54" t="s">
        <v>80</v>
      </c>
      <c r="F54" s="2" t="s">
        <v>46</v>
      </c>
      <c r="G54">
        <v>1109</v>
      </c>
      <c r="H54">
        <v>345</v>
      </c>
      <c r="I54">
        <v>2218</v>
      </c>
      <c r="J54" s="1">
        <v>0.1555</v>
      </c>
    </row>
    <row r="55" spans="1:10" x14ac:dyDescent="0.45">
      <c r="A55" s="3">
        <v>46081</v>
      </c>
      <c r="B55" s="2">
        <v>2026</v>
      </c>
      <c r="C55" s="2" t="s">
        <v>11</v>
      </c>
      <c r="D55" s="2" t="s">
        <v>26</v>
      </c>
      <c r="E55" t="s">
        <v>81</v>
      </c>
      <c r="F55" s="2" t="s">
        <v>43</v>
      </c>
      <c r="G55">
        <v>649</v>
      </c>
      <c r="H55">
        <v>74</v>
      </c>
      <c r="I55">
        <v>649</v>
      </c>
      <c r="J55" s="1">
        <v>0.114</v>
      </c>
    </row>
    <row r="56" spans="1:10" x14ac:dyDescent="0.45">
      <c r="A56" s="3">
        <v>46081</v>
      </c>
      <c r="B56" s="2">
        <v>2026</v>
      </c>
      <c r="C56" s="2" t="s">
        <v>11</v>
      </c>
      <c r="D56" s="2" t="s">
        <v>26</v>
      </c>
      <c r="E56" t="s">
        <v>82</v>
      </c>
      <c r="F56" s="2" t="s">
        <v>43</v>
      </c>
      <c r="G56">
        <v>331</v>
      </c>
      <c r="H56">
        <v>16</v>
      </c>
      <c r="I56">
        <v>331</v>
      </c>
      <c r="J56" s="1">
        <v>4.8300000000000003E-2</v>
      </c>
    </row>
    <row r="57" spans="1:10" x14ac:dyDescent="0.45">
      <c r="A57" s="3">
        <v>46081</v>
      </c>
      <c r="B57" s="2">
        <v>2026</v>
      </c>
      <c r="C57" s="2" t="s">
        <v>11</v>
      </c>
      <c r="D57" s="2" t="s">
        <v>26</v>
      </c>
      <c r="E57" t="s">
        <v>83</v>
      </c>
      <c r="F57" s="2" t="s">
        <v>46</v>
      </c>
      <c r="G57">
        <v>2234</v>
      </c>
      <c r="I57">
        <v>4468</v>
      </c>
      <c r="J57" s="1">
        <v>0</v>
      </c>
    </row>
    <row r="58" spans="1:10" x14ac:dyDescent="0.45">
      <c r="A58" s="3">
        <v>46081</v>
      </c>
      <c r="B58" s="2">
        <v>2026</v>
      </c>
      <c r="C58" s="2" t="s">
        <v>11</v>
      </c>
      <c r="D58" s="2" t="s">
        <v>26</v>
      </c>
      <c r="E58" t="s">
        <v>84</v>
      </c>
      <c r="F58" s="2" t="s">
        <v>28</v>
      </c>
      <c r="G58">
        <v>59</v>
      </c>
      <c r="H58">
        <v>234</v>
      </c>
      <c r="I58">
        <v>1416</v>
      </c>
      <c r="J58" s="1">
        <v>0.1653</v>
      </c>
    </row>
    <row r="59" spans="1:10" x14ac:dyDescent="0.45">
      <c r="A59" s="3">
        <v>46081</v>
      </c>
      <c r="B59" s="2">
        <v>2026</v>
      </c>
      <c r="C59" s="2" t="s">
        <v>11</v>
      </c>
      <c r="D59" s="2" t="s">
        <v>26</v>
      </c>
      <c r="E59" t="s">
        <v>85</v>
      </c>
      <c r="F59" s="2" t="s">
        <v>30</v>
      </c>
      <c r="G59">
        <v>47</v>
      </c>
      <c r="H59">
        <v>95</v>
      </c>
      <c r="I59">
        <v>564</v>
      </c>
      <c r="J59" s="1">
        <v>0.16839999999999999</v>
      </c>
    </row>
    <row r="60" spans="1:10" x14ac:dyDescent="0.45">
      <c r="A60" s="3">
        <v>46081</v>
      </c>
      <c r="B60" s="2">
        <v>2026</v>
      </c>
      <c r="C60" s="2" t="s">
        <v>11</v>
      </c>
      <c r="D60" s="2" t="s">
        <v>26</v>
      </c>
      <c r="E60" t="s">
        <v>86</v>
      </c>
      <c r="F60" s="2" t="s">
        <v>30</v>
      </c>
      <c r="J60" s="1"/>
    </row>
    <row r="61" spans="1:10" x14ac:dyDescent="0.45">
      <c r="A61" s="3">
        <v>46081</v>
      </c>
      <c r="B61" s="2">
        <v>2026</v>
      </c>
      <c r="C61" s="2" t="s">
        <v>12</v>
      </c>
      <c r="D61" s="2" t="s">
        <v>24</v>
      </c>
      <c r="E61" t="s">
        <v>27</v>
      </c>
      <c r="F61" s="2" t="s">
        <v>28</v>
      </c>
      <c r="G61">
        <v>366</v>
      </c>
      <c r="H61">
        <v>1464</v>
      </c>
      <c r="I61">
        <v>8784</v>
      </c>
      <c r="J61" s="1">
        <v>0.16669999999999999</v>
      </c>
    </row>
    <row r="62" spans="1:10" x14ac:dyDescent="0.45">
      <c r="A62" s="3">
        <v>46081</v>
      </c>
      <c r="B62" s="2">
        <v>2026</v>
      </c>
      <c r="C62" s="2" t="s">
        <v>12</v>
      </c>
      <c r="D62" s="2" t="s">
        <v>24</v>
      </c>
      <c r="E62" t="s">
        <v>29</v>
      </c>
      <c r="F62" s="2" t="s">
        <v>30</v>
      </c>
      <c r="G62">
        <v>244</v>
      </c>
      <c r="H62">
        <v>488</v>
      </c>
      <c r="I62">
        <v>2928</v>
      </c>
      <c r="J62" s="1">
        <v>0.16669999999999999</v>
      </c>
    </row>
    <row r="63" spans="1:10" x14ac:dyDescent="0.45">
      <c r="A63" s="3">
        <v>46081</v>
      </c>
      <c r="B63" s="2">
        <v>2026</v>
      </c>
      <c r="C63" s="2" t="s">
        <v>12</v>
      </c>
      <c r="D63" s="2" t="s">
        <v>24</v>
      </c>
      <c r="E63" t="s">
        <v>31</v>
      </c>
      <c r="F63" s="2" t="s">
        <v>30</v>
      </c>
      <c r="G63">
        <v>640</v>
      </c>
      <c r="H63">
        <v>1288</v>
      </c>
      <c r="I63">
        <v>7680</v>
      </c>
      <c r="J63" s="1">
        <v>0.16769999999999999</v>
      </c>
    </row>
    <row r="64" spans="1:10" x14ac:dyDescent="0.45">
      <c r="A64" s="3">
        <v>46081</v>
      </c>
      <c r="B64" s="2">
        <v>2026</v>
      </c>
      <c r="C64" s="2" t="s">
        <v>12</v>
      </c>
      <c r="D64" s="2" t="s">
        <v>24</v>
      </c>
      <c r="E64" t="s">
        <v>32</v>
      </c>
      <c r="F64" s="2" t="s">
        <v>30</v>
      </c>
      <c r="G64">
        <v>696</v>
      </c>
      <c r="H64">
        <v>1486</v>
      </c>
      <c r="I64">
        <v>8952</v>
      </c>
      <c r="J64" s="1">
        <v>0.16600000000000001</v>
      </c>
    </row>
    <row r="65" spans="1:10" x14ac:dyDescent="0.45">
      <c r="A65" s="3">
        <v>46081</v>
      </c>
      <c r="B65" s="2">
        <v>2026</v>
      </c>
      <c r="C65" s="2" t="s">
        <v>12</v>
      </c>
      <c r="D65" s="2" t="s">
        <v>24</v>
      </c>
      <c r="E65" t="s">
        <v>33</v>
      </c>
      <c r="F65" s="2" t="s">
        <v>30</v>
      </c>
      <c r="G65">
        <v>90</v>
      </c>
      <c r="H65">
        <v>182</v>
      </c>
      <c r="I65">
        <v>1104</v>
      </c>
      <c r="J65" s="1">
        <v>0.16489999999999999</v>
      </c>
    </row>
    <row r="66" spans="1:10" x14ac:dyDescent="0.45">
      <c r="A66" s="3">
        <v>46081</v>
      </c>
      <c r="B66" s="2">
        <v>2026</v>
      </c>
      <c r="C66" s="2" t="s">
        <v>12</v>
      </c>
      <c r="D66" s="2" t="s">
        <v>24</v>
      </c>
      <c r="E66" t="s">
        <v>34</v>
      </c>
      <c r="F66" s="2" t="s">
        <v>28</v>
      </c>
      <c r="G66">
        <v>8</v>
      </c>
      <c r="H66">
        <v>42</v>
      </c>
      <c r="I66">
        <v>192</v>
      </c>
      <c r="J66" s="1">
        <v>0.21879999999999999</v>
      </c>
    </row>
    <row r="67" spans="1:10" x14ac:dyDescent="0.45">
      <c r="A67" s="3">
        <v>46081</v>
      </c>
      <c r="B67" s="2">
        <v>2026</v>
      </c>
      <c r="C67" s="2" t="s">
        <v>12</v>
      </c>
      <c r="D67" s="2" t="s">
        <v>24</v>
      </c>
      <c r="E67" t="s">
        <v>35</v>
      </c>
      <c r="F67" s="2" t="s">
        <v>30</v>
      </c>
      <c r="G67">
        <v>25</v>
      </c>
      <c r="H67">
        <v>47</v>
      </c>
      <c r="I67">
        <v>300</v>
      </c>
      <c r="J67" s="1">
        <v>0.15670000000000001</v>
      </c>
    </row>
    <row r="68" spans="1:10" x14ac:dyDescent="0.45">
      <c r="A68" s="3">
        <v>46081</v>
      </c>
      <c r="B68" s="2">
        <v>2026</v>
      </c>
      <c r="C68" s="2" t="s">
        <v>12</v>
      </c>
      <c r="D68" s="2" t="s">
        <v>24</v>
      </c>
      <c r="E68" t="s">
        <v>36</v>
      </c>
      <c r="F68" s="2" t="s">
        <v>30</v>
      </c>
      <c r="G68">
        <v>3</v>
      </c>
      <c r="H68">
        <v>6</v>
      </c>
      <c r="I68">
        <v>36</v>
      </c>
      <c r="J68" s="1">
        <v>0.16669999999999999</v>
      </c>
    </row>
    <row r="69" spans="1:10" x14ac:dyDescent="0.45">
      <c r="A69" s="3">
        <v>46081</v>
      </c>
      <c r="B69" s="2">
        <v>2026</v>
      </c>
      <c r="C69" s="2" t="s">
        <v>12</v>
      </c>
      <c r="D69" s="2" t="s">
        <v>24</v>
      </c>
      <c r="E69" t="s">
        <v>37</v>
      </c>
      <c r="F69" s="2" t="s">
        <v>30</v>
      </c>
      <c r="G69">
        <v>73</v>
      </c>
      <c r="H69">
        <v>146</v>
      </c>
      <c r="I69">
        <v>840</v>
      </c>
      <c r="J69" s="1">
        <v>0.17380000000000001</v>
      </c>
    </row>
    <row r="70" spans="1:10" x14ac:dyDescent="0.45">
      <c r="A70" s="3">
        <v>46081</v>
      </c>
      <c r="B70" s="2">
        <v>2026</v>
      </c>
      <c r="C70" s="2" t="s">
        <v>12</v>
      </c>
      <c r="D70" s="2" t="s">
        <v>24</v>
      </c>
      <c r="E70" t="s">
        <v>38</v>
      </c>
      <c r="F70" s="2" t="s">
        <v>30</v>
      </c>
      <c r="G70">
        <v>139</v>
      </c>
      <c r="H70">
        <v>278</v>
      </c>
      <c r="I70">
        <v>1668</v>
      </c>
      <c r="J70" s="1">
        <v>0.16669999999999999</v>
      </c>
    </row>
    <row r="71" spans="1:10" x14ac:dyDescent="0.45">
      <c r="A71" s="3">
        <v>46081</v>
      </c>
      <c r="B71" s="2">
        <v>2026</v>
      </c>
      <c r="C71" s="2" t="s">
        <v>12</v>
      </c>
      <c r="D71" s="2" t="s">
        <v>24</v>
      </c>
      <c r="E71" t="s">
        <v>39</v>
      </c>
      <c r="F71" s="2" t="s">
        <v>30</v>
      </c>
      <c r="G71">
        <v>273</v>
      </c>
      <c r="H71">
        <v>546</v>
      </c>
      <c r="I71">
        <v>3276</v>
      </c>
      <c r="J71" s="1">
        <v>0.16669999999999999</v>
      </c>
    </row>
    <row r="72" spans="1:10" x14ac:dyDescent="0.45">
      <c r="A72" s="3">
        <v>46081</v>
      </c>
      <c r="B72" s="2">
        <v>2026</v>
      </c>
      <c r="C72" s="2" t="s">
        <v>12</v>
      </c>
      <c r="D72" s="2" t="s">
        <v>25</v>
      </c>
      <c r="E72" t="s">
        <v>40</v>
      </c>
      <c r="F72" s="2" t="s">
        <v>41</v>
      </c>
      <c r="G72">
        <v>14</v>
      </c>
      <c r="H72">
        <v>826</v>
      </c>
      <c r="I72">
        <v>5110</v>
      </c>
      <c r="J72" s="1">
        <v>0.16159999999999999</v>
      </c>
    </row>
    <row r="73" spans="1:10" x14ac:dyDescent="0.45">
      <c r="A73" s="3">
        <v>46081</v>
      </c>
      <c r="B73" s="2">
        <v>2026</v>
      </c>
      <c r="C73" s="2" t="s">
        <v>12</v>
      </c>
      <c r="D73" s="2" t="s">
        <v>25</v>
      </c>
      <c r="E73" t="s">
        <v>40</v>
      </c>
      <c r="F73" s="2" t="s">
        <v>42</v>
      </c>
      <c r="G73">
        <v>30</v>
      </c>
      <c r="H73">
        <v>14</v>
      </c>
      <c r="I73">
        <v>120</v>
      </c>
      <c r="J73" s="1">
        <v>0.1167</v>
      </c>
    </row>
    <row r="74" spans="1:10" x14ac:dyDescent="0.45">
      <c r="A74" s="3">
        <v>46081</v>
      </c>
      <c r="B74" s="2">
        <v>2026</v>
      </c>
      <c r="C74" s="2" t="s">
        <v>12</v>
      </c>
      <c r="D74" s="2" t="s">
        <v>25</v>
      </c>
      <c r="E74" t="s">
        <v>40</v>
      </c>
      <c r="F74" s="2" t="s">
        <v>43</v>
      </c>
      <c r="G74">
        <v>30</v>
      </c>
      <c r="H74">
        <v>0</v>
      </c>
      <c r="I74">
        <v>30</v>
      </c>
      <c r="J74" s="1">
        <v>0</v>
      </c>
    </row>
    <row r="75" spans="1:10" x14ac:dyDescent="0.45">
      <c r="A75" s="3">
        <v>46081</v>
      </c>
      <c r="B75" s="2">
        <v>2026</v>
      </c>
      <c r="C75" s="2" t="s">
        <v>12</v>
      </c>
      <c r="D75" s="2" t="s">
        <v>25</v>
      </c>
      <c r="E75" t="s">
        <v>44</v>
      </c>
      <c r="F75" s="2" t="s">
        <v>42</v>
      </c>
      <c r="G75">
        <v>52</v>
      </c>
      <c r="H75">
        <v>46</v>
      </c>
      <c r="I75">
        <v>208</v>
      </c>
      <c r="J75" s="1">
        <v>0.22120000000000001</v>
      </c>
    </row>
    <row r="76" spans="1:10" x14ac:dyDescent="0.45">
      <c r="A76" s="3">
        <v>46081</v>
      </c>
      <c r="B76" s="2">
        <v>2026</v>
      </c>
      <c r="C76" s="2" t="s">
        <v>12</v>
      </c>
      <c r="D76" s="2" t="s">
        <v>25</v>
      </c>
      <c r="E76" t="s">
        <v>44</v>
      </c>
      <c r="F76" s="2" t="s">
        <v>43</v>
      </c>
      <c r="G76">
        <v>47</v>
      </c>
      <c r="H76">
        <v>34</v>
      </c>
      <c r="I76">
        <v>52</v>
      </c>
      <c r="J76" s="1">
        <v>0.65380000000000005</v>
      </c>
    </row>
    <row r="77" spans="1:10" x14ac:dyDescent="0.45">
      <c r="A77" s="3">
        <v>46081</v>
      </c>
      <c r="B77" s="2">
        <v>2026</v>
      </c>
      <c r="C77" s="2" t="s">
        <v>12</v>
      </c>
      <c r="D77" s="2" t="s">
        <v>25</v>
      </c>
      <c r="E77" t="s">
        <v>45</v>
      </c>
      <c r="F77" s="2" t="s">
        <v>46</v>
      </c>
      <c r="G77">
        <v>3</v>
      </c>
      <c r="H77">
        <v>0</v>
      </c>
      <c r="I77">
        <v>6</v>
      </c>
      <c r="J77" s="1">
        <v>0</v>
      </c>
    </row>
    <row r="78" spans="1:10" x14ac:dyDescent="0.45">
      <c r="A78" s="3">
        <v>46081</v>
      </c>
      <c r="B78" s="2">
        <v>2026</v>
      </c>
      <c r="C78" s="2" t="s">
        <v>12</v>
      </c>
      <c r="D78" s="2" t="s">
        <v>25</v>
      </c>
      <c r="E78" t="s">
        <v>47</v>
      </c>
      <c r="F78" s="2" t="s">
        <v>46</v>
      </c>
      <c r="G78">
        <v>17</v>
      </c>
      <c r="H78">
        <v>15</v>
      </c>
      <c r="I78">
        <v>34</v>
      </c>
      <c r="J78" s="1">
        <v>0.44119999999999998</v>
      </c>
    </row>
    <row r="79" spans="1:10" x14ac:dyDescent="0.45">
      <c r="A79" s="3">
        <v>46081</v>
      </c>
      <c r="B79" s="2">
        <v>2026</v>
      </c>
      <c r="C79" s="2" t="s">
        <v>12</v>
      </c>
      <c r="D79" s="2" t="s">
        <v>25</v>
      </c>
      <c r="E79" t="s">
        <v>48</v>
      </c>
      <c r="F79" s="2" t="s">
        <v>30</v>
      </c>
      <c r="G79">
        <v>189</v>
      </c>
      <c r="H79">
        <v>377</v>
      </c>
      <c r="I79">
        <v>2268</v>
      </c>
      <c r="J79" s="1">
        <v>0.16619999999999999</v>
      </c>
    </row>
    <row r="80" spans="1:10" x14ac:dyDescent="0.45">
      <c r="A80" s="3">
        <v>46081</v>
      </c>
      <c r="B80" s="2">
        <v>2026</v>
      </c>
      <c r="C80" s="2" t="s">
        <v>12</v>
      </c>
      <c r="D80" s="2" t="s">
        <v>25</v>
      </c>
      <c r="E80" t="s">
        <v>49</v>
      </c>
      <c r="F80" s="2" t="s">
        <v>30</v>
      </c>
      <c r="G80">
        <v>287</v>
      </c>
      <c r="H80">
        <v>580</v>
      </c>
      <c r="I80">
        <v>3444</v>
      </c>
      <c r="J80" s="1">
        <v>0.16839999999999999</v>
      </c>
    </row>
    <row r="81" spans="1:10" x14ac:dyDescent="0.45">
      <c r="A81" s="3">
        <v>46081</v>
      </c>
      <c r="B81" s="2">
        <v>2026</v>
      </c>
      <c r="C81" s="2" t="s">
        <v>12</v>
      </c>
      <c r="D81" s="2" t="s">
        <v>25</v>
      </c>
      <c r="E81" t="s">
        <v>50</v>
      </c>
      <c r="F81" s="2" t="s">
        <v>30</v>
      </c>
      <c r="G81">
        <v>74</v>
      </c>
      <c r="H81">
        <v>158</v>
      </c>
      <c r="I81">
        <v>948</v>
      </c>
      <c r="J81" s="1">
        <v>0.16669999999999999</v>
      </c>
    </row>
    <row r="82" spans="1:10" x14ac:dyDescent="0.45">
      <c r="A82" s="3">
        <v>46081</v>
      </c>
      <c r="B82" s="2">
        <v>2026</v>
      </c>
      <c r="C82" s="2" t="s">
        <v>12</v>
      </c>
      <c r="D82" s="2" t="s">
        <v>25</v>
      </c>
      <c r="E82" t="s">
        <v>51</v>
      </c>
      <c r="F82" s="2" t="s">
        <v>30</v>
      </c>
      <c r="G82">
        <v>123</v>
      </c>
      <c r="H82">
        <v>269</v>
      </c>
      <c r="I82">
        <v>1644</v>
      </c>
      <c r="J82" s="1">
        <v>0.1636</v>
      </c>
    </row>
    <row r="83" spans="1:10" x14ac:dyDescent="0.45">
      <c r="A83" s="3">
        <v>46081</v>
      </c>
      <c r="B83" s="2">
        <v>2026</v>
      </c>
      <c r="C83" s="2" t="s">
        <v>12</v>
      </c>
      <c r="D83" s="2" t="s">
        <v>24</v>
      </c>
      <c r="E83" t="s">
        <v>52</v>
      </c>
      <c r="F83" s="2" t="s">
        <v>30</v>
      </c>
      <c r="J83" s="1"/>
    </row>
    <row r="84" spans="1:10" x14ac:dyDescent="0.45">
      <c r="A84" s="3">
        <v>46081</v>
      </c>
      <c r="B84" s="2">
        <v>2026</v>
      </c>
      <c r="C84" s="2" t="s">
        <v>12</v>
      </c>
      <c r="D84" s="2" t="s">
        <v>25</v>
      </c>
      <c r="E84" t="s">
        <v>53</v>
      </c>
      <c r="F84" s="2" t="s">
        <v>30</v>
      </c>
      <c r="G84">
        <v>29</v>
      </c>
      <c r="H84">
        <v>53</v>
      </c>
      <c r="I84">
        <v>348</v>
      </c>
      <c r="J84" s="1">
        <v>0.15229999999999999</v>
      </c>
    </row>
    <row r="85" spans="1:10" x14ac:dyDescent="0.45">
      <c r="A85" s="3">
        <v>46081</v>
      </c>
      <c r="B85" s="2">
        <v>2026</v>
      </c>
      <c r="C85" s="2" t="s">
        <v>12</v>
      </c>
      <c r="D85" s="2" t="s">
        <v>25</v>
      </c>
      <c r="E85" t="s">
        <v>53</v>
      </c>
      <c r="F85" s="2" t="s">
        <v>46</v>
      </c>
      <c r="G85">
        <v>15</v>
      </c>
      <c r="H85">
        <v>12</v>
      </c>
      <c r="I85">
        <v>30</v>
      </c>
      <c r="J85" s="1">
        <v>0.4</v>
      </c>
    </row>
    <row r="86" spans="1:10" x14ac:dyDescent="0.45">
      <c r="A86" s="3">
        <v>46081</v>
      </c>
      <c r="B86" s="2">
        <v>2026</v>
      </c>
      <c r="C86" s="2" t="s">
        <v>13</v>
      </c>
      <c r="D86" s="2" t="s">
        <v>24</v>
      </c>
      <c r="E86" t="s">
        <v>27</v>
      </c>
      <c r="F86" s="2" t="s">
        <v>28</v>
      </c>
      <c r="G86">
        <v>293</v>
      </c>
      <c r="H86">
        <v>1172</v>
      </c>
      <c r="I86">
        <v>7032</v>
      </c>
      <c r="J86" s="1">
        <v>0.16669999999999999</v>
      </c>
    </row>
    <row r="87" spans="1:10" x14ac:dyDescent="0.45">
      <c r="A87" s="3">
        <v>46081</v>
      </c>
      <c r="B87" s="2">
        <v>2026</v>
      </c>
      <c r="C87" s="2" t="s">
        <v>13</v>
      </c>
      <c r="D87" s="2" t="s">
        <v>24</v>
      </c>
      <c r="E87" t="s">
        <v>29</v>
      </c>
      <c r="F87" s="2" t="s">
        <v>30</v>
      </c>
      <c r="G87">
        <v>37</v>
      </c>
      <c r="H87">
        <v>74</v>
      </c>
      <c r="I87">
        <v>444</v>
      </c>
      <c r="J87" s="1">
        <v>0.16669999999999999</v>
      </c>
    </row>
    <row r="88" spans="1:10" x14ac:dyDescent="0.45">
      <c r="A88" s="3">
        <v>46081</v>
      </c>
      <c r="B88" s="2">
        <v>2026</v>
      </c>
      <c r="C88" s="2" t="s">
        <v>13</v>
      </c>
      <c r="D88" s="2" t="s">
        <v>24</v>
      </c>
      <c r="E88" t="s">
        <v>31</v>
      </c>
      <c r="F88" s="2" t="s">
        <v>30</v>
      </c>
      <c r="G88">
        <v>493</v>
      </c>
      <c r="H88">
        <v>499</v>
      </c>
      <c r="I88">
        <v>5916</v>
      </c>
      <c r="J88" s="1">
        <v>8.43E-2</v>
      </c>
    </row>
    <row r="89" spans="1:10" x14ac:dyDescent="0.45">
      <c r="A89" s="3">
        <v>46081</v>
      </c>
      <c r="B89" s="2">
        <v>2026</v>
      </c>
      <c r="C89" s="2" t="s">
        <v>13</v>
      </c>
      <c r="D89" s="2" t="s">
        <v>24</v>
      </c>
      <c r="E89" t="s">
        <v>36</v>
      </c>
      <c r="F89" s="2" t="s">
        <v>30</v>
      </c>
      <c r="G89">
        <v>2</v>
      </c>
      <c r="H89">
        <v>4</v>
      </c>
      <c r="I89">
        <v>24</v>
      </c>
      <c r="J89" s="1">
        <v>0.16669999999999999</v>
      </c>
    </row>
    <row r="90" spans="1:10" x14ac:dyDescent="0.45">
      <c r="A90" s="3">
        <v>46081</v>
      </c>
      <c r="B90" s="2">
        <v>2026</v>
      </c>
      <c r="C90" s="2" t="s">
        <v>13</v>
      </c>
      <c r="D90" s="2" t="s">
        <v>24</v>
      </c>
      <c r="E90" t="s">
        <v>32</v>
      </c>
      <c r="F90" s="2" t="s">
        <v>30</v>
      </c>
      <c r="G90">
        <v>749</v>
      </c>
      <c r="H90">
        <v>1499</v>
      </c>
      <c r="I90">
        <v>8988</v>
      </c>
      <c r="J90" s="1">
        <v>0.1668</v>
      </c>
    </row>
    <row r="91" spans="1:10" x14ac:dyDescent="0.45">
      <c r="A91" s="3">
        <v>46081</v>
      </c>
      <c r="B91" s="2">
        <v>2026</v>
      </c>
      <c r="C91" s="2" t="s">
        <v>13</v>
      </c>
      <c r="D91" s="2" t="s">
        <v>24</v>
      </c>
      <c r="E91" t="s">
        <v>37</v>
      </c>
      <c r="F91" s="2" t="s">
        <v>30</v>
      </c>
      <c r="G91">
        <v>177</v>
      </c>
      <c r="H91">
        <v>310</v>
      </c>
      <c r="I91">
        <v>1932</v>
      </c>
      <c r="J91" s="1">
        <v>0.1605</v>
      </c>
    </row>
    <row r="92" spans="1:10" x14ac:dyDescent="0.45">
      <c r="A92" s="3">
        <v>46081</v>
      </c>
      <c r="B92" s="2">
        <v>2026</v>
      </c>
      <c r="C92" s="2" t="s">
        <v>13</v>
      </c>
      <c r="D92" s="2" t="s">
        <v>24</v>
      </c>
      <c r="E92" t="s">
        <v>34</v>
      </c>
      <c r="F92" s="2" t="s">
        <v>28</v>
      </c>
      <c r="G92">
        <v>45</v>
      </c>
      <c r="H92">
        <v>188</v>
      </c>
      <c r="I92">
        <v>1128</v>
      </c>
      <c r="J92" s="1">
        <v>0.16669999999999999</v>
      </c>
    </row>
    <row r="93" spans="1:10" x14ac:dyDescent="0.45">
      <c r="A93" s="3">
        <v>46081</v>
      </c>
      <c r="B93" s="2">
        <v>2026</v>
      </c>
      <c r="C93" s="2" t="s">
        <v>13</v>
      </c>
      <c r="D93" s="2" t="s">
        <v>24</v>
      </c>
      <c r="E93" t="s">
        <v>33</v>
      </c>
      <c r="F93" s="2" t="s">
        <v>30</v>
      </c>
      <c r="G93">
        <v>55</v>
      </c>
      <c r="H93">
        <v>103</v>
      </c>
      <c r="I93">
        <v>660</v>
      </c>
      <c r="J93" s="1">
        <v>0.15609999999999999</v>
      </c>
    </row>
    <row r="94" spans="1:10" x14ac:dyDescent="0.45">
      <c r="A94" s="3">
        <v>46081</v>
      </c>
      <c r="B94" s="2">
        <v>2026</v>
      </c>
      <c r="C94" s="2" t="s">
        <v>13</v>
      </c>
      <c r="D94" s="2" t="s">
        <v>24</v>
      </c>
      <c r="E94" t="s">
        <v>35</v>
      </c>
      <c r="F94" s="2" t="s">
        <v>30</v>
      </c>
      <c r="J94" s="1"/>
    </row>
    <row r="95" spans="1:10" x14ac:dyDescent="0.45">
      <c r="A95" s="3">
        <v>46081</v>
      </c>
      <c r="B95" s="2">
        <v>2026</v>
      </c>
      <c r="C95" s="2" t="s">
        <v>13</v>
      </c>
      <c r="D95" s="2" t="s">
        <v>24</v>
      </c>
      <c r="E95" t="s">
        <v>38</v>
      </c>
      <c r="F95" s="2" t="s">
        <v>30</v>
      </c>
      <c r="G95">
        <v>45</v>
      </c>
      <c r="H95">
        <v>88</v>
      </c>
      <c r="I95">
        <v>540</v>
      </c>
      <c r="J95" s="1">
        <v>0.16300000000000001</v>
      </c>
    </row>
    <row r="96" spans="1:10" x14ac:dyDescent="0.45">
      <c r="A96" s="3">
        <v>46081</v>
      </c>
      <c r="B96" s="2">
        <v>2026</v>
      </c>
      <c r="C96" s="2" t="s">
        <v>13</v>
      </c>
      <c r="D96" s="2" t="s">
        <v>24</v>
      </c>
      <c r="E96" t="s">
        <v>39</v>
      </c>
      <c r="F96" s="2" t="s">
        <v>30</v>
      </c>
      <c r="J96" s="1"/>
    </row>
    <row r="97" spans="1:10" x14ac:dyDescent="0.45">
      <c r="A97" s="3">
        <v>46081</v>
      </c>
      <c r="B97" s="2">
        <v>2026</v>
      </c>
      <c r="C97" s="2" t="s">
        <v>13</v>
      </c>
      <c r="D97" s="2" t="s">
        <v>25</v>
      </c>
      <c r="E97" t="s">
        <v>40</v>
      </c>
      <c r="F97" s="2" t="s">
        <v>41</v>
      </c>
      <c r="G97">
        <v>3</v>
      </c>
      <c r="H97">
        <v>257</v>
      </c>
      <c r="I97">
        <v>1095</v>
      </c>
      <c r="J97" s="1">
        <v>0.23469999999999999</v>
      </c>
    </row>
    <row r="98" spans="1:10" x14ac:dyDescent="0.45">
      <c r="A98" s="3">
        <v>46081</v>
      </c>
      <c r="B98" s="2">
        <v>2026</v>
      </c>
      <c r="C98" s="2" t="s">
        <v>13</v>
      </c>
      <c r="D98" s="2" t="s">
        <v>25</v>
      </c>
      <c r="E98" t="s">
        <v>40</v>
      </c>
      <c r="F98" s="2" t="s">
        <v>42</v>
      </c>
      <c r="G98">
        <v>14</v>
      </c>
      <c r="H98">
        <v>10</v>
      </c>
      <c r="I98">
        <v>60</v>
      </c>
      <c r="J98" s="1">
        <v>0.16669999999999999</v>
      </c>
    </row>
    <row r="99" spans="1:10" x14ac:dyDescent="0.45">
      <c r="A99" s="3">
        <v>46081</v>
      </c>
      <c r="B99" s="2">
        <v>2026</v>
      </c>
      <c r="C99" s="2" t="s">
        <v>13</v>
      </c>
      <c r="D99" s="2" t="s">
        <v>25</v>
      </c>
      <c r="E99" t="s">
        <v>40</v>
      </c>
      <c r="F99" s="2" t="s">
        <v>43</v>
      </c>
      <c r="G99">
        <v>14</v>
      </c>
      <c r="H99">
        <v>6</v>
      </c>
      <c r="I99">
        <v>15</v>
      </c>
      <c r="J99" s="1">
        <v>0.4</v>
      </c>
    </row>
    <row r="100" spans="1:10" x14ac:dyDescent="0.45">
      <c r="A100" s="3">
        <v>46081</v>
      </c>
      <c r="B100" s="2">
        <v>2026</v>
      </c>
      <c r="C100" s="2" t="s">
        <v>13</v>
      </c>
      <c r="D100" s="2" t="s">
        <v>25</v>
      </c>
      <c r="E100" t="s">
        <v>44</v>
      </c>
      <c r="F100" s="2" t="s">
        <v>42</v>
      </c>
      <c r="G100">
        <v>33</v>
      </c>
      <c r="H100">
        <v>27</v>
      </c>
      <c r="I100">
        <v>132</v>
      </c>
      <c r="J100" s="1">
        <v>0.20449999999999999</v>
      </c>
    </row>
    <row r="101" spans="1:10" x14ac:dyDescent="0.45">
      <c r="A101" s="3">
        <v>46081</v>
      </c>
      <c r="B101" s="2">
        <v>2026</v>
      </c>
      <c r="C101" s="2" t="s">
        <v>13</v>
      </c>
      <c r="D101" s="2" t="s">
        <v>25</v>
      </c>
      <c r="E101" t="s">
        <v>44</v>
      </c>
      <c r="F101" s="2" t="s">
        <v>43</v>
      </c>
      <c r="G101">
        <v>33</v>
      </c>
      <c r="H101">
        <v>4</v>
      </c>
      <c r="I101">
        <v>33</v>
      </c>
      <c r="J101" s="1">
        <v>0.1212</v>
      </c>
    </row>
    <row r="102" spans="1:10" x14ac:dyDescent="0.45">
      <c r="A102" s="3">
        <v>46081</v>
      </c>
      <c r="B102" s="2">
        <v>2026</v>
      </c>
      <c r="C102" s="2" t="s">
        <v>13</v>
      </c>
      <c r="D102" s="2" t="s">
        <v>25</v>
      </c>
      <c r="E102" t="s">
        <v>47</v>
      </c>
      <c r="F102" s="2" t="s">
        <v>46</v>
      </c>
      <c r="G102">
        <v>8</v>
      </c>
      <c r="H102">
        <v>4</v>
      </c>
      <c r="I102">
        <v>18</v>
      </c>
      <c r="J102" s="1">
        <v>0.22220000000000001</v>
      </c>
    </row>
    <row r="103" spans="1:10" x14ac:dyDescent="0.45">
      <c r="A103" s="3">
        <v>46081</v>
      </c>
      <c r="B103" s="2">
        <v>2026</v>
      </c>
      <c r="C103" s="2" t="s">
        <v>13</v>
      </c>
      <c r="D103" s="2" t="s">
        <v>25</v>
      </c>
      <c r="E103" t="s">
        <v>45</v>
      </c>
      <c r="F103" s="2" t="s">
        <v>46</v>
      </c>
      <c r="G103">
        <v>3</v>
      </c>
      <c r="H103">
        <v>1</v>
      </c>
      <c r="I103">
        <v>4</v>
      </c>
      <c r="J103" s="1">
        <v>0.25</v>
      </c>
    </row>
    <row r="104" spans="1:10" x14ac:dyDescent="0.45">
      <c r="A104" s="3">
        <v>46081</v>
      </c>
      <c r="B104" s="2">
        <v>2026</v>
      </c>
      <c r="C104" s="2" t="s">
        <v>13</v>
      </c>
      <c r="D104" s="2" t="s">
        <v>25</v>
      </c>
      <c r="E104" t="s">
        <v>49</v>
      </c>
      <c r="F104" s="2" t="s">
        <v>30</v>
      </c>
      <c r="G104">
        <v>30</v>
      </c>
      <c r="H104">
        <v>59</v>
      </c>
      <c r="I104">
        <v>360</v>
      </c>
      <c r="J104" s="1">
        <v>0.16389999999999999</v>
      </c>
    </row>
    <row r="105" spans="1:10" x14ac:dyDescent="0.45">
      <c r="A105" s="3">
        <v>46081</v>
      </c>
      <c r="B105" s="2">
        <v>2026</v>
      </c>
      <c r="C105" s="2" t="s">
        <v>13</v>
      </c>
      <c r="D105" s="2" t="s">
        <v>25</v>
      </c>
      <c r="E105" t="s">
        <v>50</v>
      </c>
      <c r="F105" s="2" t="s">
        <v>30</v>
      </c>
      <c r="G105">
        <v>6</v>
      </c>
      <c r="H105">
        <v>11</v>
      </c>
      <c r="I105">
        <v>72</v>
      </c>
      <c r="J105" s="1">
        <v>0.15279999999999999</v>
      </c>
    </row>
    <row r="106" spans="1:10" x14ac:dyDescent="0.45">
      <c r="A106" s="3">
        <v>46081</v>
      </c>
      <c r="B106" s="2">
        <v>2026</v>
      </c>
      <c r="C106" s="2" t="s">
        <v>13</v>
      </c>
      <c r="D106" s="2" t="s">
        <v>25</v>
      </c>
      <c r="E106" t="s">
        <v>48</v>
      </c>
      <c r="F106" s="2" t="s">
        <v>30</v>
      </c>
      <c r="G106">
        <v>45</v>
      </c>
      <c r="H106">
        <v>90</v>
      </c>
      <c r="I106">
        <v>552</v>
      </c>
      <c r="J106" s="1">
        <v>0.16300000000000001</v>
      </c>
    </row>
    <row r="107" spans="1:10" x14ac:dyDescent="0.45">
      <c r="A107" s="3">
        <v>46081</v>
      </c>
      <c r="B107" s="2">
        <v>2026</v>
      </c>
      <c r="C107" s="2" t="s">
        <v>13</v>
      </c>
      <c r="D107" s="2" t="s">
        <v>25</v>
      </c>
      <c r="E107" t="s">
        <v>45</v>
      </c>
      <c r="F107" s="2" t="s">
        <v>43</v>
      </c>
      <c r="J107" s="1"/>
    </row>
    <row r="108" spans="1:10" x14ac:dyDescent="0.45">
      <c r="A108" s="3">
        <v>46081</v>
      </c>
      <c r="B108" s="2">
        <v>2026</v>
      </c>
      <c r="C108" s="2" t="s">
        <v>13</v>
      </c>
      <c r="D108" s="2" t="s">
        <v>25</v>
      </c>
      <c r="E108" t="s">
        <v>87</v>
      </c>
      <c r="F108" s="2" t="s">
        <v>30</v>
      </c>
      <c r="G108">
        <v>50</v>
      </c>
      <c r="H108">
        <v>95</v>
      </c>
      <c r="I108">
        <v>611</v>
      </c>
      <c r="J108" s="1">
        <v>0.1555</v>
      </c>
    </row>
    <row r="109" spans="1:10" x14ac:dyDescent="0.45">
      <c r="A109" s="3">
        <v>46081</v>
      </c>
      <c r="B109" s="2">
        <v>2026</v>
      </c>
      <c r="C109" s="2" t="s">
        <v>13</v>
      </c>
      <c r="D109" s="2" t="s">
        <v>25</v>
      </c>
      <c r="E109" t="s">
        <v>53</v>
      </c>
      <c r="F109" s="2" t="s">
        <v>46</v>
      </c>
      <c r="J109" s="1"/>
    </row>
    <row r="110" spans="1:10" x14ac:dyDescent="0.45">
      <c r="A110" s="3">
        <v>46081</v>
      </c>
      <c r="B110" s="2">
        <v>2026</v>
      </c>
      <c r="C110" s="2" t="s">
        <v>13</v>
      </c>
      <c r="D110" s="2" t="s">
        <v>24</v>
      </c>
      <c r="E110" t="s">
        <v>52</v>
      </c>
      <c r="F110" s="2" t="s">
        <v>30</v>
      </c>
      <c r="G110">
        <v>16</v>
      </c>
      <c r="H110">
        <v>32</v>
      </c>
      <c r="I110">
        <v>192</v>
      </c>
      <c r="J110" s="1">
        <v>0.16669999999999999</v>
      </c>
    </row>
    <row r="111" spans="1:10" x14ac:dyDescent="0.45">
      <c r="A111" s="3">
        <v>46081</v>
      </c>
      <c r="B111" s="2">
        <v>2026</v>
      </c>
      <c r="C111" s="2" t="s">
        <v>14</v>
      </c>
      <c r="D111" s="2" t="s">
        <v>24</v>
      </c>
      <c r="E111" t="s">
        <v>27</v>
      </c>
      <c r="F111" s="2" t="s">
        <v>28</v>
      </c>
      <c r="G111">
        <v>458</v>
      </c>
      <c r="H111">
        <v>1280</v>
      </c>
      <c r="I111">
        <v>10992</v>
      </c>
      <c r="J111" s="1">
        <v>0.1164</v>
      </c>
    </row>
    <row r="112" spans="1:10" x14ac:dyDescent="0.45">
      <c r="A112" s="3">
        <v>46081</v>
      </c>
      <c r="B112" s="2">
        <v>2026</v>
      </c>
      <c r="C112" s="2" t="s">
        <v>14</v>
      </c>
      <c r="D112" s="2" t="s">
        <v>24</v>
      </c>
      <c r="E112" t="s">
        <v>52</v>
      </c>
      <c r="F112" s="2" t="s">
        <v>30</v>
      </c>
      <c r="G112">
        <v>5</v>
      </c>
      <c r="H112">
        <v>13</v>
      </c>
      <c r="I112">
        <v>60</v>
      </c>
      <c r="J112" s="1">
        <v>0.2167</v>
      </c>
    </row>
    <row r="113" spans="1:10" x14ac:dyDescent="0.45">
      <c r="A113" s="3">
        <v>46081</v>
      </c>
      <c r="B113" s="2">
        <v>2026</v>
      </c>
      <c r="C113" s="2" t="s">
        <v>14</v>
      </c>
      <c r="D113" s="2" t="s">
        <v>24</v>
      </c>
      <c r="E113" t="s">
        <v>29</v>
      </c>
      <c r="F113" s="2" t="s">
        <v>30</v>
      </c>
      <c r="G113">
        <v>43</v>
      </c>
      <c r="H113">
        <v>63</v>
      </c>
      <c r="I113">
        <v>516</v>
      </c>
      <c r="J113" s="1">
        <v>0.1221</v>
      </c>
    </row>
    <row r="114" spans="1:10" x14ac:dyDescent="0.45">
      <c r="A114" s="3">
        <v>46081</v>
      </c>
      <c r="B114" s="2">
        <v>2026</v>
      </c>
      <c r="C114" s="2" t="s">
        <v>14</v>
      </c>
      <c r="D114" s="2" t="s">
        <v>24</v>
      </c>
      <c r="E114" t="s">
        <v>31</v>
      </c>
      <c r="F114" s="2" t="s">
        <v>30</v>
      </c>
      <c r="G114">
        <v>666</v>
      </c>
      <c r="H114">
        <v>1649</v>
      </c>
      <c r="I114">
        <v>7992</v>
      </c>
      <c r="J114" s="1">
        <v>0.20630000000000001</v>
      </c>
    </row>
    <row r="115" spans="1:10" x14ac:dyDescent="0.45">
      <c r="A115" s="3">
        <v>46081</v>
      </c>
      <c r="B115" s="2">
        <v>2026</v>
      </c>
      <c r="C115" s="2" t="s">
        <v>14</v>
      </c>
      <c r="D115" s="2" t="s">
        <v>24</v>
      </c>
      <c r="E115" t="s">
        <v>32</v>
      </c>
      <c r="F115" s="2" t="s">
        <v>30</v>
      </c>
      <c r="G115">
        <v>1022</v>
      </c>
      <c r="H115">
        <v>1114</v>
      </c>
      <c r="I115">
        <v>12264</v>
      </c>
      <c r="J115" s="1">
        <v>9.0800000000000006E-2</v>
      </c>
    </row>
    <row r="116" spans="1:10" x14ac:dyDescent="0.45">
      <c r="A116" s="3">
        <v>46081</v>
      </c>
      <c r="B116" s="2">
        <v>2026</v>
      </c>
      <c r="C116" s="2" t="s">
        <v>14</v>
      </c>
      <c r="D116" s="2" t="s">
        <v>24</v>
      </c>
      <c r="E116" t="s">
        <v>33</v>
      </c>
      <c r="F116" s="2" t="s">
        <v>30</v>
      </c>
      <c r="G116">
        <v>71</v>
      </c>
      <c r="H116">
        <v>101</v>
      </c>
      <c r="I116">
        <v>852</v>
      </c>
      <c r="J116" s="1">
        <v>0.11849999999999999</v>
      </c>
    </row>
    <row r="117" spans="1:10" x14ac:dyDescent="0.45">
      <c r="A117" s="3">
        <v>46081</v>
      </c>
      <c r="B117" s="2">
        <v>2026</v>
      </c>
      <c r="C117" s="2" t="s">
        <v>14</v>
      </c>
      <c r="D117" s="2" t="s">
        <v>24</v>
      </c>
      <c r="E117" t="s">
        <v>34</v>
      </c>
      <c r="F117" s="2" t="s">
        <v>28</v>
      </c>
      <c r="G117">
        <v>22</v>
      </c>
      <c r="H117">
        <v>54</v>
      </c>
      <c r="I117">
        <v>528</v>
      </c>
      <c r="J117" s="1">
        <v>0.1023</v>
      </c>
    </row>
    <row r="118" spans="1:10" x14ac:dyDescent="0.45">
      <c r="A118" s="3">
        <v>46081</v>
      </c>
      <c r="B118" s="2">
        <v>2026</v>
      </c>
      <c r="C118" s="2" t="s">
        <v>14</v>
      </c>
      <c r="D118" s="2" t="s">
        <v>24</v>
      </c>
      <c r="E118" t="s">
        <v>35</v>
      </c>
      <c r="F118" s="2" t="s">
        <v>30</v>
      </c>
      <c r="G118">
        <v>5</v>
      </c>
      <c r="H118">
        <v>5</v>
      </c>
      <c r="I118">
        <v>60</v>
      </c>
      <c r="J118" s="1">
        <v>8.3299999999999999E-2</v>
      </c>
    </row>
    <row r="119" spans="1:10" x14ac:dyDescent="0.45">
      <c r="A119" s="3">
        <v>46081</v>
      </c>
      <c r="B119" s="2">
        <v>2026</v>
      </c>
      <c r="C119" s="2" t="s">
        <v>14</v>
      </c>
      <c r="D119" s="2" t="s">
        <v>24</v>
      </c>
      <c r="E119" t="s">
        <v>36</v>
      </c>
      <c r="F119" s="2" t="s">
        <v>30</v>
      </c>
      <c r="G119">
        <v>1</v>
      </c>
      <c r="H119">
        <v>1</v>
      </c>
      <c r="I119">
        <v>12</v>
      </c>
      <c r="J119" s="1">
        <v>8.3299999999999999E-2</v>
      </c>
    </row>
    <row r="120" spans="1:10" x14ac:dyDescent="0.45">
      <c r="A120" s="3">
        <v>46081</v>
      </c>
      <c r="B120" s="2">
        <v>2026</v>
      </c>
      <c r="C120" s="2" t="s">
        <v>14</v>
      </c>
      <c r="D120" s="2" t="s">
        <v>24</v>
      </c>
      <c r="E120" t="s">
        <v>37</v>
      </c>
      <c r="F120" s="2" t="s">
        <v>30</v>
      </c>
      <c r="G120">
        <v>81</v>
      </c>
      <c r="H120">
        <v>118</v>
      </c>
      <c r="I120">
        <v>972</v>
      </c>
      <c r="J120" s="1">
        <v>0.12139999999999999</v>
      </c>
    </row>
    <row r="121" spans="1:10" x14ac:dyDescent="0.45">
      <c r="A121" s="3">
        <v>46081</v>
      </c>
      <c r="B121" s="2">
        <v>2026</v>
      </c>
      <c r="C121" s="2" t="s">
        <v>14</v>
      </c>
      <c r="D121" s="2" t="s">
        <v>24</v>
      </c>
      <c r="E121" t="s">
        <v>38</v>
      </c>
      <c r="F121" s="2" t="s">
        <v>30</v>
      </c>
      <c r="G121">
        <v>52</v>
      </c>
      <c r="H121">
        <v>66</v>
      </c>
      <c r="I121">
        <v>624</v>
      </c>
      <c r="J121" s="1">
        <v>0.10580000000000001</v>
      </c>
    </row>
    <row r="122" spans="1:10" x14ac:dyDescent="0.45">
      <c r="A122" s="3">
        <v>46081</v>
      </c>
      <c r="B122" s="2">
        <v>2026</v>
      </c>
      <c r="C122" s="2" t="s">
        <v>14</v>
      </c>
      <c r="D122" s="2" t="s">
        <v>24</v>
      </c>
      <c r="E122" t="s">
        <v>39</v>
      </c>
      <c r="F122" s="2" t="s">
        <v>30</v>
      </c>
      <c r="G122">
        <v>44</v>
      </c>
      <c r="H122">
        <v>46</v>
      </c>
      <c r="I122">
        <v>528</v>
      </c>
      <c r="J122" s="1">
        <v>8.7099999999999997E-2</v>
      </c>
    </row>
    <row r="123" spans="1:10" x14ac:dyDescent="0.45">
      <c r="A123" s="3">
        <v>46081</v>
      </c>
      <c r="B123" s="2">
        <v>2026</v>
      </c>
      <c r="C123" s="2" t="s">
        <v>14</v>
      </c>
      <c r="D123" s="2" t="s">
        <v>25</v>
      </c>
      <c r="E123" t="s">
        <v>40</v>
      </c>
      <c r="F123" s="2" t="s">
        <v>41</v>
      </c>
      <c r="G123">
        <v>11</v>
      </c>
      <c r="H123">
        <v>641</v>
      </c>
      <c r="I123">
        <v>4046</v>
      </c>
      <c r="J123" s="1">
        <v>0.15840000000000001</v>
      </c>
    </row>
    <row r="124" spans="1:10" x14ac:dyDescent="0.45">
      <c r="A124" s="3">
        <v>46081</v>
      </c>
      <c r="B124" s="2">
        <v>2026</v>
      </c>
      <c r="C124" s="2" t="s">
        <v>14</v>
      </c>
      <c r="D124" s="2" t="s">
        <v>25</v>
      </c>
      <c r="E124" t="s">
        <v>40</v>
      </c>
      <c r="F124" s="2" t="s">
        <v>42</v>
      </c>
      <c r="G124">
        <v>17</v>
      </c>
      <c r="H124">
        <v>16</v>
      </c>
      <c r="I124">
        <v>68</v>
      </c>
      <c r="J124" s="1">
        <v>0.23530000000000001</v>
      </c>
    </row>
    <row r="125" spans="1:10" x14ac:dyDescent="0.45">
      <c r="A125" s="3">
        <v>46081</v>
      </c>
      <c r="B125" s="2">
        <v>2026</v>
      </c>
      <c r="C125" s="2" t="s">
        <v>14</v>
      </c>
      <c r="D125" s="2" t="s">
        <v>25</v>
      </c>
      <c r="E125" t="s">
        <v>40</v>
      </c>
      <c r="F125" s="2" t="s">
        <v>43</v>
      </c>
      <c r="G125">
        <v>17</v>
      </c>
      <c r="H125">
        <v>0</v>
      </c>
      <c r="I125">
        <v>17</v>
      </c>
      <c r="J125" s="1">
        <v>0</v>
      </c>
    </row>
    <row r="126" spans="1:10" x14ac:dyDescent="0.45">
      <c r="A126" s="3">
        <v>46081</v>
      </c>
      <c r="B126" s="2">
        <v>2026</v>
      </c>
      <c r="C126" s="2" t="s">
        <v>14</v>
      </c>
      <c r="D126" s="2" t="s">
        <v>25</v>
      </c>
      <c r="E126" t="s">
        <v>44</v>
      </c>
      <c r="F126" s="2" t="s">
        <v>42</v>
      </c>
      <c r="G126">
        <v>45</v>
      </c>
      <c r="H126">
        <v>17</v>
      </c>
      <c r="I126">
        <v>180</v>
      </c>
      <c r="J126" s="1">
        <v>9.4399999999999998E-2</v>
      </c>
    </row>
    <row r="127" spans="1:10" x14ac:dyDescent="0.45">
      <c r="A127" s="3">
        <v>46081</v>
      </c>
      <c r="B127" s="2">
        <v>2026</v>
      </c>
      <c r="C127" s="2" t="s">
        <v>14</v>
      </c>
      <c r="D127" s="2" t="s">
        <v>25</v>
      </c>
      <c r="E127" t="s">
        <v>44</v>
      </c>
      <c r="F127" s="2" t="s">
        <v>43</v>
      </c>
      <c r="G127">
        <v>45</v>
      </c>
      <c r="H127">
        <v>14</v>
      </c>
      <c r="I127">
        <v>45</v>
      </c>
      <c r="J127" s="1">
        <v>0.31109999999999999</v>
      </c>
    </row>
    <row r="128" spans="1:10" x14ac:dyDescent="0.45">
      <c r="A128" s="3">
        <v>46081</v>
      </c>
      <c r="B128" s="2">
        <v>2026</v>
      </c>
      <c r="C128" s="2" t="s">
        <v>14</v>
      </c>
      <c r="D128" s="2" t="s">
        <v>25</v>
      </c>
      <c r="E128" t="s">
        <v>45</v>
      </c>
      <c r="F128" s="2" t="s">
        <v>46</v>
      </c>
      <c r="G128">
        <v>2</v>
      </c>
      <c r="H128">
        <v>0</v>
      </c>
      <c r="I128">
        <v>4</v>
      </c>
      <c r="J128" s="1">
        <v>0</v>
      </c>
    </row>
    <row r="129" spans="1:10" x14ac:dyDescent="0.45">
      <c r="A129" s="3">
        <v>46081</v>
      </c>
      <c r="B129" s="2">
        <v>2026</v>
      </c>
      <c r="C129" s="2" t="s">
        <v>14</v>
      </c>
      <c r="D129" s="2" t="s">
        <v>25</v>
      </c>
      <c r="E129" t="s">
        <v>47</v>
      </c>
      <c r="F129" s="2" t="s">
        <v>46</v>
      </c>
      <c r="G129">
        <v>12</v>
      </c>
      <c r="H129">
        <v>9</v>
      </c>
      <c r="I129">
        <v>24</v>
      </c>
      <c r="J129" s="1">
        <v>0.375</v>
      </c>
    </row>
    <row r="130" spans="1:10" x14ac:dyDescent="0.45">
      <c r="A130" s="3">
        <v>46081</v>
      </c>
      <c r="B130" s="2">
        <v>2026</v>
      </c>
      <c r="C130" s="2" t="s">
        <v>14</v>
      </c>
      <c r="D130" s="2" t="s">
        <v>25</v>
      </c>
      <c r="E130" t="s">
        <v>48</v>
      </c>
      <c r="F130" s="2" t="s">
        <v>30</v>
      </c>
      <c r="G130">
        <v>188</v>
      </c>
      <c r="H130">
        <v>349</v>
      </c>
      <c r="I130">
        <v>2256</v>
      </c>
      <c r="J130" s="1">
        <v>0.1547</v>
      </c>
    </row>
    <row r="131" spans="1:10" x14ac:dyDescent="0.45">
      <c r="A131" s="3">
        <v>46081</v>
      </c>
      <c r="B131" s="2">
        <v>2026</v>
      </c>
      <c r="C131" s="2" t="s">
        <v>14</v>
      </c>
      <c r="D131" s="2" t="s">
        <v>25</v>
      </c>
      <c r="E131" t="s">
        <v>49</v>
      </c>
      <c r="F131" s="2" t="s">
        <v>30</v>
      </c>
      <c r="G131">
        <v>43</v>
      </c>
      <c r="H131">
        <v>59</v>
      </c>
      <c r="I131">
        <v>516</v>
      </c>
      <c r="J131" s="1">
        <v>0.1143</v>
      </c>
    </row>
    <row r="132" spans="1:10" x14ac:dyDescent="0.45">
      <c r="A132" s="3">
        <v>46081</v>
      </c>
      <c r="B132" s="2">
        <v>2026</v>
      </c>
      <c r="C132" s="2" t="s">
        <v>14</v>
      </c>
      <c r="D132" s="2" t="s">
        <v>25</v>
      </c>
      <c r="E132" t="s">
        <v>50</v>
      </c>
      <c r="F132" s="2" t="s">
        <v>30</v>
      </c>
      <c r="G132">
        <v>14</v>
      </c>
      <c r="H132">
        <v>27</v>
      </c>
      <c r="I132">
        <v>168</v>
      </c>
      <c r="J132" s="1">
        <v>0.16070000000000001</v>
      </c>
    </row>
    <row r="133" spans="1:10" x14ac:dyDescent="0.45">
      <c r="A133" s="3">
        <v>46081</v>
      </c>
      <c r="B133" s="2">
        <v>2026</v>
      </c>
      <c r="C133" s="2" t="s">
        <v>14</v>
      </c>
      <c r="D133" s="2" t="s">
        <v>25</v>
      </c>
      <c r="E133" t="s">
        <v>51</v>
      </c>
      <c r="F133" s="2" t="s">
        <v>30</v>
      </c>
      <c r="G133">
        <v>52</v>
      </c>
      <c r="H133">
        <v>86</v>
      </c>
      <c r="I133">
        <v>624</v>
      </c>
      <c r="J133" s="1">
        <v>0.13780000000000001</v>
      </c>
    </row>
    <row r="134" spans="1:10" x14ac:dyDescent="0.45">
      <c r="A134" s="3">
        <v>46081</v>
      </c>
      <c r="B134" s="2">
        <v>2026</v>
      </c>
      <c r="C134" s="2" t="s">
        <v>14</v>
      </c>
      <c r="D134" s="2" t="s">
        <v>25</v>
      </c>
      <c r="E134" t="s">
        <v>53</v>
      </c>
      <c r="F134" s="2" t="s">
        <v>30</v>
      </c>
    </row>
    <row r="135" spans="1:10" x14ac:dyDescent="0.45">
      <c r="A135" s="3">
        <v>46081</v>
      </c>
      <c r="B135" s="2">
        <v>2026</v>
      </c>
      <c r="C135" s="2" t="s">
        <v>14</v>
      </c>
      <c r="D135" s="2" t="s">
        <v>25</v>
      </c>
      <c r="E135" t="s">
        <v>53</v>
      </c>
      <c r="F135" s="2" t="s">
        <v>46</v>
      </c>
      <c r="J135" s="1"/>
    </row>
    <row r="136" spans="1:10" x14ac:dyDescent="0.45">
      <c r="A136" s="3">
        <v>46081</v>
      </c>
      <c r="B136" s="2">
        <v>2026</v>
      </c>
      <c r="C136" s="2" t="s">
        <v>14</v>
      </c>
      <c r="D136" s="2" t="s">
        <v>25</v>
      </c>
      <c r="E136" t="s">
        <v>44</v>
      </c>
      <c r="F136" s="2" t="s">
        <v>43</v>
      </c>
      <c r="J136" s="1"/>
    </row>
    <row r="137" spans="1:10" x14ac:dyDescent="0.45">
      <c r="A137" s="3">
        <v>46081</v>
      </c>
      <c r="B137" s="2">
        <v>2026</v>
      </c>
      <c r="C137" s="2" t="s">
        <v>15</v>
      </c>
      <c r="D137" s="2" t="s">
        <v>24</v>
      </c>
      <c r="E137" t="s">
        <v>29</v>
      </c>
      <c r="F137" s="2" t="s">
        <v>30</v>
      </c>
      <c r="G137">
        <v>41</v>
      </c>
      <c r="H137">
        <v>78</v>
      </c>
      <c r="I137">
        <v>492</v>
      </c>
      <c r="J137" s="1">
        <v>0.1585</v>
      </c>
    </row>
    <row r="138" spans="1:10" x14ac:dyDescent="0.45">
      <c r="A138" s="3">
        <v>46081</v>
      </c>
      <c r="B138" s="2">
        <v>2026</v>
      </c>
      <c r="C138" s="2" t="s">
        <v>15</v>
      </c>
      <c r="D138" s="2" t="s">
        <v>24</v>
      </c>
      <c r="E138" t="s">
        <v>31</v>
      </c>
      <c r="F138" s="2" t="s">
        <v>30</v>
      </c>
      <c r="G138">
        <v>585</v>
      </c>
      <c r="H138">
        <v>1171</v>
      </c>
      <c r="I138">
        <v>7020</v>
      </c>
      <c r="J138" s="1">
        <v>0.1668</v>
      </c>
    </row>
    <row r="139" spans="1:10" x14ac:dyDescent="0.45">
      <c r="A139" s="3">
        <v>46081</v>
      </c>
      <c r="B139" s="2">
        <v>2026</v>
      </c>
      <c r="C139" s="2" t="s">
        <v>15</v>
      </c>
      <c r="D139" s="2" t="s">
        <v>24</v>
      </c>
      <c r="E139" t="s">
        <v>27</v>
      </c>
      <c r="F139" s="2" t="s">
        <v>28</v>
      </c>
      <c r="G139">
        <v>383</v>
      </c>
      <c r="H139">
        <v>1508</v>
      </c>
      <c r="I139">
        <v>9144</v>
      </c>
      <c r="J139" s="1">
        <v>0.16489999999999999</v>
      </c>
    </row>
    <row r="140" spans="1:10" x14ac:dyDescent="0.45">
      <c r="A140" s="3">
        <v>46081</v>
      </c>
      <c r="B140" s="2">
        <v>2026</v>
      </c>
      <c r="C140" s="2" t="s">
        <v>15</v>
      </c>
      <c r="D140" s="2" t="s">
        <v>24</v>
      </c>
      <c r="E140" t="s">
        <v>88</v>
      </c>
      <c r="F140" s="2" t="s">
        <v>30</v>
      </c>
      <c r="G140">
        <v>1</v>
      </c>
      <c r="H140">
        <v>2</v>
      </c>
      <c r="I140">
        <v>12</v>
      </c>
      <c r="J140" s="1">
        <v>0.16669999999999999</v>
      </c>
    </row>
    <row r="141" spans="1:10" x14ac:dyDescent="0.45">
      <c r="A141" s="3">
        <v>46081</v>
      </c>
      <c r="B141" s="2">
        <v>2026</v>
      </c>
      <c r="C141" s="2" t="s">
        <v>15</v>
      </c>
      <c r="D141" s="2" t="s">
        <v>24</v>
      </c>
      <c r="E141" t="s">
        <v>89</v>
      </c>
      <c r="F141" s="2" t="s">
        <v>30</v>
      </c>
      <c r="G141">
        <v>1</v>
      </c>
      <c r="H141">
        <v>2</v>
      </c>
      <c r="I141">
        <v>12</v>
      </c>
      <c r="J141" s="1">
        <v>0.16669999999999999</v>
      </c>
    </row>
    <row r="142" spans="1:10" x14ac:dyDescent="0.45">
      <c r="A142" s="3">
        <v>46081</v>
      </c>
      <c r="B142" s="2">
        <v>2026</v>
      </c>
      <c r="C142" s="2" t="s">
        <v>15</v>
      </c>
      <c r="D142" s="2" t="s">
        <v>24</v>
      </c>
      <c r="E142" t="s">
        <v>39</v>
      </c>
      <c r="F142" s="2" t="s">
        <v>30</v>
      </c>
      <c r="G142">
        <v>22</v>
      </c>
      <c r="H142">
        <v>44</v>
      </c>
      <c r="I142">
        <v>264</v>
      </c>
      <c r="J142" s="1">
        <v>0.16669999999999999</v>
      </c>
    </row>
    <row r="143" spans="1:10" x14ac:dyDescent="0.45">
      <c r="A143" s="3">
        <v>46081</v>
      </c>
      <c r="B143" s="2">
        <v>2026</v>
      </c>
      <c r="C143" s="2" t="s">
        <v>15</v>
      </c>
      <c r="D143" s="2" t="s">
        <v>24</v>
      </c>
      <c r="E143" t="s">
        <v>36</v>
      </c>
      <c r="F143" s="2" t="s">
        <v>30</v>
      </c>
      <c r="G143">
        <v>1</v>
      </c>
      <c r="H143">
        <v>2</v>
      </c>
      <c r="I143">
        <v>12</v>
      </c>
      <c r="J143" s="1">
        <v>0.16669999999999999</v>
      </c>
    </row>
    <row r="144" spans="1:10" x14ac:dyDescent="0.45">
      <c r="A144" s="3">
        <v>46081</v>
      </c>
      <c r="B144" s="2">
        <v>2026</v>
      </c>
      <c r="C144" s="2" t="s">
        <v>15</v>
      </c>
      <c r="D144" s="2" t="s">
        <v>24</v>
      </c>
      <c r="E144" t="s">
        <v>32</v>
      </c>
      <c r="F144" s="2" t="s">
        <v>30</v>
      </c>
      <c r="G144">
        <v>898</v>
      </c>
      <c r="H144">
        <v>1819</v>
      </c>
      <c r="I144">
        <v>10776</v>
      </c>
      <c r="J144" s="1">
        <v>0.16880000000000001</v>
      </c>
    </row>
    <row r="145" spans="1:10" x14ac:dyDescent="0.45">
      <c r="A145" s="3">
        <v>46081</v>
      </c>
      <c r="B145" s="2">
        <v>2026</v>
      </c>
      <c r="C145" s="2" t="s">
        <v>15</v>
      </c>
      <c r="D145" s="2" t="s">
        <v>24</v>
      </c>
      <c r="E145" t="s">
        <v>37</v>
      </c>
      <c r="F145" s="2" t="s">
        <v>30</v>
      </c>
      <c r="G145">
        <v>126</v>
      </c>
      <c r="H145">
        <v>253</v>
      </c>
      <c r="I145">
        <v>1512</v>
      </c>
      <c r="J145" s="1">
        <v>0.1673</v>
      </c>
    </row>
    <row r="146" spans="1:10" x14ac:dyDescent="0.45">
      <c r="A146" s="3">
        <v>46081</v>
      </c>
      <c r="B146" s="2">
        <v>2026</v>
      </c>
      <c r="C146" s="2" t="s">
        <v>15</v>
      </c>
      <c r="D146" s="2" t="s">
        <v>24</v>
      </c>
      <c r="E146" t="s">
        <v>34</v>
      </c>
      <c r="F146" s="2" t="s">
        <v>28</v>
      </c>
      <c r="G146">
        <v>14</v>
      </c>
      <c r="H146">
        <v>55</v>
      </c>
      <c r="I146">
        <v>336</v>
      </c>
      <c r="J146" s="1">
        <v>0.16370000000000001</v>
      </c>
    </row>
    <row r="147" spans="1:10" x14ac:dyDescent="0.45">
      <c r="A147" s="3">
        <v>46081</v>
      </c>
      <c r="B147" s="2">
        <v>2026</v>
      </c>
      <c r="C147" s="2" t="s">
        <v>15</v>
      </c>
      <c r="D147" s="2" t="s">
        <v>24</v>
      </c>
      <c r="E147" t="s">
        <v>33</v>
      </c>
      <c r="F147" s="2" t="s">
        <v>30</v>
      </c>
      <c r="G147">
        <v>60</v>
      </c>
      <c r="H147">
        <v>120</v>
      </c>
      <c r="I147">
        <v>720</v>
      </c>
      <c r="J147" s="1">
        <v>0.16669999999999999</v>
      </c>
    </row>
    <row r="148" spans="1:10" x14ac:dyDescent="0.45">
      <c r="A148" s="3">
        <v>46081</v>
      </c>
      <c r="B148" s="2">
        <v>2026</v>
      </c>
      <c r="C148" s="2" t="s">
        <v>15</v>
      </c>
      <c r="D148" s="2" t="s">
        <v>24</v>
      </c>
      <c r="E148" t="s">
        <v>38</v>
      </c>
      <c r="F148" s="2" t="s">
        <v>30</v>
      </c>
      <c r="G148">
        <v>51</v>
      </c>
      <c r="H148">
        <v>103</v>
      </c>
      <c r="I148">
        <v>624</v>
      </c>
      <c r="J148" s="1">
        <v>0.1651</v>
      </c>
    </row>
    <row r="149" spans="1:10" x14ac:dyDescent="0.45">
      <c r="A149" s="3">
        <v>46081</v>
      </c>
      <c r="B149" s="2">
        <v>2026</v>
      </c>
      <c r="C149" s="2" t="s">
        <v>15</v>
      </c>
      <c r="D149" s="2" t="s">
        <v>24</v>
      </c>
      <c r="E149" t="s">
        <v>52</v>
      </c>
      <c r="F149" s="2" t="s">
        <v>30</v>
      </c>
      <c r="G149">
        <v>7</v>
      </c>
      <c r="H149">
        <v>14</v>
      </c>
      <c r="I149">
        <v>84</v>
      </c>
      <c r="J149" s="1">
        <v>0.16669999999999999</v>
      </c>
    </row>
    <row r="150" spans="1:10" x14ac:dyDescent="0.45">
      <c r="A150" s="3">
        <v>46081</v>
      </c>
      <c r="B150" s="2">
        <v>2026</v>
      </c>
      <c r="C150" s="2" t="s">
        <v>15</v>
      </c>
      <c r="D150" s="2" t="s">
        <v>25</v>
      </c>
      <c r="E150" t="s">
        <v>53</v>
      </c>
      <c r="F150" s="2" t="s">
        <v>30</v>
      </c>
      <c r="G150">
        <v>4</v>
      </c>
      <c r="H150">
        <v>8</v>
      </c>
      <c r="I150">
        <v>48</v>
      </c>
      <c r="J150" s="1">
        <v>0.16669999999999999</v>
      </c>
    </row>
    <row r="151" spans="1:10" x14ac:dyDescent="0.45">
      <c r="A151" s="3">
        <v>46081</v>
      </c>
      <c r="B151" s="2">
        <v>2026</v>
      </c>
      <c r="C151" s="2" t="s">
        <v>15</v>
      </c>
      <c r="D151" s="2" t="s">
        <v>25</v>
      </c>
      <c r="E151" t="s">
        <v>53</v>
      </c>
      <c r="F151" s="2" t="s">
        <v>46</v>
      </c>
      <c r="G151">
        <v>4</v>
      </c>
      <c r="H151">
        <v>4</v>
      </c>
      <c r="I151">
        <v>8</v>
      </c>
      <c r="J151" s="1">
        <v>0.5</v>
      </c>
    </row>
    <row r="152" spans="1:10" x14ac:dyDescent="0.45">
      <c r="A152" s="3">
        <v>46081</v>
      </c>
      <c r="B152" s="2">
        <v>2026</v>
      </c>
      <c r="C152" s="2" t="s">
        <v>15</v>
      </c>
      <c r="D152" s="2" t="s">
        <v>25</v>
      </c>
      <c r="E152" t="s">
        <v>40</v>
      </c>
      <c r="F152" s="2" t="s">
        <v>41</v>
      </c>
      <c r="G152">
        <v>13</v>
      </c>
      <c r="H152">
        <v>924</v>
      </c>
      <c r="I152">
        <v>4745</v>
      </c>
      <c r="J152" s="1">
        <v>0.19470000000000001</v>
      </c>
    </row>
    <row r="153" spans="1:10" x14ac:dyDescent="0.45">
      <c r="A153" s="3">
        <v>46081</v>
      </c>
      <c r="B153" s="2">
        <v>2026</v>
      </c>
      <c r="C153" s="2" t="s">
        <v>15</v>
      </c>
      <c r="D153" s="2" t="s">
        <v>25</v>
      </c>
      <c r="E153" t="s">
        <v>40</v>
      </c>
      <c r="F153" s="2" t="s">
        <v>42</v>
      </c>
      <c r="G153">
        <v>29</v>
      </c>
      <c r="H153">
        <v>27</v>
      </c>
      <c r="I153">
        <v>112</v>
      </c>
      <c r="J153" s="1">
        <v>0.24110000000000001</v>
      </c>
    </row>
    <row r="154" spans="1:10" x14ac:dyDescent="0.45">
      <c r="A154" s="3">
        <v>46081</v>
      </c>
      <c r="B154" s="2">
        <v>2026</v>
      </c>
      <c r="C154" s="2" t="s">
        <v>15</v>
      </c>
      <c r="D154" s="2" t="s">
        <v>25</v>
      </c>
      <c r="E154" t="s">
        <v>40</v>
      </c>
      <c r="F154" s="2" t="s">
        <v>43</v>
      </c>
      <c r="G154">
        <v>29</v>
      </c>
      <c r="H154">
        <v>0</v>
      </c>
      <c r="I154">
        <v>28</v>
      </c>
      <c r="J154" s="1">
        <v>0</v>
      </c>
    </row>
    <row r="155" spans="1:10" x14ac:dyDescent="0.45">
      <c r="A155" s="3">
        <v>46081</v>
      </c>
      <c r="B155" s="2">
        <v>2026</v>
      </c>
      <c r="C155" s="2" t="s">
        <v>15</v>
      </c>
      <c r="D155" s="2" t="s">
        <v>25</v>
      </c>
      <c r="E155" t="s">
        <v>44</v>
      </c>
      <c r="F155" s="2" t="s">
        <v>42</v>
      </c>
      <c r="G155">
        <v>45</v>
      </c>
      <c r="H155">
        <v>42</v>
      </c>
      <c r="I155">
        <v>180</v>
      </c>
      <c r="J155" s="1">
        <v>0.23330000000000001</v>
      </c>
    </row>
    <row r="156" spans="1:10" x14ac:dyDescent="0.45">
      <c r="A156" s="3">
        <v>46081</v>
      </c>
      <c r="B156" s="2">
        <v>2026</v>
      </c>
      <c r="C156" s="2" t="s">
        <v>15</v>
      </c>
      <c r="D156" s="2" t="s">
        <v>25</v>
      </c>
      <c r="E156" t="s">
        <v>44</v>
      </c>
      <c r="F156" s="2" t="s">
        <v>43</v>
      </c>
      <c r="G156">
        <v>45</v>
      </c>
      <c r="H156">
        <v>7</v>
      </c>
      <c r="I156">
        <v>45</v>
      </c>
      <c r="J156" s="1">
        <v>0.15559999999999999</v>
      </c>
    </row>
    <row r="157" spans="1:10" x14ac:dyDescent="0.45">
      <c r="A157" s="3">
        <v>46081</v>
      </c>
      <c r="B157" s="2">
        <v>2026</v>
      </c>
      <c r="C157" s="2" t="s">
        <v>15</v>
      </c>
      <c r="D157" s="2" t="s">
        <v>25</v>
      </c>
      <c r="E157" t="s">
        <v>47</v>
      </c>
      <c r="F157" s="2" t="s">
        <v>46</v>
      </c>
      <c r="G157">
        <v>9</v>
      </c>
      <c r="H157">
        <v>5</v>
      </c>
      <c r="I157">
        <v>18</v>
      </c>
      <c r="J157" s="1">
        <v>0.27779999999999999</v>
      </c>
    </row>
    <row r="158" spans="1:10" x14ac:dyDescent="0.45">
      <c r="A158" s="3">
        <v>46081</v>
      </c>
      <c r="B158" s="2">
        <v>2026</v>
      </c>
      <c r="C158" s="2" t="s">
        <v>15</v>
      </c>
      <c r="D158" s="2" t="s">
        <v>25</v>
      </c>
      <c r="E158" t="s">
        <v>45</v>
      </c>
      <c r="F158" s="2" t="s">
        <v>46</v>
      </c>
      <c r="G158">
        <v>1</v>
      </c>
      <c r="H158">
        <v>0</v>
      </c>
      <c r="I158">
        <v>2</v>
      </c>
      <c r="J158" s="1">
        <v>0</v>
      </c>
    </row>
    <row r="159" spans="1:10" x14ac:dyDescent="0.45">
      <c r="A159" s="3">
        <v>46081</v>
      </c>
      <c r="B159" s="2">
        <v>2026</v>
      </c>
      <c r="C159" s="2" t="s">
        <v>15</v>
      </c>
      <c r="D159" s="2" t="s">
        <v>25</v>
      </c>
      <c r="E159" t="s">
        <v>49</v>
      </c>
      <c r="F159" s="2" t="s">
        <v>30</v>
      </c>
      <c r="G159">
        <v>42</v>
      </c>
      <c r="H159">
        <v>80</v>
      </c>
      <c r="I159">
        <v>492</v>
      </c>
      <c r="J159" s="1">
        <v>0.16259999999999999</v>
      </c>
    </row>
    <row r="160" spans="1:10" x14ac:dyDescent="0.45">
      <c r="A160" s="3">
        <v>46081</v>
      </c>
      <c r="B160" s="2">
        <v>2026</v>
      </c>
      <c r="C160" s="2" t="s">
        <v>15</v>
      </c>
      <c r="D160" s="2" t="s">
        <v>25</v>
      </c>
      <c r="E160" t="s">
        <v>50</v>
      </c>
      <c r="F160" s="2" t="s">
        <v>30</v>
      </c>
      <c r="G160">
        <v>12</v>
      </c>
      <c r="H160">
        <v>23</v>
      </c>
      <c r="I160">
        <v>144</v>
      </c>
      <c r="J160" s="1">
        <v>0.15970000000000001</v>
      </c>
    </row>
    <row r="161" spans="1:10" x14ac:dyDescent="0.45">
      <c r="A161" s="3">
        <v>46081</v>
      </c>
      <c r="B161" s="2">
        <v>2026</v>
      </c>
      <c r="C161" s="2" t="s">
        <v>15</v>
      </c>
      <c r="D161" s="2" t="s">
        <v>25</v>
      </c>
      <c r="E161" t="s">
        <v>51</v>
      </c>
      <c r="F161" s="2" t="s">
        <v>30</v>
      </c>
      <c r="G161">
        <v>58</v>
      </c>
      <c r="H161">
        <v>117</v>
      </c>
      <c r="I161">
        <v>708</v>
      </c>
      <c r="J161" s="1">
        <v>0.1653</v>
      </c>
    </row>
    <row r="162" spans="1:10" x14ac:dyDescent="0.45">
      <c r="A162" s="3">
        <v>46081</v>
      </c>
      <c r="B162" s="2">
        <v>2026</v>
      </c>
      <c r="C162" s="2" t="s">
        <v>15</v>
      </c>
      <c r="D162" s="2" t="s">
        <v>25</v>
      </c>
      <c r="E162" t="s">
        <v>48</v>
      </c>
      <c r="F162" s="2" t="s">
        <v>30</v>
      </c>
      <c r="G162">
        <v>64</v>
      </c>
      <c r="H162">
        <v>344</v>
      </c>
      <c r="I162">
        <v>1956</v>
      </c>
      <c r="J162" s="1">
        <v>0.1759</v>
      </c>
    </row>
    <row r="163" spans="1:10" x14ac:dyDescent="0.45">
      <c r="A163" s="3">
        <v>46081</v>
      </c>
      <c r="B163" s="2">
        <v>2026</v>
      </c>
      <c r="C163" s="2" t="s">
        <v>16</v>
      </c>
      <c r="D163" s="2" t="s">
        <v>24</v>
      </c>
      <c r="E163" t="s">
        <v>27</v>
      </c>
      <c r="F163" s="2" t="s">
        <v>28</v>
      </c>
      <c r="G163">
        <v>387</v>
      </c>
      <c r="H163">
        <v>1539</v>
      </c>
      <c r="I163">
        <v>9288</v>
      </c>
      <c r="J163" s="1">
        <v>0.16569999999999999</v>
      </c>
    </row>
    <row r="164" spans="1:10" x14ac:dyDescent="0.45">
      <c r="A164" s="3">
        <v>46081</v>
      </c>
      <c r="B164" s="2">
        <v>2026</v>
      </c>
      <c r="C164" s="2" t="s">
        <v>16</v>
      </c>
      <c r="D164" s="2" t="s">
        <v>24</v>
      </c>
      <c r="E164" t="s">
        <v>29</v>
      </c>
      <c r="F164" s="2" t="s">
        <v>30</v>
      </c>
      <c r="G164">
        <v>39</v>
      </c>
      <c r="H164">
        <v>78</v>
      </c>
      <c r="I164">
        <v>468</v>
      </c>
      <c r="J164" s="1">
        <v>0.16669999999999999</v>
      </c>
    </row>
    <row r="165" spans="1:10" x14ac:dyDescent="0.45">
      <c r="A165" s="3">
        <v>46081</v>
      </c>
      <c r="B165" s="2">
        <v>2026</v>
      </c>
      <c r="C165" s="2" t="s">
        <v>16</v>
      </c>
      <c r="D165" s="2" t="s">
        <v>24</v>
      </c>
      <c r="E165" t="s">
        <v>31</v>
      </c>
      <c r="F165" s="2" t="s">
        <v>30</v>
      </c>
      <c r="G165">
        <v>590</v>
      </c>
      <c r="H165">
        <v>1185</v>
      </c>
      <c r="I165">
        <v>7080</v>
      </c>
      <c r="J165" s="1">
        <v>0.16739999999999999</v>
      </c>
    </row>
    <row r="166" spans="1:10" x14ac:dyDescent="0.45">
      <c r="A166" s="3">
        <v>46081</v>
      </c>
      <c r="B166" s="2">
        <v>2026</v>
      </c>
      <c r="C166" s="2" t="s">
        <v>16</v>
      </c>
      <c r="D166" s="2" t="s">
        <v>24</v>
      </c>
      <c r="E166" t="s">
        <v>32</v>
      </c>
      <c r="F166" s="2" t="s">
        <v>30</v>
      </c>
      <c r="G166">
        <v>964</v>
      </c>
      <c r="H166">
        <v>1920</v>
      </c>
      <c r="I166">
        <v>11568</v>
      </c>
      <c r="J166" s="1">
        <v>0.16600000000000001</v>
      </c>
    </row>
    <row r="167" spans="1:10" x14ac:dyDescent="0.45">
      <c r="A167" s="3">
        <v>46081</v>
      </c>
      <c r="B167" s="2">
        <v>2026</v>
      </c>
      <c r="C167" s="2" t="s">
        <v>16</v>
      </c>
      <c r="D167" s="2" t="s">
        <v>24</v>
      </c>
      <c r="E167" t="s">
        <v>33</v>
      </c>
      <c r="F167" s="2" t="s">
        <v>30</v>
      </c>
      <c r="G167">
        <v>96</v>
      </c>
      <c r="H167">
        <v>191</v>
      </c>
      <c r="I167">
        <v>1152</v>
      </c>
      <c r="J167" s="1">
        <v>0.1658</v>
      </c>
    </row>
    <row r="168" spans="1:10" x14ac:dyDescent="0.45">
      <c r="A168" s="3">
        <v>46081</v>
      </c>
      <c r="B168" s="2">
        <v>2026</v>
      </c>
      <c r="C168" s="2" t="s">
        <v>16</v>
      </c>
      <c r="D168" s="2" t="s">
        <v>24</v>
      </c>
      <c r="E168" t="s">
        <v>34</v>
      </c>
      <c r="F168" s="2" t="s">
        <v>28</v>
      </c>
      <c r="G168">
        <v>13</v>
      </c>
      <c r="H168">
        <v>52</v>
      </c>
      <c r="I168">
        <v>312</v>
      </c>
      <c r="J168" s="1">
        <v>0.16669999999999999</v>
      </c>
    </row>
    <row r="169" spans="1:10" x14ac:dyDescent="0.45">
      <c r="A169" s="3">
        <v>46081</v>
      </c>
      <c r="B169" s="2">
        <v>2026</v>
      </c>
      <c r="C169" s="2" t="s">
        <v>16</v>
      </c>
      <c r="D169" s="2" t="s">
        <v>24</v>
      </c>
      <c r="E169" t="s">
        <v>35</v>
      </c>
      <c r="F169" s="2" t="s">
        <v>30</v>
      </c>
      <c r="G169">
        <v>7</v>
      </c>
      <c r="H169">
        <v>14</v>
      </c>
      <c r="I169">
        <v>84</v>
      </c>
      <c r="J169" s="1">
        <v>0.16669999999999999</v>
      </c>
    </row>
    <row r="170" spans="1:10" x14ac:dyDescent="0.45">
      <c r="A170" s="3">
        <v>46081</v>
      </c>
      <c r="B170" s="2">
        <v>2026</v>
      </c>
      <c r="C170" s="2" t="s">
        <v>16</v>
      </c>
      <c r="D170" s="2" t="s">
        <v>24</v>
      </c>
      <c r="E170" t="s">
        <v>36</v>
      </c>
      <c r="F170" s="2" t="s">
        <v>30</v>
      </c>
      <c r="G170">
        <v>1</v>
      </c>
      <c r="H170">
        <v>2</v>
      </c>
      <c r="I170">
        <v>12</v>
      </c>
      <c r="J170" s="1">
        <v>0.16669999999999999</v>
      </c>
    </row>
    <row r="171" spans="1:10" x14ac:dyDescent="0.45">
      <c r="A171" s="3">
        <v>46081</v>
      </c>
      <c r="B171" s="2">
        <v>2026</v>
      </c>
      <c r="C171" s="2" t="s">
        <v>16</v>
      </c>
      <c r="D171" s="2" t="s">
        <v>24</v>
      </c>
      <c r="E171" t="s">
        <v>37</v>
      </c>
      <c r="F171" s="2" t="s">
        <v>30</v>
      </c>
      <c r="G171">
        <v>108</v>
      </c>
      <c r="H171">
        <v>188</v>
      </c>
      <c r="I171">
        <v>1296</v>
      </c>
      <c r="J171" s="1">
        <v>0.14510000000000001</v>
      </c>
    </row>
    <row r="172" spans="1:10" x14ac:dyDescent="0.45">
      <c r="A172" s="3">
        <v>46081</v>
      </c>
      <c r="B172" s="2">
        <v>2026</v>
      </c>
      <c r="C172" s="2" t="s">
        <v>16</v>
      </c>
      <c r="D172" s="2" t="s">
        <v>24</v>
      </c>
      <c r="E172" t="s">
        <v>38</v>
      </c>
      <c r="F172" s="2" t="s">
        <v>30</v>
      </c>
      <c r="G172">
        <v>47</v>
      </c>
      <c r="H172">
        <v>93</v>
      </c>
      <c r="I172">
        <v>564</v>
      </c>
      <c r="J172" s="1">
        <v>0.16489999999999999</v>
      </c>
    </row>
    <row r="173" spans="1:10" x14ac:dyDescent="0.45">
      <c r="A173" s="3">
        <v>46081</v>
      </c>
      <c r="B173" s="2">
        <v>2026</v>
      </c>
      <c r="C173" s="2" t="s">
        <v>16</v>
      </c>
      <c r="D173" s="2" t="s">
        <v>24</v>
      </c>
      <c r="E173" t="s">
        <v>39</v>
      </c>
      <c r="F173" s="2" t="s">
        <v>30</v>
      </c>
      <c r="G173">
        <v>7</v>
      </c>
      <c r="H173">
        <v>14</v>
      </c>
      <c r="I173">
        <v>84</v>
      </c>
      <c r="J173" s="1">
        <v>0.16669999999999999</v>
      </c>
    </row>
    <row r="174" spans="1:10" x14ac:dyDescent="0.45">
      <c r="A174" s="3">
        <v>46081</v>
      </c>
      <c r="B174" s="2">
        <v>2026</v>
      </c>
      <c r="C174" s="2" t="s">
        <v>16</v>
      </c>
      <c r="D174" s="2" t="s">
        <v>25</v>
      </c>
      <c r="E174" t="s">
        <v>40</v>
      </c>
      <c r="F174" s="2" t="s">
        <v>41</v>
      </c>
      <c r="G174">
        <v>30</v>
      </c>
      <c r="H174">
        <v>1958</v>
      </c>
      <c r="I174">
        <v>10950</v>
      </c>
      <c r="J174" s="1">
        <v>0.17879999999999999</v>
      </c>
    </row>
    <row r="175" spans="1:10" x14ac:dyDescent="0.45">
      <c r="A175" s="3">
        <v>46081</v>
      </c>
      <c r="B175" s="2">
        <v>2026</v>
      </c>
      <c r="C175" s="2" t="s">
        <v>16</v>
      </c>
      <c r="D175" s="2" t="s">
        <v>25</v>
      </c>
      <c r="E175" t="s">
        <v>40</v>
      </c>
      <c r="F175" s="2" t="s">
        <v>42</v>
      </c>
      <c r="G175">
        <v>57</v>
      </c>
      <c r="H175">
        <v>32</v>
      </c>
      <c r="I175">
        <v>228</v>
      </c>
      <c r="J175" s="1">
        <v>0.1404</v>
      </c>
    </row>
    <row r="176" spans="1:10" x14ac:dyDescent="0.45">
      <c r="A176" s="3">
        <v>46081</v>
      </c>
      <c r="B176" s="2">
        <v>2026</v>
      </c>
      <c r="C176" s="2" t="s">
        <v>16</v>
      </c>
      <c r="D176" s="2" t="s">
        <v>25</v>
      </c>
      <c r="E176" t="s">
        <v>40</v>
      </c>
      <c r="F176" s="2" t="s">
        <v>43</v>
      </c>
      <c r="G176">
        <v>57</v>
      </c>
      <c r="I176">
        <v>57</v>
      </c>
      <c r="J176" s="1">
        <v>0</v>
      </c>
    </row>
    <row r="177" spans="1:10" x14ac:dyDescent="0.45">
      <c r="A177" s="3">
        <v>46081</v>
      </c>
      <c r="B177" s="2">
        <v>2026</v>
      </c>
      <c r="C177" s="2" t="s">
        <v>16</v>
      </c>
      <c r="D177" s="2" t="s">
        <v>25</v>
      </c>
      <c r="E177" t="s">
        <v>44</v>
      </c>
      <c r="F177" s="2" t="s">
        <v>42</v>
      </c>
      <c r="G177">
        <v>37</v>
      </c>
      <c r="H177">
        <v>29</v>
      </c>
      <c r="I177">
        <v>148</v>
      </c>
      <c r="J177" s="1">
        <v>0.19589999999999999</v>
      </c>
    </row>
    <row r="178" spans="1:10" x14ac:dyDescent="0.45">
      <c r="A178" s="3">
        <v>46081</v>
      </c>
      <c r="B178" s="2">
        <v>2026</v>
      </c>
      <c r="C178" s="2" t="s">
        <v>16</v>
      </c>
      <c r="D178" s="2" t="s">
        <v>25</v>
      </c>
      <c r="E178" t="s">
        <v>44</v>
      </c>
      <c r="F178" s="2" t="s">
        <v>43</v>
      </c>
      <c r="G178">
        <v>37</v>
      </c>
      <c r="H178">
        <v>6</v>
      </c>
      <c r="I178">
        <v>37</v>
      </c>
      <c r="J178" s="1">
        <v>0.16220000000000001</v>
      </c>
    </row>
    <row r="179" spans="1:10" x14ac:dyDescent="0.45">
      <c r="A179" s="3">
        <v>46081</v>
      </c>
      <c r="B179" s="2">
        <v>2026</v>
      </c>
      <c r="C179" s="2" t="s">
        <v>16</v>
      </c>
      <c r="D179" s="2" t="s">
        <v>25</v>
      </c>
      <c r="E179" t="s">
        <v>45</v>
      </c>
      <c r="F179" s="2" t="s">
        <v>46</v>
      </c>
      <c r="G179">
        <v>2</v>
      </c>
      <c r="H179">
        <v>1</v>
      </c>
      <c r="I179">
        <v>4</v>
      </c>
      <c r="J179" s="1">
        <v>0.25</v>
      </c>
    </row>
    <row r="180" spans="1:10" x14ac:dyDescent="0.45">
      <c r="A180" s="3">
        <v>46081</v>
      </c>
      <c r="B180" s="2">
        <v>2026</v>
      </c>
      <c r="C180" s="2" t="s">
        <v>16</v>
      </c>
      <c r="D180" s="2" t="s">
        <v>25</v>
      </c>
      <c r="E180" t="s">
        <v>47</v>
      </c>
      <c r="F180" s="2" t="s">
        <v>46</v>
      </c>
      <c r="G180">
        <v>9</v>
      </c>
      <c r="H180">
        <v>4</v>
      </c>
      <c r="I180">
        <v>18</v>
      </c>
      <c r="J180" s="1">
        <v>0.22220000000000001</v>
      </c>
    </row>
    <row r="181" spans="1:10" x14ac:dyDescent="0.45">
      <c r="A181" s="3">
        <v>46081</v>
      </c>
      <c r="B181" s="2">
        <v>2026</v>
      </c>
      <c r="C181" s="2" t="s">
        <v>16</v>
      </c>
      <c r="D181" s="2" t="s">
        <v>25</v>
      </c>
      <c r="E181" t="s">
        <v>48</v>
      </c>
      <c r="F181" s="2" t="s">
        <v>30</v>
      </c>
      <c r="G181">
        <v>170</v>
      </c>
      <c r="H181">
        <v>322</v>
      </c>
      <c r="I181">
        <v>2040</v>
      </c>
      <c r="J181" s="1">
        <v>0.1578</v>
      </c>
    </row>
    <row r="182" spans="1:10" x14ac:dyDescent="0.45">
      <c r="A182" s="3">
        <v>46081</v>
      </c>
      <c r="B182" s="2">
        <v>2026</v>
      </c>
      <c r="C182" s="2" t="s">
        <v>16</v>
      </c>
      <c r="D182" s="2" t="s">
        <v>25</v>
      </c>
      <c r="E182" t="s">
        <v>49</v>
      </c>
      <c r="F182" s="2" t="s">
        <v>30</v>
      </c>
      <c r="G182">
        <v>36</v>
      </c>
      <c r="H182">
        <v>71</v>
      </c>
      <c r="I182">
        <v>432</v>
      </c>
      <c r="J182" s="1">
        <v>0.16439999999999999</v>
      </c>
    </row>
    <row r="183" spans="1:10" x14ac:dyDescent="0.45">
      <c r="A183" s="3">
        <v>46081</v>
      </c>
      <c r="B183" s="2">
        <v>2026</v>
      </c>
      <c r="C183" s="2" t="s">
        <v>16</v>
      </c>
      <c r="D183" s="2" t="s">
        <v>24</v>
      </c>
      <c r="E183" t="s">
        <v>52</v>
      </c>
      <c r="F183" s="2" t="s">
        <v>30</v>
      </c>
      <c r="G183">
        <v>13</v>
      </c>
      <c r="H183">
        <v>26</v>
      </c>
      <c r="I183">
        <v>156</v>
      </c>
      <c r="J183" s="1">
        <v>0.16669999999999999</v>
      </c>
    </row>
    <row r="184" spans="1:10" x14ac:dyDescent="0.45">
      <c r="A184" s="3">
        <v>46081</v>
      </c>
      <c r="B184" s="2">
        <v>2026</v>
      </c>
      <c r="C184" s="2" t="s">
        <v>16</v>
      </c>
      <c r="D184" s="2" t="s">
        <v>25</v>
      </c>
      <c r="E184" t="s">
        <v>50</v>
      </c>
      <c r="F184" s="2" t="s">
        <v>30</v>
      </c>
      <c r="G184">
        <v>9</v>
      </c>
      <c r="H184">
        <v>18</v>
      </c>
      <c r="I184">
        <v>108</v>
      </c>
      <c r="J184" s="1">
        <v>0.16669999999999999</v>
      </c>
    </row>
    <row r="185" spans="1:10" x14ac:dyDescent="0.45">
      <c r="A185" s="3">
        <v>46081</v>
      </c>
      <c r="B185" s="2">
        <v>2026</v>
      </c>
      <c r="C185" s="2" t="s">
        <v>16</v>
      </c>
      <c r="D185" s="2" t="s">
        <v>25</v>
      </c>
      <c r="E185" t="s">
        <v>51</v>
      </c>
      <c r="F185" s="2" t="s">
        <v>30</v>
      </c>
      <c r="G185">
        <v>88</v>
      </c>
      <c r="H185">
        <v>179</v>
      </c>
      <c r="I185">
        <v>1056</v>
      </c>
      <c r="J185" s="1">
        <v>0.16950000000000001</v>
      </c>
    </row>
    <row r="186" spans="1:10" x14ac:dyDescent="0.45">
      <c r="A186" s="3">
        <v>46081</v>
      </c>
      <c r="B186" s="2">
        <v>2026</v>
      </c>
      <c r="C186" s="2" t="s">
        <v>16</v>
      </c>
      <c r="D186" s="2" t="s">
        <v>25</v>
      </c>
      <c r="E186" t="s">
        <v>53</v>
      </c>
      <c r="F186" s="2" t="s">
        <v>30</v>
      </c>
      <c r="J186" s="1"/>
    </row>
    <row r="187" spans="1:10" x14ac:dyDescent="0.45">
      <c r="A187" s="3">
        <v>46081</v>
      </c>
      <c r="B187" s="2">
        <v>2026</v>
      </c>
      <c r="C187" s="2" t="s">
        <v>16</v>
      </c>
      <c r="D187" s="2" t="s">
        <v>25</v>
      </c>
      <c r="E187" t="s">
        <v>53</v>
      </c>
      <c r="F187" s="2" t="s">
        <v>46</v>
      </c>
      <c r="G187">
        <v>4</v>
      </c>
      <c r="H187">
        <v>2</v>
      </c>
      <c r="I187">
        <v>8</v>
      </c>
      <c r="J187" s="1">
        <v>0.25</v>
      </c>
    </row>
    <row r="188" spans="1:10" x14ac:dyDescent="0.45">
      <c r="A188" s="3">
        <v>46081</v>
      </c>
      <c r="B188" s="2">
        <v>2026</v>
      </c>
      <c r="C188" s="2" t="s">
        <v>16</v>
      </c>
      <c r="D188" s="2" t="s">
        <v>26</v>
      </c>
      <c r="E188" t="s">
        <v>90</v>
      </c>
      <c r="F188" s="2" t="s">
        <v>28</v>
      </c>
      <c r="G188">
        <v>9</v>
      </c>
      <c r="H188">
        <v>36</v>
      </c>
      <c r="I188">
        <v>216</v>
      </c>
      <c r="J188" s="1">
        <v>0.16669999999999999</v>
      </c>
    </row>
    <row r="189" spans="1:10" x14ac:dyDescent="0.45">
      <c r="A189" s="3">
        <v>46081</v>
      </c>
      <c r="B189" s="2">
        <v>2026</v>
      </c>
      <c r="C189" s="2" t="s">
        <v>16</v>
      </c>
      <c r="D189" s="2" t="s">
        <v>26</v>
      </c>
      <c r="E189" t="s">
        <v>91</v>
      </c>
      <c r="F189" s="2" t="s">
        <v>30</v>
      </c>
      <c r="G189">
        <v>9</v>
      </c>
      <c r="H189">
        <v>18</v>
      </c>
      <c r="I189">
        <v>108</v>
      </c>
      <c r="J189" s="1">
        <v>0.16669999999999999</v>
      </c>
    </row>
    <row r="190" spans="1:10" x14ac:dyDescent="0.45">
      <c r="A190" s="3">
        <v>46081</v>
      </c>
      <c r="B190" s="2">
        <v>2026</v>
      </c>
      <c r="C190" s="2" t="s">
        <v>16</v>
      </c>
      <c r="D190" s="2" t="s">
        <v>26</v>
      </c>
      <c r="E190" t="s">
        <v>92</v>
      </c>
      <c r="F190" s="2" t="s">
        <v>30</v>
      </c>
      <c r="G190">
        <v>59</v>
      </c>
      <c r="H190">
        <v>118</v>
      </c>
      <c r="I190">
        <v>708</v>
      </c>
      <c r="J190" s="1">
        <v>0.16669999999999999</v>
      </c>
    </row>
    <row r="191" spans="1:10" x14ac:dyDescent="0.45">
      <c r="A191" s="3">
        <v>46081</v>
      </c>
      <c r="B191" s="2">
        <v>2026</v>
      </c>
      <c r="C191" s="2" t="s">
        <v>16</v>
      </c>
      <c r="D191" s="2" t="s">
        <v>26</v>
      </c>
      <c r="E191" t="s">
        <v>93</v>
      </c>
      <c r="F191" s="2" t="s">
        <v>43</v>
      </c>
      <c r="G191">
        <v>59</v>
      </c>
      <c r="H191">
        <v>18</v>
      </c>
      <c r="I191">
        <v>59</v>
      </c>
      <c r="J191" s="1">
        <v>0.30509999999999998</v>
      </c>
    </row>
    <row r="192" spans="1:10" x14ac:dyDescent="0.45">
      <c r="A192" s="3">
        <v>46081</v>
      </c>
      <c r="B192" s="2">
        <v>2026</v>
      </c>
      <c r="C192" s="2" t="s">
        <v>16</v>
      </c>
      <c r="D192" s="2" t="s">
        <v>26</v>
      </c>
      <c r="E192" t="s">
        <v>58</v>
      </c>
      <c r="F192" s="2" t="s">
        <v>46</v>
      </c>
      <c r="G192">
        <v>9</v>
      </c>
      <c r="H192">
        <v>4</v>
      </c>
      <c r="I192">
        <v>18</v>
      </c>
      <c r="J192" s="1">
        <v>0.22220000000000001</v>
      </c>
    </row>
    <row r="193" spans="1:10" x14ac:dyDescent="0.45">
      <c r="A193" s="3">
        <v>46081</v>
      </c>
      <c r="B193" s="2">
        <v>2026</v>
      </c>
      <c r="C193" s="2" t="s">
        <v>16</v>
      </c>
      <c r="D193" s="2" t="s">
        <v>26</v>
      </c>
      <c r="E193" t="s">
        <v>59</v>
      </c>
      <c r="F193" s="2" t="s">
        <v>42</v>
      </c>
      <c r="G193">
        <v>9</v>
      </c>
      <c r="H193">
        <v>9</v>
      </c>
      <c r="I193">
        <v>36</v>
      </c>
      <c r="J193" s="1">
        <v>0.25</v>
      </c>
    </row>
    <row r="194" spans="1:10" x14ac:dyDescent="0.45">
      <c r="A194" s="3">
        <v>46081</v>
      </c>
      <c r="B194" s="2">
        <v>2026</v>
      </c>
      <c r="C194" s="2" t="s">
        <v>16</v>
      </c>
      <c r="D194" s="2" t="s">
        <v>26</v>
      </c>
      <c r="E194" t="s">
        <v>60</v>
      </c>
      <c r="F194" s="2" t="s">
        <v>43</v>
      </c>
      <c r="G194">
        <v>9</v>
      </c>
      <c r="H194">
        <v>6</v>
      </c>
      <c r="I194">
        <v>9</v>
      </c>
      <c r="J194" s="1">
        <v>0.66669999999999996</v>
      </c>
    </row>
    <row r="195" spans="1:10" x14ac:dyDescent="0.45">
      <c r="A195" s="3">
        <v>46081</v>
      </c>
      <c r="B195" s="2">
        <v>2026</v>
      </c>
      <c r="C195" s="2" t="s">
        <v>16</v>
      </c>
      <c r="D195" s="2" t="s">
        <v>26</v>
      </c>
      <c r="E195" t="s">
        <v>94</v>
      </c>
      <c r="F195" s="2" t="s">
        <v>43</v>
      </c>
      <c r="G195">
        <v>85</v>
      </c>
      <c r="H195">
        <v>19</v>
      </c>
      <c r="I195">
        <v>85</v>
      </c>
      <c r="J195" s="1">
        <v>0.2235</v>
      </c>
    </row>
    <row r="196" spans="1:10" x14ac:dyDescent="0.45">
      <c r="A196" s="3">
        <v>46081</v>
      </c>
      <c r="B196" s="2">
        <v>2026</v>
      </c>
      <c r="C196" s="2" t="s">
        <v>16</v>
      </c>
      <c r="D196" s="2" t="s">
        <v>26</v>
      </c>
      <c r="E196" t="s">
        <v>62</v>
      </c>
      <c r="F196" s="2" t="s">
        <v>43</v>
      </c>
      <c r="G196">
        <v>27</v>
      </c>
      <c r="H196">
        <v>21</v>
      </c>
      <c r="I196">
        <v>27</v>
      </c>
      <c r="J196" s="1">
        <v>0.77780000000000005</v>
      </c>
    </row>
    <row r="197" spans="1:10" x14ac:dyDescent="0.45">
      <c r="A197" s="3">
        <v>46081</v>
      </c>
      <c r="B197" s="2">
        <v>2026</v>
      </c>
      <c r="C197" s="2" t="s">
        <v>16</v>
      </c>
      <c r="D197" s="2" t="s">
        <v>26</v>
      </c>
      <c r="E197" t="s">
        <v>63</v>
      </c>
      <c r="F197" s="2" t="s">
        <v>43</v>
      </c>
      <c r="G197">
        <v>9</v>
      </c>
      <c r="H197">
        <v>2</v>
      </c>
      <c r="I197">
        <v>9</v>
      </c>
      <c r="J197" s="1">
        <v>0.22220000000000001</v>
      </c>
    </row>
    <row r="198" spans="1:10" x14ac:dyDescent="0.45">
      <c r="A198" s="3">
        <v>46081</v>
      </c>
      <c r="B198" s="2">
        <v>2026</v>
      </c>
      <c r="C198" s="2" t="s">
        <v>16</v>
      </c>
      <c r="D198" s="2" t="s">
        <v>26</v>
      </c>
      <c r="E198" t="s">
        <v>64</v>
      </c>
      <c r="F198" s="2" t="s">
        <v>43</v>
      </c>
      <c r="G198">
        <v>41</v>
      </c>
      <c r="H198">
        <v>32</v>
      </c>
      <c r="I198">
        <v>41</v>
      </c>
      <c r="J198" s="1">
        <v>0.78049999999999997</v>
      </c>
    </row>
    <row r="199" spans="1:10" x14ac:dyDescent="0.45">
      <c r="A199" s="3">
        <v>46081</v>
      </c>
      <c r="B199" s="2">
        <v>2026</v>
      </c>
      <c r="C199" s="2" t="s">
        <v>16</v>
      </c>
      <c r="D199" s="2" t="s">
        <v>26</v>
      </c>
      <c r="E199" t="s">
        <v>95</v>
      </c>
      <c r="F199" s="2" t="s">
        <v>43</v>
      </c>
      <c r="G199">
        <v>59</v>
      </c>
      <c r="H199">
        <v>29</v>
      </c>
      <c r="I199">
        <v>59</v>
      </c>
      <c r="J199" s="1">
        <v>0.49149999999999999</v>
      </c>
    </row>
    <row r="200" spans="1:10" x14ac:dyDescent="0.45">
      <c r="A200" s="3">
        <v>46081</v>
      </c>
      <c r="B200" s="2">
        <v>2026</v>
      </c>
      <c r="C200" s="2" t="s">
        <v>16</v>
      </c>
      <c r="D200" s="2" t="s">
        <v>26</v>
      </c>
      <c r="E200" t="s">
        <v>68</v>
      </c>
      <c r="F200" s="2" t="s">
        <v>42</v>
      </c>
      <c r="G200">
        <v>9</v>
      </c>
      <c r="H200">
        <v>9</v>
      </c>
      <c r="I200">
        <v>36</v>
      </c>
      <c r="J200" s="1">
        <v>0.25</v>
      </c>
    </row>
    <row r="201" spans="1:10" x14ac:dyDescent="0.45">
      <c r="A201" s="3">
        <v>46081</v>
      </c>
      <c r="B201" s="2">
        <v>2026</v>
      </c>
      <c r="C201" s="2" t="s">
        <v>16</v>
      </c>
      <c r="D201" s="2" t="s">
        <v>26</v>
      </c>
      <c r="E201" t="s">
        <v>96</v>
      </c>
      <c r="F201" s="2" t="s">
        <v>43</v>
      </c>
      <c r="G201">
        <v>45</v>
      </c>
      <c r="H201">
        <v>20</v>
      </c>
      <c r="I201">
        <v>45</v>
      </c>
      <c r="J201" s="1">
        <v>0.44440000000000002</v>
      </c>
    </row>
    <row r="202" spans="1:10" x14ac:dyDescent="0.45">
      <c r="A202" s="3">
        <v>46081</v>
      </c>
      <c r="B202" s="2">
        <v>2026</v>
      </c>
      <c r="C202" s="2" t="s">
        <v>16</v>
      </c>
      <c r="D202" s="2" t="s">
        <v>26</v>
      </c>
      <c r="E202" t="s">
        <v>97</v>
      </c>
      <c r="F202" s="2" t="s">
        <v>42</v>
      </c>
      <c r="G202">
        <v>9</v>
      </c>
      <c r="H202">
        <v>5</v>
      </c>
      <c r="I202">
        <v>36</v>
      </c>
      <c r="J202" s="1">
        <v>0.1389</v>
      </c>
    </row>
    <row r="203" spans="1:10" x14ac:dyDescent="0.45">
      <c r="A203" s="3">
        <v>46081</v>
      </c>
      <c r="B203" s="2">
        <v>2026</v>
      </c>
      <c r="C203" s="2" t="s">
        <v>16</v>
      </c>
      <c r="D203" s="2" t="s">
        <v>26</v>
      </c>
      <c r="E203" t="s">
        <v>71</v>
      </c>
      <c r="F203" s="2" t="s">
        <v>43</v>
      </c>
      <c r="G203">
        <v>9</v>
      </c>
      <c r="H203">
        <v>1</v>
      </c>
      <c r="I203">
        <v>9</v>
      </c>
      <c r="J203" s="1">
        <v>0.1111</v>
      </c>
    </row>
    <row r="204" spans="1:10" x14ac:dyDescent="0.45">
      <c r="A204" s="3">
        <v>46081</v>
      </c>
      <c r="B204" s="2">
        <v>2026</v>
      </c>
      <c r="C204" s="2" t="s">
        <v>16</v>
      </c>
      <c r="D204" s="2" t="s">
        <v>26</v>
      </c>
      <c r="E204" t="s">
        <v>73</v>
      </c>
      <c r="F204" s="2" t="s">
        <v>30</v>
      </c>
      <c r="G204">
        <v>188993</v>
      </c>
      <c r="H204">
        <v>377986</v>
      </c>
      <c r="I204">
        <v>2267916</v>
      </c>
      <c r="J204" s="1">
        <v>0.16669999999999999</v>
      </c>
    </row>
    <row r="205" spans="1:10" x14ac:dyDescent="0.45">
      <c r="A205" s="3">
        <v>46081</v>
      </c>
      <c r="B205" s="2">
        <v>2026</v>
      </c>
      <c r="C205" s="2" t="s">
        <v>16</v>
      </c>
      <c r="D205" s="2" t="s">
        <v>26</v>
      </c>
      <c r="E205" t="s">
        <v>74</v>
      </c>
      <c r="F205" s="2" t="s">
        <v>46</v>
      </c>
      <c r="G205">
        <v>183511</v>
      </c>
      <c r="H205">
        <v>42045</v>
      </c>
      <c r="I205">
        <v>367022</v>
      </c>
      <c r="J205" s="1">
        <v>0.11459999999999999</v>
      </c>
    </row>
    <row r="206" spans="1:10" x14ac:dyDescent="0.45">
      <c r="A206" s="3">
        <v>46081</v>
      </c>
      <c r="B206" s="2">
        <v>2026</v>
      </c>
      <c r="C206" s="2" t="s">
        <v>16</v>
      </c>
      <c r="D206" s="2" t="s">
        <v>26</v>
      </c>
      <c r="E206" t="s">
        <v>98</v>
      </c>
      <c r="F206" s="2" t="s">
        <v>28</v>
      </c>
      <c r="G206">
        <v>174</v>
      </c>
      <c r="H206">
        <v>696</v>
      </c>
      <c r="I206">
        <v>4176</v>
      </c>
      <c r="J206" s="1">
        <v>0.16669999999999999</v>
      </c>
    </row>
    <row r="207" spans="1:10" x14ac:dyDescent="0.45">
      <c r="A207" s="3">
        <v>46081</v>
      </c>
      <c r="B207" s="2">
        <v>2026</v>
      </c>
      <c r="C207" s="2" t="s">
        <v>16</v>
      </c>
      <c r="D207" s="2" t="s">
        <v>26</v>
      </c>
      <c r="E207" t="s">
        <v>76</v>
      </c>
      <c r="F207" s="2" t="s">
        <v>42</v>
      </c>
      <c r="G207">
        <v>188993</v>
      </c>
      <c r="H207">
        <v>179681</v>
      </c>
      <c r="I207">
        <v>755972</v>
      </c>
      <c r="J207" s="1">
        <v>0.23769999999999999</v>
      </c>
    </row>
    <row r="208" spans="1:10" x14ac:dyDescent="0.45">
      <c r="A208" s="3">
        <v>46081</v>
      </c>
      <c r="B208" s="2">
        <v>2026</v>
      </c>
      <c r="C208" s="2" t="s">
        <v>16</v>
      </c>
      <c r="D208" s="2" t="s">
        <v>26</v>
      </c>
      <c r="E208" t="s">
        <v>77</v>
      </c>
      <c r="F208" s="2" t="s">
        <v>43</v>
      </c>
      <c r="G208">
        <v>188993</v>
      </c>
      <c r="H208">
        <v>49159</v>
      </c>
      <c r="I208">
        <v>188993</v>
      </c>
      <c r="J208" s="1">
        <v>0.2601</v>
      </c>
    </row>
    <row r="209" spans="1:10" x14ac:dyDescent="0.45">
      <c r="A209" s="3">
        <v>46081</v>
      </c>
      <c r="B209" s="2">
        <v>2026</v>
      </c>
      <c r="C209" s="2" t="s">
        <v>16</v>
      </c>
      <c r="D209" s="2" t="s">
        <v>26</v>
      </c>
      <c r="E209" t="s">
        <v>78</v>
      </c>
      <c r="F209" s="2" t="s">
        <v>42</v>
      </c>
      <c r="G209">
        <v>98</v>
      </c>
      <c r="H209">
        <v>77</v>
      </c>
      <c r="I209">
        <v>392</v>
      </c>
      <c r="J209" s="1">
        <v>0.19639999999999999</v>
      </c>
    </row>
    <row r="210" spans="1:10" x14ac:dyDescent="0.45">
      <c r="A210" s="3">
        <v>46081</v>
      </c>
      <c r="B210" s="2">
        <v>2026</v>
      </c>
      <c r="C210" s="2" t="s">
        <v>16</v>
      </c>
      <c r="D210" s="2" t="s">
        <v>26</v>
      </c>
      <c r="E210" t="s">
        <v>79</v>
      </c>
      <c r="F210" s="2" t="s">
        <v>43</v>
      </c>
      <c r="G210">
        <v>127</v>
      </c>
      <c r="H210">
        <v>32</v>
      </c>
      <c r="I210">
        <v>127</v>
      </c>
      <c r="J210" s="1">
        <v>0.252</v>
      </c>
    </row>
    <row r="211" spans="1:10" x14ac:dyDescent="0.45">
      <c r="A211" s="3">
        <v>46081</v>
      </c>
      <c r="B211" s="2">
        <v>2026</v>
      </c>
      <c r="C211" s="2" t="s">
        <v>16</v>
      </c>
      <c r="D211" s="2" t="s">
        <v>26</v>
      </c>
      <c r="E211" t="s">
        <v>99</v>
      </c>
      <c r="F211" s="2" t="s">
        <v>46</v>
      </c>
      <c r="G211">
        <v>271</v>
      </c>
      <c r="H211">
        <v>70</v>
      </c>
      <c r="I211">
        <v>542</v>
      </c>
      <c r="J211" s="1">
        <v>0.12920000000000001</v>
      </c>
    </row>
    <row r="212" spans="1:10" x14ac:dyDescent="0.45">
      <c r="A212" s="3">
        <v>46081</v>
      </c>
      <c r="B212" s="2">
        <v>2026</v>
      </c>
      <c r="C212" s="2" t="s">
        <v>16</v>
      </c>
      <c r="D212" s="2" t="s">
        <v>26</v>
      </c>
      <c r="E212" t="s">
        <v>81</v>
      </c>
      <c r="F212" s="2" t="s">
        <v>43</v>
      </c>
      <c r="G212">
        <v>133</v>
      </c>
      <c r="H212">
        <v>48</v>
      </c>
      <c r="I212">
        <v>133</v>
      </c>
      <c r="J212" s="1">
        <v>0.3609</v>
      </c>
    </row>
    <row r="213" spans="1:10" x14ac:dyDescent="0.45">
      <c r="A213" s="3">
        <v>46081</v>
      </c>
      <c r="B213" s="2">
        <v>2026</v>
      </c>
      <c r="C213" s="2" t="s">
        <v>16</v>
      </c>
      <c r="D213" s="2" t="s">
        <v>26</v>
      </c>
      <c r="E213" t="s">
        <v>82</v>
      </c>
      <c r="F213" s="2" t="s">
        <v>43</v>
      </c>
      <c r="G213">
        <v>67</v>
      </c>
      <c r="H213">
        <v>19</v>
      </c>
      <c r="I213">
        <v>67</v>
      </c>
      <c r="J213" s="1">
        <v>0.28360000000000002</v>
      </c>
    </row>
    <row r="214" spans="1:10" x14ac:dyDescent="0.45">
      <c r="A214" s="3">
        <v>46081</v>
      </c>
      <c r="B214" s="2">
        <v>2026</v>
      </c>
      <c r="C214" s="2" t="s">
        <v>16</v>
      </c>
      <c r="D214" s="2" t="s">
        <v>26</v>
      </c>
      <c r="E214" t="s">
        <v>100</v>
      </c>
      <c r="F214" s="2" t="s">
        <v>46</v>
      </c>
      <c r="G214">
        <v>5482</v>
      </c>
      <c r="H214">
        <v>3114</v>
      </c>
      <c r="I214">
        <v>10964</v>
      </c>
      <c r="J214" s="1">
        <v>0.28399999999999997</v>
      </c>
    </row>
    <row r="215" spans="1:10" x14ac:dyDescent="0.45">
      <c r="A215" s="3">
        <v>46081</v>
      </c>
      <c r="B215" s="2">
        <v>2026</v>
      </c>
      <c r="C215" s="2" t="s">
        <v>16</v>
      </c>
      <c r="D215" s="2" t="s">
        <v>26</v>
      </c>
      <c r="E215" t="s">
        <v>86</v>
      </c>
      <c r="F215" s="2" t="s">
        <v>30</v>
      </c>
      <c r="J215" s="1"/>
    </row>
    <row r="216" spans="1:10" x14ac:dyDescent="0.45">
      <c r="A216" s="3">
        <v>46081</v>
      </c>
      <c r="B216" s="2">
        <v>2026</v>
      </c>
      <c r="C216" s="2" t="s">
        <v>17</v>
      </c>
      <c r="D216" s="2" t="s">
        <v>24</v>
      </c>
      <c r="E216" t="s">
        <v>27</v>
      </c>
      <c r="F216" s="2" t="s">
        <v>28</v>
      </c>
      <c r="G216">
        <v>263</v>
      </c>
      <c r="H216">
        <v>1052</v>
      </c>
      <c r="I216">
        <v>6312</v>
      </c>
      <c r="J216" s="1">
        <v>0.16669999999999999</v>
      </c>
    </row>
    <row r="217" spans="1:10" x14ac:dyDescent="0.45">
      <c r="A217" s="3">
        <v>46081</v>
      </c>
      <c r="B217" s="2">
        <v>2026</v>
      </c>
      <c r="C217" s="2" t="s">
        <v>17</v>
      </c>
      <c r="D217" s="2" t="s">
        <v>24</v>
      </c>
      <c r="E217" t="s">
        <v>29</v>
      </c>
      <c r="F217" s="2" t="s">
        <v>30</v>
      </c>
      <c r="G217">
        <v>40</v>
      </c>
      <c r="H217">
        <v>80</v>
      </c>
      <c r="I217">
        <v>480</v>
      </c>
      <c r="J217" s="1">
        <v>0.16669999999999999</v>
      </c>
    </row>
    <row r="218" spans="1:10" x14ac:dyDescent="0.45">
      <c r="A218" s="3">
        <v>46081</v>
      </c>
      <c r="B218" s="2">
        <v>2026</v>
      </c>
      <c r="C218" s="2" t="s">
        <v>17</v>
      </c>
      <c r="D218" s="2" t="s">
        <v>24</v>
      </c>
      <c r="E218" t="s">
        <v>31</v>
      </c>
      <c r="F218" s="2" t="s">
        <v>30</v>
      </c>
      <c r="G218">
        <v>408</v>
      </c>
      <c r="H218">
        <v>818</v>
      </c>
      <c r="I218">
        <v>4896</v>
      </c>
      <c r="J218" s="1">
        <v>0.1671</v>
      </c>
    </row>
    <row r="219" spans="1:10" x14ac:dyDescent="0.45">
      <c r="A219" s="3">
        <v>46081</v>
      </c>
      <c r="B219" s="2">
        <v>2026</v>
      </c>
      <c r="C219" s="2" t="s">
        <v>17</v>
      </c>
      <c r="D219" s="2" t="s">
        <v>24</v>
      </c>
      <c r="E219" t="s">
        <v>32</v>
      </c>
      <c r="F219" s="2" t="s">
        <v>30</v>
      </c>
      <c r="G219">
        <v>550</v>
      </c>
      <c r="H219">
        <v>1055</v>
      </c>
      <c r="I219">
        <v>6600</v>
      </c>
      <c r="J219" s="1">
        <v>0.1598</v>
      </c>
    </row>
    <row r="220" spans="1:10" x14ac:dyDescent="0.45">
      <c r="A220" s="3">
        <v>46081</v>
      </c>
      <c r="B220" s="2">
        <v>2026</v>
      </c>
      <c r="C220" s="2" t="s">
        <v>17</v>
      </c>
      <c r="D220" s="2" t="s">
        <v>24</v>
      </c>
      <c r="E220" t="s">
        <v>33</v>
      </c>
      <c r="F220" s="2" t="s">
        <v>30</v>
      </c>
      <c r="G220">
        <v>76</v>
      </c>
      <c r="H220">
        <v>149</v>
      </c>
      <c r="I220">
        <v>912</v>
      </c>
      <c r="J220" s="1">
        <v>0.16339999999999999</v>
      </c>
    </row>
    <row r="221" spans="1:10" x14ac:dyDescent="0.45">
      <c r="A221" s="3">
        <v>46081</v>
      </c>
      <c r="B221" s="2">
        <v>2026</v>
      </c>
      <c r="C221" s="2" t="s">
        <v>17</v>
      </c>
      <c r="D221" s="2" t="s">
        <v>24</v>
      </c>
      <c r="E221" t="s">
        <v>34</v>
      </c>
      <c r="F221" s="2" t="s">
        <v>28</v>
      </c>
      <c r="G221">
        <v>6</v>
      </c>
      <c r="H221">
        <v>23</v>
      </c>
      <c r="I221">
        <v>144</v>
      </c>
      <c r="J221" s="1">
        <v>0.15970000000000001</v>
      </c>
    </row>
    <row r="222" spans="1:10" x14ac:dyDescent="0.45">
      <c r="A222" s="3">
        <v>46081</v>
      </c>
      <c r="B222" s="2">
        <v>2026</v>
      </c>
      <c r="C222" s="2" t="s">
        <v>17</v>
      </c>
      <c r="D222" s="2" t="s">
        <v>24</v>
      </c>
      <c r="E222" t="s">
        <v>35</v>
      </c>
      <c r="F222" s="2" t="s">
        <v>30</v>
      </c>
      <c r="G222">
        <v>19</v>
      </c>
      <c r="H222">
        <v>37</v>
      </c>
      <c r="I222">
        <v>228</v>
      </c>
      <c r="J222" s="1">
        <v>0.1623</v>
      </c>
    </row>
    <row r="223" spans="1:10" x14ac:dyDescent="0.45">
      <c r="A223" s="3">
        <v>46081</v>
      </c>
      <c r="B223" s="2">
        <v>2026</v>
      </c>
      <c r="C223" s="2" t="s">
        <v>17</v>
      </c>
      <c r="D223" s="2" t="s">
        <v>24</v>
      </c>
      <c r="E223" t="s">
        <v>36</v>
      </c>
      <c r="F223" s="2" t="s">
        <v>30</v>
      </c>
      <c r="G223">
        <v>1</v>
      </c>
      <c r="H223">
        <v>2</v>
      </c>
      <c r="I223">
        <v>12</v>
      </c>
      <c r="J223" s="1">
        <v>0.16669999999999999</v>
      </c>
    </row>
    <row r="224" spans="1:10" x14ac:dyDescent="0.45">
      <c r="A224" s="3">
        <v>46081</v>
      </c>
      <c r="B224" s="2">
        <v>2026</v>
      </c>
      <c r="C224" s="2" t="s">
        <v>17</v>
      </c>
      <c r="D224" s="2" t="s">
        <v>24</v>
      </c>
      <c r="E224" t="s">
        <v>37</v>
      </c>
      <c r="F224" s="2" t="s">
        <v>30</v>
      </c>
      <c r="G224">
        <v>4</v>
      </c>
      <c r="H224">
        <v>8</v>
      </c>
      <c r="I224">
        <v>48</v>
      </c>
      <c r="J224" s="1">
        <v>0.16669999999999999</v>
      </c>
    </row>
    <row r="225" spans="1:10" x14ac:dyDescent="0.45">
      <c r="A225" s="3">
        <v>46081</v>
      </c>
      <c r="B225" s="2">
        <v>2026</v>
      </c>
      <c r="C225" s="2" t="s">
        <v>17</v>
      </c>
      <c r="D225" s="2" t="s">
        <v>24</v>
      </c>
      <c r="E225" t="s">
        <v>38</v>
      </c>
      <c r="F225" s="2" t="s">
        <v>30</v>
      </c>
      <c r="G225">
        <v>31</v>
      </c>
      <c r="H225">
        <v>61</v>
      </c>
      <c r="I225">
        <v>372</v>
      </c>
      <c r="J225" s="1">
        <v>0.16400000000000001</v>
      </c>
    </row>
    <row r="226" spans="1:10" x14ac:dyDescent="0.45">
      <c r="A226" s="3">
        <v>46081</v>
      </c>
      <c r="B226" s="2">
        <v>2026</v>
      </c>
      <c r="C226" s="2" t="s">
        <v>17</v>
      </c>
      <c r="D226" s="2" t="s">
        <v>24</v>
      </c>
      <c r="E226" t="s">
        <v>39</v>
      </c>
      <c r="F226" s="2" t="s">
        <v>30</v>
      </c>
      <c r="G226">
        <v>175</v>
      </c>
      <c r="H226">
        <v>350</v>
      </c>
      <c r="I226">
        <v>2100</v>
      </c>
      <c r="J226" s="1">
        <v>0.16669999999999999</v>
      </c>
    </row>
    <row r="227" spans="1:10" x14ac:dyDescent="0.45">
      <c r="A227" s="3">
        <v>46081</v>
      </c>
      <c r="B227" s="2">
        <v>2026</v>
      </c>
      <c r="C227" s="2" t="s">
        <v>17</v>
      </c>
      <c r="D227" s="2" t="s">
        <v>25</v>
      </c>
      <c r="E227" t="s">
        <v>40</v>
      </c>
      <c r="F227" s="2" t="s">
        <v>41</v>
      </c>
      <c r="G227">
        <v>9</v>
      </c>
      <c r="H227">
        <v>893</v>
      </c>
      <c r="I227">
        <v>3285</v>
      </c>
      <c r="J227" s="1">
        <v>0.27179999999999999</v>
      </c>
    </row>
    <row r="228" spans="1:10" x14ac:dyDescent="0.45">
      <c r="A228" s="3">
        <v>46081</v>
      </c>
      <c r="B228" s="2">
        <v>2026</v>
      </c>
      <c r="C228" s="2" t="s">
        <v>17</v>
      </c>
      <c r="D228" s="2" t="s">
        <v>25</v>
      </c>
      <c r="E228" t="s">
        <v>40</v>
      </c>
      <c r="F228" s="2" t="s">
        <v>42</v>
      </c>
      <c r="G228">
        <v>9</v>
      </c>
      <c r="H228">
        <v>10</v>
      </c>
      <c r="I228">
        <v>36</v>
      </c>
      <c r="J228" s="1">
        <v>0.27779999999999999</v>
      </c>
    </row>
    <row r="229" spans="1:10" x14ac:dyDescent="0.45">
      <c r="A229" s="3">
        <v>46081</v>
      </c>
      <c r="B229" s="2">
        <v>2026</v>
      </c>
      <c r="C229" s="2" t="s">
        <v>17</v>
      </c>
      <c r="D229" s="2" t="s">
        <v>25</v>
      </c>
      <c r="E229" t="s">
        <v>40</v>
      </c>
      <c r="F229" s="2" t="s">
        <v>43</v>
      </c>
      <c r="G229">
        <v>9</v>
      </c>
      <c r="H229">
        <v>4</v>
      </c>
      <c r="I229">
        <v>9</v>
      </c>
      <c r="J229" s="1">
        <v>0.44440000000000002</v>
      </c>
    </row>
    <row r="230" spans="1:10" x14ac:dyDescent="0.45">
      <c r="A230" s="3">
        <v>46081</v>
      </c>
      <c r="B230" s="2">
        <v>2026</v>
      </c>
      <c r="C230" s="2" t="s">
        <v>17</v>
      </c>
      <c r="D230" s="2" t="s">
        <v>25</v>
      </c>
      <c r="E230" t="s">
        <v>44</v>
      </c>
      <c r="F230" s="2" t="s">
        <v>42</v>
      </c>
      <c r="G230">
        <v>34</v>
      </c>
      <c r="H230">
        <v>41</v>
      </c>
      <c r="I230">
        <v>132</v>
      </c>
      <c r="J230" s="1">
        <v>0.31059999999999999</v>
      </c>
    </row>
    <row r="231" spans="1:10" x14ac:dyDescent="0.45">
      <c r="A231" s="3">
        <v>46081</v>
      </c>
      <c r="B231" s="2">
        <v>2026</v>
      </c>
      <c r="C231" s="2" t="s">
        <v>17</v>
      </c>
      <c r="D231" s="2" t="s">
        <v>25</v>
      </c>
      <c r="E231" t="s">
        <v>45</v>
      </c>
      <c r="F231" s="2" t="s">
        <v>46</v>
      </c>
      <c r="G231">
        <v>2</v>
      </c>
      <c r="I231">
        <v>4</v>
      </c>
      <c r="J231" s="1">
        <v>0</v>
      </c>
    </row>
    <row r="232" spans="1:10" x14ac:dyDescent="0.45">
      <c r="A232" s="3">
        <v>46081</v>
      </c>
      <c r="B232" s="2">
        <v>2026</v>
      </c>
      <c r="C232" s="2" t="s">
        <v>17</v>
      </c>
      <c r="D232" s="2" t="s">
        <v>25</v>
      </c>
      <c r="E232" t="s">
        <v>47</v>
      </c>
      <c r="F232" s="2" t="s">
        <v>46</v>
      </c>
      <c r="G232">
        <v>9</v>
      </c>
      <c r="H232">
        <v>2</v>
      </c>
      <c r="I232">
        <v>18</v>
      </c>
      <c r="J232" s="1">
        <v>0.1111</v>
      </c>
    </row>
    <row r="233" spans="1:10" x14ac:dyDescent="0.45">
      <c r="A233" s="3">
        <v>46081</v>
      </c>
      <c r="B233" s="2">
        <v>2026</v>
      </c>
      <c r="C233" s="2" t="s">
        <v>17</v>
      </c>
      <c r="D233" s="2" t="s">
        <v>25</v>
      </c>
      <c r="E233" t="s">
        <v>48</v>
      </c>
      <c r="F233" s="2" t="s">
        <v>30</v>
      </c>
      <c r="G233">
        <v>3654</v>
      </c>
      <c r="H233">
        <v>6870</v>
      </c>
      <c r="I233">
        <v>43848</v>
      </c>
      <c r="J233" s="1">
        <v>0.15670000000000001</v>
      </c>
    </row>
    <row r="234" spans="1:10" x14ac:dyDescent="0.45">
      <c r="A234" s="3">
        <v>46081</v>
      </c>
      <c r="B234" s="2">
        <v>2026</v>
      </c>
      <c r="C234" s="2" t="s">
        <v>17</v>
      </c>
      <c r="D234" s="2" t="s">
        <v>25</v>
      </c>
      <c r="E234" t="s">
        <v>49</v>
      </c>
      <c r="F234" s="2" t="s">
        <v>30</v>
      </c>
    </row>
    <row r="235" spans="1:10" x14ac:dyDescent="0.45">
      <c r="A235" s="3">
        <v>46081</v>
      </c>
      <c r="B235" s="2">
        <v>2026</v>
      </c>
      <c r="C235" s="2" t="s">
        <v>17</v>
      </c>
      <c r="D235" s="2" t="s">
        <v>25</v>
      </c>
      <c r="E235" t="s">
        <v>50</v>
      </c>
      <c r="F235" s="2" t="s">
        <v>30</v>
      </c>
    </row>
    <row r="236" spans="1:10" x14ac:dyDescent="0.45">
      <c r="A236" s="3">
        <v>46081</v>
      </c>
      <c r="B236" s="2">
        <v>2026</v>
      </c>
      <c r="C236" s="2" t="s">
        <v>17</v>
      </c>
      <c r="D236" s="2" t="s">
        <v>25</v>
      </c>
      <c r="E236" t="s">
        <v>51</v>
      </c>
      <c r="F236" s="2" t="s">
        <v>30</v>
      </c>
    </row>
    <row r="237" spans="1:10" x14ac:dyDescent="0.45">
      <c r="A237" s="3">
        <v>46081</v>
      </c>
      <c r="B237" s="2">
        <v>2026</v>
      </c>
      <c r="C237" s="2" t="s">
        <v>17</v>
      </c>
      <c r="D237" s="2" t="s">
        <v>24</v>
      </c>
      <c r="E237" t="s">
        <v>52</v>
      </c>
      <c r="F237" s="2" t="s">
        <v>30</v>
      </c>
    </row>
    <row r="238" spans="1:10" x14ac:dyDescent="0.45">
      <c r="A238" s="3">
        <v>46081</v>
      </c>
      <c r="B238" s="2">
        <v>2026</v>
      </c>
      <c r="C238" s="2" t="s">
        <v>17</v>
      </c>
      <c r="D238" s="2" t="s">
        <v>25</v>
      </c>
      <c r="E238" t="s">
        <v>53</v>
      </c>
      <c r="F238" s="2" t="s">
        <v>30</v>
      </c>
      <c r="J238" s="1"/>
    </row>
    <row r="239" spans="1:10" x14ac:dyDescent="0.45">
      <c r="A239" s="3">
        <v>46081</v>
      </c>
      <c r="B239" s="2">
        <v>2026</v>
      </c>
      <c r="C239" s="2" t="s">
        <v>17</v>
      </c>
      <c r="D239" s="2" t="s">
        <v>25</v>
      </c>
      <c r="E239" t="s">
        <v>53</v>
      </c>
      <c r="F239" s="2" t="s">
        <v>46</v>
      </c>
      <c r="J239" s="1"/>
    </row>
    <row r="240" spans="1:10" x14ac:dyDescent="0.45">
      <c r="A240" s="3">
        <v>46081</v>
      </c>
      <c r="B240" s="2">
        <v>2026</v>
      </c>
      <c r="C240" s="2" t="s">
        <v>17</v>
      </c>
      <c r="D240" s="2" t="s">
        <v>25</v>
      </c>
      <c r="E240" t="s">
        <v>44</v>
      </c>
      <c r="F240" s="2" t="s">
        <v>43</v>
      </c>
      <c r="G240">
        <v>33</v>
      </c>
      <c r="I240">
        <v>33</v>
      </c>
      <c r="J240" s="1">
        <v>0</v>
      </c>
    </row>
    <row r="241" spans="1:10" x14ac:dyDescent="0.45">
      <c r="A241" s="3">
        <v>46081</v>
      </c>
      <c r="B241" s="2">
        <v>2026</v>
      </c>
      <c r="C241" s="2" t="s">
        <v>18</v>
      </c>
      <c r="D241" s="2" t="s">
        <v>24</v>
      </c>
      <c r="E241" t="s">
        <v>27</v>
      </c>
      <c r="F241" s="2" t="s">
        <v>28</v>
      </c>
      <c r="G241">
        <v>486</v>
      </c>
      <c r="H241">
        <v>1949</v>
      </c>
      <c r="I241">
        <v>11664</v>
      </c>
      <c r="J241" s="1">
        <v>0.1671</v>
      </c>
    </row>
    <row r="242" spans="1:10" x14ac:dyDescent="0.45">
      <c r="A242" s="3">
        <v>46081</v>
      </c>
      <c r="B242" s="2">
        <v>2026</v>
      </c>
      <c r="C242" s="2" t="s">
        <v>18</v>
      </c>
      <c r="D242" s="2" t="s">
        <v>24</v>
      </c>
      <c r="E242" t="s">
        <v>52</v>
      </c>
      <c r="F242" s="2" t="s">
        <v>30</v>
      </c>
      <c r="G242">
        <v>25</v>
      </c>
      <c r="H242">
        <v>59</v>
      </c>
      <c r="I242">
        <v>300</v>
      </c>
      <c r="J242" s="1">
        <v>0.19670000000000001</v>
      </c>
    </row>
    <row r="243" spans="1:10" x14ac:dyDescent="0.45">
      <c r="A243" s="3">
        <v>46081</v>
      </c>
      <c r="B243" s="2">
        <v>2026</v>
      </c>
      <c r="C243" s="2" t="s">
        <v>18</v>
      </c>
      <c r="D243" s="2" t="s">
        <v>24</v>
      </c>
      <c r="E243" t="s">
        <v>29</v>
      </c>
      <c r="F243" s="2" t="s">
        <v>30</v>
      </c>
      <c r="G243">
        <v>68</v>
      </c>
      <c r="H243">
        <v>136</v>
      </c>
      <c r="I243">
        <v>816</v>
      </c>
      <c r="J243" s="1">
        <v>0.16669999999999999</v>
      </c>
    </row>
    <row r="244" spans="1:10" x14ac:dyDescent="0.45">
      <c r="A244" s="3">
        <v>46081</v>
      </c>
      <c r="B244" s="2">
        <v>2026</v>
      </c>
      <c r="C244" s="2" t="s">
        <v>18</v>
      </c>
      <c r="D244" s="2" t="s">
        <v>24</v>
      </c>
      <c r="E244" t="s">
        <v>31</v>
      </c>
      <c r="F244" s="2" t="s">
        <v>30</v>
      </c>
      <c r="G244">
        <v>729</v>
      </c>
      <c r="H244">
        <v>1463</v>
      </c>
      <c r="I244">
        <v>8772</v>
      </c>
      <c r="J244" s="1">
        <v>0.1668</v>
      </c>
    </row>
    <row r="245" spans="1:10" x14ac:dyDescent="0.45">
      <c r="A245" s="3">
        <v>46081</v>
      </c>
      <c r="B245" s="2">
        <v>2026</v>
      </c>
      <c r="C245" s="2" t="s">
        <v>18</v>
      </c>
      <c r="D245" s="2" t="s">
        <v>24</v>
      </c>
      <c r="E245" t="s">
        <v>32</v>
      </c>
      <c r="F245" s="2" t="s">
        <v>30</v>
      </c>
      <c r="G245">
        <v>854</v>
      </c>
      <c r="H245">
        <v>1842</v>
      </c>
      <c r="I245">
        <v>11040</v>
      </c>
      <c r="J245" s="1">
        <v>0.1668</v>
      </c>
    </row>
    <row r="246" spans="1:10" x14ac:dyDescent="0.45">
      <c r="A246" s="3">
        <v>46081</v>
      </c>
      <c r="B246" s="2">
        <v>2026</v>
      </c>
      <c r="C246" s="2" t="s">
        <v>18</v>
      </c>
      <c r="D246" s="2" t="s">
        <v>24</v>
      </c>
      <c r="E246" t="s">
        <v>33</v>
      </c>
      <c r="F246" s="2" t="s">
        <v>30</v>
      </c>
      <c r="G246">
        <v>121</v>
      </c>
      <c r="H246">
        <v>243</v>
      </c>
      <c r="I246">
        <v>1452</v>
      </c>
      <c r="J246" s="1">
        <v>0.16739999999999999</v>
      </c>
    </row>
    <row r="247" spans="1:10" x14ac:dyDescent="0.45">
      <c r="A247" s="3">
        <v>46081</v>
      </c>
      <c r="B247" s="2">
        <v>2026</v>
      </c>
      <c r="C247" s="2" t="s">
        <v>18</v>
      </c>
      <c r="D247" s="2" t="s">
        <v>24</v>
      </c>
      <c r="E247" t="s">
        <v>34</v>
      </c>
      <c r="F247" s="2" t="s">
        <v>28</v>
      </c>
      <c r="G247">
        <v>27</v>
      </c>
      <c r="H247">
        <v>113</v>
      </c>
      <c r="I247">
        <v>648</v>
      </c>
      <c r="J247" s="1">
        <v>0.1744</v>
      </c>
    </row>
    <row r="248" spans="1:10" x14ac:dyDescent="0.45">
      <c r="A248" s="3">
        <v>46081</v>
      </c>
      <c r="B248" s="2">
        <v>2026</v>
      </c>
      <c r="C248" s="2" t="s">
        <v>18</v>
      </c>
      <c r="D248" s="2" t="s">
        <v>24</v>
      </c>
      <c r="E248" t="s">
        <v>53</v>
      </c>
      <c r="F248" s="2" t="s">
        <v>46</v>
      </c>
      <c r="J248" s="1"/>
    </row>
    <row r="249" spans="1:10" x14ac:dyDescent="0.45">
      <c r="A249" s="3">
        <v>46081</v>
      </c>
      <c r="B249" s="2">
        <v>2026</v>
      </c>
      <c r="C249" s="2" t="s">
        <v>18</v>
      </c>
      <c r="D249" s="2" t="s">
        <v>24</v>
      </c>
      <c r="E249" t="s">
        <v>36</v>
      </c>
      <c r="F249" s="2" t="s">
        <v>30</v>
      </c>
      <c r="G249">
        <v>2</v>
      </c>
      <c r="H249">
        <v>4</v>
      </c>
      <c r="I249">
        <v>24</v>
      </c>
      <c r="J249" s="1">
        <v>0.16669999999999999</v>
      </c>
    </row>
    <row r="250" spans="1:10" x14ac:dyDescent="0.45">
      <c r="A250" s="3">
        <v>46081</v>
      </c>
      <c r="B250" s="2">
        <v>2026</v>
      </c>
      <c r="C250" s="2" t="s">
        <v>18</v>
      </c>
      <c r="D250" s="2" t="s">
        <v>24</v>
      </c>
      <c r="E250" t="s">
        <v>37</v>
      </c>
      <c r="F250" s="2" t="s">
        <v>30</v>
      </c>
      <c r="G250">
        <v>30</v>
      </c>
      <c r="H250">
        <v>60</v>
      </c>
      <c r="I250">
        <v>360</v>
      </c>
      <c r="J250" s="1">
        <v>0.16669999999999999</v>
      </c>
    </row>
    <row r="251" spans="1:10" x14ac:dyDescent="0.45">
      <c r="A251" s="3">
        <v>46081</v>
      </c>
      <c r="B251" s="2">
        <v>2026</v>
      </c>
      <c r="C251" s="2" t="s">
        <v>18</v>
      </c>
      <c r="D251" s="2" t="s">
        <v>24</v>
      </c>
      <c r="E251" t="s">
        <v>38</v>
      </c>
      <c r="F251" s="2" t="s">
        <v>30</v>
      </c>
      <c r="G251">
        <v>51</v>
      </c>
      <c r="H251">
        <v>107</v>
      </c>
      <c r="I251">
        <v>624</v>
      </c>
      <c r="J251" s="1">
        <v>0.17150000000000001</v>
      </c>
    </row>
    <row r="252" spans="1:10" x14ac:dyDescent="0.45">
      <c r="A252" s="3">
        <v>46081</v>
      </c>
      <c r="B252" s="2">
        <v>2026</v>
      </c>
      <c r="C252" s="2" t="s">
        <v>18</v>
      </c>
      <c r="D252" s="2" t="s">
        <v>24</v>
      </c>
      <c r="E252" t="s">
        <v>39</v>
      </c>
      <c r="F252" s="2" t="s">
        <v>30</v>
      </c>
      <c r="G252">
        <v>337</v>
      </c>
      <c r="H252">
        <v>677</v>
      </c>
      <c r="I252">
        <v>4044</v>
      </c>
      <c r="J252" s="1">
        <v>0.16739999999999999</v>
      </c>
    </row>
    <row r="253" spans="1:10" x14ac:dyDescent="0.45">
      <c r="A253" s="3">
        <v>46081</v>
      </c>
      <c r="B253" s="2">
        <v>2026</v>
      </c>
      <c r="C253" s="2" t="s">
        <v>18</v>
      </c>
      <c r="D253" s="2" t="s">
        <v>25</v>
      </c>
      <c r="E253" t="s">
        <v>40</v>
      </c>
      <c r="F253" s="2" t="s">
        <v>41</v>
      </c>
      <c r="G253">
        <v>50</v>
      </c>
      <c r="H253">
        <v>3516</v>
      </c>
      <c r="I253">
        <v>18972</v>
      </c>
      <c r="J253" s="1">
        <v>0.18529999999999999</v>
      </c>
    </row>
    <row r="254" spans="1:10" x14ac:dyDescent="0.45">
      <c r="A254" s="3">
        <v>46081</v>
      </c>
      <c r="B254" s="2">
        <v>2026</v>
      </c>
      <c r="C254" s="2" t="s">
        <v>18</v>
      </c>
      <c r="D254" s="2" t="s">
        <v>25</v>
      </c>
      <c r="E254" t="s">
        <v>40</v>
      </c>
      <c r="F254" s="2" t="s">
        <v>42</v>
      </c>
      <c r="G254">
        <v>58</v>
      </c>
      <c r="H254">
        <v>41</v>
      </c>
      <c r="I254">
        <v>232</v>
      </c>
      <c r="J254" s="1">
        <v>0.1767</v>
      </c>
    </row>
    <row r="255" spans="1:10" x14ac:dyDescent="0.45">
      <c r="A255" s="3">
        <v>46081</v>
      </c>
      <c r="B255" s="2">
        <v>2026</v>
      </c>
      <c r="C255" s="2" t="s">
        <v>18</v>
      </c>
      <c r="D255" s="2" t="s">
        <v>25</v>
      </c>
      <c r="E255" t="s">
        <v>40</v>
      </c>
      <c r="F255" s="2" t="s">
        <v>43</v>
      </c>
      <c r="G255">
        <v>58</v>
      </c>
      <c r="H255">
        <v>0</v>
      </c>
      <c r="I255">
        <v>58</v>
      </c>
      <c r="J255" s="1">
        <v>0</v>
      </c>
    </row>
    <row r="256" spans="1:10" x14ac:dyDescent="0.45">
      <c r="A256" s="3">
        <v>46081</v>
      </c>
      <c r="B256" s="2">
        <v>2026</v>
      </c>
      <c r="C256" s="2" t="s">
        <v>18</v>
      </c>
      <c r="D256" s="2" t="s">
        <v>25</v>
      </c>
      <c r="E256" t="s">
        <v>44</v>
      </c>
      <c r="F256" s="2" t="s">
        <v>42</v>
      </c>
      <c r="G256">
        <v>56</v>
      </c>
      <c r="H256">
        <v>26</v>
      </c>
      <c r="I256">
        <v>228</v>
      </c>
      <c r="J256" s="1">
        <v>0.114</v>
      </c>
    </row>
    <row r="257" spans="1:10" x14ac:dyDescent="0.45">
      <c r="A257" s="3">
        <v>46081</v>
      </c>
      <c r="B257" s="2">
        <v>2026</v>
      </c>
      <c r="C257" s="2" t="s">
        <v>18</v>
      </c>
      <c r="D257" s="2" t="s">
        <v>25</v>
      </c>
      <c r="E257" t="s">
        <v>45</v>
      </c>
      <c r="F257" s="2" t="s">
        <v>46</v>
      </c>
      <c r="G257">
        <v>3</v>
      </c>
      <c r="H257">
        <v>0</v>
      </c>
      <c r="I257">
        <v>6</v>
      </c>
      <c r="J257" s="1">
        <v>0</v>
      </c>
    </row>
    <row r="258" spans="1:10" x14ac:dyDescent="0.45">
      <c r="A258" s="3">
        <v>46081</v>
      </c>
      <c r="B258" s="2">
        <v>2026</v>
      </c>
      <c r="C258" s="2" t="s">
        <v>18</v>
      </c>
      <c r="D258" s="2" t="s">
        <v>25</v>
      </c>
      <c r="E258" t="s">
        <v>48</v>
      </c>
      <c r="F258" s="2" t="s">
        <v>30</v>
      </c>
      <c r="G258">
        <v>4610</v>
      </c>
      <c r="H258">
        <v>9590</v>
      </c>
      <c r="I258">
        <v>55320</v>
      </c>
      <c r="J258" s="1">
        <v>0.1734</v>
      </c>
    </row>
    <row r="259" spans="1:10" x14ac:dyDescent="0.45">
      <c r="A259" s="3">
        <v>46081</v>
      </c>
      <c r="B259" s="2">
        <v>2026</v>
      </c>
      <c r="C259" s="2" t="s">
        <v>18</v>
      </c>
      <c r="D259" s="2" t="s">
        <v>25</v>
      </c>
      <c r="E259" t="s">
        <v>53</v>
      </c>
      <c r="F259" s="2" t="s">
        <v>30</v>
      </c>
      <c r="G259">
        <v>44</v>
      </c>
      <c r="H259">
        <v>78</v>
      </c>
      <c r="I259">
        <v>468</v>
      </c>
      <c r="J259" s="1">
        <v>0.16669999999999999</v>
      </c>
    </row>
    <row r="260" spans="1:10" x14ac:dyDescent="0.45">
      <c r="A260" s="3">
        <v>46081</v>
      </c>
      <c r="B260" s="2">
        <v>2026</v>
      </c>
      <c r="C260" s="2" t="s">
        <v>18</v>
      </c>
      <c r="D260" s="2" t="s">
        <v>25</v>
      </c>
      <c r="E260" t="s">
        <v>53</v>
      </c>
      <c r="F260" s="2" t="s">
        <v>46</v>
      </c>
      <c r="G260">
        <v>44</v>
      </c>
      <c r="H260">
        <v>8</v>
      </c>
      <c r="I260">
        <v>78</v>
      </c>
      <c r="J260" s="1">
        <v>0.1026</v>
      </c>
    </row>
    <row r="261" spans="1:10" x14ac:dyDescent="0.45">
      <c r="A261" s="3">
        <v>46081</v>
      </c>
      <c r="B261" s="2">
        <v>2026</v>
      </c>
      <c r="C261" s="2" t="s">
        <v>18</v>
      </c>
      <c r="D261" s="2" t="s">
        <v>25</v>
      </c>
      <c r="E261" t="s">
        <v>49</v>
      </c>
      <c r="F261" s="2" t="s">
        <v>30</v>
      </c>
      <c r="G261">
        <v>90</v>
      </c>
      <c r="H261">
        <v>180</v>
      </c>
      <c r="I261">
        <v>1080</v>
      </c>
      <c r="J261" s="1">
        <v>0.16669999999999999</v>
      </c>
    </row>
    <row r="262" spans="1:10" x14ac:dyDescent="0.45">
      <c r="A262" s="3">
        <v>46081</v>
      </c>
      <c r="B262" s="2">
        <v>2026</v>
      </c>
      <c r="C262" s="2" t="s">
        <v>18</v>
      </c>
      <c r="D262" s="2" t="s">
        <v>25</v>
      </c>
      <c r="E262" t="s">
        <v>50</v>
      </c>
      <c r="F262" s="2" t="s">
        <v>30</v>
      </c>
      <c r="G262">
        <v>27</v>
      </c>
      <c r="H262">
        <v>32</v>
      </c>
      <c r="I262">
        <v>192</v>
      </c>
      <c r="J262" s="1">
        <v>0.16669999999999999</v>
      </c>
    </row>
    <row r="263" spans="1:10" x14ac:dyDescent="0.45">
      <c r="A263" s="3">
        <v>46081</v>
      </c>
      <c r="B263" s="2">
        <v>2026</v>
      </c>
      <c r="C263" s="2" t="s">
        <v>18</v>
      </c>
      <c r="D263" s="2" t="s">
        <v>25</v>
      </c>
      <c r="E263" t="s">
        <v>51</v>
      </c>
      <c r="F263" s="2" t="s">
        <v>30</v>
      </c>
      <c r="G263">
        <v>121</v>
      </c>
      <c r="H263">
        <v>239</v>
      </c>
      <c r="I263">
        <v>1428</v>
      </c>
      <c r="J263" s="1">
        <v>0.16739999999999999</v>
      </c>
    </row>
    <row r="264" spans="1:10" x14ac:dyDescent="0.45">
      <c r="A264" s="3">
        <v>46081</v>
      </c>
      <c r="B264" s="2">
        <v>2026</v>
      </c>
      <c r="C264" s="2" t="s">
        <v>18</v>
      </c>
      <c r="D264" s="2" t="s">
        <v>25</v>
      </c>
      <c r="E264" t="s">
        <v>47</v>
      </c>
      <c r="F264" s="2" t="s">
        <v>46</v>
      </c>
      <c r="G264">
        <v>12</v>
      </c>
      <c r="H264">
        <v>3</v>
      </c>
      <c r="I264">
        <v>24</v>
      </c>
      <c r="J264" s="1">
        <v>0.125</v>
      </c>
    </row>
    <row r="265" spans="1:10" x14ac:dyDescent="0.45">
      <c r="A265" s="3">
        <v>46081</v>
      </c>
      <c r="B265" s="2">
        <v>2026</v>
      </c>
      <c r="C265" s="2" t="s">
        <v>19</v>
      </c>
      <c r="D265" s="2" t="s">
        <v>24</v>
      </c>
      <c r="E265" t="s">
        <v>27</v>
      </c>
      <c r="F265" s="2" t="s">
        <v>28</v>
      </c>
      <c r="G265">
        <v>351</v>
      </c>
      <c r="H265">
        <v>712</v>
      </c>
      <c r="I265">
        <v>4291</v>
      </c>
      <c r="J265" s="1">
        <v>0.16589999999999999</v>
      </c>
    </row>
    <row r="266" spans="1:10" x14ac:dyDescent="0.45">
      <c r="A266" s="3">
        <v>46081</v>
      </c>
      <c r="B266" s="2">
        <v>2026</v>
      </c>
      <c r="C266" s="2" t="s">
        <v>19</v>
      </c>
      <c r="D266" s="2" t="s">
        <v>24</v>
      </c>
      <c r="E266" t="s">
        <v>29</v>
      </c>
      <c r="F266" s="2" t="s">
        <v>30</v>
      </c>
      <c r="G266">
        <v>70</v>
      </c>
      <c r="H266">
        <v>35</v>
      </c>
      <c r="I266">
        <v>420</v>
      </c>
      <c r="J266" s="1">
        <v>8.3299999999999999E-2</v>
      </c>
    </row>
    <row r="267" spans="1:10" x14ac:dyDescent="0.45">
      <c r="A267" s="3">
        <v>46081</v>
      </c>
      <c r="B267" s="2">
        <v>2026</v>
      </c>
      <c r="C267" s="2" t="s">
        <v>19</v>
      </c>
      <c r="D267" s="2" t="s">
        <v>24</v>
      </c>
      <c r="E267" t="s">
        <v>31</v>
      </c>
      <c r="F267" s="2" t="s">
        <v>30</v>
      </c>
      <c r="G267">
        <v>232</v>
      </c>
      <c r="H267">
        <v>464</v>
      </c>
      <c r="I267">
        <v>2784</v>
      </c>
      <c r="J267" s="1">
        <v>0.16669999999999999</v>
      </c>
    </row>
    <row r="268" spans="1:10" x14ac:dyDescent="0.45">
      <c r="A268" s="3">
        <v>46081</v>
      </c>
      <c r="B268" s="2">
        <v>2026</v>
      </c>
      <c r="C268" s="2" t="s">
        <v>19</v>
      </c>
      <c r="D268" s="2" t="s">
        <v>24</v>
      </c>
      <c r="E268" t="s">
        <v>32</v>
      </c>
      <c r="F268" s="2" t="s">
        <v>30</v>
      </c>
      <c r="G268">
        <v>66</v>
      </c>
      <c r="H268">
        <v>132</v>
      </c>
      <c r="I268">
        <v>792</v>
      </c>
      <c r="J268" s="1">
        <v>0.16669999999999999</v>
      </c>
    </row>
    <row r="269" spans="1:10" x14ac:dyDescent="0.45">
      <c r="A269" s="3">
        <v>46081</v>
      </c>
      <c r="B269" s="2">
        <v>2026</v>
      </c>
      <c r="C269" s="2" t="s">
        <v>19</v>
      </c>
      <c r="D269" s="2" t="s">
        <v>24</v>
      </c>
      <c r="E269" t="s">
        <v>33</v>
      </c>
      <c r="F269" s="2" t="s">
        <v>30</v>
      </c>
      <c r="G269">
        <v>84</v>
      </c>
      <c r="H269">
        <v>168</v>
      </c>
      <c r="I269">
        <v>1008</v>
      </c>
      <c r="J269" s="1">
        <v>0.16669999999999999</v>
      </c>
    </row>
    <row r="270" spans="1:10" x14ac:dyDescent="0.45">
      <c r="A270" s="3">
        <v>46081</v>
      </c>
      <c r="B270" s="2">
        <v>2026</v>
      </c>
      <c r="C270" s="2" t="s">
        <v>19</v>
      </c>
      <c r="D270" s="2" t="s">
        <v>24</v>
      </c>
      <c r="E270" t="s">
        <v>34</v>
      </c>
      <c r="F270" s="2" t="s">
        <v>28</v>
      </c>
      <c r="J270" s="1"/>
    </row>
    <row r="271" spans="1:10" x14ac:dyDescent="0.45">
      <c r="A271" s="3">
        <v>46081</v>
      </c>
      <c r="B271" s="2">
        <v>2026</v>
      </c>
      <c r="C271" s="2" t="s">
        <v>19</v>
      </c>
      <c r="D271" s="2" t="s">
        <v>24</v>
      </c>
      <c r="E271" t="s">
        <v>88</v>
      </c>
      <c r="F271" s="2" t="s">
        <v>30</v>
      </c>
      <c r="G271">
        <v>33</v>
      </c>
      <c r="H271">
        <v>64</v>
      </c>
      <c r="I271">
        <v>384</v>
      </c>
      <c r="J271" s="1">
        <v>0.16669999999999999</v>
      </c>
    </row>
    <row r="272" spans="1:10" x14ac:dyDescent="0.45">
      <c r="A272" s="3">
        <v>46081</v>
      </c>
      <c r="B272" s="2">
        <v>2026</v>
      </c>
      <c r="C272" s="2" t="s">
        <v>19</v>
      </c>
      <c r="D272" s="2" t="s">
        <v>24</v>
      </c>
      <c r="E272" t="s">
        <v>89</v>
      </c>
      <c r="F272" s="2" t="s">
        <v>30</v>
      </c>
      <c r="G272">
        <v>3</v>
      </c>
      <c r="H272">
        <v>6</v>
      </c>
      <c r="I272">
        <v>36</v>
      </c>
      <c r="J272" s="1">
        <v>0.16669999999999999</v>
      </c>
    </row>
    <row r="273" spans="1:10" x14ac:dyDescent="0.45">
      <c r="A273" s="3">
        <v>46081</v>
      </c>
      <c r="B273" s="2">
        <v>2026</v>
      </c>
      <c r="C273" s="2" t="s">
        <v>19</v>
      </c>
      <c r="D273" s="2" t="s">
        <v>24</v>
      </c>
      <c r="E273" t="s">
        <v>36</v>
      </c>
      <c r="F273" s="2" t="s">
        <v>30</v>
      </c>
      <c r="J273" s="1"/>
    </row>
    <row r="274" spans="1:10" x14ac:dyDescent="0.45">
      <c r="A274" s="3">
        <v>46081</v>
      </c>
      <c r="B274" s="2">
        <v>2026</v>
      </c>
      <c r="C274" s="2" t="s">
        <v>19</v>
      </c>
      <c r="D274" s="2" t="s">
        <v>24</v>
      </c>
      <c r="E274" t="s">
        <v>37</v>
      </c>
      <c r="F274" s="2" t="s">
        <v>30</v>
      </c>
      <c r="J274" s="1"/>
    </row>
    <row r="275" spans="1:10" x14ac:dyDescent="0.45">
      <c r="A275" s="3">
        <v>46081</v>
      </c>
      <c r="B275" s="2">
        <v>2026</v>
      </c>
      <c r="C275" s="2" t="s">
        <v>19</v>
      </c>
      <c r="D275" s="2" t="s">
        <v>24</v>
      </c>
      <c r="E275" t="s">
        <v>38</v>
      </c>
      <c r="F275" s="2" t="s">
        <v>30</v>
      </c>
      <c r="G275">
        <v>51</v>
      </c>
      <c r="H275">
        <v>46</v>
      </c>
      <c r="I275">
        <v>276</v>
      </c>
      <c r="J275" s="1">
        <v>0.16669999999999999</v>
      </c>
    </row>
    <row r="276" spans="1:10" x14ac:dyDescent="0.45">
      <c r="A276" s="3">
        <v>46081</v>
      </c>
      <c r="B276" s="2">
        <v>2026</v>
      </c>
      <c r="C276" s="2" t="s">
        <v>19</v>
      </c>
      <c r="D276" s="2" t="s">
        <v>24</v>
      </c>
      <c r="E276" t="s">
        <v>39</v>
      </c>
      <c r="F276" s="2" t="s">
        <v>30</v>
      </c>
      <c r="G276">
        <v>445</v>
      </c>
      <c r="H276">
        <v>890</v>
      </c>
      <c r="I276">
        <v>5340</v>
      </c>
      <c r="J276" s="1">
        <v>0.16669999999999999</v>
      </c>
    </row>
    <row r="277" spans="1:10" x14ac:dyDescent="0.45">
      <c r="A277" s="3">
        <v>46081</v>
      </c>
      <c r="B277" s="2">
        <v>2026</v>
      </c>
      <c r="C277" s="2" t="s">
        <v>19</v>
      </c>
      <c r="D277" s="2" t="s">
        <v>25</v>
      </c>
      <c r="E277" t="s">
        <v>40</v>
      </c>
      <c r="F277" s="2" t="s">
        <v>41</v>
      </c>
      <c r="G277">
        <v>17</v>
      </c>
      <c r="H277">
        <v>860</v>
      </c>
      <c r="I277">
        <v>5110</v>
      </c>
      <c r="J277" s="1">
        <v>0.16830000000000001</v>
      </c>
    </row>
    <row r="278" spans="1:10" x14ac:dyDescent="0.45">
      <c r="A278" s="3">
        <v>46081</v>
      </c>
      <c r="B278" s="2">
        <v>2026</v>
      </c>
      <c r="C278" s="2" t="s">
        <v>19</v>
      </c>
      <c r="D278" s="2" t="s">
        <v>25</v>
      </c>
      <c r="E278" t="s">
        <v>40</v>
      </c>
      <c r="F278" s="2" t="s">
        <v>42</v>
      </c>
      <c r="G278">
        <v>11</v>
      </c>
      <c r="H278">
        <v>10</v>
      </c>
      <c r="I278">
        <v>44</v>
      </c>
      <c r="J278" s="1">
        <v>0.2273</v>
      </c>
    </row>
    <row r="279" spans="1:10" x14ac:dyDescent="0.45">
      <c r="A279" s="3">
        <v>46081</v>
      </c>
      <c r="B279" s="2">
        <v>2026</v>
      </c>
      <c r="C279" s="2" t="s">
        <v>19</v>
      </c>
      <c r="D279" s="2" t="s">
        <v>25</v>
      </c>
      <c r="E279" t="s">
        <v>40</v>
      </c>
      <c r="F279" s="2" t="s">
        <v>43</v>
      </c>
      <c r="G279">
        <v>11</v>
      </c>
      <c r="H279">
        <v>5</v>
      </c>
      <c r="I279">
        <v>11</v>
      </c>
      <c r="J279" s="1">
        <v>0.45450000000000002</v>
      </c>
    </row>
    <row r="280" spans="1:10" x14ac:dyDescent="0.45">
      <c r="A280" s="3">
        <v>46081</v>
      </c>
      <c r="B280" s="2">
        <v>2026</v>
      </c>
      <c r="C280" s="2" t="s">
        <v>19</v>
      </c>
      <c r="D280" s="2" t="s">
        <v>25</v>
      </c>
      <c r="E280" t="s">
        <v>44</v>
      </c>
      <c r="F280" s="2" t="s">
        <v>42</v>
      </c>
      <c r="G280">
        <v>34</v>
      </c>
      <c r="H280">
        <v>34</v>
      </c>
      <c r="I280">
        <v>136</v>
      </c>
      <c r="J280" s="1">
        <v>0.25</v>
      </c>
    </row>
    <row r="281" spans="1:10" x14ac:dyDescent="0.45">
      <c r="A281" s="3">
        <v>46081</v>
      </c>
      <c r="B281" s="2">
        <v>2026</v>
      </c>
      <c r="C281" s="2" t="s">
        <v>19</v>
      </c>
      <c r="D281" s="2" t="s">
        <v>25</v>
      </c>
      <c r="E281" t="s">
        <v>44</v>
      </c>
      <c r="F281" s="2" t="s">
        <v>43</v>
      </c>
      <c r="G281">
        <v>34</v>
      </c>
      <c r="H281">
        <v>2</v>
      </c>
      <c r="I281">
        <v>34</v>
      </c>
      <c r="J281" s="1">
        <v>5.8799999999999998E-2</v>
      </c>
    </row>
    <row r="282" spans="1:10" x14ac:dyDescent="0.45">
      <c r="A282" s="3">
        <v>46081</v>
      </c>
      <c r="B282" s="2">
        <v>2026</v>
      </c>
      <c r="C282" s="2" t="s">
        <v>19</v>
      </c>
      <c r="D282" s="2" t="s">
        <v>25</v>
      </c>
      <c r="E282" t="s">
        <v>47</v>
      </c>
      <c r="F282" s="2" t="s">
        <v>46</v>
      </c>
      <c r="G282">
        <v>6</v>
      </c>
      <c r="H282">
        <v>4</v>
      </c>
      <c r="I282">
        <v>12</v>
      </c>
      <c r="J282" s="1">
        <v>0.33329999999999999</v>
      </c>
    </row>
    <row r="283" spans="1:10" x14ac:dyDescent="0.45">
      <c r="A283" s="3">
        <v>46081</v>
      </c>
      <c r="B283" s="2">
        <v>2026</v>
      </c>
      <c r="C283" s="2" t="s">
        <v>19</v>
      </c>
      <c r="D283" s="2" t="s">
        <v>25</v>
      </c>
      <c r="E283" t="s">
        <v>45</v>
      </c>
      <c r="F283" s="2" t="s">
        <v>46</v>
      </c>
      <c r="G283">
        <v>2</v>
      </c>
      <c r="H283">
        <v>2</v>
      </c>
      <c r="I283">
        <v>4</v>
      </c>
      <c r="J283" s="1">
        <v>0.5</v>
      </c>
    </row>
    <row r="284" spans="1:10" x14ac:dyDescent="0.45">
      <c r="A284" s="3">
        <v>46081</v>
      </c>
      <c r="B284" s="2">
        <v>2026</v>
      </c>
      <c r="C284" s="2" t="s">
        <v>19</v>
      </c>
      <c r="D284" s="2" t="s">
        <v>25</v>
      </c>
      <c r="E284" t="s">
        <v>48</v>
      </c>
      <c r="F284" s="2" t="s">
        <v>30</v>
      </c>
      <c r="G284">
        <v>12</v>
      </c>
      <c r="H284">
        <v>504</v>
      </c>
      <c r="I284">
        <v>5904</v>
      </c>
      <c r="J284" s="1">
        <v>8.5400000000000004E-2</v>
      </c>
    </row>
    <row r="285" spans="1:10" x14ac:dyDescent="0.45">
      <c r="A285" s="3">
        <v>46081</v>
      </c>
      <c r="B285" s="2">
        <v>2026</v>
      </c>
      <c r="C285" s="2" t="s">
        <v>19</v>
      </c>
      <c r="D285" s="2" t="s">
        <v>25</v>
      </c>
      <c r="E285" t="s">
        <v>49</v>
      </c>
      <c r="F285" s="2" t="s">
        <v>30</v>
      </c>
      <c r="G285">
        <v>33</v>
      </c>
      <c r="H285">
        <v>66</v>
      </c>
      <c r="I285">
        <v>396</v>
      </c>
      <c r="J285" s="1">
        <v>0.16669999999999999</v>
      </c>
    </row>
    <row r="286" spans="1:10" x14ac:dyDescent="0.45">
      <c r="A286" s="3">
        <v>46081</v>
      </c>
      <c r="B286" s="2">
        <v>2026</v>
      </c>
      <c r="C286" s="2" t="s">
        <v>19</v>
      </c>
      <c r="D286" s="2" t="s">
        <v>25</v>
      </c>
      <c r="E286" t="s">
        <v>50</v>
      </c>
      <c r="F286" s="2" t="s">
        <v>30</v>
      </c>
      <c r="G286">
        <v>23</v>
      </c>
      <c r="H286">
        <v>46</v>
      </c>
      <c r="I286">
        <v>276</v>
      </c>
      <c r="J286" s="1">
        <v>0.16669999999999999</v>
      </c>
    </row>
    <row r="287" spans="1:10" x14ac:dyDescent="0.45">
      <c r="A287" s="3">
        <v>46081</v>
      </c>
      <c r="B287" s="2">
        <v>2026</v>
      </c>
      <c r="C287" s="2" t="s">
        <v>19</v>
      </c>
      <c r="D287" s="2" t="s">
        <v>25</v>
      </c>
      <c r="E287" t="s">
        <v>51</v>
      </c>
      <c r="F287" s="2" t="s">
        <v>30</v>
      </c>
      <c r="G287">
        <v>79</v>
      </c>
      <c r="H287">
        <v>158</v>
      </c>
      <c r="I287">
        <v>948</v>
      </c>
      <c r="J287" s="1">
        <v>0.16669999999999999</v>
      </c>
    </row>
    <row r="288" spans="1:10" x14ac:dyDescent="0.45">
      <c r="A288" s="3">
        <v>46081</v>
      </c>
      <c r="B288" s="2">
        <v>2026</v>
      </c>
      <c r="C288" s="2" t="s">
        <v>19</v>
      </c>
      <c r="D288" s="2" t="s">
        <v>24</v>
      </c>
      <c r="E288" t="s">
        <v>52</v>
      </c>
      <c r="F288" s="2" t="s">
        <v>30</v>
      </c>
      <c r="J288" s="1"/>
    </row>
    <row r="289" spans="1:10" x14ac:dyDescent="0.45">
      <c r="A289" s="3">
        <v>46081</v>
      </c>
      <c r="B289" s="2">
        <v>2026</v>
      </c>
      <c r="C289" s="2" t="s">
        <v>19</v>
      </c>
      <c r="D289" s="2" t="s">
        <v>25</v>
      </c>
      <c r="E289" t="s">
        <v>53</v>
      </c>
      <c r="F289" s="2" t="s">
        <v>30</v>
      </c>
      <c r="G289">
        <v>21</v>
      </c>
      <c r="H289">
        <v>44</v>
      </c>
      <c r="I289">
        <v>264</v>
      </c>
      <c r="J289" s="1">
        <v>0.16669999999999999</v>
      </c>
    </row>
    <row r="290" spans="1:10" x14ac:dyDescent="0.45">
      <c r="A290" s="3">
        <v>46081</v>
      </c>
      <c r="B290" s="2">
        <v>2026</v>
      </c>
      <c r="C290" s="2" t="s">
        <v>19</v>
      </c>
      <c r="D290" s="2" t="s">
        <v>25</v>
      </c>
      <c r="E290" t="s">
        <v>53</v>
      </c>
      <c r="F290" s="2" t="s">
        <v>46</v>
      </c>
      <c r="G290">
        <v>22</v>
      </c>
      <c r="H290">
        <v>12</v>
      </c>
      <c r="I290">
        <v>44</v>
      </c>
      <c r="J290" s="1">
        <v>0.2727</v>
      </c>
    </row>
    <row r="291" spans="1:10" x14ac:dyDescent="0.45">
      <c r="A291" s="3">
        <v>46081</v>
      </c>
      <c r="B291" s="2">
        <v>2026</v>
      </c>
      <c r="C291" s="2" t="s">
        <v>20</v>
      </c>
      <c r="D291" s="2" t="s">
        <v>24</v>
      </c>
      <c r="E291" t="s">
        <v>101</v>
      </c>
      <c r="F291" s="2" t="s">
        <v>28</v>
      </c>
      <c r="G291">
        <v>82</v>
      </c>
      <c r="H291">
        <v>328</v>
      </c>
      <c r="I291">
        <v>1968</v>
      </c>
      <c r="J291" s="1">
        <v>0.16669999999999999</v>
      </c>
    </row>
    <row r="292" spans="1:10" x14ac:dyDescent="0.45">
      <c r="A292" s="3">
        <v>46081</v>
      </c>
      <c r="B292" s="2">
        <v>2026</v>
      </c>
      <c r="C292" s="2" t="s">
        <v>20</v>
      </c>
      <c r="D292" s="2" t="s">
        <v>24</v>
      </c>
      <c r="E292" t="s">
        <v>102</v>
      </c>
      <c r="F292" s="2" t="s">
        <v>28</v>
      </c>
      <c r="G292">
        <v>173</v>
      </c>
      <c r="H292">
        <v>688</v>
      </c>
      <c r="I292">
        <v>4128</v>
      </c>
      <c r="J292" s="1">
        <v>0.16669999999999999</v>
      </c>
    </row>
    <row r="293" spans="1:10" x14ac:dyDescent="0.45">
      <c r="A293" s="3">
        <v>46081</v>
      </c>
      <c r="B293" s="2">
        <v>2026</v>
      </c>
      <c r="C293" s="2" t="s">
        <v>20</v>
      </c>
      <c r="D293" s="2" t="s">
        <v>24</v>
      </c>
      <c r="E293" t="s">
        <v>103</v>
      </c>
      <c r="F293" s="2" t="s">
        <v>30</v>
      </c>
      <c r="G293">
        <v>74</v>
      </c>
      <c r="H293">
        <v>148</v>
      </c>
      <c r="I293">
        <v>888</v>
      </c>
      <c r="J293" s="1">
        <v>0.16669999999999999</v>
      </c>
    </row>
    <row r="294" spans="1:10" x14ac:dyDescent="0.45">
      <c r="A294" s="3">
        <v>46081</v>
      </c>
      <c r="B294" s="2">
        <v>2026</v>
      </c>
      <c r="C294" s="2" t="s">
        <v>20</v>
      </c>
      <c r="D294" s="2" t="s">
        <v>24</v>
      </c>
      <c r="E294" t="s">
        <v>104</v>
      </c>
      <c r="F294" s="2" t="s">
        <v>30</v>
      </c>
      <c r="G294">
        <v>110</v>
      </c>
      <c r="H294">
        <v>215</v>
      </c>
      <c r="I294">
        <v>1320</v>
      </c>
      <c r="J294" s="1">
        <v>0.16289999999999999</v>
      </c>
    </row>
    <row r="295" spans="1:10" x14ac:dyDescent="0.45">
      <c r="A295" s="3">
        <v>46081</v>
      </c>
      <c r="B295" s="2">
        <v>2026</v>
      </c>
      <c r="C295" s="2" t="s">
        <v>20</v>
      </c>
      <c r="D295" s="2" t="s">
        <v>24</v>
      </c>
      <c r="E295" t="s">
        <v>105</v>
      </c>
      <c r="F295" s="2" t="s">
        <v>30</v>
      </c>
      <c r="G295">
        <v>160</v>
      </c>
      <c r="H295">
        <v>319</v>
      </c>
      <c r="I295">
        <v>1920</v>
      </c>
      <c r="J295" s="1">
        <v>0.1661</v>
      </c>
    </row>
    <row r="296" spans="1:10" x14ac:dyDescent="0.45">
      <c r="A296" s="3">
        <v>46081</v>
      </c>
      <c r="B296" s="2">
        <v>2026</v>
      </c>
      <c r="C296" s="2" t="s">
        <v>20</v>
      </c>
      <c r="D296" s="2" t="s">
        <v>24</v>
      </c>
      <c r="E296" t="s">
        <v>106</v>
      </c>
      <c r="F296" s="2" t="s">
        <v>30</v>
      </c>
      <c r="G296">
        <v>311</v>
      </c>
      <c r="H296">
        <v>615</v>
      </c>
      <c r="I296">
        <v>3732</v>
      </c>
      <c r="J296" s="1">
        <v>0.1648</v>
      </c>
    </row>
    <row r="297" spans="1:10" x14ac:dyDescent="0.45">
      <c r="A297" s="3">
        <v>46081</v>
      </c>
      <c r="B297" s="2">
        <v>2026</v>
      </c>
      <c r="C297" s="2" t="s">
        <v>20</v>
      </c>
      <c r="D297" s="2" t="s">
        <v>24</v>
      </c>
      <c r="E297" t="s">
        <v>107</v>
      </c>
      <c r="F297" s="2" t="s">
        <v>30</v>
      </c>
      <c r="G297">
        <v>286</v>
      </c>
      <c r="H297">
        <v>572</v>
      </c>
      <c r="I297">
        <v>3432</v>
      </c>
      <c r="J297" s="1">
        <v>0.16669999999999999</v>
      </c>
    </row>
    <row r="298" spans="1:10" x14ac:dyDescent="0.45">
      <c r="A298" s="3">
        <v>46081</v>
      </c>
      <c r="B298" s="2">
        <v>2026</v>
      </c>
      <c r="C298" s="2" t="s">
        <v>20</v>
      </c>
      <c r="D298" s="2" t="s">
        <v>24</v>
      </c>
      <c r="E298" t="s">
        <v>108</v>
      </c>
      <c r="F298" s="2" t="s">
        <v>30</v>
      </c>
      <c r="G298">
        <v>12</v>
      </c>
      <c r="H298">
        <v>24</v>
      </c>
      <c r="I298">
        <v>144</v>
      </c>
      <c r="J298" s="1">
        <v>0.16669999999999999</v>
      </c>
    </row>
    <row r="299" spans="1:10" x14ac:dyDescent="0.45">
      <c r="A299" s="3">
        <v>46081</v>
      </c>
      <c r="B299" s="2">
        <v>2026</v>
      </c>
      <c r="C299" s="2" t="s">
        <v>20</v>
      </c>
      <c r="D299" s="2" t="s">
        <v>24</v>
      </c>
      <c r="E299" t="s">
        <v>109</v>
      </c>
      <c r="F299" s="2" t="s">
        <v>30</v>
      </c>
      <c r="G299">
        <v>85</v>
      </c>
      <c r="H299">
        <v>171</v>
      </c>
      <c r="I299">
        <v>1020</v>
      </c>
      <c r="J299" s="1">
        <v>0.1676</v>
      </c>
    </row>
    <row r="300" spans="1:10" x14ac:dyDescent="0.45">
      <c r="A300" s="3">
        <v>46081</v>
      </c>
      <c r="B300" s="2">
        <v>2026</v>
      </c>
      <c r="C300" s="2" t="s">
        <v>20</v>
      </c>
      <c r="D300" s="2" t="s">
        <v>24</v>
      </c>
      <c r="E300" t="s">
        <v>110</v>
      </c>
      <c r="F300" s="2" t="s">
        <v>30</v>
      </c>
      <c r="G300">
        <v>44</v>
      </c>
      <c r="H300">
        <v>88</v>
      </c>
      <c r="I300">
        <v>528</v>
      </c>
      <c r="J300" s="1">
        <v>0.16669999999999999</v>
      </c>
    </row>
    <row r="301" spans="1:10" x14ac:dyDescent="0.45">
      <c r="A301" s="3">
        <v>46081</v>
      </c>
      <c r="B301" s="2">
        <v>2026</v>
      </c>
      <c r="C301" s="2" t="s">
        <v>20</v>
      </c>
      <c r="D301" s="2" t="s">
        <v>24</v>
      </c>
      <c r="E301" t="s">
        <v>111</v>
      </c>
      <c r="F301" s="2" t="s">
        <v>30</v>
      </c>
      <c r="G301">
        <v>47</v>
      </c>
      <c r="H301">
        <v>94</v>
      </c>
      <c r="I301">
        <v>564</v>
      </c>
      <c r="J301" s="1">
        <v>0.16669999999999999</v>
      </c>
    </row>
    <row r="302" spans="1:10" x14ac:dyDescent="0.45">
      <c r="A302" s="3">
        <v>46081</v>
      </c>
      <c r="B302" s="2">
        <v>2026</v>
      </c>
      <c r="C302" s="2" t="s">
        <v>20</v>
      </c>
      <c r="D302" s="2" t="s">
        <v>24</v>
      </c>
      <c r="E302" t="s">
        <v>33</v>
      </c>
      <c r="F302" s="2" t="s">
        <v>30</v>
      </c>
      <c r="G302">
        <v>91</v>
      </c>
      <c r="H302">
        <v>182</v>
      </c>
      <c r="I302">
        <v>1092</v>
      </c>
      <c r="J302" s="1">
        <v>0.16669999999999999</v>
      </c>
    </row>
    <row r="303" spans="1:10" x14ac:dyDescent="0.45">
      <c r="A303" s="3">
        <v>46081</v>
      </c>
      <c r="B303" s="2">
        <v>2026</v>
      </c>
      <c r="C303" s="2" t="s">
        <v>20</v>
      </c>
      <c r="D303" s="2" t="s">
        <v>24</v>
      </c>
      <c r="E303" t="s">
        <v>34</v>
      </c>
      <c r="F303" s="2" t="s">
        <v>28</v>
      </c>
      <c r="G303">
        <v>13</v>
      </c>
      <c r="H303">
        <v>64</v>
      </c>
      <c r="I303">
        <v>384</v>
      </c>
      <c r="J303" s="1">
        <v>0.16669999999999999</v>
      </c>
    </row>
    <row r="304" spans="1:10" x14ac:dyDescent="0.45">
      <c r="A304" s="3">
        <v>46081</v>
      </c>
      <c r="B304" s="2">
        <v>2026</v>
      </c>
      <c r="C304" s="2" t="s">
        <v>20</v>
      </c>
      <c r="D304" s="2" t="s">
        <v>24</v>
      </c>
      <c r="E304" t="s">
        <v>35</v>
      </c>
      <c r="F304" s="2" t="s">
        <v>30</v>
      </c>
      <c r="J304" s="1"/>
    </row>
    <row r="305" spans="1:10" x14ac:dyDescent="0.45">
      <c r="A305" s="3">
        <v>46081</v>
      </c>
      <c r="B305" s="2">
        <v>2026</v>
      </c>
      <c r="C305" s="2" t="s">
        <v>20</v>
      </c>
      <c r="D305" s="2" t="s">
        <v>24</v>
      </c>
      <c r="E305" t="s">
        <v>36</v>
      </c>
      <c r="F305" s="2" t="s">
        <v>30</v>
      </c>
      <c r="J305" s="1"/>
    </row>
    <row r="306" spans="1:10" x14ac:dyDescent="0.45">
      <c r="A306" s="3">
        <v>46081</v>
      </c>
      <c r="B306" s="2">
        <v>2026</v>
      </c>
      <c r="C306" s="2" t="s">
        <v>20</v>
      </c>
      <c r="D306" s="2" t="s">
        <v>24</v>
      </c>
      <c r="E306" t="s">
        <v>37</v>
      </c>
      <c r="F306" s="2" t="s">
        <v>30</v>
      </c>
      <c r="G306">
        <v>17</v>
      </c>
      <c r="H306">
        <v>34</v>
      </c>
      <c r="I306">
        <v>204</v>
      </c>
      <c r="J306" s="1">
        <v>0.16669999999999999</v>
      </c>
    </row>
    <row r="307" spans="1:10" x14ac:dyDescent="0.45">
      <c r="A307" s="3">
        <v>46081</v>
      </c>
      <c r="B307" s="2">
        <v>2026</v>
      </c>
      <c r="C307" s="2" t="s">
        <v>20</v>
      </c>
      <c r="D307" s="2" t="s">
        <v>24</v>
      </c>
      <c r="E307" t="s">
        <v>38</v>
      </c>
      <c r="F307" s="2" t="s">
        <v>30</v>
      </c>
      <c r="G307">
        <v>48</v>
      </c>
      <c r="H307">
        <v>94</v>
      </c>
      <c r="I307">
        <v>564</v>
      </c>
      <c r="J307" s="1">
        <v>0.16669999999999999</v>
      </c>
    </row>
    <row r="308" spans="1:10" x14ac:dyDescent="0.45">
      <c r="A308" s="3">
        <v>46081</v>
      </c>
      <c r="B308" s="2">
        <v>2026</v>
      </c>
      <c r="C308" s="2" t="s">
        <v>20</v>
      </c>
      <c r="D308" s="2" t="s">
        <v>24</v>
      </c>
      <c r="E308" t="s">
        <v>39</v>
      </c>
      <c r="F308" s="2" t="s">
        <v>30</v>
      </c>
      <c r="G308">
        <v>227</v>
      </c>
      <c r="H308">
        <v>449</v>
      </c>
      <c r="I308">
        <v>2724</v>
      </c>
      <c r="J308" s="1">
        <v>0.1648</v>
      </c>
    </row>
    <row r="309" spans="1:10" x14ac:dyDescent="0.45">
      <c r="A309" s="3">
        <v>46081</v>
      </c>
      <c r="B309" s="2">
        <v>2026</v>
      </c>
      <c r="C309" s="2" t="s">
        <v>20</v>
      </c>
      <c r="D309" s="2" t="s">
        <v>25</v>
      </c>
      <c r="E309" t="s">
        <v>40</v>
      </c>
      <c r="F309" s="2" t="s">
        <v>41</v>
      </c>
      <c r="G309">
        <v>16</v>
      </c>
      <c r="H309">
        <v>945</v>
      </c>
      <c r="I309">
        <v>5842</v>
      </c>
      <c r="J309" s="1">
        <v>0.1618</v>
      </c>
    </row>
    <row r="310" spans="1:10" x14ac:dyDescent="0.45">
      <c r="A310" s="3">
        <v>46081</v>
      </c>
      <c r="B310" s="2">
        <v>2026</v>
      </c>
      <c r="C310" s="2" t="s">
        <v>20</v>
      </c>
      <c r="D310" s="2" t="s">
        <v>25</v>
      </c>
      <c r="E310" t="s">
        <v>40</v>
      </c>
      <c r="F310" s="2" t="s">
        <v>42</v>
      </c>
      <c r="G310">
        <v>39</v>
      </c>
      <c r="H310">
        <v>39</v>
      </c>
      <c r="I310">
        <v>156</v>
      </c>
      <c r="J310" s="1">
        <v>0.25</v>
      </c>
    </row>
    <row r="311" spans="1:10" x14ac:dyDescent="0.45">
      <c r="A311" s="3">
        <v>46081</v>
      </c>
      <c r="B311" s="2">
        <v>2026</v>
      </c>
      <c r="C311" s="2" t="s">
        <v>20</v>
      </c>
      <c r="D311" s="2" t="s">
        <v>25</v>
      </c>
      <c r="E311" t="s">
        <v>40</v>
      </c>
      <c r="F311" s="2" t="s">
        <v>43</v>
      </c>
      <c r="G311">
        <v>39</v>
      </c>
      <c r="H311">
        <v>10</v>
      </c>
      <c r="I311">
        <v>39</v>
      </c>
      <c r="J311" s="1">
        <v>0.25640000000000002</v>
      </c>
    </row>
    <row r="312" spans="1:10" x14ac:dyDescent="0.45">
      <c r="A312" s="3">
        <v>46081</v>
      </c>
      <c r="B312" s="2">
        <v>2026</v>
      </c>
      <c r="C312" s="2" t="s">
        <v>20</v>
      </c>
      <c r="D312" s="2" t="s">
        <v>25</v>
      </c>
      <c r="E312" t="s">
        <v>44</v>
      </c>
      <c r="F312" s="2" t="s">
        <v>42</v>
      </c>
      <c r="G312">
        <v>44</v>
      </c>
      <c r="H312">
        <v>39</v>
      </c>
      <c r="I312">
        <v>180</v>
      </c>
      <c r="J312" s="1">
        <v>0.2167</v>
      </c>
    </row>
    <row r="313" spans="1:10" x14ac:dyDescent="0.45">
      <c r="A313" s="3">
        <v>46081</v>
      </c>
      <c r="B313" s="2">
        <v>2026</v>
      </c>
      <c r="C313" s="2" t="s">
        <v>20</v>
      </c>
      <c r="D313" s="2" t="s">
        <v>25</v>
      </c>
      <c r="E313" t="s">
        <v>44</v>
      </c>
      <c r="F313" s="2" t="s">
        <v>43</v>
      </c>
      <c r="G313">
        <v>44</v>
      </c>
      <c r="H313">
        <v>10</v>
      </c>
      <c r="I313">
        <v>45</v>
      </c>
      <c r="J313" s="1">
        <v>0.22220000000000001</v>
      </c>
    </row>
    <row r="314" spans="1:10" x14ac:dyDescent="0.45">
      <c r="A314" s="3">
        <v>46081</v>
      </c>
      <c r="B314" s="2">
        <v>2026</v>
      </c>
      <c r="C314" s="2" t="s">
        <v>20</v>
      </c>
      <c r="D314" s="2" t="s">
        <v>25</v>
      </c>
      <c r="E314" t="s">
        <v>45</v>
      </c>
      <c r="F314" s="2" t="s">
        <v>46</v>
      </c>
      <c r="G314">
        <v>2</v>
      </c>
      <c r="H314">
        <v>2</v>
      </c>
      <c r="I314">
        <v>4</v>
      </c>
      <c r="J314" s="1">
        <v>0.5</v>
      </c>
    </row>
    <row r="315" spans="1:10" x14ac:dyDescent="0.45">
      <c r="A315" s="3">
        <v>46081</v>
      </c>
      <c r="B315" s="2">
        <v>2026</v>
      </c>
      <c r="C315" s="2" t="s">
        <v>20</v>
      </c>
      <c r="D315" s="2" t="s">
        <v>25</v>
      </c>
      <c r="E315" t="s">
        <v>47</v>
      </c>
      <c r="F315" s="2" t="s">
        <v>46</v>
      </c>
      <c r="G315">
        <v>9</v>
      </c>
      <c r="H315">
        <v>2</v>
      </c>
      <c r="I315">
        <v>18</v>
      </c>
      <c r="J315" s="1">
        <v>0.1111</v>
      </c>
    </row>
    <row r="316" spans="1:10" x14ac:dyDescent="0.45">
      <c r="A316" s="3">
        <v>46081</v>
      </c>
      <c r="B316" s="2">
        <v>2026</v>
      </c>
      <c r="C316" s="2" t="s">
        <v>20</v>
      </c>
      <c r="D316" s="2" t="s">
        <v>25</v>
      </c>
      <c r="E316" t="s">
        <v>48</v>
      </c>
      <c r="F316" s="2" t="s">
        <v>30</v>
      </c>
      <c r="G316">
        <v>87</v>
      </c>
      <c r="H316">
        <v>87</v>
      </c>
      <c r="I316">
        <v>1044</v>
      </c>
      <c r="J316" s="1">
        <v>8.3299999999999999E-2</v>
      </c>
    </row>
    <row r="317" spans="1:10" x14ac:dyDescent="0.45">
      <c r="A317" s="3">
        <v>46081</v>
      </c>
      <c r="B317" s="2">
        <v>2026</v>
      </c>
      <c r="C317" s="2" t="s">
        <v>20</v>
      </c>
      <c r="D317" s="2" t="s">
        <v>25</v>
      </c>
      <c r="E317" t="s">
        <v>49</v>
      </c>
      <c r="F317" s="2" t="s">
        <v>30</v>
      </c>
      <c r="G317">
        <v>228</v>
      </c>
      <c r="H317">
        <v>462</v>
      </c>
      <c r="I317">
        <v>2736</v>
      </c>
      <c r="J317" s="1">
        <v>0.16889999999999999</v>
      </c>
    </row>
    <row r="318" spans="1:10" x14ac:dyDescent="0.45">
      <c r="A318" s="3">
        <v>46081</v>
      </c>
      <c r="B318" s="2">
        <v>2026</v>
      </c>
      <c r="C318" s="2" t="s">
        <v>20</v>
      </c>
      <c r="D318" s="2" t="s">
        <v>25</v>
      </c>
      <c r="E318" t="s">
        <v>50</v>
      </c>
      <c r="F318" s="2" t="s">
        <v>30</v>
      </c>
      <c r="G318">
        <v>22</v>
      </c>
      <c r="H318">
        <v>46</v>
      </c>
      <c r="I318">
        <v>300</v>
      </c>
      <c r="J318" s="1">
        <v>0.15329999999999999</v>
      </c>
    </row>
    <row r="319" spans="1:10" x14ac:dyDescent="0.45">
      <c r="A319" s="3">
        <v>46081</v>
      </c>
      <c r="B319" s="2">
        <v>2026</v>
      </c>
      <c r="C319" s="2" t="s">
        <v>20</v>
      </c>
      <c r="D319" s="2" t="s">
        <v>25</v>
      </c>
      <c r="E319" t="s">
        <v>51</v>
      </c>
      <c r="F319" s="2" t="s">
        <v>30</v>
      </c>
      <c r="G319">
        <v>184</v>
      </c>
      <c r="H319">
        <v>365</v>
      </c>
      <c r="I319">
        <v>2196</v>
      </c>
      <c r="J319" s="1">
        <v>0.16619999999999999</v>
      </c>
    </row>
    <row r="320" spans="1:10" x14ac:dyDescent="0.45">
      <c r="A320" s="3">
        <v>46081</v>
      </c>
      <c r="B320" s="2">
        <v>2026</v>
      </c>
      <c r="C320" s="2" t="s">
        <v>20</v>
      </c>
      <c r="D320" s="2" t="s">
        <v>24</v>
      </c>
      <c r="E320" t="s">
        <v>52</v>
      </c>
      <c r="F320" s="2" t="s">
        <v>30</v>
      </c>
      <c r="G320">
        <v>3</v>
      </c>
      <c r="H320">
        <v>6</v>
      </c>
      <c r="I320">
        <v>36</v>
      </c>
      <c r="J320" s="1">
        <v>0.16669999999999999</v>
      </c>
    </row>
    <row r="321" spans="1:10" x14ac:dyDescent="0.45">
      <c r="A321" s="3">
        <v>46081</v>
      </c>
      <c r="B321" s="2">
        <v>2026</v>
      </c>
      <c r="C321" s="2" t="s">
        <v>20</v>
      </c>
      <c r="D321" s="2" t="s">
        <v>25</v>
      </c>
      <c r="E321" t="s">
        <v>53</v>
      </c>
      <c r="F321" s="2" t="s">
        <v>30</v>
      </c>
    </row>
    <row r="322" spans="1:10" x14ac:dyDescent="0.45">
      <c r="A322" s="3">
        <v>46081</v>
      </c>
      <c r="B322" s="2">
        <v>2026</v>
      </c>
      <c r="C322" s="2" t="s">
        <v>20</v>
      </c>
      <c r="D322" s="2" t="s">
        <v>25</v>
      </c>
      <c r="E322" t="s">
        <v>53</v>
      </c>
      <c r="F322" s="2" t="s">
        <v>46</v>
      </c>
      <c r="J322" s="1"/>
    </row>
    <row r="323" spans="1:10" x14ac:dyDescent="0.45">
      <c r="A323" s="3">
        <v>46081</v>
      </c>
      <c r="B323" s="2">
        <v>2026</v>
      </c>
      <c r="C323" s="2" t="s">
        <v>20</v>
      </c>
      <c r="D323" s="2" t="s">
        <v>24</v>
      </c>
      <c r="F323" s="2" t="s">
        <v>30</v>
      </c>
      <c r="J323" s="1"/>
    </row>
    <row r="324" spans="1:10" x14ac:dyDescent="0.45">
      <c r="A324" s="3">
        <v>46081</v>
      </c>
      <c r="B324" s="2">
        <v>2026</v>
      </c>
      <c r="C324" s="2" t="s">
        <v>21</v>
      </c>
      <c r="D324" s="2" t="s">
        <v>24</v>
      </c>
      <c r="E324" t="s">
        <v>27</v>
      </c>
      <c r="F324" s="2" t="s">
        <v>28</v>
      </c>
      <c r="G324">
        <v>96</v>
      </c>
      <c r="H324">
        <v>384</v>
      </c>
      <c r="I324">
        <v>2304</v>
      </c>
      <c r="J324" s="1">
        <v>0.16669999999999999</v>
      </c>
    </row>
    <row r="325" spans="1:10" x14ac:dyDescent="0.45">
      <c r="A325" s="3">
        <v>46081</v>
      </c>
      <c r="B325" s="2">
        <v>2026</v>
      </c>
      <c r="C325" s="2" t="s">
        <v>21</v>
      </c>
      <c r="D325" s="2" t="s">
        <v>24</v>
      </c>
      <c r="E325" t="s">
        <v>29</v>
      </c>
      <c r="F325" s="2" t="s">
        <v>30</v>
      </c>
      <c r="G325">
        <v>17</v>
      </c>
      <c r="H325">
        <v>34</v>
      </c>
      <c r="I325">
        <v>204</v>
      </c>
      <c r="J325" s="1">
        <v>0.16669999999999999</v>
      </c>
    </row>
    <row r="326" spans="1:10" x14ac:dyDescent="0.45">
      <c r="A326" s="3">
        <v>46081</v>
      </c>
      <c r="B326" s="2">
        <v>2026</v>
      </c>
      <c r="C326" s="2" t="s">
        <v>21</v>
      </c>
      <c r="D326" s="2" t="s">
        <v>24</v>
      </c>
      <c r="E326" t="s">
        <v>31</v>
      </c>
      <c r="F326" s="2" t="s">
        <v>30</v>
      </c>
      <c r="G326">
        <v>109</v>
      </c>
      <c r="H326">
        <v>218</v>
      </c>
      <c r="I326">
        <v>1308</v>
      </c>
      <c r="J326" s="1">
        <v>0.16669999999999999</v>
      </c>
    </row>
    <row r="327" spans="1:10" x14ac:dyDescent="0.45">
      <c r="A327" s="3">
        <v>46081</v>
      </c>
      <c r="B327" s="2">
        <v>2026</v>
      </c>
      <c r="C327" s="2" t="s">
        <v>21</v>
      </c>
      <c r="D327" s="2" t="s">
        <v>24</v>
      </c>
      <c r="E327" t="s">
        <v>32</v>
      </c>
      <c r="F327" s="2" t="s">
        <v>30</v>
      </c>
      <c r="G327">
        <v>8</v>
      </c>
      <c r="H327">
        <v>16</v>
      </c>
      <c r="I327">
        <v>96</v>
      </c>
      <c r="J327" s="1">
        <v>0.16669999999999999</v>
      </c>
    </row>
    <row r="328" spans="1:10" x14ac:dyDescent="0.45">
      <c r="A328" s="3">
        <v>46081</v>
      </c>
      <c r="B328" s="2">
        <v>2026</v>
      </c>
      <c r="C328" s="2" t="s">
        <v>21</v>
      </c>
      <c r="D328" s="2" t="s">
        <v>24</v>
      </c>
      <c r="E328" t="s">
        <v>33</v>
      </c>
      <c r="F328" s="2" t="s">
        <v>30</v>
      </c>
      <c r="G328">
        <v>34</v>
      </c>
      <c r="H328">
        <v>68</v>
      </c>
      <c r="I328">
        <v>408</v>
      </c>
      <c r="J328" s="1">
        <v>0.16669999999999999</v>
      </c>
    </row>
    <row r="329" spans="1:10" x14ac:dyDescent="0.45">
      <c r="A329" s="3">
        <v>46081</v>
      </c>
      <c r="B329" s="2">
        <v>2026</v>
      </c>
      <c r="C329" s="2" t="s">
        <v>21</v>
      </c>
      <c r="D329" s="2" t="s">
        <v>24</v>
      </c>
      <c r="E329" t="s">
        <v>34</v>
      </c>
      <c r="F329" s="2" t="s">
        <v>28</v>
      </c>
      <c r="G329">
        <v>5</v>
      </c>
      <c r="H329">
        <v>20</v>
      </c>
      <c r="I329">
        <v>120</v>
      </c>
      <c r="J329" s="1">
        <v>0.16669999999999999</v>
      </c>
    </row>
    <row r="330" spans="1:10" x14ac:dyDescent="0.45">
      <c r="A330" s="3">
        <v>46081</v>
      </c>
      <c r="B330" s="2">
        <v>2026</v>
      </c>
      <c r="C330" s="2" t="s">
        <v>21</v>
      </c>
      <c r="D330" s="2" t="s">
        <v>24</v>
      </c>
      <c r="E330" t="s">
        <v>35</v>
      </c>
      <c r="F330" s="2" t="s">
        <v>30</v>
      </c>
      <c r="G330">
        <v>17</v>
      </c>
      <c r="H330">
        <v>34</v>
      </c>
      <c r="I330">
        <v>204</v>
      </c>
      <c r="J330" s="1">
        <v>0.16669999999999999</v>
      </c>
    </row>
    <row r="331" spans="1:10" x14ac:dyDescent="0.45">
      <c r="A331" s="3">
        <v>46081</v>
      </c>
      <c r="B331" s="2">
        <v>2026</v>
      </c>
      <c r="C331" s="2" t="s">
        <v>21</v>
      </c>
      <c r="D331" s="2" t="s">
        <v>24</v>
      </c>
      <c r="E331" t="s">
        <v>38</v>
      </c>
      <c r="F331" s="2" t="s">
        <v>30</v>
      </c>
      <c r="G331">
        <v>7</v>
      </c>
      <c r="H331">
        <v>14</v>
      </c>
      <c r="I331">
        <v>84</v>
      </c>
      <c r="J331" s="1">
        <v>0.16669999999999999</v>
      </c>
    </row>
    <row r="332" spans="1:10" x14ac:dyDescent="0.45">
      <c r="A332" s="3">
        <v>46081</v>
      </c>
      <c r="B332" s="2">
        <v>2026</v>
      </c>
      <c r="C332" s="2" t="s">
        <v>21</v>
      </c>
      <c r="D332" s="2" t="s">
        <v>24</v>
      </c>
      <c r="E332" t="s">
        <v>39</v>
      </c>
      <c r="F332" s="2" t="s">
        <v>30</v>
      </c>
      <c r="G332">
        <v>200</v>
      </c>
      <c r="H332">
        <v>400</v>
      </c>
      <c r="I332">
        <v>2400</v>
      </c>
      <c r="J332" s="1">
        <v>0.16669999999999999</v>
      </c>
    </row>
    <row r="333" spans="1:10" x14ac:dyDescent="0.45">
      <c r="A333" s="3">
        <v>46081</v>
      </c>
      <c r="B333" s="2">
        <v>2026</v>
      </c>
      <c r="C333" s="2" t="s">
        <v>21</v>
      </c>
      <c r="D333" s="2" t="s">
        <v>25</v>
      </c>
      <c r="E333" t="s">
        <v>40</v>
      </c>
      <c r="F333" s="2" t="s">
        <v>41</v>
      </c>
      <c r="G333">
        <v>14</v>
      </c>
      <c r="H333">
        <v>826</v>
      </c>
      <c r="I333">
        <v>5110</v>
      </c>
      <c r="J333" s="1">
        <v>0.16159999999999999</v>
      </c>
    </row>
    <row r="334" spans="1:10" x14ac:dyDescent="0.45">
      <c r="A334" s="3">
        <v>46081</v>
      </c>
      <c r="B334" s="2">
        <v>2026</v>
      </c>
      <c r="C334" s="2" t="s">
        <v>21</v>
      </c>
      <c r="D334" s="2" t="s">
        <v>25</v>
      </c>
      <c r="E334" t="s">
        <v>40</v>
      </c>
      <c r="F334" s="2" t="s">
        <v>42</v>
      </c>
      <c r="G334">
        <v>19</v>
      </c>
      <c r="H334">
        <v>0</v>
      </c>
      <c r="I334">
        <v>76</v>
      </c>
      <c r="J334" s="1">
        <v>0</v>
      </c>
    </row>
    <row r="335" spans="1:10" x14ac:dyDescent="0.45">
      <c r="A335" s="3">
        <v>46081</v>
      </c>
      <c r="B335" s="2">
        <v>2026</v>
      </c>
      <c r="C335" s="2" t="s">
        <v>21</v>
      </c>
      <c r="D335" s="2" t="s">
        <v>25</v>
      </c>
      <c r="E335" t="s">
        <v>40</v>
      </c>
      <c r="F335" s="2" t="s">
        <v>43</v>
      </c>
      <c r="G335">
        <v>19</v>
      </c>
      <c r="H335">
        <v>0</v>
      </c>
      <c r="I335">
        <v>19</v>
      </c>
      <c r="J335" s="1">
        <v>0</v>
      </c>
    </row>
    <row r="336" spans="1:10" x14ac:dyDescent="0.45">
      <c r="A336" s="3">
        <v>46081</v>
      </c>
      <c r="B336" s="2">
        <v>2026</v>
      </c>
      <c r="C336" s="2" t="s">
        <v>21</v>
      </c>
      <c r="D336" s="2" t="s">
        <v>25</v>
      </c>
      <c r="E336" t="s">
        <v>44</v>
      </c>
      <c r="F336" s="2" t="s">
        <v>42</v>
      </c>
      <c r="G336">
        <v>5</v>
      </c>
      <c r="H336">
        <v>0</v>
      </c>
      <c r="I336">
        <v>20</v>
      </c>
      <c r="J336" s="1">
        <v>0</v>
      </c>
    </row>
    <row r="337" spans="1:10" x14ac:dyDescent="0.45">
      <c r="A337" s="3">
        <v>46081</v>
      </c>
      <c r="B337" s="2">
        <v>2026</v>
      </c>
      <c r="C337" s="2" t="s">
        <v>21</v>
      </c>
      <c r="D337" s="2" t="s">
        <v>25</v>
      </c>
      <c r="E337" t="s">
        <v>47</v>
      </c>
      <c r="F337" s="2" t="s">
        <v>46</v>
      </c>
      <c r="G337">
        <v>2</v>
      </c>
      <c r="H337">
        <v>0</v>
      </c>
      <c r="I337">
        <v>4</v>
      </c>
      <c r="J337" s="1">
        <v>0</v>
      </c>
    </row>
    <row r="338" spans="1:10" x14ac:dyDescent="0.45">
      <c r="A338" s="3">
        <v>46081</v>
      </c>
      <c r="B338" s="2">
        <v>2026</v>
      </c>
      <c r="C338" s="2" t="s">
        <v>21</v>
      </c>
      <c r="D338" s="2" t="s">
        <v>25</v>
      </c>
      <c r="E338" t="s">
        <v>48</v>
      </c>
      <c r="F338" s="2" t="s">
        <v>30</v>
      </c>
      <c r="G338">
        <v>10</v>
      </c>
      <c r="H338">
        <v>20</v>
      </c>
      <c r="I338">
        <v>120</v>
      </c>
      <c r="J338" s="1">
        <v>0.16669999999999999</v>
      </c>
    </row>
    <row r="339" spans="1:10" x14ac:dyDescent="0.45">
      <c r="A339" s="3">
        <v>46081</v>
      </c>
      <c r="B339" s="2">
        <v>2026</v>
      </c>
      <c r="C339" s="2" t="s">
        <v>21</v>
      </c>
      <c r="D339" s="2" t="s">
        <v>25</v>
      </c>
      <c r="E339" t="s">
        <v>45</v>
      </c>
      <c r="F339" s="2" t="s">
        <v>43</v>
      </c>
      <c r="G339">
        <v>1</v>
      </c>
      <c r="H339">
        <v>0</v>
      </c>
      <c r="I339">
        <v>1</v>
      </c>
      <c r="J339" s="1">
        <v>0</v>
      </c>
    </row>
    <row r="340" spans="1:10" x14ac:dyDescent="0.45">
      <c r="A340" s="3">
        <v>46081</v>
      </c>
      <c r="B340" s="2">
        <v>2026</v>
      </c>
      <c r="C340" s="2" t="s">
        <v>21</v>
      </c>
      <c r="D340" s="2" t="s">
        <v>25</v>
      </c>
      <c r="E340" t="s">
        <v>49</v>
      </c>
      <c r="F340" s="2" t="s">
        <v>30</v>
      </c>
    </row>
    <row r="341" spans="1:10" x14ac:dyDescent="0.45">
      <c r="A341" s="3">
        <v>46081</v>
      </c>
      <c r="B341" s="2">
        <v>2026</v>
      </c>
      <c r="C341" s="2" t="s">
        <v>21</v>
      </c>
      <c r="D341" s="2" t="s">
        <v>25</v>
      </c>
      <c r="E341" t="s">
        <v>50</v>
      </c>
      <c r="F341" s="2" t="s">
        <v>30</v>
      </c>
      <c r="J341" s="1"/>
    </row>
    <row r="342" spans="1:10" x14ac:dyDescent="0.45">
      <c r="A342" s="3">
        <v>46081</v>
      </c>
      <c r="B342" s="2">
        <v>2026</v>
      </c>
      <c r="C342" s="2" t="s">
        <v>21</v>
      </c>
      <c r="D342" s="2" t="s">
        <v>25</v>
      </c>
      <c r="E342" t="s">
        <v>51</v>
      </c>
      <c r="F342" s="2" t="s">
        <v>30</v>
      </c>
      <c r="J342" s="1"/>
    </row>
    <row r="343" spans="1:10" x14ac:dyDescent="0.45">
      <c r="A343" s="3">
        <v>46081</v>
      </c>
      <c r="B343" s="2">
        <v>2026</v>
      </c>
      <c r="C343" s="2" t="s">
        <v>22</v>
      </c>
      <c r="D343" s="2" t="s">
        <v>24</v>
      </c>
      <c r="E343" t="s">
        <v>27</v>
      </c>
      <c r="F343" s="2" t="s">
        <v>28</v>
      </c>
      <c r="G343">
        <v>392</v>
      </c>
      <c r="H343">
        <v>1568</v>
      </c>
      <c r="I343">
        <v>9250</v>
      </c>
      <c r="J343" s="1">
        <v>0.16950000000000001</v>
      </c>
    </row>
    <row r="344" spans="1:10" x14ac:dyDescent="0.45">
      <c r="A344" s="3">
        <v>46081</v>
      </c>
      <c r="B344" s="2">
        <v>2026</v>
      </c>
      <c r="C344" s="2" t="s">
        <v>22</v>
      </c>
      <c r="D344" s="2" t="s">
        <v>24</v>
      </c>
      <c r="E344" t="s">
        <v>29</v>
      </c>
      <c r="F344" s="2" t="s">
        <v>30</v>
      </c>
      <c r="G344">
        <v>39</v>
      </c>
      <c r="H344">
        <v>78</v>
      </c>
      <c r="I344">
        <v>468</v>
      </c>
      <c r="J344" s="1">
        <v>0.16669999999999999</v>
      </c>
    </row>
    <row r="345" spans="1:10" x14ac:dyDescent="0.45">
      <c r="A345" s="3">
        <v>46081</v>
      </c>
      <c r="B345" s="2">
        <v>2026</v>
      </c>
      <c r="C345" s="2" t="s">
        <v>22</v>
      </c>
      <c r="D345" s="2" t="s">
        <v>24</v>
      </c>
      <c r="E345" t="s">
        <v>31</v>
      </c>
      <c r="F345" s="2" t="s">
        <v>30</v>
      </c>
      <c r="G345">
        <v>778</v>
      </c>
      <c r="H345">
        <v>1556</v>
      </c>
      <c r="I345">
        <v>9201</v>
      </c>
      <c r="J345" s="1">
        <v>0.1691</v>
      </c>
    </row>
    <row r="346" spans="1:10" x14ac:dyDescent="0.45">
      <c r="A346" s="3">
        <v>46081</v>
      </c>
      <c r="B346" s="2">
        <v>2026</v>
      </c>
      <c r="C346" s="2" t="s">
        <v>22</v>
      </c>
      <c r="D346" s="2" t="s">
        <v>24</v>
      </c>
      <c r="E346" t="s">
        <v>32</v>
      </c>
      <c r="F346" s="2" t="s">
        <v>30</v>
      </c>
      <c r="G346">
        <v>16</v>
      </c>
      <c r="H346">
        <v>32</v>
      </c>
      <c r="I346">
        <v>192</v>
      </c>
      <c r="J346" s="1">
        <v>0.16669999999999999</v>
      </c>
    </row>
    <row r="347" spans="1:10" x14ac:dyDescent="0.45">
      <c r="A347" s="3">
        <v>46081</v>
      </c>
      <c r="B347" s="2">
        <v>2026</v>
      </c>
      <c r="C347" s="2" t="s">
        <v>22</v>
      </c>
      <c r="D347" s="2" t="s">
        <v>24</v>
      </c>
      <c r="E347" t="s">
        <v>33</v>
      </c>
      <c r="F347" s="2" t="s">
        <v>30</v>
      </c>
      <c r="G347">
        <v>26</v>
      </c>
      <c r="H347">
        <v>53</v>
      </c>
      <c r="I347">
        <v>312</v>
      </c>
      <c r="J347" s="1">
        <v>0.1699</v>
      </c>
    </row>
    <row r="348" spans="1:10" x14ac:dyDescent="0.45">
      <c r="A348" s="3">
        <v>46081</v>
      </c>
      <c r="B348" s="2">
        <v>2026</v>
      </c>
      <c r="C348" s="2" t="s">
        <v>22</v>
      </c>
      <c r="D348" s="2" t="s">
        <v>24</v>
      </c>
      <c r="E348" t="s">
        <v>34</v>
      </c>
      <c r="F348" s="2" t="s">
        <v>28</v>
      </c>
      <c r="G348">
        <v>24</v>
      </c>
      <c r="H348">
        <v>96</v>
      </c>
      <c r="I348">
        <v>576</v>
      </c>
      <c r="J348" s="1">
        <v>0.16669999999999999</v>
      </c>
    </row>
    <row r="349" spans="1:10" x14ac:dyDescent="0.45">
      <c r="A349" s="3">
        <v>46081</v>
      </c>
      <c r="B349" s="2">
        <v>2026</v>
      </c>
      <c r="C349" s="2" t="s">
        <v>22</v>
      </c>
      <c r="D349" s="2" t="s">
        <v>24</v>
      </c>
      <c r="E349" t="s">
        <v>88</v>
      </c>
      <c r="F349" s="2" t="s">
        <v>30</v>
      </c>
      <c r="G349">
        <v>7</v>
      </c>
      <c r="H349">
        <v>14</v>
      </c>
      <c r="I349">
        <v>40</v>
      </c>
      <c r="J349" s="1">
        <v>0.35</v>
      </c>
    </row>
    <row r="350" spans="1:10" x14ac:dyDescent="0.45">
      <c r="A350" s="3">
        <v>46081</v>
      </c>
      <c r="B350" s="2">
        <v>2026</v>
      </c>
      <c r="C350" s="2" t="s">
        <v>22</v>
      </c>
      <c r="D350" s="2" t="s">
        <v>24</v>
      </c>
      <c r="E350" t="s">
        <v>89</v>
      </c>
      <c r="F350" s="2" t="s">
        <v>30</v>
      </c>
      <c r="G350">
        <v>9</v>
      </c>
      <c r="H350">
        <v>18</v>
      </c>
      <c r="I350">
        <v>108</v>
      </c>
      <c r="J350" s="1">
        <v>0.16669999999999999</v>
      </c>
    </row>
    <row r="351" spans="1:10" x14ac:dyDescent="0.45">
      <c r="A351" s="3">
        <v>46081</v>
      </c>
      <c r="B351" s="2">
        <v>2026</v>
      </c>
      <c r="C351" s="2" t="s">
        <v>22</v>
      </c>
      <c r="D351" s="2" t="s">
        <v>24</v>
      </c>
      <c r="E351" t="s">
        <v>112</v>
      </c>
      <c r="F351" s="2" t="s">
        <v>30</v>
      </c>
      <c r="G351">
        <v>925</v>
      </c>
      <c r="H351">
        <v>1850</v>
      </c>
      <c r="I351">
        <v>10766</v>
      </c>
      <c r="J351" s="1">
        <v>0.17180000000000001</v>
      </c>
    </row>
    <row r="352" spans="1:10" x14ac:dyDescent="0.45">
      <c r="A352" s="3">
        <v>46081</v>
      </c>
      <c r="B352" s="2">
        <v>2026</v>
      </c>
      <c r="C352" s="2" t="s">
        <v>22</v>
      </c>
      <c r="D352" s="2" t="s">
        <v>24</v>
      </c>
      <c r="E352" t="s">
        <v>37</v>
      </c>
      <c r="F352" s="2" t="s">
        <v>30</v>
      </c>
      <c r="G352">
        <v>45</v>
      </c>
      <c r="H352">
        <v>90</v>
      </c>
      <c r="I352">
        <v>540</v>
      </c>
      <c r="J352" s="1">
        <v>0.16669999999999999</v>
      </c>
    </row>
    <row r="353" spans="1:10" x14ac:dyDescent="0.45">
      <c r="A353" s="3">
        <v>46081</v>
      </c>
      <c r="B353" s="2">
        <v>2026</v>
      </c>
      <c r="C353" s="2" t="s">
        <v>22</v>
      </c>
      <c r="D353" s="2" t="s">
        <v>24</v>
      </c>
      <c r="E353" t="s">
        <v>38</v>
      </c>
      <c r="F353" s="2" t="s">
        <v>30</v>
      </c>
      <c r="G353">
        <v>35</v>
      </c>
      <c r="H353">
        <v>70</v>
      </c>
      <c r="I353">
        <v>420</v>
      </c>
      <c r="J353" s="1">
        <v>0.16669999999999999</v>
      </c>
    </row>
    <row r="354" spans="1:10" x14ac:dyDescent="0.45">
      <c r="A354" s="3">
        <v>46081</v>
      </c>
      <c r="B354" s="2">
        <v>2026</v>
      </c>
      <c r="C354" s="2" t="s">
        <v>22</v>
      </c>
      <c r="D354" s="2" t="s">
        <v>24</v>
      </c>
      <c r="E354" t="s">
        <v>39</v>
      </c>
      <c r="F354" s="2" t="s">
        <v>30</v>
      </c>
      <c r="G354">
        <v>145</v>
      </c>
      <c r="H354">
        <v>290</v>
      </c>
      <c r="I354">
        <v>1740</v>
      </c>
      <c r="J354" s="1">
        <v>0.16669999999999999</v>
      </c>
    </row>
    <row r="355" spans="1:10" x14ac:dyDescent="0.45">
      <c r="A355" s="3">
        <v>46081</v>
      </c>
      <c r="B355" s="2">
        <v>2026</v>
      </c>
      <c r="C355" s="2" t="s">
        <v>22</v>
      </c>
      <c r="D355" s="2" t="s">
        <v>25</v>
      </c>
      <c r="E355" t="s">
        <v>40</v>
      </c>
      <c r="F355" s="2" t="s">
        <v>41</v>
      </c>
      <c r="G355">
        <v>105</v>
      </c>
      <c r="H355">
        <v>5518</v>
      </c>
      <c r="I355">
        <v>38161</v>
      </c>
      <c r="J355" s="1">
        <v>0.14460000000000001</v>
      </c>
    </row>
    <row r="356" spans="1:10" x14ac:dyDescent="0.45">
      <c r="A356" s="3">
        <v>46081</v>
      </c>
      <c r="B356" s="2">
        <v>2026</v>
      </c>
      <c r="C356" s="2" t="s">
        <v>22</v>
      </c>
      <c r="D356" s="2" t="s">
        <v>25</v>
      </c>
      <c r="E356" t="s">
        <v>40</v>
      </c>
      <c r="F356" s="2" t="s">
        <v>42</v>
      </c>
      <c r="G356">
        <v>88</v>
      </c>
      <c r="H356">
        <v>40</v>
      </c>
      <c r="I356">
        <v>352</v>
      </c>
      <c r="J356" s="1">
        <v>0.11360000000000001</v>
      </c>
    </row>
    <row r="357" spans="1:10" x14ac:dyDescent="0.45">
      <c r="A357" s="3">
        <v>46081</v>
      </c>
      <c r="B357" s="2">
        <v>2026</v>
      </c>
      <c r="C357" s="2" t="s">
        <v>22</v>
      </c>
      <c r="D357" s="2" t="s">
        <v>25</v>
      </c>
      <c r="E357" t="s">
        <v>40</v>
      </c>
      <c r="F357" s="2" t="s">
        <v>43</v>
      </c>
      <c r="G357">
        <v>88</v>
      </c>
      <c r="H357">
        <v>40</v>
      </c>
      <c r="I357">
        <v>88</v>
      </c>
      <c r="J357" s="1">
        <v>0.45450000000000002</v>
      </c>
    </row>
    <row r="358" spans="1:10" x14ac:dyDescent="0.45">
      <c r="A358" s="3">
        <v>46081</v>
      </c>
      <c r="B358" s="2">
        <v>2026</v>
      </c>
      <c r="C358" s="2" t="s">
        <v>22</v>
      </c>
      <c r="D358" s="2" t="s">
        <v>25</v>
      </c>
      <c r="E358" t="s">
        <v>44</v>
      </c>
      <c r="F358" s="2" t="s">
        <v>42</v>
      </c>
      <c r="G358">
        <v>33</v>
      </c>
      <c r="H358">
        <v>29</v>
      </c>
      <c r="I358">
        <v>132</v>
      </c>
      <c r="J358" s="1">
        <v>0.21970000000000001</v>
      </c>
    </row>
    <row r="359" spans="1:10" x14ac:dyDescent="0.45">
      <c r="A359" s="3">
        <v>46081</v>
      </c>
      <c r="B359" s="2">
        <v>2026</v>
      </c>
      <c r="C359" s="2" t="s">
        <v>22</v>
      </c>
      <c r="D359" s="2" t="s">
        <v>25</v>
      </c>
      <c r="E359" t="s">
        <v>44</v>
      </c>
      <c r="F359" s="2" t="s">
        <v>43</v>
      </c>
      <c r="G359">
        <v>33</v>
      </c>
      <c r="H359">
        <v>11</v>
      </c>
      <c r="I359">
        <v>33</v>
      </c>
      <c r="J359" s="1">
        <v>0.33329999999999999</v>
      </c>
    </row>
    <row r="360" spans="1:10" x14ac:dyDescent="0.45">
      <c r="A360" s="3">
        <v>46081</v>
      </c>
      <c r="B360" s="2">
        <v>2026</v>
      </c>
      <c r="C360" s="2" t="s">
        <v>22</v>
      </c>
      <c r="D360" s="2" t="s">
        <v>25</v>
      </c>
      <c r="E360" t="s">
        <v>45</v>
      </c>
      <c r="F360" s="2" t="s">
        <v>46</v>
      </c>
      <c r="G360">
        <v>6</v>
      </c>
      <c r="H360">
        <v>6</v>
      </c>
      <c r="I360">
        <v>24</v>
      </c>
      <c r="J360" s="1">
        <v>0.25</v>
      </c>
    </row>
    <row r="361" spans="1:10" x14ac:dyDescent="0.45">
      <c r="A361" s="3">
        <v>46081</v>
      </c>
      <c r="B361" s="2">
        <v>2026</v>
      </c>
      <c r="C361" s="2" t="s">
        <v>22</v>
      </c>
      <c r="D361" s="2" t="s">
        <v>25</v>
      </c>
      <c r="E361" t="s">
        <v>47</v>
      </c>
      <c r="F361" s="2" t="s">
        <v>46</v>
      </c>
      <c r="G361">
        <v>10</v>
      </c>
      <c r="H361">
        <v>5</v>
      </c>
      <c r="I361">
        <v>20</v>
      </c>
      <c r="J361" s="1">
        <v>0.25</v>
      </c>
    </row>
    <row r="362" spans="1:10" x14ac:dyDescent="0.45">
      <c r="A362" s="3">
        <v>46081</v>
      </c>
      <c r="B362" s="2">
        <v>2026</v>
      </c>
      <c r="C362" s="2" t="s">
        <v>22</v>
      </c>
      <c r="D362" s="2" t="s">
        <v>25</v>
      </c>
      <c r="E362" t="s">
        <v>48</v>
      </c>
      <c r="F362" s="2" t="s">
        <v>30</v>
      </c>
      <c r="G362">
        <v>3536</v>
      </c>
      <c r="H362">
        <v>7072</v>
      </c>
      <c r="I362">
        <v>42432</v>
      </c>
      <c r="J362" s="1">
        <v>0.16669999999999999</v>
      </c>
    </row>
    <row r="363" spans="1:10" x14ac:dyDescent="0.45">
      <c r="A363" s="3">
        <v>46081</v>
      </c>
      <c r="B363" s="2">
        <v>2026</v>
      </c>
      <c r="C363" s="2" t="s">
        <v>22</v>
      </c>
      <c r="D363" s="2" t="s">
        <v>25</v>
      </c>
      <c r="E363" t="s">
        <v>49</v>
      </c>
      <c r="F363" s="2" t="s">
        <v>30</v>
      </c>
      <c r="G363">
        <v>33</v>
      </c>
      <c r="H363">
        <v>66</v>
      </c>
      <c r="I363">
        <v>396</v>
      </c>
      <c r="J363" s="1">
        <v>0.16669999999999999</v>
      </c>
    </row>
    <row r="364" spans="1:10" x14ac:dyDescent="0.45">
      <c r="A364" s="3">
        <v>46081</v>
      </c>
      <c r="B364" s="2">
        <v>2026</v>
      </c>
      <c r="C364" s="2" t="s">
        <v>22</v>
      </c>
      <c r="D364" s="2" t="s">
        <v>25</v>
      </c>
      <c r="E364" t="s">
        <v>50</v>
      </c>
      <c r="F364" s="2" t="s">
        <v>30</v>
      </c>
      <c r="G364">
        <v>11</v>
      </c>
      <c r="H364">
        <v>22</v>
      </c>
      <c r="I364">
        <v>132</v>
      </c>
      <c r="J364" s="1">
        <v>0.16669999999999999</v>
      </c>
    </row>
    <row r="365" spans="1:10" x14ac:dyDescent="0.45">
      <c r="A365" s="3">
        <v>46081</v>
      </c>
      <c r="B365" s="2">
        <v>2026</v>
      </c>
      <c r="C365" s="2" t="s">
        <v>22</v>
      </c>
      <c r="D365" s="2" t="s">
        <v>25</v>
      </c>
      <c r="E365" t="s">
        <v>51</v>
      </c>
      <c r="F365" s="2" t="s">
        <v>30</v>
      </c>
      <c r="G365">
        <v>24</v>
      </c>
      <c r="H365">
        <v>48</v>
      </c>
      <c r="I365">
        <v>288</v>
      </c>
      <c r="J365" s="1">
        <v>0.16669999999999999</v>
      </c>
    </row>
    <row r="366" spans="1:10" x14ac:dyDescent="0.45">
      <c r="A366" s="3">
        <v>46081</v>
      </c>
      <c r="B366" s="2">
        <v>2026</v>
      </c>
      <c r="C366" s="2" t="s">
        <v>22</v>
      </c>
      <c r="D366" s="2" t="s">
        <v>24</v>
      </c>
      <c r="E366" t="s">
        <v>52</v>
      </c>
      <c r="F366" s="2" t="s">
        <v>30</v>
      </c>
      <c r="G366">
        <v>4</v>
      </c>
      <c r="H366">
        <v>8</v>
      </c>
      <c r="I366">
        <v>48</v>
      </c>
      <c r="J366" s="1">
        <v>0.16669999999999999</v>
      </c>
    </row>
    <row r="367" spans="1:10" x14ac:dyDescent="0.45">
      <c r="A367" s="3">
        <v>46081</v>
      </c>
      <c r="B367" s="2">
        <v>2026</v>
      </c>
      <c r="C367" s="2" t="s">
        <v>22</v>
      </c>
      <c r="D367" s="2" t="s">
        <v>25</v>
      </c>
      <c r="E367" t="s">
        <v>53</v>
      </c>
      <c r="F367" s="2" t="s">
        <v>30</v>
      </c>
      <c r="G367">
        <v>4</v>
      </c>
      <c r="H367">
        <v>8</v>
      </c>
      <c r="I367">
        <v>64</v>
      </c>
      <c r="J367" s="1">
        <v>0.125</v>
      </c>
    </row>
    <row r="368" spans="1:10" x14ac:dyDescent="0.45">
      <c r="A368" s="3">
        <v>46081</v>
      </c>
      <c r="B368" s="2">
        <v>2026</v>
      </c>
      <c r="C368" s="2" t="s">
        <v>22</v>
      </c>
      <c r="D368" s="2" t="s">
        <v>25</v>
      </c>
      <c r="J368" s="1"/>
    </row>
    <row r="369" spans="1:10" x14ac:dyDescent="0.45">
      <c r="A369" s="3">
        <v>46081</v>
      </c>
      <c r="B369" s="2">
        <v>2026</v>
      </c>
      <c r="C369" s="2" t="s">
        <v>23</v>
      </c>
      <c r="D369" s="2" t="s">
        <v>24</v>
      </c>
      <c r="E369" t="s">
        <v>27</v>
      </c>
      <c r="F369" s="2" t="s">
        <v>28</v>
      </c>
      <c r="G369">
        <v>279</v>
      </c>
      <c r="H369">
        <v>688</v>
      </c>
      <c r="I369">
        <v>6696</v>
      </c>
      <c r="J369" s="1">
        <v>0.1027</v>
      </c>
    </row>
    <row r="370" spans="1:10" x14ac:dyDescent="0.45">
      <c r="A370" s="3">
        <v>46081</v>
      </c>
      <c r="B370" s="2">
        <v>2026</v>
      </c>
      <c r="C370" s="2" t="s">
        <v>23</v>
      </c>
      <c r="D370" s="2" t="s">
        <v>24</v>
      </c>
      <c r="E370" t="s">
        <v>29</v>
      </c>
      <c r="F370" s="2" t="s">
        <v>30</v>
      </c>
      <c r="G370">
        <v>129</v>
      </c>
      <c r="H370">
        <v>160</v>
      </c>
      <c r="I370">
        <v>1548</v>
      </c>
      <c r="J370" s="1">
        <v>0.10340000000000001</v>
      </c>
    </row>
    <row r="371" spans="1:10" x14ac:dyDescent="0.45">
      <c r="A371" s="3">
        <v>46081</v>
      </c>
      <c r="B371" s="2">
        <v>2026</v>
      </c>
      <c r="C371" s="2" t="s">
        <v>23</v>
      </c>
      <c r="D371" s="2" t="s">
        <v>24</v>
      </c>
      <c r="E371" t="s">
        <v>31</v>
      </c>
      <c r="F371" s="2" t="s">
        <v>30</v>
      </c>
      <c r="G371">
        <v>533</v>
      </c>
      <c r="H371">
        <v>600</v>
      </c>
      <c r="I371">
        <v>6396</v>
      </c>
      <c r="J371" s="1">
        <v>9.3799999999999994E-2</v>
      </c>
    </row>
    <row r="372" spans="1:10" x14ac:dyDescent="0.45">
      <c r="A372" s="3">
        <v>46081</v>
      </c>
      <c r="B372" s="2">
        <v>2026</v>
      </c>
      <c r="C372" s="2" t="s">
        <v>23</v>
      </c>
      <c r="D372" s="2" t="s">
        <v>24</v>
      </c>
      <c r="E372" t="s">
        <v>32</v>
      </c>
      <c r="F372" s="2" t="s">
        <v>30</v>
      </c>
      <c r="G372">
        <v>315</v>
      </c>
      <c r="H372">
        <v>389</v>
      </c>
      <c r="I372">
        <v>3786</v>
      </c>
      <c r="J372" s="1">
        <v>0.1027</v>
      </c>
    </row>
    <row r="373" spans="1:10" x14ac:dyDescent="0.45">
      <c r="A373" s="3">
        <v>46081</v>
      </c>
      <c r="B373" s="2">
        <v>2026</v>
      </c>
      <c r="C373" s="2" t="s">
        <v>23</v>
      </c>
      <c r="D373" s="2" t="s">
        <v>24</v>
      </c>
      <c r="E373" t="s">
        <v>33</v>
      </c>
      <c r="F373" s="2" t="s">
        <v>30</v>
      </c>
      <c r="G373">
        <v>20</v>
      </c>
      <c r="H373">
        <v>22</v>
      </c>
      <c r="I373">
        <v>240</v>
      </c>
      <c r="J373" s="1">
        <v>9.1700000000000004E-2</v>
      </c>
    </row>
    <row r="374" spans="1:10" x14ac:dyDescent="0.45">
      <c r="A374" s="3">
        <v>46081</v>
      </c>
      <c r="B374" s="2">
        <v>2026</v>
      </c>
      <c r="C374" s="2" t="s">
        <v>23</v>
      </c>
      <c r="D374" s="2" t="s">
        <v>25</v>
      </c>
      <c r="E374" t="s">
        <v>51</v>
      </c>
      <c r="F374" s="2" t="s">
        <v>30</v>
      </c>
      <c r="G374">
        <v>19</v>
      </c>
      <c r="H374">
        <v>23</v>
      </c>
      <c r="I374">
        <v>228</v>
      </c>
      <c r="J374" s="1">
        <v>0.1009</v>
      </c>
    </row>
    <row r="375" spans="1:10" x14ac:dyDescent="0.45">
      <c r="A375" s="3">
        <v>46081</v>
      </c>
      <c r="B375" s="2">
        <v>2026</v>
      </c>
      <c r="C375" s="2" t="s">
        <v>23</v>
      </c>
      <c r="D375" s="2" t="s">
        <v>24</v>
      </c>
      <c r="E375" t="s">
        <v>34</v>
      </c>
      <c r="F375" s="2" t="s">
        <v>28</v>
      </c>
      <c r="G375">
        <v>21</v>
      </c>
      <c r="H375">
        <v>48</v>
      </c>
      <c r="I375">
        <v>504</v>
      </c>
      <c r="J375" s="1">
        <v>9.5200000000000007E-2</v>
      </c>
    </row>
    <row r="376" spans="1:10" x14ac:dyDescent="0.45">
      <c r="A376" s="3">
        <v>46081</v>
      </c>
      <c r="B376" s="2">
        <v>2026</v>
      </c>
      <c r="C376" s="2" t="s">
        <v>23</v>
      </c>
      <c r="D376" s="2" t="s">
        <v>24</v>
      </c>
      <c r="E376" t="s">
        <v>35</v>
      </c>
      <c r="F376" s="2" t="s">
        <v>30</v>
      </c>
      <c r="G376">
        <v>86</v>
      </c>
      <c r="H376">
        <v>94</v>
      </c>
      <c r="I376">
        <v>1032</v>
      </c>
      <c r="J376" s="1">
        <v>9.11E-2</v>
      </c>
    </row>
    <row r="377" spans="1:10" x14ac:dyDescent="0.45">
      <c r="A377" s="3">
        <v>46081</v>
      </c>
      <c r="B377" s="2">
        <v>2026</v>
      </c>
      <c r="C377" s="2" t="s">
        <v>23</v>
      </c>
      <c r="D377" s="2" t="s">
        <v>24</v>
      </c>
      <c r="E377" t="s">
        <v>36</v>
      </c>
      <c r="F377" s="2" t="s">
        <v>30</v>
      </c>
      <c r="J377" s="1"/>
    </row>
    <row r="378" spans="1:10" x14ac:dyDescent="0.45">
      <c r="A378" s="3">
        <v>46081</v>
      </c>
      <c r="B378" s="2">
        <v>2026</v>
      </c>
      <c r="C378" s="2" t="s">
        <v>23</v>
      </c>
      <c r="D378" s="2" t="s">
        <v>24</v>
      </c>
      <c r="E378" t="s">
        <v>37</v>
      </c>
      <c r="F378" s="2" t="s">
        <v>30</v>
      </c>
      <c r="G378">
        <v>2</v>
      </c>
      <c r="H378">
        <v>2</v>
      </c>
      <c r="I378">
        <v>24</v>
      </c>
      <c r="J378" s="1">
        <v>8.3299999999999999E-2</v>
      </c>
    </row>
    <row r="379" spans="1:10" x14ac:dyDescent="0.45">
      <c r="A379" s="3">
        <v>46081</v>
      </c>
      <c r="B379" s="2">
        <v>2026</v>
      </c>
      <c r="C379" s="2" t="s">
        <v>23</v>
      </c>
      <c r="D379" s="2" t="s">
        <v>24</v>
      </c>
      <c r="E379" t="s">
        <v>38</v>
      </c>
      <c r="F379" s="2" t="s">
        <v>30</v>
      </c>
      <c r="G379">
        <v>32</v>
      </c>
      <c r="H379">
        <v>32</v>
      </c>
      <c r="I379">
        <v>384</v>
      </c>
      <c r="J379" s="1">
        <v>8.3299999999999999E-2</v>
      </c>
    </row>
    <row r="380" spans="1:10" x14ac:dyDescent="0.45">
      <c r="A380" s="3">
        <v>46081</v>
      </c>
      <c r="B380" s="2">
        <v>2026</v>
      </c>
      <c r="C380" s="2" t="s">
        <v>23</v>
      </c>
      <c r="D380" s="2" t="s">
        <v>24</v>
      </c>
      <c r="E380" t="s">
        <v>39</v>
      </c>
      <c r="F380" s="2" t="s">
        <v>30</v>
      </c>
      <c r="G380">
        <v>601</v>
      </c>
      <c r="H380">
        <v>699</v>
      </c>
      <c r="I380">
        <v>7212</v>
      </c>
      <c r="J380" s="1">
        <v>9.69E-2</v>
      </c>
    </row>
    <row r="381" spans="1:10" x14ac:dyDescent="0.45">
      <c r="A381" s="3">
        <v>46081</v>
      </c>
      <c r="B381" s="2">
        <v>2026</v>
      </c>
      <c r="C381" s="2" t="s">
        <v>23</v>
      </c>
      <c r="D381" s="2" t="s">
        <v>25</v>
      </c>
      <c r="E381" t="s">
        <v>40</v>
      </c>
      <c r="F381" s="2" t="s">
        <v>41</v>
      </c>
      <c r="G381">
        <v>172</v>
      </c>
      <c r="H381">
        <v>1653</v>
      </c>
      <c r="I381">
        <v>17695</v>
      </c>
      <c r="J381" s="1">
        <v>9.3399999999999997E-2</v>
      </c>
    </row>
    <row r="382" spans="1:10" x14ac:dyDescent="0.45">
      <c r="A382" s="3">
        <v>46081</v>
      </c>
      <c r="B382" s="2">
        <v>2026</v>
      </c>
      <c r="C382" s="2" t="s">
        <v>23</v>
      </c>
      <c r="D382" s="2" t="s">
        <v>25</v>
      </c>
      <c r="E382" t="s">
        <v>40</v>
      </c>
      <c r="F382" s="2" t="s">
        <v>42</v>
      </c>
      <c r="G382">
        <v>175</v>
      </c>
      <c r="H382">
        <v>135</v>
      </c>
      <c r="I382">
        <v>700</v>
      </c>
      <c r="J382" s="1">
        <v>0.19289999999999999</v>
      </c>
    </row>
    <row r="383" spans="1:10" x14ac:dyDescent="0.45">
      <c r="A383" s="3">
        <v>46081</v>
      </c>
      <c r="B383" s="2">
        <v>2026</v>
      </c>
      <c r="C383" s="2" t="s">
        <v>23</v>
      </c>
      <c r="D383" s="2" t="s">
        <v>25</v>
      </c>
      <c r="E383" t="s">
        <v>40</v>
      </c>
      <c r="F383" s="2" t="s">
        <v>43</v>
      </c>
      <c r="G383">
        <v>175</v>
      </c>
      <c r="H383">
        <v>135</v>
      </c>
      <c r="I383">
        <v>175</v>
      </c>
      <c r="J383" s="1">
        <v>0.77139999999999997</v>
      </c>
    </row>
    <row r="384" spans="1:10" x14ac:dyDescent="0.45">
      <c r="A384" s="3">
        <v>46081</v>
      </c>
      <c r="B384" s="2">
        <v>2026</v>
      </c>
      <c r="C384" s="2" t="s">
        <v>23</v>
      </c>
      <c r="D384" s="2" t="s">
        <v>25</v>
      </c>
      <c r="E384" t="s">
        <v>44</v>
      </c>
      <c r="F384" s="2" t="s">
        <v>42</v>
      </c>
      <c r="G384">
        <v>48</v>
      </c>
      <c r="H384">
        <v>49</v>
      </c>
      <c r="I384">
        <v>192</v>
      </c>
      <c r="J384" s="1">
        <v>0.25519999999999998</v>
      </c>
    </row>
    <row r="385" spans="1:10" x14ac:dyDescent="0.45">
      <c r="A385" s="3">
        <v>46081</v>
      </c>
      <c r="B385" s="2">
        <v>2026</v>
      </c>
      <c r="C385" s="2" t="s">
        <v>23</v>
      </c>
      <c r="D385" s="2" t="s">
        <v>25</v>
      </c>
      <c r="E385" t="s">
        <v>44</v>
      </c>
      <c r="F385" s="2" t="s">
        <v>43</v>
      </c>
      <c r="G385">
        <v>48</v>
      </c>
      <c r="H385">
        <v>45</v>
      </c>
      <c r="I385">
        <v>48</v>
      </c>
      <c r="J385" s="1">
        <v>0.9375</v>
      </c>
    </row>
    <row r="386" spans="1:10" x14ac:dyDescent="0.45">
      <c r="A386" s="3">
        <v>46081</v>
      </c>
      <c r="B386" s="2">
        <v>2026</v>
      </c>
      <c r="C386" s="2" t="s">
        <v>23</v>
      </c>
      <c r="D386" s="2" t="s">
        <v>25</v>
      </c>
      <c r="E386" t="s">
        <v>45</v>
      </c>
      <c r="F386" s="2" t="s">
        <v>46</v>
      </c>
      <c r="J386" s="1"/>
    </row>
    <row r="387" spans="1:10" x14ac:dyDescent="0.45">
      <c r="A387" s="3">
        <v>46081</v>
      </c>
      <c r="B387" s="2">
        <v>2026</v>
      </c>
      <c r="C387" s="2" t="s">
        <v>23</v>
      </c>
      <c r="D387" s="2" t="s">
        <v>25</v>
      </c>
      <c r="E387" t="s">
        <v>47</v>
      </c>
      <c r="F387" s="2" t="s">
        <v>46</v>
      </c>
      <c r="G387">
        <v>13</v>
      </c>
      <c r="H387">
        <v>8</v>
      </c>
      <c r="I387">
        <v>26</v>
      </c>
      <c r="J387" s="1">
        <v>0.30769999999999997</v>
      </c>
    </row>
    <row r="388" spans="1:10" x14ac:dyDescent="0.45">
      <c r="A388" s="3">
        <v>46081</v>
      </c>
      <c r="B388" s="2">
        <v>2026</v>
      </c>
      <c r="C388" s="2" t="s">
        <v>23</v>
      </c>
      <c r="D388" s="2" t="s">
        <v>25</v>
      </c>
      <c r="E388" t="s">
        <v>48</v>
      </c>
      <c r="F388" s="2" t="s">
        <v>30</v>
      </c>
      <c r="G388">
        <v>50</v>
      </c>
      <c r="H388">
        <v>60</v>
      </c>
      <c r="I388">
        <v>600</v>
      </c>
      <c r="J388" s="1">
        <v>0.1</v>
      </c>
    </row>
    <row r="389" spans="1:10" x14ac:dyDescent="0.45">
      <c r="A389" s="3">
        <v>46081</v>
      </c>
      <c r="B389" s="2">
        <v>2026</v>
      </c>
      <c r="C389" s="2" t="s">
        <v>23</v>
      </c>
      <c r="D389" s="2" t="s">
        <v>25</v>
      </c>
      <c r="E389" t="s">
        <v>49</v>
      </c>
      <c r="F389" s="2" t="s">
        <v>30</v>
      </c>
      <c r="G389">
        <v>48</v>
      </c>
      <c r="H389">
        <v>55</v>
      </c>
      <c r="I389">
        <v>576</v>
      </c>
      <c r="J389" s="1">
        <v>9.5500000000000002E-2</v>
      </c>
    </row>
    <row r="390" spans="1:10" x14ac:dyDescent="0.45">
      <c r="A390" s="3">
        <v>46081</v>
      </c>
      <c r="B390" s="2">
        <v>2026</v>
      </c>
      <c r="C390" s="2" t="s">
        <v>23</v>
      </c>
      <c r="D390" s="2" t="s">
        <v>25</v>
      </c>
      <c r="E390" t="s">
        <v>50</v>
      </c>
      <c r="F390" s="2" t="s">
        <v>30</v>
      </c>
      <c r="G390">
        <v>17</v>
      </c>
      <c r="H390">
        <v>20</v>
      </c>
      <c r="I390">
        <v>216</v>
      </c>
      <c r="J390" s="1">
        <v>9.2600000000000002E-2</v>
      </c>
    </row>
    <row r="391" spans="1:10" x14ac:dyDescent="0.45">
      <c r="A391" s="3">
        <v>46081</v>
      </c>
      <c r="B391" s="2">
        <v>2026</v>
      </c>
      <c r="C391" s="2" t="s">
        <v>23</v>
      </c>
      <c r="D391" s="2" t="s">
        <v>24</v>
      </c>
      <c r="E391" t="s">
        <v>52</v>
      </c>
      <c r="F391" s="2" t="s">
        <v>30</v>
      </c>
      <c r="G391">
        <v>25</v>
      </c>
      <c r="H391">
        <v>25</v>
      </c>
      <c r="I391">
        <v>300</v>
      </c>
      <c r="J391" s="1">
        <v>8.3299999999999999E-2</v>
      </c>
    </row>
    <row r="392" spans="1:10" x14ac:dyDescent="0.45">
      <c r="A392" s="3">
        <v>46081</v>
      </c>
      <c r="B392" s="2">
        <v>2026</v>
      </c>
      <c r="C392" s="2" t="s">
        <v>23</v>
      </c>
      <c r="D392" s="2" t="s">
        <v>25</v>
      </c>
      <c r="E392" t="s">
        <v>53</v>
      </c>
      <c r="F392" s="2" t="s">
        <v>30</v>
      </c>
      <c r="G392">
        <v>62</v>
      </c>
      <c r="H392">
        <v>70</v>
      </c>
      <c r="I392">
        <v>744</v>
      </c>
      <c r="J392" s="1">
        <v>9.4100000000000003E-2</v>
      </c>
    </row>
    <row r="393" spans="1:10" x14ac:dyDescent="0.45">
      <c r="A393" s="3">
        <v>46081</v>
      </c>
      <c r="B393" s="2">
        <v>2026</v>
      </c>
      <c r="C393" s="2" t="s">
        <v>23</v>
      </c>
      <c r="D393" s="2" t="s">
        <v>25</v>
      </c>
      <c r="E393" t="s">
        <v>53</v>
      </c>
      <c r="F393" s="2" t="s">
        <v>46</v>
      </c>
      <c r="G393">
        <v>16</v>
      </c>
      <c r="H393">
        <v>16</v>
      </c>
      <c r="I393">
        <v>744</v>
      </c>
      <c r="J393" s="1">
        <v>2.1499999999999998E-2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D875-0FD0-4508-9DB6-7177DA0CE10B}">
  <dimension ref="A1:H19"/>
  <sheetViews>
    <sheetView showGridLines="0" tabSelected="1" zoomScale="115" zoomScaleNormal="115" workbookViewId="0">
      <selection activeCell="D9" sqref="D9"/>
    </sheetView>
  </sheetViews>
  <sheetFormatPr defaultColWidth="0" defaultRowHeight="14.25" zeroHeight="1" x14ac:dyDescent="0.45"/>
  <cols>
    <col min="1" max="1" width="2.59765625" customWidth="1"/>
    <col min="2" max="2" width="14" bestFit="1" customWidth="1"/>
    <col min="3" max="3" width="10.6640625" style="6" customWidth="1"/>
    <col min="4" max="4" width="2.59765625" customWidth="1"/>
    <col min="5" max="5" width="10.6640625" style="6" customWidth="1"/>
    <col min="6" max="6" width="2.59765625" customWidth="1"/>
    <col min="7" max="7" width="17.46484375" style="12" customWidth="1"/>
    <col min="8" max="8" width="2.59765625" customWidth="1"/>
    <col min="9" max="16384" width="9.06640625" hidden="1"/>
  </cols>
  <sheetData>
    <row r="1" spans="2:7" x14ac:dyDescent="0.45"/>
    <row r="2" spans="2:7" s="11" customFormat="1" ht="28.5" x14ac:dyDescent="0.45">
      <c r="B2" s="9" t="s">
        <v>113</v>
      </c>
      <c r="C2" s="10" t="s">
        <v>114</v>
      </c>
      <c r="E2" s="14" t="s">
        <v>116</v>
      </c>
      <c r="G2" s="15" t="s">
        <v>117</v>
      </c>
    </row>
    <row r="3" spans="2:7" x14ac:dyDescent="0.45">
      <c r="B3" s="5" t="s">
        <v>10</v>
      </c>
      <c r="C3" s="1">
        <v>0.18636190476190478</v>
      </c>
      <c r="E3" s="1">
        <f>2/12</f>
        <v>0.16666666666666666</v>
      </c>
      <c r="G3" s="13" t="str">
        <f>IF(C3&gt;=E3,"Tercapai","Tidak Tercapai")</f>
        <v>Tercapai</v>
      </c>
    </row>
    <row r="4" spans="2:7" x14ac:dyDescent="0.45">
      <c r="B4" s="5" t="s">
        <v>11</v>
      </c>
      <c r="C4" s="1">
        <v>0.1601090909090909</v>
      </c>
      <c r="E4" s="1">
        <f t="shared" ref="E4:E16" si="0">2/12</f>
        <v>0.16666666666666666</v>
      </c>
      <c r="G4" s="13" t="str">
        <f t="shared" ref="G4:G18" si="1">IF(C4&gt;=E4,"Tercapai","Tidak Tercapai")</f>
        <v>Tidak Tercapai</v>
      </c>
    </row>
    <row r="5" spans="2:7" x14ac:dyDescent="0.45">
      <c r="B5" s="5" t="s">
        <v>12</v>
      </c>
      <c r="C5" s="1">
        <v>0.19554583333333339</v>
      </c>
      <c r="E5" s="1">
        <f t="shared" si="0"/>
        <v>0.16666666666666666</v>
      </c>
      <c r="G5" s="13" t="str">
        <f t="shared" si="1"/>
        <v>Tercapai</v>
      </c>
    </row>
    <row r="6" spans="2:7" x14ac:dyDescent="0.45">
      <c r="B6" s="5" t="s">
        <v>13</v>
      </c>
      <c r="C6" s="1">
        <v>0.18089047619047616</v>
      </c>
      <c r="E6" s="1">
        <f t="shared" si="0"/>
        <v>0.16666666666666666</v>
      </c>
      <c r="G6" s="13" t="str">
        <f t="shared" si="1"/>
        <v>Tercapai</v>
      </c>
    </row>
    <row r="7" spans="2:7" x14ac:dyDescent="0.45">
      <c r="B7" s="5" t="s">
        <v>14</v>
      </c>
      <c r="C7" s="1">
        <v>0.13894347826086956</v>
      </c>
      <c r="E7" s="1">
        <f t="shared" si="0"/>
        <v>0.16666666666666666</v>
      </c>
      <c r="G7" s="13" t="str">
        <f t="shared" si="1"/>
        <v>Tidak Tercapai</v>
      </c>
    </row>
    <row r="8" spans="2:7" x14ac:dyDescent="0.45">
      <c r="B8" s="5" t="s">
        <v>15</v>
      </c>
      <c r="C8" s="1">
        <v>0.1764615384615385</v>
      </c>
      <c r="E8" s="1">
        <f t="shared" si="0"/>
        <v>0.16666666666666666</v>
      </c>
      <c r="G8" s="13" t="str">
        <f t="shared" si="1"/>
        <v>Tercapai</v>
      </c>
    </row>
    <row r="9" spans="2:7" x14ac:dyDescent="0.45">
      <c r="B9" s="5" t="s">
        <v>16</v>
      </c>
      <c r="C9" s="1">
        <v>0.23272352941176475</v>
      </c>
      <c r="E9" s="1">
        <f t="shared" si="0"/>
        <v>0.16666666666666666</v>
      </c>
      <c r="G9" s="13" t="str">
        <f t="shared" si="1"/>
        <v>Tercapai</v>
      </c>
    </row>
    <row r="10" spans="2:7" x14ac:dyDescent="0.45">
      <c r="B10" s="5" t="s">
        <v>17</v>
      </c>
      <c r="C10" s="1">
        <v>0.17801052631578945</v>
      </c>
      <c r="E10" s="1">
        <f t="shared" si="0"/>
        <v>0.16666666666666666</v>
      </c>
      <c r="G10" s="13" t="str">
        <f t="shared" si="1"/>
        <v>Tercapai</v>
      </c>
    </row>
    <row r="11" spans="2:7" x14ac:dyDescent="0.45">
      <c r="B11" s="5" t="s">
        <v>18</v>
      </c>
      <c r="C11" s="1">
        <v>0.14881304347826085</v>
      </c>
      <c r="E11" s="1">
        <f t="shared" si="0"/>
        <v>0.16666666666666666</v>
      </c>
      <c r="G11" s="13" t="str">
        <f t="shared" si="1"/>
        <v>Tidak Tercapai</v>
      </c>
    </row>
    <row r="12" spans="2:7" x14ac:dyDescent="0.45">
      <c r="B12" s="5" t="s">
        <v>19</v>
      </c>
      <c r="C12" s="1">
        <v>0.20150909090909092</v>
      </c>
      <c r="E12" s="1">
        <f t="shared" si="0"/>
        <v>0.16666666666666666</v>
      </c>
      <c r="G12" s="13" t="str">
        <f t="shared" si="1"/>
        <v>Tercapai</v>
      </c>
    </row>
    <row r="13" spans="2:7" x14ac:dyDescent="0.45">
      <c r="B13" s="5" t="s">
        <v>20</v>
      </c>
      <c r="C13" s="1">
        <v>0.18273214285714287</v>
      </c>
      <c r="E13" s="1">
        <f t="shared" si="0"/>
        <v>0.16666666666666666</v>
      </c>
      <c r="G13" s="13" t="str">
        <f t="shared" si="1"/>
        <v>Tercapai</v>
      </c>
    </row>
    <row r="14" spans="2:7" x14ac:dyDescent="0.45">
      <c r="B14" s="5" t="s">
        <v>21</v>
      </c>
      <c r="C14" s="1">
        <v>0.11428750000000001</v>
      </c>
      <c r="E14" s="1">
        <f t="shared" si="0"/>
        <v>0.16666666666666666</v>
      </c>
      <c r="G14" s="13" t="str">
        <f t="shared" si="1"/>
        <v>Tidak Tercapai</v>
      </c>
    </row>
    <row r="15" spans="2:7" x14ac:dyDescent="0.45">
      <c r="B15" s="5" t="s">
        <v>22</v>
      </c>
      <c r="C15" s="1">
        <v>0.19685599999999995</v>
      </c>
      <c r="E15" s="1">
        <f t="shared" si="0"/>
        <v>0.16666666666666666</v>
      </c>
      <c r="G15" s="13" t="str">
        <f t="shared" si="1"/>
        <v>Tercapai</v>
      </c>
    </row>
    <row r="16" spans="2:7" x14ac:dyDescent="0.45">
      <c r="B16" s="5" t="s">
        <v>23</v>
      </c>
      <c r="C16" s="1">
        <v>0.17783043478260868</v>
      </c>
      <c r="E16" s="1">
        <f t="shared" si="0"/>
        <v>0.16666666666666666</v>
      </c>
      <c r="G16" s="13" t="str">
        <f t="shared" si="1"/>
        <v>Tercapai</v>
      </c>
    </row>
    <row r="17" spans="2:7" ht="5" customHeight="1" x14ac:dyDescent="0.45">
      <c r="C17"/>
      <c r="E17"/>
      <c r="G17" s="2"/>
    </row>
    <row r="18" spans="2:7" x14ac:dyDescent="0.45">
      <c r="B18" s="7" t="s">
        <v>115</v>
      </c>
      <c r="C18" s="8">
        <f>AVERAGE(C3:C16)</f>
        <v>0.17650532783370504</v>
      </c>
      <c r="E18" s="16">
        <f>AVERAGE(E3:E16)</f>
        <v>0.16666666666666666</v>
      </c>
      <c r="G18" s="17" t="str">
        <f t="shared" si="1"/>
        <v>Tercapai</v>
      </c>
    </row>
    <row r="19" spans="2:7" x14ac:dyDescent="0.45"/>
  </sheetData>
  <pageMargins left="0.7" right="0.7" top="0.75" bottom="0.75" header="0.3" footer="0.3"/>
  <pageSetup paperSize="9" orientation="portrait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Perawatan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SANUSI ZULFIRMAN LUBIS</dc:creator>
  <cp:lastModifiedBy>SANUSI ZULFIRMAN LUBIS</cp:lastModifiedBy>
  <dcterms:created xsi:type="dcterms:W3CDTF">2026-03-01T03:05:34Z</dcterms:created>
  <dcterms:modified xsi:type="dcterms:W3CDTF">2026-03-02T06:03:54Z</dcterms:modified>
</cp:coreProperties>
</file>